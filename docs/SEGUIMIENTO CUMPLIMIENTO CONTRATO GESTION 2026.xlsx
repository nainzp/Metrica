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sarrollos\Metrica\docs\"/>
    </mc:Choice>
  </mc:AlternateContent>
  <xr:revisionPtr revIDLastSave="0" documentId="13_ncr:1_{8A7A4CC1-132A-4652-886D-B0DC78D98B8D}" xr6:coauthVersionLast="47" xr6:coauthVersionMax="47" xr10:uidLastSave="{00000000-0000-0000-0000-000000000000}"/>
  <bookViews>
    <workbookView xWindow="28665" yWindow="-135" windowWidth="29070" windowHeight="15750" firstSheet="1" activeTab="1" xr2:uid="{00000000-000D-0000-FFFF-FFFF00000000}"/>
  </bookViews>
  <sheets>
    <sheet name="GSP" sheetId="1" state="hidden" r:id="rId1"/>
    <sheet name="Operador" sheetId="2" r:id="rId2"/>
  </sheets>
  <definedNames>
    <definedName name="_xlnm._FilterDatabase" localSheetId="0" hidden="1">GSP!$B$2:$J$97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T/kfIDOXGgMwv6O33x9ettZs0/ynz5QUGtkJ6yhAvo="/>
    </ext>
  </extLst>
</workbook>
</file>

<file path=xl/calcChain.xml><?xml version="1.0" encoding="utf-8"?>
<calcChain xmlns="http://schemas.openxmlformats.org/spreadsheetml/2006/main">
  <c r="EA15" i="2" l="1"/>
  <c r="EC15" i="2" s="1"/>
  <c r="EC14" i="2"/>
  <c r="EC10" i="2"/>
  <c r="EA8" i="2"/>
  <c r="EC8" i="2" s="1"/>
  <c r="EC7" i="2"/>
  <c r="EC5" i="2"/>
  <c r="EC6" i="2"/>
  <c r="EC9" i="2"/>
  <c r="EC11" i="2"/>
  <c r="EC12" i="2"/>
  <c r="EC13" i="2"/>
  <c r="EC16" i="2"/>
  <c r="EC17" i="2"/>
  <c r="EC18" i="2"/>
  <c r="EC19" i="2"/>
  <c r="EC20" i="2"/>
  <c r="EC21" i="2"/>
  <c r="EC22" i="2"/>
  <c r="EC23" i="2"/>
  <c r="EC24" i="2"/>
  <c r="EC25" i="2"/>
  <c r="EC26" i="2"/>
  <c r="EC27" i="2"/>
  <c r="EC28" i="2"/>
  <c r="EC29" i="2"/>
  <c r="EC30" i="2"/>
  <c r="EC31" i="2"/>
  <c r="EC32" i="2"/>
  <c r="EC33" i="2"/>
  <c r="EC34" i="2"/>
  <c r="EC35" i="2"/>
  <c r="EC36" i="2"/>
  <c r="EC40" i="2"/>
  <c r="EC41" i="2"/>
  <c r="EC42" i="2"/>
  <c r="EC43" i="2"/>
  <c r="EC44" i="2"/>
  <c r="EC45" i="2"/>
  <c r="EC46" i="2"/>
  <c r="EC47" i="2"/>
  <c r="EC48" i="2"/>
  <c r="EC49" i="2"/>
  <c r="EC50" i="2"/>
  <c r="EC51" i="2"/>
  <c r="EC52" i="2"/>
  <c r="EC53" i="2"/>
  <c r="EC54" i="2"/>
  <c r="EC55" i="2"/>
  <c r="EC56" i="2"/>
  <c r="EC57" i="2"/>
  <c r="EC58" i="2"/>
  <c r="EC59" i="2"/>
  <c r="EC60" i="2"/>
  <c r="EC61" i="2"/>
  <c r="EC62" i="2"/>
  <c r="EC63" i="2"/>
  <c r="EC64" i="2"/>
  <c r="EC65" i="2"/>
  <c r="EC66" i="2"/>
  <c r="EC67" i="2"/>
  <c r="EC68" i="2"/>
  <c r="EC69" i="2"/>
  <c r="EC70" i="2"/>
  <c r="EC71" i="2"/>
  <c r="EC72" i="2"/>
  <c r="EC73" i="2"/>
  <c r="EC74" i="2"/>
  <c r="EC75" i="2"/>
  <c r="EC76" i="2"/>
  <c r="EC77" i="2"/>
  <c r="EC78" i="2"/>
  <c r="EC79" i="2"/>
  <c r="EC80" i="2"/>
  <c r="EC81" i="2"/>
  <c r="EC82" i="2"/>
  <c r="EC83" i="2"/>
  <c r="EC84" i="2"/>
  <c r="EC85" i="2"/>
  <c r="EC86" i="2"/>
  <c r="EC87" i="2"/>
  <c r="EC88" i="2"/>
  <c r="EC89" i="2"/>
  <c r="EC90" i="2"/>
  <c r="EC91" i="2"/>
  <c r="EC92" i="2"/>
  <c r="EC93" i="2"/>
  <c r="EC94" i="2"/>
  <c r="EC95" i="2"/>
  <c r="EC96" i="2"/>
  <c r="EC97" i="2"/>
  <c r="EC98" i="2"/>
  <c r="DY101" i="2"/>
  <c r="DY102" i="2"/>
  <c r="DY103" i="2"/>
  <c r="DY104" i="2"/>
  <c r="DY105" i="2"/>
  <c r="DY106" i="2"/>
  <c r="DY107" i="2"/>
  <c r="DY108" i="2"/>
  <c r="DY109" i="2"/>
  <c r="DY110" i="2"/>
  <c r="DY111" i="2"/>
  <c r="DY100" i="2"/>
  <c r="EC4" i="2"/>
  <c r="DX5" i="2"/>
  <c r="DX6" i="2"/>
  <c r="DX7" i="2"/>
  <c r="DX8" i="2"/>
  <c r="DX9" i="2"/>
  <c r="DX10" i="2"/>
  <c r="DX11" i="2"/>
  <c r="DX12" i="2"/>
  <c r="DX13" i="2"/>
  <c r="DX14" i="2"/>
  <c r="DX15" i="2"/>
  <c r="DX16" i="2"/>
  <c r="DX17" i="2"/>
  <c r="DX18" i="2"/>
  <c r="DX19" i="2"/>
  <c r="DX20" i="2"/>
  <c r="DX21" i="2"/>
  <c r="DX22" i="2"/>
  <c r="DX23" i="2"/>
  <c r="DX24" i="2"/>
  <c r="DX25" i="2"/>
  <c r="DX26" i="2"/>
  <c r="DX27" i="2"/>
  <c r="DX28" i="2"/>
  <c r="DX29" i="2"/>
  <c r="DX30" i="2"/>
  <c r="DX31" i="2"/>
  <c r="DX32" i="2"/>
  <c r="DX33" i="2"/>
  <c r="DX34" i="2"/>
  <c r="DX35" i="2"/>
  <c r="DX36" i="2"/>
  <c r="DX37" i="2"/>
  <c r="DX38" i="2"/>
  <c r="DX39" i="2"/>
  <c r="DX40" i="2"/>
  <c r="DX41" i="2"/>
  <c r="DX42" i="2"/>
  <c r="DX43" i="2"/>
  <c r="DX44" i="2"/>
  <c r="DX45" i="2"/>
  <c r="DX46" i="2"/>
  <c r="DX47" i="2"/>
  <c r="DX48" i="2"/>
  <c r="DX49" i="2"/>
  <c r="DX50" i="2"/>
  <c r="DX51" i="2"/>
  <c r="DX52" i="2"/>
  <c r="DX53" i="2"/>
  <c r="DX54" i="2"/>
  <c r="DX55" i="2"/>
  <c r="DX56" i="2"/>
  <c r="DX57" i="2"/>
  <c r="DX58" i="2"/>
  <c r="DX59" i="2"/>
  <c r="DX60" i="2"/>
  <c r="DX61" i="2"/>
  <c r="DX62" i="2"/>
  <c r="DX63" i="2"/>
  <c r="DX64" i="2"/>
  <c r="DX65" i="2"/>
  <c r="DX66" i="2"/>
  <c r="DX67" i="2"/>
  <c r="DX68" i="2"/>
  <c r="DX69" i="2"/>
  <c r="DX70" i="2"/>
  <c r="DX71" i="2"/>
  <c r="DX72" i="2"/>
  <c r="DX73" i="2"/>
  <c r="DX74" i="2"/>
  <c r="DX75" i="2"/>
  <c r="DX76" i="2"/>
  <c r="DX77" i="2"/>
  <c r="DX78" i="2"/>
  <c r="DX79" i="2"/>
  <c r="DX80" i="2"/>
  <c r="DX81" i="2"/>
  <c r="DX82" i="2"/>
  <c r="DX83" i="2"/>
  <c r="DX84" i="2"/>
  <c r="DX85" i="2"/>
  <c r="DX86" i="2"/>
  <c r="DX87" i="2"/>
  <c r="DX88" i="2"/>
  <c r="DX89" i="2"/>
  <c r="DX90" i="2"/>
  <c r="DX91" i="2"/>
  <c r="DX92" i="2"/>
  <c r="DX93" i="2"/>
  <c r="DX94" i="2"/>
  <c r="DX95" i="2"/>
  <c r="DX96" i="2"/>
  <c r="DX97" i="2"/>
  <c r="DX98" i="2"/>
  <c r="DX4" i="2"/>
</calcChain>
</file>

<file path=xl/sharedStrings.xml><?xml version="1.0" encoding="utf-8"?>
<sst xmlns="http://schemas.openxmlformats.org/spreadsheetml/2006/main" count="1042" uniqueCount="395">
  <si>
    <t>CRONOGRAMA DE ACTIVIDADES DE GESTIÓN  2026</t>
  </si>
  <si>
    <t>Nª</t>
  </si>
  <si>
    <t>Actividades programadas</t>
  </si>
  <si>
    <t>Obligacion</t>
  </si>
  <si>
    <t>Soportes de Verificacion</t>
  </si>
  <si>
    <t xml:space="preserve">Septiembre </t>
  </si>
  <si>
    <t xml:space="preserve">Octubre </t>
  </si>
  <si>
    <t>Noviembre</t>
  </si>
  <si>
    <t>Diciembre</t>
  </si>
  <si>
    <t xml:space="preserve">OBSERVACIONES </t>
  </si>
  <si>
    <t xml:space="preserve">Desarrollo de capacidades dirigido a  alcaldias municipales en la implementacion del modelo de seguridad quimica </t>
  </si>
  <si>
    <t xml:space="preserve">Garantizar toda la logistica para desarrollar una capacitación de 3 dias en Santa Marta a los equipos municipales en seguridad quimica la cual debera tener los siguientes contenidos: conceptos generales de sustanacias quimicas, generalidades de la seguridad quimica, sistema globalmente armonizado, riesgos asociados a sustancias quimicas y vias de ingreso al organismo, principios de toxicologia, programa de seguridad quimica. La metodologia a utilizar debe ser dinamica y participativa. La capacitacion debe ser realizada por un ingenniero quimico (no se acepta otro eprfil). Debe suministrarse papel bond, marcadores, tarjetas de colores y material didactico que solicite el tallerista. </t>
  </si>
  <si>
    <t>Informe de la actividad con soportes de las actividades participativas. 
Certificacion de entrega de materiales</t>
  </si>
  <si>
    <t>Desarrollo de capacidades dirigido a alcaldias municipales en medidas de adaptacion al cambio climatico</t>
  </si>
  <si>
    <t>Garantizar toda la logistica para desarrollar una capacitaciónde 3 dias en Santa Marta a los equipos municipales en cambio climatico el cual debera tener los siguientes contenidos: conceptos generales de cambio climatico, adaptacion y mitigación  y hoja de ruta para implementar acciones en cambio climatico. La metodologia a utilizar debe ser dinamica y participativa. La capacitacion debe ser realizada por un ingeniero quimico o ambiental con experiencia en la implementacion de planes de accion frete al cambio climatico. Debe suministrarse mapas del departamento ploteados, marcadores, colores y  demas materiales que requiera el tallerista.</t>
  </si>
  <si>
    <t xml:space="preserve">Desarrollo de capacidades dirigido a alcaldias municipales en el modelo de IVC y fomento de conciencia sanitaria </t>
  </si>
  <si>
    <t>Garantizar toda la logistica para desarrollar una capacitación a los equipos municipales en la implementacion del modelo de IVC y fomento de conciencia sanitaria el cual debera tener los siguientes contenidos: conceptos generales de cambio climatico, adaptacion y mitigación  y hoja de ruta para implementar acciones en cambio climatico. La metodologia a utilizar debe ser dinamica y participativa. La capacitacion debe ser realizada por un ingeniero quimico con experiencia en la implementacion de planes de accion frete al cambio climatico. Debe suministrarse mapas del departamento ploteados, marcadores, colores y  demas materiales que requiera el tallerista.</t>
  </si>
  <si>
    <t>Tomar muestras de agua en puntos definidos para moitorear Cristosporidium, entregar resultados e informe</t>
  </si>
  <si>
    <t xml:space="preserve">Garantizar la toma de muestras de agua (30) para diagnostico de Criptosporidium y el analisis de las mismas a ttraves de un laboratorio autorizado para analisis de agua en red de distribucion. La toma de muestras se hara en los puntos concertados segun la relacion que se presenta en el anexo de este documento. Se debe entregar los resultados de las muestras en el original emitido por el laboratorio. Adicionalmente se debe hacer un informe que contenga: introdiccion, objetivos, metodologia de toma de muestras, metodo de analisis, analisis de resultados y conlcusiones. </t>
  </si>
  <si>
    <t xml:space="preserve">Informe de la actividad y resultados de las muestras en original. El informe debe contener introduccion, objetivos, metodologia de toma de muestras, metodo de analisis, analisis de resultados y conlcusiones. </t>
  </si>
  <si>
    <t>Ejecutar al 100% el plan de adquisisiones de insumos parea la vigilancia sanitaria de la calidad del agua y alimentos</t>
  </si>
  <si>
    <t xml:space="preserve">Suministro de 1000 batas desechables con cierre en la espalda y mangas con puño. 
800 tapabocas quirurgicos 
400 gorros oruga
8 cajas de guantes de nitrilo x 100 unidades talla M
8 Cajas de guantes de nitrilo x 100 unidades talla L
2 chalecos salvavidas
1 impresora multifuncional (Impresora, Escaner y Fotocopiadora) de recarga con Tinta                 
1 Computador de Mesa 16 GB Memoria RAM, Disco Duro de 1TB, Procesador Intel Core I7
1 Nevera de 243 L congelador no frost  </t>
  </si>
  <si>
    <t>Acta de entrega a conformidad</t>
  </si>
  <si>
    <t xml:space="preserve">Desarrollo de capacidades a los facilitadores de la revcom (capacitadores), en coordinacion con el area de VSP </t>
  </si>
  <si>
    <t xml:space="preserve">Desarrollar capacidades en la REVCOM del departamento en concordancia con el decreto 3518 de 2006, Articulo 37 y lineamientos nacionales del Instituto Nacional de Salud a traves de dos (2)  Taller teórico - práctico, de un dia de duracion cada uno, para el desarrollo de habilidades en los líderes comunitarios (gestores y vigias) que les permitan el análisis de problemáticas que afectan de alguna forma a la comunidad y asi promover la participación activa de los asistentes, mediante la interlocución de experiencias y búsquedas de soluciones y respuestas a las situaciones que les aquejan; identificando necesidades de su contexto y así propiciar la movilización para la gestión de respuestas integrales. Los talleres se desarrollaran en dos subregiónes con la participación de 30 personas. Se debe  garantizar salón externo con cargo al contratista garantizando la logistica completa (incluye garantizar el desplazamiento de los lideres comunitarios de los municpios participantes). La fecha de ejecucion debera concertarse con el coordinador de VSP
</t>
  </si>
  <si>
    <t>Circular de convocatoria
 Informe del desarrollo de la actividad con VoBo. De la coordinadora de Salud ambiental y VSP</t>
  </si>
  <si>
    <t>Apoyar la ejecucion del plan de IVC con servicio de transporte disponiendo de 2 vehiculos 24x7</t>
  </si>
  <si>
    <t xml:space="preserve">Suministrar dos vehiculos 24X7 durante todo el periodo de vigencia y duracion del contrato. El vehiculo debe tener las siguientes caracteristicas: 4x4, doble traccion,  cinturones de seguridad en buenas condiciones, platon con cobertor, modelo de maximo dos años anteriores a la firma del contrato, sin partes pendientes, tecnomecanica al dia, SOAT vigente. El contratista debe garantizar el pago de peajes y combustible durante toda la duracion y vigencia del contrato. Los gastos de viaticos y alimentacion de los conductores corre por cuenta del contratista durante toda la vigencia y duración del conttrato. El conductor debe esperar al equipo que transporta hasta que este termine sus actividades y llevarlo al sitio de pernoctada. </t>
  </si>
  <si>
    <t xml:space="preserve">Planillas de transporte del equipo tecnico donde conste el municipio a donde se desplazan, debidamente firmadas por quienes fueron transportados. </t>
  </si>
  <si>
    <t>Desarrollo de capacidades a los equipos municipales y departamental en prevencion y manejo de ETAS</t>
  </si>
  <si>
    <t xml:space="preserve">Garantizar toda la logistica para desarrollar una capacitacion de dos dias a los equipos municipales y al equipo departamental en prevencion de ETAS. La capacitacion debe estar a cargo de un ingeniero de alimentos y un profesional con experiencia en protocolos de vigilancia de ETAS. Se debe desarrollar pretest y post test. La metodologia debe ser dinamica y participativa.  </t>
  </si>
  <si>
    <t>Informe de la actividad que contenga: introduccion, objetivos, metodologia, desarrollo de los temas, metodologia y  conlcusiones, con soportes de las actividades participativas. 
Certificacion de entrega de materiales</t>
  </si>
  <si>
    <t>Realizar la reunion departamental de salud ambiental de dos dias de duracion, con el tema central de entorno educativo saludable</t>
  </si>
  <si>
    <t xml:space="preserve">Garantizar toda la logistica durante dos dias, para desarrollar la reunion departamental de salud ambiental con el tema central de entorno educativo saludables. Disponer de cinco stand con mesas y manteles y sillas para uso de los expositores. Se debe garantizar la participacion de 60 personas por lo que el contratista debe hacer gestion. Se debe garantizar los tiquetes, alojamiento y honorarios de talleristas que vengan de otra ciudad y los honorarios de talleristas invitados de la misma ciudad. Debe garantizarse una persona de apoyo todo el tiempo durante los dos dias del evento para garantizar la atencion  de los invitados, hacer la inscripcion, las permanencias y entrega de memorias. se debe tomar listado de asistencia todos los dias en la mañana y en la tarde. Se debe publicar la agenda ploteada en formato medio pliego. </t>
  </si>
  <si>
    <t xml:space="preserve">Informe de la actividad que contenga: introduccion, objetivo de la actividad, metodologia, listado de participantes, desarrollo de los temas y las actividades , conclusiones, registro fotografico por cada dia y por tallerista. </t>
  </si>
  <si>
    <t xml:space="preserve">Desarrollo de capacidades a los miembros del comite SAN en practicas de inocuidad de alimentos </t>
  </si>
  <si>
    <t xml:space="preserve">Garantizar la logistica para desarrollar una capacitacion de 1 dia y medio (12 horas) sobre las 10 practicas basicas de inocuidad de alimentos, procesos de higiene y desinfeccion y manejo adecuado de basuras a los miembros del comite SAN. La capácitacion la debe realizar un ingeniero de alimentos o un microbiologo industrial. La capacitacion debe desarrollarse con una metodologia teorico practica altamente  participativa. se debe hacer pre test y postest. </t>
  </si>
  <si>
    <t>Informe de la actividad que contenga:  introduccion, objetivos, metodologia, desarrollo de los temas, metodologia y  conlcusiones. con soportes de las actividades participativas. 
Certificacion de entrega de materiales</t>
  </si>
  <si>
    <t>Fortalecimiento de la red de frio para la vacunacion antirrábica canina y felina</t>
  </si>
  <si>
    <t>Suministrar 20 termos transportadores de vacuna  de 2,6 litros, con (8) paquetes de frío de 400 ml cada uno</t>
  </si>
  <si>
    <t>Suministrar insumos para la vacunación antirrábica de perros y gatos y control de rabia de acuerdo al plan de adquisiciones</t>
  </si>
  <si>
    <t xml:space="preserve">Suministras 240.000 jeringas desechables de 3ml con aguja (22 x1), 100.000 carnets de vacunación para perros o gatos de acuerdo al diseño suministrado por el programa de zoonosis, (3) tres frascos de Euthanex x50 ml, (6) seis frascos de Xilacyna 2% X10 ml, (10) diez cajas de guantes de latex talla L, (1.000) bolsas plásticas rojas 60x40 cm, (15) quince cabas de icopor por 10 litros, (1) Kit  veterinario de disección  9 piezas. (15) guardianes de 0,5 litros </t>
  </si>
  <si>
    <t>desarrollo de capacidades al recurso humano en salud para la atencion integral de accidente ofidico y APTR para medicos de area rural y EBS</t>
  </si>
  <si>
    <t>Garantizar la logistica para desarrollar (2) dos talleres para (40) personas) en modalidad presencial con duración de UN DÍA dirigido a los médicos de urgencias, enfermeras jefes de servicios de urgencias y equipos básicos en salud sobre "Lineamiento para la atención clínica de accidente rábico y rabia" y "Abordaje clínico y tratamiento del Accidente Ofídico". 
El facilitador del taller debe realizar un pretest, utilizando las herramientas tecnológicas existentes y tabular los resultados del mismo y una vez finalizado el taller deberá realizar un post test
Se debe entregar memorias escritas de los talleres a los participantes. Como memoria no se podrá entregar la presentación del taller
Perfil del Capacitador: Profesional en  Medicina con experiencia o especialización en Salud Pública. La hoja de vida del facilitador será avalada por la secretaria de salud
DONDE: Para ello de sebe contar con un salón de evento en el municipio de Pivijay y Plato
CUANDO: Fecha a convenir con el coordinador de la EGI Zoonosis</t>
  </si>
  <si>
    <t>desarrollo de capacidades institucionales con el fin de mejorar las habilidades individuales en la prevención y control de de zoonosis al nivel municipal</t>
  </si>
  <si>
    <t>Garantizar la logistica para desarrollar un (1) taller para (50) personas en modalidad presencial con duración de DOS DÍAS dirigido a los técnicos de saneamiento de las ESE y alcaldías y personal de salud publica y salud ambiental de los 29 municipios sobre prevención y control de las zoonosis de interés en salud pública. El taller debe ser teorico practico, es decir se debe hacer un simulacro de atención a brote 
El facilitador del taller debe realizar un pretest, utilizando las herramientas tecnológicas existentes y tabular los resultados del mismo y una vez finalizado el taller deberá realizar un post test
Se debe entregar memorias escritas de los talleres a los participantes. Como memoria no se podrá entregar la presentación del taller
CON QUIEN:  Profesional médico veterinario y/o médico veterinario zootecnista con especialización en epidemiologia o salud pública y experiencia en Salud Publica. La hoja de vida del facilitador será avalada por la secretaria de salud
DONDE: Para ello de sebe contar con  un salón de evento en la ciudad de Santa Marta
CUANDO: Fecha a convenir con el coordinador de la EGI Zoonosis</t>
  </si>
  <si>
    <t>Alianzas transectoriales, que busquen fortalecer la promoción de la salud bucal mediante el desarrollo de actividades y estrategias de prevención, educación, detección temprana, atención integral y oportuna.</t>
  </si>
  <si>
    <t>1.Convocatoria.
 2. Informe final y acta de cada mesa debidamente firmado 
 3. Listados de asistencia originales.
 4. Evidencias fotográficas en papel fotográfico, mínimo dos (2) por actividad.</t>
  </si>
  <si>
    <t>Realizar 4 sesiones del Consejo Departamental Asesor en Cancer Infantil de la mano de los actores definidos en la resolucion 1101 del 15 de noviembre de 2012 y el reglamento interno del CODACAI.</t>
  </si>
  <si>
    <t>1. Acta del comité realizado
2. Evidencias fotográficas que indiquen fecha, nombre de la actividad, lugar donde se realizó  3. Lista de asistencias</t>
  </si>
  <si>
    <t>Realizar promocion activa de CERSS - fase de ejecucion, monitoreo y evaluacion (Herramientas: Implementacion de CERSS, monitoreo y evaluacion en los 29 municipios. Realizacion de taller para la implementacion, monitoreo y evaluacion de la estrategias CERSS en los 29 municipios del departamento del Magdalena.</t>
  </si>
  <si>
    <t>1 Acta de reunion 
2. Evidencias fotográficas que indiquen fecha, nombre de la actividad, lugar donde se realizó
3. Lista de asistencias</t>
  </si>
  <si>
    <t>Desarrollo de capacidades en enfermedades cronicas dirigido a medicos y enfermeros jefes de las entidades prestadoras de servicios en el departamento del Magdalena.</t>
  </si>
  <si>
    <t>1. Informe de la jornada donde se evidencie las particularidades del evento, que incluyan las actas de  reunion,convocatoria,analisis con enfoque diferencial participantes en el evento  y acta del evento              2. Evidencias fotográficas que indiquen fecha, nombre de la actividad, municipio      3. Listados de asistencia firmados por asistentes.</t>
  </si>
  <si>
    <t>Desarrollar capacidades del Talento Humano en salud de las EAPB y ESE mediante talleres en Salud mental comunitaria e intervención temprana, atención en salud para las mujeres víctimas de violencias de genero e intrafamiliar, ruta de atención integral en salud mental, y socialización del del sistema de responsabilidad penal para adolescentes en los 29 municipios del departamento del Magdalena incluyendo IPS Indígena.</t>
  </si>
  <si>
    <t xml:space="preserve">Garantizar la realización de dos talleres de tres días cada uno de manera presencial, así:
Un (1) taller dirigido a los médicos, enfermeras, trabajadoras sociales y psicólogos (grupo de 60 profesionales) de las ESE y EAPBS municipales para el fortalecimiento de la atención integral en salud a mujeres víctimas de violencia sexual, Según resolución 0459 de 2012.  Socialización ruta de atención en salud para los adolescentes y jóvenes del SNRPA.  
Un (1) taller dirigido a los profesionales que hacen parte de la ruta de atención integral y mecanismo articulador secretarias de la mujer municipales, comisarías de familia, defensorías de familia, patrulla purpura, secretarias de salud, ESE y EABP (grupo de 60 profesionales) para el fortalecimiento de la atención integral en salud a mujeres víctimas de violencia sexual, Según resolución 459 de 2012.  Socialización ruta de atención en salud para los adolescentes y jóvenes del SNRPA.  
A QUIEN:
Primer grupo:  médicos, enfermeras, trabajadoras sociales y psicólogos (grupo de 50 profesionales) de las EAPB, ESE del departamento, referentes de salud mental y municipales. 
Segundo Taller: secretarias de la mujer municipales, comisarías de familia, defensorías de familia, patrulla purpura, secretarias de salud, ESE y EABP (grupo de 60 profesionales).
QUIEN: Esta capacitación será ejecutada por un facilitador de profesión en medicina, con experiencia en el tema y conocimiento en Salud Mental; avalado por la referente de Convivencia Social y Salud Mental, de la secretaria Seccional de Salud. 
CUANDO: Fecha a convenir con la DTS. 
DÓNDE:  Cuidad de Santa Marta.   
</t>
  </si>
  <si>
    <t>1) Agenda del taller. 2) Convocatoria y constancia de invitación y confirmación de asistencia. 3) Informe de la actividad que incluya cuadro de participación de los actores citados por entidad (Profesión, nombre), desarrollo de la metodología, temática tratada, novedades presentadas durante el desarrollo del taller. 4) Evidencias fotográficas con fotos fechadas. 5) Listado de asistencia. 6) Resultados de pretest y postes de la actividad. 7) Hojas de vida del profesional facilitador, avalada por la secretaria Seccional de Salud; 8) Modelo del certificado de la participación del taller, y 9) Memorias del material y normativa tratada (en archivos digitales y USB, Drive).</t>
  </si>
  <si>
    <t>Desarrollo de capacidades a través de un taller por subregión, referente a primeros auxilios psicológicos, dirigido a los equipos de profesionales de las ESE, equipos básicos en atención primaria en salud y docentes orientadores de los 29 municipios que conforman el departamento del Magdalena; que permita brindar atención oportun frente a los eventos de salud mental.</t>
  </si>
  <si>
    <t xml:space="preserve">COMO: Garantizar el desarrollo un taller por subregión, de dos días de manera presencial en los municipios de El Banco, Pivijay, Fundación y Plato. Debe incluir profesionales de los municipios que conforman cada subregión, equipos de profesionales de las ESE, equipos básicos de atención primaria en salud, docentes y orientadores de las IED y referentes en salud mental; que permita brindar atención oportuna evitando daños frente a los eventos de salud mental. Dirigido a un grupo de 40 profesionales cada taller. Se debe entregar certificado de asistencia que incluya intensidad horaria firmado por la Secretaría Seccional de Salud y el facilitador. Se debe contar con el acompañamiento de la referente de Convivencia Social y Salud Mental. 
A QUIEN:  secretarias de salud municipales, profesionales de las ESE, equipos básicos de atención primaria en salud, docentes y orientadores de las IED y referentes en salud mental. 
QUIEN: Esta capacitación será ejecutada por un facilitador de profesión en psicología, certificado los primeros auxilios psicológicos con experiencia en el tema y conocimiento en Salud Mental desde salud pública; avalada por la referente de Convivencia Social y Salud Mental, de la secretaria Seccional de Salud.
Cuando: Fecha a convenir con la DTS. 
Dónde:  Municipios El Banco, Pivijay, Fundación y Plato.
</t>
  </si>
  <si>
    <t>1) Convocatoria, 2) Verificación telefónica de asistencia.  3) Lista original de asistentes .4) Evidencias fotográficas, la cual debe contener fecha de realización, 5) Informe final de la actividad, el cual debe incluir pretest y postest, desarrollo de la temática, metodología empleada, novedades presentadas, acuerdos y compromisos. 6) Modelo de Certificado entregado a los asistentes.</t>
  </si>
  <si>
    <t xml:space="preserve">Desarrollo y fortalecimiento de capacidades a través de un taller por subregión, referente  a Promover la salud integral e integrada y prevenir el consumo de SPA,  rutas de atención para garantizar el acceso a la detección, tratamiento y atención de los problemas por consumo de sustancias psicoactivas, de acuerdo a resoluciones vigentes y la nueva Política Nacional De Drogas. </t>
  </si>
  <si>
    <t xml:space="preserve">COMO: Garantizar el desarrollo un taller en los municipios priorizados para estrategia CERS, de dos días de manera presencial en los municipios de Fundación y Plato, Ciénaga, Aracataca.  Los talleres estarán dirigidos a profesionales de las ESE, equipos básicos de atención primaria en salud, secretarias de salud municipal, referentes en salud mental e IED. La temática debe estar centrada en la Resolución 2100 de 2025 Por la cual se adopta la Política integral para la prevención, la reducción de riesgos y daños y la atención del consumo de sustancias psicoactivas, licitas e ilícitas y el Sistema Nacional de Atención al consumo de sustancias psicoactivas.   Dirigido a un grupo de 40 profesionales por cada taller. Se debe entregar certificado de asistencia que incluya intensidad horaria firmado por la Secretaría Seccional de Salud y el facilitador. Se debe contar con el acompañamiento de la referente de Convivencia Social y Salud Mental. 
A QUIEN:  Profesionales de las secretarias de salud municipales, ESE, EAPB, equipos básicos de atención primaria en salud, IED y referentes en salud mental. 
QUIEN: Esta capacitación será ejecutada por un facilitador de profesión en psicología, psiquiatría o enfermería con especialización en toxicología; que cuente certificado en atención al consumo de sustancias psicoactivas, con experiencia en el tema y conocimiento en Salud Mental desde salud pública; avalada por la referente de Convivencia Social y Salud Mental, de la secretaria Seccional de Salud.
Cuando: Fecha a convenir con la DTS. 
Dónde:  Municipios de Fundación y Plato, Ciénaga, Aracataca.  
</t>
  </si>
  <si>
    <t>Desarrollo y fortalecimiento de capacidades a través de un taller referente a reducir la conducta suicida en el departamento, con estrategias locales y en contexto, diferenciadas por curso de vida y entornos de desarrollo. Fortalecer las rutas de promoción de la salud mental, identificación del riesgo y atención integral a la conducta suicida, de acuerdo al Decreto 0729 de 2025 y normativas vigentes.</t>
  </si>
  <si>
    <t xml:space="preserve">Garantizar el desarrollo de un taller de dos días para la atención integral de la conducta suicida en el departamento, en el marco de la estrategia “Magdalena Abraza la Vida”, desarrollando el marco normativo vigente, la evidencia científica y el análisis de la realidad del departamento. 
A QUIEN: Dirigido a médicos, enfermeras, trabajadoras sociales y psicólogos (grupo de 60 profesionales) de las EAPB, ESE del departamento, secretarios de salud, IED y referentes de salud mental y municipales. 
QUIEN: facilitador de profesión psicología o psiquiatría, con experiencia en el manejo de la conducta suicida; avalado por la referente de Convivencia Social y Salud Mental, de la secretaria Seccional de Salud. 
CUANDO: Fecha a convenir con la DTS, duración de 2 días. 
DÓNDE:  Cuidad de Santa Marta.   
</t>
  </si>
  <si>
    <t>1) Convocatoria, 2) Verificación telefónica de asistencia. 3) Lista original de asistentes .4) Evidencias fotográficas, la cual debe contener fecha de realización, 5) Informe final de la actividad, el cual debe incluir desarrollo de la temática, metodología empleada, novedades presentadas, acuerdos y compromisos. 6) Modelo de Certificado entregado a los asistentes. 7) Memorias digital de los temas y normativa  desarrollada.</t>
  </si>
  <si>
    <t>Realizar encuentro departamental de referentes de convivencia social y salud mental de los 29 municipios del departamento</t>
  </si>
  <si>
    <t xml:space="preserve">COMO: Garantizar el desarrollo del encuentro departamental de referentes o el que haga sus veces en Convivencia Social y Salud Mental y psicólogos de la ESE de los 29 municipios del departamento; que permita el fortalecimiento de las capacidades y la actualización en la normatividad, guías y protocolos de salud mental y la socialización de experiencias exitosas de tres municipios seleccionados por la secretaria Seccional de Salud.    
A QUIEN: secretarios de salud, referentes o el que haga sus veces en Convivencia Social y Salud Mental y psicólogos de la ESE (60 profesionales) de los 29 municipios del departamento.
QUIEN: La actividad será liderada por la referente de Convivencia Social y Salud Mental de la Secretaria Seccional de Salud. 
CUANDO: Fecha a convenir con la DTS. 
DÓNDE:  Cuidad de Santa Marta.   
</t>
  </si>
  <si>
    <t>1) Agenda de actividad. 2) Convocatoria y constancia de invitación y confirmación de asistencia. 3) Informe de la actividad que incluya el desarrollo de la temática, los resultados de las mesas de trabajo, la presentación de experiencias exitosas, compromisos adquiridos, cuadro de participación por municipio (Profesión, nombre). 4) Evidencias fotográficas con fotos fechadas. 5) Listado de asistencia.   6) Modelo del certificado de la participación del encuentro.</t>
  </si>
  <si>
    <t xml:space="preserve">7 Y 8 </t>
  </si>
  <si>
    <t xml:space="preserve">Realizar 2 sesiones de Comités de Departamental de Drogas; 2 de Consejo Seccional de Estupefacientes; 2 de consejos de departamental de salud mental.  2 mesas de articulación para la atención integral de las violencias basadas en genero. </t>
  </si>
  <si>
    <t xml:space="preserve">Cómo: Garantizar el desarrollo presencial de dos sesiones del Comité departamental de drogas; dos sesiones del Consejo seccional de estupefacientes, dos sesiones del Consejo Departamental de Salud Mental, de acuerdo a las citaciones realizadas por la Secretaría Seccional de Salud. Para ello debe garantizar: Auditorio para 60 personas por sesión, con servicio de internet, mesas, ayudas audiovisuales, video Beam, baño con insumos de aseo. 
Con quien: El facilitador estará a cargo de la secretaria Seccional de Salud.
Cuando: Fecha a convenir con la DTS. 
Dónde: En la Ciudad de Santa Marta. 
</t>
  </si>
  <si>
    <t>1) Convocatoria, 2) Verificación telefónica de asistencia.  3) Lista original de asistentes .4) Evidencias fotográficas, la cual debe contener fecha de realización, 5) Informe final de la actividad con los respectivos acuerdos y compromisos.</t>
  </si>
  <si>
    <t xml:space="preserve">Capacitar al talento humano de las EPS, IPS, EBS  y PIC de los 29 municipios del departamento del Magdalena sobre lactancia y relactancia materna y Código Internacional de Comercialización de Sucedáneos de la Leche materna (CICSLM) </t>
  </si>
  <si>
    <t>Taller de 8 horas para Sensibilizar al talento humano en salud sobre la aplicación del Código Internacional de Comercialización de Sucedáneos de la Leche Materna, para evitar conflictos de interés y proteger la lactancia. dirigido a 100 profesionales de la salud, abordará el marco normativo vigente, incluyendo el Código Internacional y el Decreto 1397 de 1993, con énfasis en la regulación de fórmulas lácteas, biberones y chupones. Se analizarán casos prácticos sobre malas prácticas de mercadeo y se aplicará una guía para elaborar protocolos municipales de vigilancia. El taller lo deberá realizar un médico o pediatra certificado en Consejería en Lactancia Materna y creación de Bancos de Leche Humana. Se necesitará Kit didáctico de lactancia.</t>
  </si>
  <si>
    <t>1. Convocatoria 2. informe ejecutivo con evidencias fotográficas y listas de asistencia 3. Plataforma virtual (Drive) para descargue de informes y acciones para seguimiento.</t>
  </si>
  <si>
    <t>Desarrollo de capacidades teorico practico de dos dias para la construcción de Planes de SAN Municipales en los 29 municipios del departamento del Magdalena.</t>
  </si>
  <si>
    <t>Un taller de tres días para 100 personas en la ciudad de Santa Marta, para la construcción, revisión, ajuste y seguimiento de los Planes de SAN y seguimiento a los planes de las ZRN. Dirigido a miembros de los comités SAN y a los miembros de las Zonas de Recuperación Nutricional de los 29 municipios. La logística debe incluir salón con mesas para trabajo, Vídeo Beam, PC, apuntador, papel periódico, resma de papel y marcadores. El taller deberá se realizado por un profesional experto en la creación de comités de SAN y se realizará en el segundo trimestre del año.</t>
  </si>
  <si>
    <t>1. Convocatoria 2. Informe ejecutivo con evidencias fotográficas y Drive con el Plan de acción y los avances para seguimiento de cada comité SAN y seguimiento a las ZRN de los 29 municipios.</t>
  </si>
  <si>
    <t xml:space="preserve">Sesionar 4 Mesas de trabajo durante el año con el comité departamental SAN para evaluar y ajustar la ejecución de la politica departamental mediante plan de acción con Matriz de monitoreo para el cumplimiento del derecho humano a la alimentacion Adecuada y Sostenible (DHAAS), con la revision del documento, esta debe ser realizada por experto en el tema de politica publicas con el objetivo de definir la situacion actual de la politica departamental (DHAAS). </t>
  </si>
  <si>
    <t xml:space="preserve"> Garantizar logística para 50 personas que incluya refrigerios saludables, agua y mesa de café para la realización de 4 mesas del comité CDSAN (1 por trimestre) para evaluar, revisar y ajustar acciones que garanticen el Derecho Humano a la Alimentación del departamento del Magdalena. Dirigidas a los miembros CDSAN.</t>
  </si>
  <si>
    <t>Matriz para seguimiento y monitoreo en Drive en el que se incluyan las acciones de las 7 Zonas de Recuperación Nutricional y sus avances.</t>
  </si>
  <si>
    <t>Desarrollar Capacidades técnicas, científicas y operativas al RH de la DTS, IPS, EAPB en la Resolución 2465 /2016 y resolucion 2350/2020, con la revison de los planes de la desaceleracion de la desnutricon en los 29 municipios.</t>
  </si>
  <si>
    <t xml:space="preserve">1, Convocatoria para las IPS - EAPB  2. Link de inscripción 3. Pre-tes y post-tes 4.Listado de asistentes 5. Actas y evidencias fotograficas  </t>
  </si>
  <si>
    <t xml:space="preserve">Desarrollo de capacidades teórico práctico al talento humano de las Secretarías de Salud, Profesionales de la Salud de IPS, EPS, EBS, Madres FAMI, ICBF, rectores y docentes de colegios y Alcaldias de los 29 municipios sobre las nuevas GABA con enfoque diferencial, étnico y Afro, GABA para el menor de dos años y la creación de huertas caseras y la implementación de loncheras saludables .
</t>
  </si>
  <si>
    <t>Garantizar la logística para dos talleres de dos días en los municipios de Fundación  (16 horas) y Pivijay (16 horas) con capacidad de 50 personas por municipio en el que se socialicen las GABA para el menor de dos años haciendo énfasis en la alimentación de las gestantes y sus familias, las nuevas GABA con enfoque diferencial, y la creación de huertas caseras que incluya técnicas de sembrado, fortificación de la tierra y aprovechamiento biológico de los materiales reutilizables, y la creación de una estrategia que promueva las loncheras saludables con productos de la región en los colegios mediante el reconocimiento del etiquetado nutricional y lo nocivo del consumo de los mismos. Los talleres estarán dirigidos al talento humano de las Secretarías de Salud, Profesionales de la Salud de IPS, EPS, EBS, Madres FAMI, ICBF, Rectores y docentes de colegios y Alcaldias y miembros REVCOM de los 29 municipios. Cada participante deberá recibir un Rotafolio de las GABA con enfoque diferencial y una matera o recipiente con tierra abonada, una botella de agua, una cuchara plástica grande y tres tipos de semillas diferentes para el sembrado de la huerta en su municipio, además de kit de etiquetado nutricional didáctico por subregión (4unidades). Los talleres deberán ser dictados por una nutricionista y un experto en creación de huertas con conocimiento en economía circular y medio ambiente.</t>
  </si>
  <si>
    <t>1. Circular para la convocatoria 2. Informe ejecutivo con fotos fechadas, Creación de DRIVE para seguimiento de las loncheras y la creación de las huertas.</t>
  </si>
  <si>
    <t>Desarrollo de capacidades teorico practico, certificado sobre la estrategia Instituciones Amiga de la Mujer y la Infacia- IAMII, Salas Amigas de Extracción Manual de la leche materna, código internacional de sucedáneos de la leche materna, RIAS 3280, RIAS Materno Perinatal y Banco de Leche Humana dirigido  al talento humano de la salud, médicos, pediatras, nutricionistas, enfermeras, auxiliares de las IPS, EPS, y hospitales de los 29 municipios del departamento del Magdalena.</t>
  </si>
  <si>
    <t>Realizar dos talleres: El primer taller una duración de 24 horas distribuidas en tres días, en modalidad presencial, e incluirá el análisis detallado de los 10 pasos de la estrategia IAMII con enfoque en la identificación de brechas institucionales. Durante un bloque específico de 8 horas en formato taller teórico-práctico, se aplicará una guía de solución institucional que permitirá a los participantes identificar el estado actual del cumplimiento de los pasos y definir acciones concretas de mejora según su contexto operativo. Lo anterior, permitirá a las Instituciones habilitadas para avanzar en procesos de implementación y certificación de la estrategia IAMII. Estará dirigido a los profesionales de la salud y deberán asistir 2 por municipio. Cada participante deberá recibir un kit de consejería y rotafolio.</t>
  </si>
  <si>
    <t>1. Circular para convotatoria 2. Informe ejecutivo 3. Matriz y Drive o plataforma para reporte y seguimiento a los avances de los municipios.</t>
  </si>
  <si>
    <t>Desarrollo de capacidades bajo escenario de simulacion presencial teorico practicos al talento humano en salud de las ESE e IPS del Departamento del Magdalena,  sobre Ruta Materno Perinatal,  emergencias obstetricas, Planificacion Familiar dirigido a medicos generales, ginecologos y enfermeras, que ejerce funciones en consultas de control prenatal y sala de maternidad.</t>
  </si>
  <si>
    <t>Que: Desarrollo de capacidades bajo escenario de simulacion presencial teorico practicos al talento humano en salud de las ESE e IPS del Departamento del Magdalena, sobre Ruta Materno Perinatal, emergencias obstetricas, Planificacion post evento obstetrico Familiar 
Como: dos talleres teoricos practicos por tres dias,cuando:en el tercero y cuarto trimestre en Santa Martadirigido a Medicos,enfermeras, ginecologos
Quien: Realizado por Ginecobstetra entrenado y certificado en codigo rojo y emergencias obstetrica
Donde: en modalidad presencial para lo cual sera necesario un auditorio con buena iluminacion facilidad de acceso para los asistentes y el expositor.</t>
  </si>
  <si>
    <t>1.Circular para la convocatoria 2. informe detallado del desarrollo de capacidades 3.lisatdos de asistencia.4. Evidencias fotográficas en papel fotográfico, mínimo dos (2) por actividad.</t>
  </si>
  <si>
    <t>8 y 9</t>
  </si>
  <si>
    <t>19 y 20</t>
  </si>
  <si>
    <t>Desarrollar capacidades  del Talento Humano  en salud  de las EAPB y ESE mediante taller en atencion en salud para las mujeres victimas de violencias de genero e intrafamiliar, ruta de atención integral de los 29 municipios del departamento del Magdalena incluyendo IPS Indígena.</t>
  </si>
  <si>
    <t xml:space="preserve">Garantizar la realización de un taller de tres días de manera presencial, así:
Un (1) taller dirigido a los auxiliares de enfermeria  (grupo de 60) de las ESE y EAPB municipales para el fortalecimiento de la atención integral en salud a mujeres víctimas de violencia sexual, Según resolución 0459 de 2012.  Socialización ruta de atención en salud para los adolescentes y jóvenes del SNRPA.  
QUIEN: Esta capacitación será ejecutada por un facilitador de profesión en medicina, con experiencia en el tema y conocimiento en Salud Mental; avalado por la referente de Convivencia Social y Salud Mental, de la secretaria Seccional de Salud. 
CUANDO: Fecha a convenir con la DTS. 
DÓNDE:  Cuidad de Santa Marta.   
</t>
  </si>
  <si>
    <t>1.circular para convocatoria 2.informe detallado de la actividad,,  3.lista de asistencia 4. Evidencias fotográficas en papel fotográfico, mínimo dos (2) por actividad.</t>
  </si>
  <si>
    <t>27 Y 28</t>
  </si>
  <si>
    <t>Desarrollo de capacidades del Departamento del Magdalena, sobre la estrategia ETMIPLUS</t>
  </si>
  <si>
    <t xml:space="preserve"> Desarrollo de capacidades sobre la estrategia ETMIPLUS, dirigido a profesionales de la salud de las IPS publicas y privadas de los 29 municipio, modalida presencial en santa Marta (60 personas) 
Realizado por medico o enfermera experta en el manejo de la estrategia</t>
  </si>
  <si>
    <t>1.circular para la convocatoria 2.informe detallado de la actividad 3.lista de asistencia.4. Evidencias fotográficas en papel fotográfico, mínimo dos (2) por actividad.</t>
  </si>
  <si>
    <t>21 y 22</t>
  </si>
  <si>
    <t>Adquisicion de suministro insumo criticos para el control integral de vectores (sujeto a auotorizacion del ministerio)</t>
  </si>
  <si>
    <t>COMO: Suministrar los siguientes insumos para el Programa de Enfermedades Transmitidas por Vectores:
• 20 unidades de insecticida Agua K-Othrine® (frascos de 1 litro).
• 20 unidades (frascos de 1 litro) de piretroide deltametrina al 5% (K-Othrine®).
• 15 trampas de luz tipo CDC para vigilancia entomológica.
• 10 baterías de 12 V para operación de trampas CDC.
• 10 baterías de 6 V para equipos de campo.
• 4 cargadores de batería de 6–12 V.
CON QUIÉN: Proveedores que garanticen el suministro de insecticidas y equipos con registro INVIMA vigente cuando aplique, identificación de lote y fecha de fabricación, así como garantía de calidad y funcionamiento de los equipos y accesorios suministrados.
NOTA: Los insecticidas deberán contar con fecha de vencimiento mínima de 18 meses a partir de la fecha de entrega. Los equipos y baterías deberán entregarse nuevos, en perfecto estado de funcionamiento y con garantía del proveedor.
DÓNDE: Los insumos serán entregados en Santa Marta, al referente del Programa de Enfermedades Transmitidas por Vectores del Departamento del Magdalena.
CUÁNDO: Durante el primer mes de ejecución del contrato, conforme al cronograma establecido.</t>
  </si>
  <si>
    <t>Actas de recibo a satisfacción</t>
  </si>
  <si>
    <t>sujeto al contratista</t>
  </si>
  <si>
    <t>Realizar mantenimiento preventivo y correctivo las maquinas del programa que lo requieran según diagnostico</t>
  </si>
  <si>
    <t>Equipo aplicador ULV Curtis Dyna-Fog Maxi Pro 4 (cantidad: 1)
Equipo portátil motor a la espalda SOLO Port 423 (cantidad: 1)
Equipo portátil motor a la espalda Curtis Dyna-Fog Twister XL (cantidad: 4)
Equipo de aspersores por compresión manual Hudson X-Pert (cantidad: 5)
Equipo de aspersores manual Guarani (cantidad: 4)
Equipo de aspersores ULV en frío Hudson ULV en frío (cantidad: 5)
MANTENIMIENTO
EQUIPO APLICADOR ULV MARCA CURTIS DYNA-FOG MODELO MAXI PRO 4
Cantidad: 1 unidad
COMO: Realizar el mantenimiento preventivo y correctivo integral del equipo aplicador ULV Curtis Dyna-Fog modelo Maxi Pro 4, que incluye:
• Mantenimiento preventivo general del equipo - • Cambio de aceite del motor.- • Cambio de filtro de aceite. - • Cambio de filtro de combustible.
• Cambio de filtro del carburador. - • Limpieza y ajuste del carburador.  -• Revisión del compresor.  -• Desarme del compresor y revisión de rodamientos. - • Revisión general de racores, mangueras, tuberías, acoples flexibles, empaques, manómetro y sistema eléctrico.
• Pruebas funcionales de solenoide y presostato, con cambio de los componentes que no actúen correctamente o presenten deterioro físico.
• Inspección, ajuste y calibración del control remoto, conforme a las funciones establecidas por el fabricante.
• Ensamble general del equipo y calibración operativa.
• Calibración y/o cambio de boquillas de aspersión, garantizando un tamaño de gota ≤ 20 micras.
• Preparación de superficie y pintura del equipo, aplicando base y acabado conforme a la norma SSPC-SP2.
CON QUIÉN: Proveedor o taller especializado en equipos ULV, con experiencia certificada en mantenimiento de equipos Curtis Dyna-Fog y garantía sobre los servicios y repuestos suministrados.
NOTA: Todos los repuestos deberán ser nuevos y compatibles con el equipo. El equipo deberá entregarse totalmente operativo, calibrado y certificado para aplicación ULV.
DÓNDE: En el taller autorizado del proveedor o en el lugar designado por la entidad.
CUÁNDO: Según la programación establecida por el programa.
MANTENIMIENTO
EQUIPO PORTÁTIL DE MOTOR A LA ESPALDA MARCA SOLO MODELO PORT 423
Cantidad: 1 unidad
COMO: Realizar mantenimiento preventivo y correctivo del equipo portátil marca SOLO modelo Port 423, mediante:
• Cambio de repuestos y elementos necesarios para garantizar su funcionamiento óptimo. - • Limpieza general del motor y componentes.
• Calibración y ajuste del conjunto motor–compresor, conforme a las especificaciones del fabricante.
CON QUIÉN: Proveedor o taller especializado en equipos portátiles de aspersión, con experiencia comprobada y garantía sobre los servicios prestados.
NOTA: El equipo deberá entregarse completamente funcional y calibrado para operación segura.
DÓNDE: En taller autorizado o sitio definido por la entidad.
CUÁNDO: De acuerdo con la programación del programa.
MANTENIMIENTO
EQUIPO PORTÁTIL DE MOTOR A LA ESPALDA MARCA CURTIS DYNA-FOG MODELO TWISTER XL
Cantidad: 4 unidades
COMO: Realizar mantenimiento preventivo y correctivo integral de los equipos Curtis Dyna-Fog modelo Twister XL, que incluye:
• Cambio de repuestos y elementos necesarios para su funcionamiento óptimo. - • Limpieza general del motor.
• Calibración y ajuste del motor–compresor, conforme a las especificaciones del fabricante.
CON QUIÉN: Proveedor o taller especializado en equipos ULV portátiles, con experiencia certificada y garantía sobre los trabajos realizados.
NOTA: Los equipos deberán entregarse operativos, calibrados y listos para aplicación ULV.
DÓNDE: En taller autorizado o lugar definido por la entidad.
CUÁNDO: Según cronograma del programa.
MANTENIMIENTO
EQUIPO DE ASPERSORES POR COMPRESIÓN MANUAL MARCA HUDSON MODELO X-PERT
Cantidad: 5 unidades
COMO: Realizar mantenimiento preventivo y correctivo de los aspersores Hudson modelo X-Pert, que incluye:
• Cambio de repuestos y elementos necesarios para su funcionamiento óptimo.  - • Limpieza general del equipo. - • Calibración y ajuste de los sistemas de aspersión conforme a las recomendaciones del fabricante.
CON QUIÉN: Proveedor o taller con experiencia en mantenimiento de equipos de aspersión manual.
NOTA: Los equipos deberán entregarse en condiciones óptimas de uso y presión adecuada.
DÓNDE: En taller autorizado o sitio definido por la entidad.
CUÁNDO: De acuerdo con la programación establecida.
MANTENIMIENTO
EQUIPO DE ASPERSORES MANUAL MARCA GUARANI
Cantidad: 4 unidades
COMO: Realizar mantenimiento preventivo y correctivo de los aspersores manuales marca Guaraní, mediante:
• Cambio de repuestos y elementos necesarios para su funcionamiento óptimo.  - • Limpieza general del equipo. - • Calibración y ajuste conforme a las especificaciones del fabricante.
CON QUIÉN: Proveedor o taller especializado en equipos de aspersión manual.
NOTA: Los equipos deberán entregarse funcionales y listos para operación de campo.
DÓNDE: En taller autorizado o lugar definido por la entidad.
CUÁNDO: Según programación del programa. 
MANTENIMIENTO
EQUIPO DE ASPERSORES HUDSON ULV EN FRÍO
Cantidad: 5 unidades
COMO: Realizar mantenimiento preventivo y correctivo de los equipos Hudson ULV en frío, que incluye:
• Cambio de repuestos y elementos necesarios para su funcionamiento óptimo. - • Limpieza general del motor y componentes.
• Calibración y ajuste del sistema de aspersión ULV conforme a las especificaciones del fabricante.
CON QUIÉN: Proveedor o taller especializado en equipos ULV en frío, con garantía sobre los servicios prestados.
NOTA: Los equipos deberán entregarse calibrados y operativos para aplicaciones ULV.
DÓNDE: En taller autorizado o sitio definido por la entidad.
CUÁNDO: De acuerdo con la programación establecida.</t>
  </si>
  <si>
    <t>Actas de mantenimiento y recibo a satisfacción</t>
  </si>
  <si>
    <t>sujeto al condiciones de los vehiculos</t>
  </si>
  <si>
    <t>Realizar mantenimiento preventivo y correctivo de dos (2) vehiculos al servicio del programa según terminos de referencia, compra de SOAT y seguros</t>
  </si>
  <si>
    <t>Vehiculo:
COMO: Suministrar el mantenimiento preventivo y correctivo de un vehículo asignado a las actividades operativas del programa, que incluye los siguientes servicios e insumos:
• Cambio de aceite del motor. - • Cambio de filtros de aceite, gasolina y aire. - • Recarga de extintores.
• Mantenimiento del sistema de aire acondicionado y cambio del respectivo filtro a demanda; el sistema deberá entregarse en óptimo funcionamiento. - • Suministro e instalación de baterías para el vehículo.
• Suministro de refrigerante del motor para la regulación adecuada de la temperatura.
• Arreglo de cinturones de seguridad delanteros. - • Suministro e instalación de juego completo de llantas (5 unidades) tipo pantaneras, incluyendo alineación y balanceo. - • Cambio de válvulas de las cinco (5) llantas.
• Suministro del SOAT y revisión técnico-mecánica vigentes. - • Cambio de pastillas de freno delanteras y traseras.
• Cambio de correa del aire acondicionado.  - • Suministro de kit de carretera reglamentario.
• Cambio de kit de embrague.
CON QUIÉN: Proveedor o taller automotriz autorizado que cuente con experiencia certificada, personal calificado y garantía sobre los repuestos, insumos y servicios prestados, cumpliendo con la normatividad vigente en materia de tránsito y seguridad vial.
NOTA: Todos los repuestos e insumos deberán ser nuevos, compatibles con el vehículo, y contar con garantía mínima del proveedor. El vehículo deberá entregarse en condiciones óptimas de funcionamiento y seguridad.
DÓNDE: Los servicios se prestarán en la ciudad de Santa Marta, o en el lugar autorizado por la entidad para la ejecución del mantenimiento.
CUÁNDO: Durante el primer mes de ejecución del contrato o según la programación establecida por el programa.
Maquina:
COMO: Realizar el mantenimiento preventivo y correctivo integral de la máquina de fumigación ULV London Fog 18–20, de conformidad con las especificaciones técnicas del fabricante, que incluye las siguientes actividades:
• Verificación y ajuste de la presión del aire de salida, garantizando un valor operativo aproximado de 6 psi, mediante control de la velocidad del motor.
• Revisión, limpieza y mantenimiento del filtro de aire del compresor. - • Verificación del nivel de aceite del compresor de aire y cambio de aceite SAE-40 no detergente según horas de operación.
• Lubricación y mantenimiento de los cojinetes del compresor, incluyendo aplicación de grasa resistente a altas temperaturas y humedad. - • Mantenimiento interno del compresor para protección contra corrosión, cuando aplique.
• Revisión, carga y mantenimiento de la batería, incluyendo control de niveles y estado general.
• Verificación diaria del nivel de aceite del motor Kohler y cambio de aceite según el tipo de lubricante y horas de uso.
• Cambio del filtro de aceite del motor conforme al calendario de mantenimiento.
• Limpieza del sistema de enfriamiento del motor, incluyendo aletas de refrigeración y canastilla de entrada de aire.
• Mantenimiento del purificador de aire del motor, prefiltro de espuma y filtro de papel. - • Revisión y limpieza del filtro de combustible. - • Revisión y ajuste del regulador de velocidad del motor (RPM operativas).
• Inspección de la luz del botador de válvulas, conforme a las recomendaciones del fabricante.
• Revisión y mantenimiento del regulador de pulsaciones de la bomba de insecticida.
• Limpieza y mantenimiento del filtro del insecticida, garantizando estanqueidad y correcto flujo.
• Revisión del alineamiento de poleas, tensión de la correa de transmisión y estado general del sistema de transmisión.
• Lavado interno del sistema de descarga y boquilla mediante solvente, al finalizar las jornadas de operación.
CON QUIÉN:Proveedor o taller especializado con experiencia certificada en mantenimiento de equipos de fumigación ULV y motores Kohler, que garantice la correcta ejecución de las actividades conforme al manual técnico del fabricante y otorgue garantía sobre los servicios prestados.
NOTA:Todas las actividades de mantenimiento deberán ejecutarse siguiendo estrictamente el manual técnico de la máquina London Fog 18–20, utilizando lubricantes, repuestos y procedimientos recomendados por el fabricante. El equipo deberá entregarse totalmente operativo, calibrado y en condiciones óptimas de funcionamiento y seguridad.
DÓNDE:El mantenimiento se realizará en el taller autorizado del proveedor o en el lugar designado por la entidad para tal fin.
CUÁNDO: De acuerdo con el calendario de mantenimiento del fabricante, las horas de operación del equipo y la programación definida por el programa.</t>
  </si>
  <si>
    <t>vehículo
Acta de prestación del servicio y recibo a satisfacción, junto con facturas y garantías de los repuestos suministrados.
Maquina
• Acta de mantenimiento y recibo a satisfacción.
• Registro técnico de actividades realizadas.
• Soportes de repuestos, lubricantes y ajustes efectuados.</t>
  </si>
  <si>
    <t>Desarrollo de capacidades enfocado en la identificación y control de criaderos, captura entomológica de arbovirosis y uso de la plataforma Epicollect para la recolección y visualización de datos georreferenciados</t>
  </si>
  <si>
    <t>Que: Desarrollar un taller teórico–práctico de cinco (5) días dirigido a ingenieros ambientales y técnicos de E.S.E. y hospitales, enfocado en la identificación y control de criaderos, captura entomológica para arbovirosis y el uso de la plataforma Epicollect para la recolección y visualización de datos georreferenciados, con la participación de tres (3) profesionales con experiencia y experticia en el tema.
Como: Mediante la implementación de sesiones teóricas y prácticas orientadas al fortalecimiento de capacidades técnicas, incluyendo ejercicios de campo, demostraciones, uso de herramientas entomológicas y capacitación en el manejo de Epicollect, desarrolladas por tres (3) profesionales expertos.
Cuando: Durante cinco (5) días consecutivos, según el cronograma establecido por el programa.
Donde: En un auditorio (teoria) practica en terreno
Quien: Tres (3) profesionales con experiencia en entomología médica, captura y procesamiento de datos, en articulación con el equipo del programa de Enfermedades Transmitidas por Vectores.</t>
  </si>
  <si>
    <t>1. Circular de convocatoria. 2. Informe detallado de la actividad. 3. Lista de asistencia. 4. Evidencias fotográficas en papel fotográfico, mínimo dos (2) por actividad.</t>
  </si>
  <si>
    <t>18-23</t>
  </si>
  <si>
    <t>Desarrollo de capacidades socialización de la estrategia de Manejo Integrado de Vectores</t>
  </si>
  <si>
    <t>Que: Desarrollar una jornada de ocho (8) horas para la socialización de la estrategia de Manejo Integrado de Vectores (MIV), orientada al fortalecimiento de conocimientos y competencias técnicas en vigilancia, prevención y control de vectores, dirigida a funcionarios de las alcaldías municipales y E.S.E. hospitales públicos del departamento (una persona por entidad). La capacitación debe ser desarrollada por un profesional de la salud con experiencia en el tema.
Como: Mediante una sesión teórico–práctica de ocho (8) horas que aborde los componentes de la estrategia MIV, incluyendo conceptos, herramientas, lineamientos técnicos y recomendaciones operativas, facilitada por un profesional experto en vigilancia y control de vectores.
Cuando: En una jornada única de ocho (8) horas, según programación establecida por el programa.
Donde: En un auditorio en el Distrito de Santa Marta
Quien: Un profesional de la salud con experiencia en vigilancia y control vectorial, en articulación con el equipo del programa de Enfermedades Transmitidas por Vectores.</t>
  </si>
  <si>
    <t>Desarrollar capacidades al talento humano (profesionales de apoyo) en capacitación en identificación taxonomica de Culicidos y montaje de especimenes para la colección de referencia entomologica.</t>
  </si>
  <si>
    <t>Que: Desarrollar capacidades al talento humano (profesionales de apoyo) mediante procesos de capacitación en identificación taxonómica de Culícidos y en el montaje de especímenes para la colección de referencia entomológica, con el fin de fortalecer las competencias técnicas del equipo ETV.
Como: A través de sesiones teóricas y prácticas orientadas al aprendizaje de claves taxonómicas, técnicas de identificación morfológica, procedimientos de preservación y montaje de especímenes para su incorporación a la colección de referencia entomológica, guiadas por un profesional experto en entomología médica.
Cuando: Según el cronograma de capacitación definido por el programa de Enfermedades Transmitidas por Vectores.
Donde: En el laboratorio entomológico de la Secretaría de Salud Departamental del Magdalena o en el espacio técnico designado para la formación práctica. Quien:
Un profesional con experiencia en entomología médica y taxonomía de Culícidos, en articulación con los profesionales de apoyo del programa ETV.</t>
  </si>
  <si>
    <t>Desarrollar capacidades en los diferentes componentes del programa dirigido al talento humano Vacunadores de los equipos y unidades vacunadoras de 29 municipios incluida IPS Indigena</t>
  </si>
  <si>
    <t>QUE: Desarrollar capacidades en los diferentes componentes del programa dirigido al talento humano Vacunadores de los equipos y unidades vacunadoras de 29 municipios incluida IPS Indigena
COMO: Taller teórico y práctico Subregional de 2 días cada uno dirigido a todos los Auxiliares del programa sobre la importancia de la vacunación y las enfermedades inmunoprevenibles de la infancia, practicas familiares adecuadas y atención comunitaria en salud.
CUANDO: de acuerdo al  Inicio de la contratación o el compromiso contractual.
DONDE: Se realizará en un lugar con un espacio suficiente, amplio, dinámico y seguro que permita la logística del evento. Se escogerá el municipio de cada subregión que funcione como centro de acopio.
QUIEN: Esta actividad debe ser liderada por profesional de enfermería capacitada o con experiencia en PAI y aptitudes para impartir conocimiento.</t>
  </si>
  <si>
    <t>1.Informe de la jornada donde se evidencie las particularidades del evento, que incluyan las actas de concertación y las invitaciones o convocatorias a la actividad.               
2. Evidencias fotográficas que indiquen fecha, nombre de la actividad, municipio donde se realizó.                                                        
3. Listados de asistencia firmados por asistentes.</t>
  </si>
  <si>
    <t>Desarrollar capacidades en los diferentes componentes del programa dirigido al talento humano coordinadores de los equipos y unidades vacunadoras de 29 municipios incluida IPS Indigena</t>
  </si>
  <si>
    <t>QUE: Desarrollar capacidades en los diferentes componentes del programa  dirigido al talento humano coordinadores de los equipos y unidades vacunadoras de 29 municipios incluida IPS Indigena.            
COMO: Taller teórico y prácticode 3 días dirigido a todos los coordinadores del programa sobre actualización del programa ampliado de inmunizaciones del año 2023 en todos sus componentes
CUANDO:  Inicio de la contratación o el compromiso contractual, en la ciudad de Santa Marta
DONDE: Se realizará en un lugar con un espacio suficiente, amplio, dinámico y seguro que permita la logística del evento. Se escogerá el municipio de cada subregión que funcione como centro de acopio.
QUIEN: Esta actividad debe ser liderada por profesional de enfermería capacitada o con experiencia en PAI y aptitudes para impartir conocimiento.</t>
  </si>
  <si>
    <t>1. Informe de la jornada donde se evidencie las particularidades del evento, que incluyan las actas de concertación y las invitaciones o convocatorias a la actividad.    
2. Evidencias fotográficas que indiquen fecha, nombre de la actividad, municipio donde se realizó.           
3. Listados de asistencia firmados por asistentes.</t>
  </si>
  <si>
    <t>Realizar la gestión de los insumos críticos del programa de la red de frio</t>
  </si>
  <si>
    <t>QUE:  Realizar la gestión de los insumos críticos del programa de la red de frio  de acuerdo a la necesidad identificada (20 rollos de papel absorbente, 1 impresora  Multifuncional (MFP) laser color escaner, copiadora, impresora de red inalámbrica (wifi) de 27ppm A4, 1 silla ergonómica para oficina, papelería (1 Caja de Resma Oficio y 1 Caja de resma carta,  5 rollos de Cinta Adhesiva Pegante ancha 48m X 100mt y  50 carpetas cuatro alas, 4 juegos de teclado y mouse inalambricos, una pizarra Acrílica 1.20 X 2.40, 4 Computadores Todo en Uno Pantalla de 23 pulgadas, Procesador Intel Core i7 de 12va generación, Disco duro SSD de 1 TB, 16 GB de memoria RAM DDR3, con packmause, licencia Office y antivirus 6 estabilizadores, 5 UPS de 1.200 VA, un TV de 55 pulgadas Smart TV, 1000 bolsas ziploc pequeñas, 30 guardianes, 200 bolsa (50 roja, 50 blanca, 50 negra y 50 verde) y 10 paquete de pilas AAA y 10 paquetes de pilas AA, un Kit de CCTV de 8 cámaras de 5 MP y un NVR de 8 puertos 
COMO:  realizar la solicitud de insumos de acuerdo con las necesidades identificadas.     
CUANDO:  Inicio de la contratación o el compromiso contractual.
DÓNDE: Institucional (secretaria Seccional de Salud) 
QUIEN: coordinación de salud pública de la entidad territorial</t>
  </si>
  <si>
    <t xml:space="preserve">1.Evidencias e informes de compra.                                                                   </t>
  </si>
  <si>
    <t>Realizar cuatro (4) Comites del Programa Ampliado de Inmunizaciones PAI según lineamientos del MSPS, que garantice la participación de los actores del sector salud y otros sectores con el objetivo de lograr la meta de cobertura propuesta.</t>
  </si>
  <si>
    <t xml:space="preserve">QUE: Realizar 4 comites del PAI de manera trimestral durante la vigencia siguiendo los Lineamientos del MSPS.   
COMO: Mediante reuniones presenciales, siguiendo los Lineamientos Tecnicos del MSPS, con metodologia particiaptiva que permita intervencion de los actores del sistema de salud                                       
CUANDO: Uno por trimestre, garantizando la periocidad requerida para el seguimiento de la cobeturas                                                               
DONDE : En las instalaciones de la secretaria de salud Departamental, asegurando el acceso y participacion de todos los actores convocados.   
QUIEN : Coordinadora y enfermeras apoyo a la vacunacion </t>
  </si>
  <si>
    <t xml:space="preserve">1 . Actas firmadas 2. Listado de asistencia 3. agenda de trabajo 4. evidencias fotograficas . 5 . Informe detallado de la reunion 6.Compromisos </t>
  </si>
  <si>
    <t>Desarrollo de capacidades al Talento Humano del SGSSS en tuberculosis en los temas de gestión, diagnostico, sistema de información, análisis y seguimiento de indicadores y prevención y manejo de la coinfeccion TB/VIH y manejo programático de TB-MDR y socializacion del plan estrategico a los actores del sistema</t>
  </si>
  <si>
    <t xml:space="preserve">Desarrollo de capacidades con duración de (3) tres días para los actores del sistema ESE, EPS; IPS en los temas de gestión, diagnostico, sistema de información, análisis y seguimiento de indicadores y prevención y manejo de la enfermedad, Actividad dirigida para (Medicos - Enfermeras - Bacteriologos) y vigilantes del programa (minimo 60 personas), dictada por experto en el tema con entrenamiento del MSPS) El taller tendrà enfasis en el sistema de informacion y en el seguimiento a contactos de pacientes menores de cinco años candidatos a tratamientos preventivos que mejoren los indicadores de erradicaciòn de la TB esencial para el manejo del programa de TB, se debe  garantizar el apoyo logístico, (Salón con aire acondicionado, sillas móviles, video been, computador y mesas cuando se requiera las cuales deben ir vestidas, convocatoria y seguimiento a las mismas). Contratación de 1 Medico o Bacteriologa con especialización en epidemiologia capacitado y entrenado en investigación operativa con conocimiento en TB para realizar investigación operativa de evaluación e implementación de los lineamientos técnicos y operativos del programa de TB reglamentada en la resolución 227 de 2020, en el proyecto de investigación adherido del INS propuesto por el Ministerio de salud, con el fin de poder evaluar el conocimiento y aplicación de la resolución con todos sus componentes en los municipios del departamento con pacientes en tratamiento durante el año 2025, estudio de contactos de pacientes del año 2024 e implementaciòn de Tratamiento preventivo de TB en menores de 5 años. 
</t>
  </si>
  <si>
    <t xml:space="preserve">Hoja de vida avalada por DTS.  Agenda. Convocatoria y soporte de envio del taller . Listado de asistencia  con evidencias fotográficas  minimo 4 por actividad desarrollada durante el taller  </t>
  </si>
  <si>
    <t>Realizar investigacion operativa de acuerdo a lineamiento de la red de investigacion nacional en tuberculosis resolucion 227 de 2020.</t>
  </si>
  <si>
    <t>QUE: Promover y crear proyectos con la red de TB de acuerdo a las necesidades del programa. COMO: A través del desarrollo y participacion del plan operativo de investigacion en el departamento del Magdalena.CUANDO: En el momento de la contratacion del recurso humano para continuar con el PIO iniciado en 2025. DONDE: En desarrollo con la secretaria desalud departamental desde el programa desalud publica y con los municipios hiperendemicos del departamento.</t>
  </si>
  <si>
    <t>1. Listado de los actores vinculados a la red departamental
2. Aplicación de encuestas de talento humano e infraestructura.
3. Descripcion del documento de investigacion,  resultados y graficas.
4. Indicadores para medir la ejecución del PIO y seguimiento al funcionamiento de la red departamental.</t>
  </si>
  <si>
    <t xml:space="preserve">Adquisicion de insumos de laboratorios para apoyo de la red </t>
  </si>
  <si>
    <t>Adquirir un TV 55 pulgadas Smart tv y conexión HDMI y bluetoo 
1 portátil de 32 gigas de ram disco duro de 1TB SSD Office 2024 Windows 11 procesador i core 7de13ava generacion
1 PC de mesa Todo en Uno Pantalla de 23 pulgadas, Procesador Intel Core i7 de 12va generación, Disco duro SSD de 1 TB, 16 GB de memoria RAM DDR3, con packmause y estabilizador, licencia Office y antivirus</t>
  </si>
  <si>
    <t>Desarrollar un fortalecimiento de capacidades certificado para la adecuada aplicación de la Escala Abreviada de Desarrollo-3 (EAD-3), cuestionarios e instrumentos de la Ruta para la Promocion y Mantenimiento de la salud mediante una actividad de entrenamiento, dirigido al Talento Humano en Salud de las ESE e IPS de los 29 municipios del Departamento del Magdalena.</t>
  </si>
  <si>
    <t>Desarrollo de capacidades sobre La Escala Abreviada de Desarrollo-3 (EAD-3), mediante un entrenamiento dirigido al talento humano en salud, Medicos y Enfermeras (os), de las IPS de los 29 municipios, tendra una duracion de dos dias, 1 dia teorico y 1 dia practico, basandose en la RPM en la ciudad de Santa Marta dirigida por un profesional de la Salud Medico, Pediatra o enfermera certificado en EAD-3.
 Garantizar toda la logistica requerida.</t>
  </si>
  <si>
    <t>Hoja de vida Avalada por la DTS
 Agenda
 Convocatoria y soportes de envio y confirmacion
 Informe del Taller 
 Listados de asistencia originales
 Registro fotografico minimo 4 por dia</t>
  </si>
  <si>
    <t>Desarrollo de un taller teórico práctico en AIEPI clinico, dirigido al Talento Humano en Salud de las ESE e IPS de los 29 municipios del Departamento del Magdalena.</t>
  </si>
  <si>
    <t>Realizar un taller presencial basado en la estrategia AIEPI, durante cinco días en la ciudad de Santa Marta, dirigido a 30 profesionales de salud de IPS y EPS (médicos, pediatras, enfermeras(os), odontólogos(as), psicólogos(as) y fisioterapeutas). 
El taller debe ser impartido por un profesional médico certificado en AIEPI y debe incluir entrega de memorias y la garantía de toda la logística requerida</t>
  </si>
  <si>
    <t>Desarrollo de capacidades teórico práctico al Talento Humano en Salud de las ESE e IPS de los 29 mumicipios del Departamento del Magdalena en Reanimación Neonatal Básica-Programa de Resucitación Neonatal (PRN).</t>
  </si>
  <si>
    <t>Fortalecimiento de capacidades en el Programa de Resucitación Neonatal (PRN) dirigido a 60 profesionales del talento humano en salud médicos y enfermeras de las IPS de los 29 municipios, priorizando las instituciones de salud. La jornada se realizará en la ciudad de Santa Marta, con una duración de un día en modalidad teórico-práctica. Será impartida por un médico especialista en Neonatología y deberá contar con toda la logística necesaria.</t>
  </si>
  <si>
    <t>Desarrollar capacidades en el entorno institucional al talento humano de la DTS en temas como: gestión, Dx, sistema de información, analisis y seguimiento de indicadores en la prevencion y control de la enfermedad de hansen</t>
  </si>
  <si>
    <t>QUE: Desarrollo de capacidades al talento humano de DTS, gestion, diagnostico, sistema de informacion, analisis y seguimiento de indicadores  en la prevenciony control de hansen.
COMO: Realizar una capacitacion de 2 dias a los 29 muicipios dirigida a medicos, enfermeras, vigilantes de programa de las instituciones,Actividad dirigida para (Medicos - Enfermeras - Bacteriologos) y vigilantes del programa (minimo 60 personas), dictada por experto en el tema con entrenamiento del MSPS) 
Garantizar toda la logistica requerida</t>
  </si>
  <si>
    <t>Hoja de vida Avalada por la DTS
Agenda
Convocatoria y soportes de envio y confirmacion
Informe del Taller 
Listados de asistencia originales
Registro fotografico minimo 4 por dia</t>
  </si>
  <si>
    <t xml:space="preserve">Desarrollo de capacidades para preescripción de ayudas tecnicas para bancos municipales (SSM) de las personas con discapacidad en el departamento del Magdalena </t>
  </si>
  <si>
    <t>QUE: Logista para desarrollo del taller teorio-práctico con duración de 2 dias
COMO: Para el desarrollo del taller se requiere de: auditorio con capacidad para 50 personas con ayudas audiovisuales (sonido, computador, video beam), escarapelas, garantizar la logistica requerida, cintas metricas (50). 
Desarrollado por 1 ponente con el siguiente pefil: Fisioterapeuta con experiencia certificada en prescripción de ayudas técnicas para personas con discapacidad DONDE: Santa Marta QUIEN: Secretarias de Salud Municipales</t>
  </si>
  <si>
    <t>1. Informe actividad con metodologia, tematica y estadistica de asistentes. 2. convocatoria 3. listados de asistencia y soportes fotograficos (4)</t>
  </si>
  <si>
    <t xml:space="preserve">Desarrollo de capacidad en valoraciones de apoyo -certificado (SSM, personeria, comesaria de familia) y fortalecimiento de la atención diferencial en salud ((SSM, personeria, comesaria de familia, IPS y EPS)para las personas con discapacidad </t>
  </si>
  <si>
    <t>QUE: Logista para desarrollo de taller teorio-práctico certificado con duración de 16 horas COMO: Para el desarrollo del taller se requiere de: auditorio con capacidad para 60 personas con ayudas audiovisuales (sonido, computador, video beam), escarapelas, certificado de permanecia, material de apoyo. Desarrollado por institución certificada para el desarrollo de valoraciones de apoyo para personas con discapacidad DONDE: Santa Marta QUIEN: Secretarias de Salud Municipales - personeria - comisarias de familia - EPS.</t>
  </si>
  <si>
    <t>1. Informe actividad con metodologia, tematica y estadistica de asistentes. 2. convocatoria. 3. listados de asistencia y soportes fotograficos (4)</t>
  </si>
  <si>
    <t>Mesa  Departamental  de  Salud  y Nutricion para el desarrollo Integral de Niños, Niñas y Adolescentes</t>
  </si>
  <si>
    <t>Garantizar la logistica para realizar Mesa de Salud y Nutrición para promover y el Desarrollo integral de Niños, Niñas y adolescenes, dirigida actores en salud de poblacion NNA, de los 29 municipios, se realizará el 15 de abril , en la ciudad de Santa Marta, con una duración de 8 horas, se requiere un auditorio con capacidad para 40 personas.</t>
  </si>
  <si>
    <t>Circular de la convocatoria 
Informe del desarrollo de la actividad con visto bueno de la coordinadora de PS 
Listados de asistencias 
Informe final y acta</t>
  </si>
  <si>
    <t>Desarrollo de capacidades cognitiva dirigida a los adultos mayores de los 4 centros de bienestar del adulto mayor, en los municipios de banco, guamal, santa barbara de pinto y Sabanas de san Angel</t>
  </si>
  <si>
    <t>Garantizar la logistica de 4 talleres a los adultos mayores de los centros de bienestar, ubicados en los municipios de El Banco, Guamal, Santa Barbara de Pinto y Sabanas de San Angel, esta actividad es desarrollada por un profesional con el siguiente perfil, NEUROPSICOLOGO, La duracion es de 6 horas para cada centro de bienestar.</t>
  </si>
  <si>
    <t>Circular informativa, informe de desarrollo de la actividad, listado de asistencia</t>
  </si>
  <si>
    <t>Desarrollo de capacidades para atención integral del adulto mayor con entidades territoriales, IPS, EAPB por subregiones</t>
  </si>
  <si>
    <t>Logista para desarrollo conversatorio con duración de 8 horas para atención integral del adulto mayor, Desarrollado por 2 ponentes con el siguiente pefil: Geriatrico y Psicologa dirigido a IPS, EAPB, SECRETARIOS DE SALUD, ESE HOSPITAL, Coordinadores de centro de bienestar/vida</t>
  </si>
  <si>
    <t>circular de la convocatoria, informe de desarrollo de la actividad, listado de asistencia</t>
  </si>
  <si>
    <t>Realizar 1 mesa para el desarrollo de rutas sectoriales de atención integral para Personas Habitantes de la Calle</t>
  </si>
  <si>
    <t>Realizar 1 mesa para el desarrollo de rutas sectoriales municipales para la atención integral de las personas habitantes de la calle para el acceso efectivo a los bienes y servicios donde se brinde capacitación acerca de la política pública social para habitantes de calle con énfasis en la ruta de atención desde sus tres entradas ; servicios de salud y otros actores institucionales y sociedad civil, Modalidad presencial. Dirigidos a los secretarios de salud y referentes de habitantes de calle para un total de 50 personas, Duración 8 horas Se desarrollará en la ciudad de Santa Marta, El profesional a contratar para el desarrolo de la actividad sera un profesional en ciencias de la salud con experiencia en Gestión de la Salud pública</t>
  </si>
  <si>
    <t>Circular de Convocatoria, informe Tecnico de la mesa , fotografias , listado de asistencia .</t>
  </si>
  <si>
    <t>4 mesas para la implemetacion piloto de atencion entre la salud ancestral y salud occidental</t>
  </si>
  <si>
    <t>Garantizar la logisica para la realizacion de las 4 mesas con el objetivo de la implementacion del modelo de atencion para la poblacion Negro, Afro colombiano , Raizal y Planqueros, Esta se ejecutaria en los municipios de Zona Bananera, Aracataca, Fundacion y Plato, dirigido a los Secretarios de Salud Municipal , Gerentes de las ESE, EPS, ministerio de salud Referente del componente étnico para comunidades negras afro colombianas palenqueras y raizales, consejo comunitario territorial y parteras teniendo en cuenta que en cada asistencia se estipula un total de 40 personas, con un duracion de 8 hoas.</t>
  </si>
  <si>
    <t>Circuar de Convocatoria i nforme tecnico y listado de asistencia, registro fotografico</t>
  </si>
  <si>
    <t>Mesas de trabajo con cooperantes para la atención en salud de la población migrante en el departamento</t>
  </si>
  <si>
    <t>Garantizar la logisica para la realizacion de las 2 mesas con el objetivo de generar espacios de analisis de las situaciones en salud de la poblacion migrante dentro del territorio asi mismo las estrategias de humanizacion en el servicio de atencion en salud para la poblacion diferencial y especial Esta se ejecutaria en la Ciudad de Santa Marta, dirigido a los Alcaldes, Secretarios de Salud Municipal, referentes del area de Aseguramiento Municipales, Gerentes de las ESE, EPS, Ministerio de Salud y Proteccion Social, Referente del componente Población Migrante, Migracion Colombia, Denfensoria del Pueblo, Personeria Municiaples, Registraduria Nacional del Estado Civil, Instituto Colombiano de Bienestar Familiar -ICBF, Organizacion Panamerica de la Salud - OPS y Cooperantes Internacionales, teniendo en cuenta que en cada mesa se estipula un total de 42 Personas con un duracion de 8 Horas.</t>
  </si>
  <si>
    <t>Circular de Convocatoria. Informe Tecnico. Listado de Asistencia, Registro Fotografico.</t>
  </si>
  <si>
    <t>Primer foro de salud intercultural de los pueblos y comunidades indígenas del Magdalena: kogui, wiwa, arhuacos, chimila (SSM, IPS, EPS, Defensoría del Pueblo, promotores de salud, gremios en salud y académia)</t>
  </si>
  <si>
    <t>Oficio de circular de la convocatoria, informe tecnico, listado de asistencia, registro de evidencias fotográficas.</t>
  </si>
  <si>
    <t>Relizar 4 mesas tematicas en territorio con la población etnica del departamento para fortalecer los procesos y practicas de salud de las comunidades y pueblos indigenas.</t>
  </si>
  <si>
    <t>8-15-29</t>
  </si>
  <si>
    <t>Taller con las entidades de salud, los trabajadores informales, UTI y GOTIS para promover prácticas para el mejoramiento de las condiciones de salud de esta población identificación y gestión de sus riesgos a la salud asociados a los determinantes ambientales, sanitarios, ocupacionales de la salud.</t>
  </si>
  <si>
    <t xml:space="preserve">Garantizar la logistica para 3 talleres teorico practico subregional em los municipios Cienaga, Ariguani y Pivijay con una duracion de 8 Horas cada uno, dirigidos a los Secretarios de Salud y Referentes de Salud Laboral, para una un total de 50 personas, El profesional a contratar para el desarrolo de la actividad sera un profesiona en ciencia de salud con experiencia en Gestion de la Salud publica con </t>
  </si>
  <si>
    <t>Circular de Convocatoria, informe Tecnico de desarrollo del taller , fotografias , listado de asistencia .</t>
  </si>
  <si>
    <t>22-23</t>
  </si>
  <si>
    <t xml:space="preserve">Desarrollo de capacidades al TH Indigena manejo de la DNT aguda </t>
  </si>
  <si>
    <t>Desarrollar 3 talleres teóricos presenciales en la ciudad de santa marta en espacios que establecerá el ente territorial. dirigido a promotores de las comunidades mamorongo – kokldaxa – cherua – muñkuawi – 1 medico 1 jefe de enfermería del puesto de salud de palmor – 1 medico y 1 jefe de enfermería de la ESE hospital san Cristóbal – 1 medico y 1 jefe de enfermería de equipos básicos en salud ancestral, el taller sera dictado por Medico o Pediatra y Nutricioniosta formados en lactancia materna y alimentación complementaria – manejo de indicadores antropométricos y patrones de referencia (resolución 2465 del 2016) y manejo integrado de la desnutrición aguda moderada y severa (resolución 2350 del 2020) 
3 talleres prácticos que se realizaran en los microterritorios priorizados.
para el desarrollo de esta actividad se requieren garantizar toda la logistica, cuadernos, lapiceros, 20 kit de lactancia materna y 20 cuadernillos de guias alimentarias, 20 cintas de perímetro braquial acorde a la resolución 2350 del 2020 – transporte camioneta para las personas que se capacitaran</t>
  </si>
  <si>
    <t>16 Y 22</t>
  </si>
  <si>
    <t>Desarrollo de capacidades a través de dos talleres  para los actores del sistema de salud en atención integral en salud y psicosocial, para las victimas del conflicto armado (SSM, IPS, EAPB) - Normatividad - protocolo/ implementación - retos y avances.</t>
  </si>
  <si>
    <t xml:space="preserve">COMO: Realizar dos talleres  de fortalecimiento técnicos a los equipos multidisciplinarios para atención integral en salud con enfoque psicosocial, así como las rutas de atención y medidas de reparación dentro del marco del PAPSIVI-, jornada efectuada en dos días de manera presencial. Los talleres estarán dirigidos a profesionales de la implementación del PAPSIVI promotores de salud, promotores culturales, empresas sociales del estado. equipos básicos de atención primaria en salud, secretarias de salud municipal, referentes en salud mental.
A QUIEN: profesionales y Equipos de atención del PAPSIVI- equipos multidisciplinarios de las ESE priorizadas Profesionales de las secretarias de salud municipales, ESE, EAPB, equipos básicos de atención primaria en salud de los municipios priorizaos, IED y referentes en salud mental. 
QUIEN: Esta capacitación será ejecutada por un facilitador profesional en psicología; con certificación en talleres cuidado y auto cuidado y resiliencia. Conocimiento de las guías metodológicas de implementación individuales y familiares, debe contar con 36 meses de experiencia relacionada con la implementación del PAPSIVI  60 meses en acciones y de gestión territorio. 
Cuando: Fecha a convenir con la DTS. 
Dónde:  Santa Marta magdalena
</t>
  </si>
  <si>
    <t xml:space="preserve">1) Convocatoria, 2) Verificación telefónica de asistencia. 3) Lista original de asistentes .4) Evidencias fotográficas, la cual debe contener fecha de realización, 5) Informe final de la actividad que refiera desarrollo de la agenda, tratados, metodología, participación de los asistentes, con los respectivos acuerdos y compromisos, que incluya el análisis del pretest y postest. 6) Modelo de Certificado entregado a los asistentes. 7) Hoja de vida del facilitador.  Los soportes se deben entregar por cada uno de los talleres. </t>
  </si>
  <si>
    <t>desarrollar capacidades en la vigilancia sobre el uso, conservacion y aplicacion de los medicamentos dentro de los servicios farmaceuticos dependientes e independientes para minimizar errores en recpcion y dispensacion, a traves de 4 talleres</t>
  </si>
  <si>
    <t>Cuatro (4) talleres teórico-practico, de una duración de 8 horas cada uno, donde se desarrollarán temas de Farmacovigilancia, integrado con las actividades de inspección, vigilancia y control dentro de los servicios farmacéuticos dependientes e independientes.  Realizado por un Químico Farmacéutico con amplia experiencia en Farmacovigilancia y manejos de plataforma. En especial VigiFolow y eReporting. Los cuales se desarrollaran en los municipios de; Plato, El Banco, Ciénaga, Pivijay. Y Logistica que incluya un Salon con capacidad para 50 personas, video beam, sonido, porta papel con marcadores y papel bond. y por ultimo, realizar el oficio de convocatoria, con visto bueno de la oficina de medicamentos y distribuirla en los municipios involucrados.</t>
  </si>
  <si>
    <t>•	Informe detallado de la actividad con registro fotográfico mínimo (6 fotos) por taller
•	Registro de asistencia en original. Mínimo 20 asistentes
•	 Convocatoria y registro de entrega de la misma por municipios involucrados</t>
  </si>
  <si>
    <t xml:space="preserve">Articulacion Intersectorial para debatir politicas sobre el uso y conservacion de los medicamentos dentro de los servicios farmaceuticos dependientes e independientes para minimizar errores en recpcion y dispensacion, a traves de 5 reuniones </t>
  </si>
  <si>
    <t>Cinco (5) mesas de trabajo, de una duracion de 2 horas cada una, donde se desarrollaran agendas relacionadas con las normas de los servicios farmaceuticos dependientes e independientes, moderadas por la oficina de medicamentos, en los municipios de Cienaga, Fundación, Plato, El Banco y Santa Marta. Y logistica que incluya Salon con capacidad para 50 personas, video beam, sonido, porta papel con marcadores y papel bond. Por ultimo, realizar el oficio de convocatoria, con visto bueno de la oficina de medicamentos y distribuirla en los municipios involucrados.</t>
  </si>
  <si>
    <t>•	Acta de la mesa con anexo de  registro fotográfico mínimo (6 fotos) por mesa
•	Registro de asistencia en original. Mínimo 20 asistentes
•	Convocatoria y registro de entrega de la misma por municipios involucrados</t>
  </si>
  <si>
    <t>Generar espacios de encuentro y coordinación intersectorial con actores del sistema de vigilancia en salud pública una vez por mes (cove), reuniones de estadisticas vitales y reuniones bimensuales para fortalecer la respuesta, control y seguimiento a los EISP del departamento con otros actores.</t>
  </si>
  <si>
    <t>Desarrollar capacidades en funcionarios, contratistas de la Secretaria Seccional de Salud y actores del sistema de vigilancia del departamento (UNM-UPGD-EAPB-LDSP) en concordancia con el decreto 3518 de 2006, Articulo 37, por medio de reuniones virtuales o presenciales con metodologia teorico practica:Realizando Uno mensual desde el inicio del contrato hasta la finalización de este incluyendo los otrosí y reuniones mensuales de EEVV y reuniones bimensuales de articulación en el desarrollo de todo el contrato. Para los espacios presenciales garantizar la logística requerida.
DIRIGIDO A: Municipios y personal interinstitucional e intersectorial que requiera de información actualizada de los EISP del departamento 2026</t>
  </si>
  <si>
    <t>Circular de convocatoria
Informe del desarrollo de la actividad con VoBo. De la coordinadora de VSP</t>
  </si>
  <si>
    <t>COVE 24/09/2026 (virtual)</t>
  </si>
  <si>
    <t>COVE 29/10/2026 (virtual) Comite de EEVV 27/10/2026 (presencial)</t>
  </si>
  <si>
    <t>COVE 26 y 27/11/2026 (Presencial)</t>
  </si>
  <si>
    <t>COVE 17/12/2026 (Virtual) Comite de EEVV 22/12/2026 (presencial)</t>
  </si>
  <si>
    <t>Realizar la gestión de los insumos necesarios para dar respuesta de manera oportuna y eficiente a los EISP y EISPII del departamento</t>
  </si>
  <si>
    <t>QUE: Apoyo logístico de un vehículo modelo 2024, 4x4, 4 puertas, con cinturones de seguridad funcionando, documentos al día, aire acondicionado, con gasolina, pago de peajes y conductor, en concordancia con el decreto 780 de 2016, Articulo 2.8.8.1.1.9 – parágrafo g y lineamientos nacionales del INS
 COMO: Disponible 24 horas para realizar traslados del ERI en todo el departamento
 PARA QUE: Para garantizar la respuesta inmediata del grupo ERI en todo el departamento y dar respuesta oportuna a las situaciones de brote y contingencia que se presenten.
 CUANTOS: los desplazamientos de acuerdo con las necesidades establecidas y situaciones de brote que se presenten
 CUANDO: desde que se legaliza el contrato a la terminación del mismo, incluyendo los otrosí que se firmen
 DONDE: en los 29 municipios del departamento
 DIRIGIDO A: referentes de vigilancia en salud pública departamental
 VALOR: $130,000,000</t>
  </si>
  <si>
    <t>Cronograma de los desplazamientos realizados</t>
  </si>
  <si>
    <t>Todo el mes</t>
  </si>
  <si>
    <t>QUE: Entrega de insumos
COMO: 1 Portátil DELL, Intel Core I7 de 10GEN 12 Hilos, Tarjeta de Video NVIDIA 8gb, Memoria RAM de 32GB, Disco M2 de 1tb y solido de 1tb, sonido incorporado o sistema de parlantes y UPS. El computador debe ser entregado con licencia de Windows y office 365 profesional por un año
PARA QUE: Para garantizar el equipamiento que opera como una estructura organizacional para dar respuesta en la recolección, tabulación y análisis de los EISP, para generar respuesta oportuna ante los riesgos para la salud de las poblaciones.
CUANDO: Primer mes después de legalizado el contrato
DONDE: En el área de Vigilancia en salud pública
DIRIGIDO A: Referentes de vigilancia en salud pública departamental
VALOR: $15,000,000</t>
  </si>
  <si>
    <t>Actas de entrega a satisfacción según solicitud realizada</t>
  </si>
  <si>
    <t>COMO: Suscripción de 4 cuentas por GoToMeeting o Teams empresarial por un año y licencia de Power BI, para la publciacion de los boletines epidemiologicos
PARA QUE: Fortalecer la respuesta en VSP con consecución de programas licenciados y paquetes de mayor capacidad de almacenamiento de bases de datos e información para la gestión en VSP
CUANDO: Desde que se legaliza el contrato con duración de un año 
DONDE: En el área de Vigilancia en salud pública
DIRIGIDO A: Referentes de vigilancia en salud pública departamental
VALOR: $15.000.000</t>
  </si>
  <si>
    <t>Entrega de insumos y Elementos de protección para la respuesta a brotes de EISP y emergencias en salud publica con las siguientes características:
- 4 Tablet con Procesador MediaTek Dimensity 6300 (2,40 GHz ), Sistema operativo : Android 15 or Later, Memoria total : 8 GB LPDDR4X (soldado)
Unidad de disco primaria : 128 GB UFS 2.2, Tipo de pantalla : 11" 2.5K (2560 x 1600), IPS, Multi-Touch, AF Coating, 500 nits
- 1 tablet con Procesador MediaTek Dimensity 8300 (3,35 GHz ), Sistema operativo : Android 14 or Later, Memoria total : 8 GB LPDDR5X (soldado), Unidad de disco primaria : 256 GB UFS 4.0
Tipo de pantalla : 12,7" 3K (2944 x 1840), TDDI, táctil, 400 nits, con teclado y  lapiz.
 - Elementos de protección personal para el ERI
- Insumos grafico para los vigias y gestores de la REVCOM - 300 unidades
 PARA QUE: Para garantizar el equipamiento que opera para dar respuesta oportuna ante los brotes de EISP o incidentes de riesgos para la salud de las poblaciones.
 CUANDO: Segundo trimestre del año 2026
 DONDE: En el área de Vigilancia en salud pública
 DIRIGIDO A: Referentes de vigilancia en salud pública departamental y/o municipal
 VALOR: $23.000.0000</t>
  </si>
  <si>
    <t>Realizar encuesta de evaluación de coberturas de vacunación en zona urbana y rural de los 29 Municipios de Departamento</t>
  </si>
  <si>
    <t>COMO: Realizar una encuesta de evaluación de coberturas de vacunación en zona urbana y rural, en concordancia los lineamientos para la gestión y administración del programa ampliado de inmunizaciones –PAI- 2026, con la contratación de cuatro a seis equipos (Una enfermeras profesionales y 7 auxiliares de enfermería certificadas en el PAI por equipo) y una coordinadora para realizar la encuesta de evaluación de coberturas de vacunación en zona urbana y rural del departamento.
PARA QUE: Estimar la cobertura de vacunación, la accesibilidad, oportunidad y deserción al esquema de vacunación a través de una encuesta en una muestra de población y así analizar y socializar los resultados de manera oportuna e implementar acciones según necesidades identificadas.
CUANDO: segundo trimestre (junio y julio) del año 2026
DONDE: Zona urbana y rural en cada uno de los 29 municipios del departamento.
DIRIGIDO A: 29 municipios del departamento</t>
  </si>
  <si>
    <t>Soportes de la encuesta, informe con base de datos en excel en USB por departamento con la informacion de los municipio (29)
 Informe final departamental con base de datos consolida en excel, y con las bases de los 29 muniicpios en USB</t>
  </si>
  <si>
    <t>Actualizar y divulgar una vez al año el analisis de situacion en salud del departamento incluyendo la poblacion pertenecinete a grupos Etnicos, para conocer y comprender la complejidad en que se desarrollan los procesos de salud, enfermedad y calidad de vida de las poblaciones, permitiendo la adecuada y pertinente planeación de intervenciones.</t>
  </si>
  <si>
    <t>QUE: Actualizar y divulgar una vez al año el analisis de situacion en salud cuantitativo y participativo del departamento incluyendo la poblacion pertenecinete a grupos Etnicos
COMO: Actualizacion, diseño y divulgacion del ASIS departamental de 2026
PARA QUE: Realizar la descripción global de las características demográficas más relevantes de la población magdalenense en el contexto de los Determinantes Sociales de la Salud y el bienestar; que dan cuenta de qué se enferma y muere la gente, así como la exposición a varios factores que condicionan el estado de salud, permitiendo definir áreas prioritarias de intervención en salud pública y orientar las acciones de control de los problemas bajo vigilancia en el departamento.
CUANDO: 1 al año
DONDE: Secretaria Seccional de Salud
DIRIGIDO A: Municipios y personal interinstitucional e intersectorial que requiera de información actualizada de los EISP del departamento 2026</t>
  </si>
  <si>
    <t>1 documentos ASIS 2026 en PDF y WORD y acta de socializacion</t>
  </si>
  <si>
    <t>Desarrollar procesos de capacitación dirigidos al talento humano operativo de la Secretaría de Salud, orientados al fortalecimiento de competencias técnicas en vigilancia en salud pública, con el fin de mejorar la calidad del análisis, la notificación y la respuesta institucional frente a los eventos de interés en salud pública</t>
  </si>
  <si>
    <t>QUE: Realizar Encuentro de experiencias en VSP departametal, regional y nacional
COMO: 2 dias 
PARA QUE: realizar intercambio de saberes entre municipios y departamentos para fortalecer el cumplimiento a lineamientos de VSP 2026
CUANDO: Durante el segundo semestre de 2026
DONDE: En salón externo con cargo al contratista de recursos logísticos, desplazamiento y hospedaje de expositores externos, mesas por municipio y stan con un ploter de infografia por cada municipio, Convocatoria de los actores, salón, medios audiovisuales, wifi, papelería, registro fotográfico, consolidación de las actas de asistencia) y técnicos necesarios
DIRIGIDO A: Referentes de vigilancia de UNM, UPGD, UI y UND
Valor: $100.000,000</t>
  </si>
  <si>
    <t>Circular de convocatoria
  Informe del desarrollo de la actividad con VoBo. De la coordinadora de VSP</t>
  </si>
  <si>
    <t>QUE: Desarrollar capacidades en referentes de vigilancia en salud publica departamentales y municipales en concordancia con el decreto 780 de 2016, Articulo 2.8.8.1.1.9 – parágrafo b y h. y lineamientos nacionales
COMO: Un Tallere teórico - práctico: Primera respuesta en atencion a alertas garantizando la contratación del conferencista con duracion entre 3 dias en modalidad mixta (vitual y presencial)
PARA QUE: desarrollar habilidades en la VSP y la preparacion y respuesta de emergencias y brotes de vigilancia en salud publica
CUANDO: Durante el segundo semestre de 2026
DONDE: En salón externo con cargo al contratista de recursos logísticos completos 
DIRIGIDO A: Referentes de vigilancia de UNM, UPGD, UI y UND
Valor: $50.000,000</t>
  </si>
  <si>
    <t>QUE: Desarrollar capacidades en referentes de vigilancia en salud publica departamentales y municipales en concordancia con el decreto 780 de 2016, Articulo 2.8.8.1.1.9 – parágrafo b y h. y lineamientos nacionales
COMO: Un Tallere teórico - práctico: Analisis de Informacion garantizando la contratación del conferencista con duracion entre 3 dias en modalidad mixta (vitual y presencial)
PARA QUE: desarrollar habilidades en la VSP y la preparacion y respuesta de emergencias y brotes de vigilancia en salud publica
CUANDO: Durante el segundo semestre de 2026
DONDE: En salón externo con cargo al contratista de recursos logísticos completos 
DIRIGIDO A: Referentes de vigilancia de UNM, UPGD, UI y UND
Valor: $50.000,000</t>
  </si>
  <si>
    <t>QUE: Desarrollar capacidades en referentes de vigilancia en salud publica departamentales y municipales en concordancia con el decreto 780 de 2016, Articulo 2.8.8.1.1.9 – parágrafo b y h. y lineamientos nacionales
COMO: Un Tallere teórico - práctico: Estrategias de socializacion de datos garantizando la contratación del conferencista con duracion entre 2 dias en modalidad mixta (vitual y presencial)
PARA QUE: desarrollar habilidades en la VSP y la preparacion y respuesta de emergencias y brotes de vigilancia en salud publica
CUANDO: Durante el segundo semestre de 2026
DONDE: En salón externo con cargo al contratista e recursos logísticos completos 
DIRIGIDO A: Referentes de vigilancia de UNM, UPGD, UI y UND
Valor: $40.000,000</t>
  </si>
  <si>
    <t>QUE: Desarrollar capacidades en referentes de vigilancia en salud publica departamentales y municipales en concordancia con el decreto 780 de 2016, Articulo 2.8.8.1.1.9 – parágrafo b y h. y lineamientos nacionales
COMO: Un Tallere teórico - práctico: de Power BI de un diia de duracion y actualizacion de 30 tableros de Power BI de EISP del departamento
PARA QUE: desarrollar habilidades de analisis y parametrizacion de bases de datos que generen informacion autoimatizada en vigilancia en salud publica
CUANDO: Durante el segundo semestre de 2026
DONDE: En salón externo con cargo al contratista garantizando la logistica necesaria
DIRIGIDO A: Referentes de vigilancia de UNM
Valor: $57.000,000</t>
  </si>
  <si>
    <t>Circular de convocatoria
Informe del desarrollo de la actividad e incluir el pdf de 30 tableros en power BI actualizados, con VoBo. De la coordinadora de VSP</t>
  </si>
  <si>
    <t xml:space="preserve">Realizar talleres de REVCOM para fortalecer la participación social y comunitaria en la identificación oportuna de EISP o situaciones de riesgo en salud </t>
  </si>
  <si>
    <t>QUE: Desarrollar capacidades en la REVCOM del departamento en concordancia con el decreto 3518 de 2006, Articulo 37 y lineamientos nacionales del Instituto Nacional de Salud.
COMO: Taller teórico - práctico para el desarrollo de habilidades en los líderes comunitarios que les permitan el análisis de problemáticas que afectan de alguna forma a la comunidad. 
PARA QUE: para promover la participación activa de los asistentes, mediante la interlocución de experiencias y búsquedas de soluciones y respuestas a las situaciones que les aquejan; identificando necesidades de su contexto y así propiciar la movilización para la gestión de respuestas integrales.
CUANTOS: dos Talleres de un día de duración, en dos subregiónes con la participación de 30 personas 
CUANDO: Durante le ejecucion de contrato
DONDE: En salón externo con cargo al contratista garantizando la logistica completa (incluye garantizar el desplazamiento de los lideres comunitarios de los municpios participantes)
DIRIGIDO A: vigias y gestores de la REVCOM departamental</t>
  </si>
  <si>
    <t>Realizar cursos de entrenamiento para profesionales de la salud, en montaje y lectura de pruebas rapidas de VIH, Hepatitis y sifilis en el marco del cumplimiento de la Resolución 1314/2020</t>
  </si>
  <si>
    <t>• 1. Planeación y Coordinación
 • Revisar los lineamientos de la Resolución 1314/2020, especialmente los relacionados con la implementación de pruebas rápidas.
 • Establecer un comité organizador técnico y académico.
 • Coordinar con el ente territorial de salud y laboratorios de referencia (INS o SIVIGILA).
 • 2. Diseño del Curso
 • Definir contenidos según los protocolos nacionales de tamizaje y confirmación.
 • Incluir temas de:
 • Bioseguridad y manejo de residuos.
 • Toma, procesamiento y lectura de pruebas rápidas.
 • Registro, reporte y confidencialidad.
 • Consejería pre y post prueba.
 • Definir duración, modalidad (presencial, virtual, híbrida) y metodología (teórica-práctica).
 • 3. Gestión de Instructores y Materiales
 • Contratar o convocar formadores certificados.
 • Gestionar o adquirir:
 • Pruebas rápidas (VIH, Hepatitis B/C, Sífilis).
 • Material de laboratorio (guantes, lancetas, diluyentes, timer, etc.).
 • Equipos de protección personal.
 • 4. Convocatoria y Participación
 • Identificar y convocar profesionales en servicios de salud (IPS, hospitales, EPS).
 • Establecer criterios de selección (ej. personal que toma pruebas o realiza tamizajes).
 • Garantizar cupos por municipio o institución.
 • 5. Implementación del Curso
 • Garantizar escenarios adecuados para la parte práctica.
 • Realizar evaluaciones diagnóstica, formativa y final.
 • Asegurar el cumplimiento de normas de bioseguridad durante la formación.
 • 6. Certificación y Registro
 • Emitir certificados de participación y aprobación.
 • Llevar un registro con datos de los asistentes.
 • Reportar al ente territorial de salud los profesionales entrenados.
 • 7. Seguimiento y Evaluación
 • Realizar encuestas de satisfacción y seguimiento posterior al curso.
 • Verificar si los profesionales están aplicando adecuadamente lo aprendido.
 • Ajustar futuras capacitaciones según resultados.</t>
  </si>
  <si>
    <t>1. Acta de planeación del curso
 o Fechas, responsables, objetivos, metodología.
 2. Agenda del curso / programa académico
 o Contenidos teóricos y prácticos alineados con la normativa.
 3. Listado de asistencia con firmas
 o Nombres, documentos, profesión, institución de los participantes.
 4. Registro fotográfico o audiovisual del curso
 o Evidencia de sesiones teóricas y prácticas.
 5. Evaluaciones aplicadas
 o Pre y post test o prueba de conocimientos.
 6. Certificados de participación/aprobación
 7. Formato de seguimiento individual del participante
 o Evaluación del desempeño práctico en montaje y lectura.
 8. Relación de pruebas utilizadas en el entrenamiento
 o Tipo de pruebas rápidas empleadas (marca, lote, vencimiento).
 9. Lista de materiales y equipos utilizados
 o Para montaje, bioseguridad y descarte de residuos
 10. Informe final del curso
 • Incluye número de participantes, resultados generales, observaciones y recomendaciones.
 11. Comunicado o acta de socialización de resultados al ente territorial
 • Dirección Local o Secretaría de Salud Departamental.
 12. Soporte de envío del informe y listados al SIVIGILA (si aplica)
 • Para evidenciar la articulación con los sistemas de vigilancia</t>
  </si>
  <si>
    <t>Realizar el Curso teórico Práctico de herramientas diagnósticas de eventos de interés de Salud Pública a toda la red departamental</t>
  </si>
  <si>
    <t xml:space="preserve">• Elaborar el plan de capacitación con objetivos, contenidos y metodología.
• Definir fecha, horario, modalidad y lugar del curso.
• Coordinar logística: salones, equipos, insumos y soporte técnico.
• Emitir convocatoria formal dirigida a la red departamental de laboratorios.
• Garantizar la participación de los laboratorios municipales y departamentales.
• Articular la capacitación con INS y Secretaría de Salud.
• Elaborar contenidos teóricos: vigilancia epidemiológica, toma y manejo de muestras, herramientas de reporte.
• Diseñar y ejecutar módulos prácticos: manejo de equipos, bioseguridad, procesamiento e interpretación.
• Seleccionar instructores idóneos y con experiencia.
• Asegurar que los contenidos cumplan lineamientos del INS y MINSALUD.
• Proveer materiales pedagógicos: guías, protocolos y presentaciones.
• Brindar insumos, reactivos y equipos necesarios para actividades prácticas.
• Facilitar acceso a plataformas virtuales (si aplica).
• Desarrollar el curso según cronograma y agenda técnica.
• Registrar asistencia diaria de participantes.
• Supervisar cumplimiento de normas de bioseguridad.
• Generar espacios de discusión y resolución de dudas.
• Implementar evaluaciones diagnósticas, formativas o finales.
• Consolidar resultados de evaluación del aprendizaje.
• Emitir certificados de participación o aprobación.
• Elaborar informe técnico final con resultados y recomendaciones.
• Archivar listas de asistencia, presentaciones, registros fotográficos y evaluaciones.
• Socializar resultados del curso con autoridades y laboratorios.
• Realizar seguimiento a la aplicación de conocimientos adquiridos.
• Recomendar acciones de mejora y necesidades de futuras capacitaciones.
</t>
  </si>
  <si>
    <t xml:space="preserve">1. Soportes de Planeación
- Resolución o acto administrativo que autoriza la realización del curso.
- Oficios de invitación enviados a la red departamental.
- Justificación técnica o diagnóstico de necesidades.
- Objetivos y alineación con el Plan de Salud Pública y POA.
- Agenda o cronograma detallado.
- Contenido programático teórico y práctico.
- Hojas de vida y certificaciones de los instructores.
- Presupuesto o disponibilidad presupuestal (CDP).
- Plan de logística (lugar, equipos, insumos y bioseguridad).
- Listado de materiales y reactivos necesarios.
2. Soportes de Ejecución
- Listas de asistencia firmadas.
- Registro fotográfico con fecha (teoría y práctica).
- Acta de inicio y desarrollo del curso.
- Presentaciones utilizadas durante las sesiones.
- Guías de práctica o instructivos entregados.
- Registros de participación en actividades prácticas.
- Resultados obtenidos en las prácticas diagnósticas.
- Evaluaciones teóricas y prácticas (pre y post test).
- Control de entrega de materiales.
- Planillas de bioseguridad (si aplica).
- Certificado del capacitador o entidad formadora.
3. Soportes de Cierre y Evaluación
- Certificados de participación emitidos.
- Acta de cierre del curso.
- Encuestas de satisfacción de los participantes.
- Informe final con resultados, análisis y recomendaciones.
- Ejecución presupuestal (si aplica).
- Soportes de pago por servicios o instructores (si aplica).
</t>
  </si>
  <si>
    <t>Realizar el plan de mantenimiento preventivo, correctivo, calibración y calificación de los equipos del Laboratorio de Salud Publica, asegurando el cumplimiento de los requisitos del Organismo Nacional de Acreditación de Colombia ONAC y su documento normativo CEA-4.1-02 de Los proveedores.</t>
  </si>
  <si>
    <t>1. Elaborar y ejecutar un plan de mantenimiento preventivo y correctivo para los equipos del Laboratorio de Salud Pública, con base en las recomendaciones del fabricante y los requisitos técnicos del sistema de gestión de la calidad.
 2. Planificar y realizar la calibración y calificación de los equipos según la criticidad, uso y normativas aplicables, garantizando la trazabilidad metrológica de los resultados.
 3. Asegurar que los servicios de calibración, mantenimiento y calificación sean realizados por proveedores competentes, cumpliendo con los requisitos del ONAC establecidos en el documento normativo CEA-4.1-02.
 4. Verificar y conservar la documentación soporte de cada intervención (mantenimiento, calibración o calificación), incluyendo certificados, informes técnicos, hojas de vida de equipos y registros de resultados.
 5. Establecer criterios de aceptación y control para asegurar que los equipos se mantengan en condiciones óptimas de operación y conformes con los requisitos del sistema de gestión de la calidad.
 6. Actualizar el inventario y hoja de vida de los equipos con cada actividad de mantenimiento, calibración o calificación realizada.
 7. Coordinar y supervisar las actividades de los proveedores externos, asegurando el cumplimiento de los criterios de competencia técnica exigidos por el ONAC.
 8. Incorporar los resultados de estas actividades en las revisiones por la dirección y planes de mejora del sistema de gestión de calidad del LSP.</t>
  </si>
  <si>
    <t>1. Plan anual de mantenimiento, calibración y calificación de equipos, firmado y aprobado por el responsable del sistema de gestión de la calidad.
 2. Hojas de vida actualizadas de los equipos, que incluyan registros de mantenimiento preventivo, correctivo, calibraciones y calificaciones realizadas.
 3. Certificados de calibración emitidos por laboratorios acreditados o con trazabilidad metrológica demostrada, según lo estipulado en el documento CEA-4.1-02.
 4. Informes técnicos de mantenimiento y calificación, incluyendo descripciones de actividades, fechas, personal responsable y resultados obtenidos.
 5. Contratos, órdenes de servicio o actas de conformidad con proveedores, que demuestren la selección de proveedores competentes conforme a los requisitos del ONAC.
 6. Registro de evaluación y selección de proveedores, conforme al procedimiento del sistema de gestión de la calidad y en cumplimiento con el CEA-4.1-02.
 7. Checklists de verificación de condiciones operativas de equipos posteriores a mantenimientos, calibraciones o calificaciones.
 8. Cronogramas y evidencias de ejecución del plan de mantenimiento, con seguimiento de cumplimiento y justificación de desviaciones, si las hay.
 9. Actas de revisión por la dirección o comités de calidad, donde se incluyan análisis de resultados de mantenimiento, calibraciones y acciones de mejora.
 10. Fotografías o capturas del etiquetado de equipos, con identificación del estado de calibración y fechas de la última intervención.</t>
  </si>
  <si>
    <t>Realizar la compra de equipos biomedicos, de sistema de informacion, para cumplir con los procesos misionales y para la bioseguridad en el LSP que garantice las acciones de vigilancia de salud Pública por el LSP .</t>
  </si>
  <si>
    <t>1. Planeación y Justificación Técnica
 • Identificar necesidades del LSP según los procesos misionales (vigilancia, diagnóstico, análisis de riesgos).
 • Elaborar un diagnóstico técnico de equipos faltantes, obsoletos o insuficientes.
 • Priorizar según:
 o Vigilancias especiales (ej. VIH, COVID, dengue, etc.).
 o Lineamientos del Instituto Nacional de Salud (INS).
 o Riesgos en bioseguridad.
 • Elaborar el Plan de Adquisiciones del LSP, alineado con el POA institucional
 2. Elaboración de Especificaciones Técnicas
 • Definir fichas técnicas detalladas para cada equipo:
 o Biomédicos: centrífugas, PCR, cabinas de bioseguridad, microscopios, refrigeradores, etc.
 o Sistemas de información: servidores, software LIMS, licencias, equipos de red, computadores.
 • Incluir requerimientos normativos y de compatibilidad (ej. INVIMA, RTCA, normas ISO 15189 o 17025).
 3. Gestión Contractual y Financiera
 • Garantizar disponibilidad presupuestal (CDP).
 • Elaborar estudios previos, pliegos y demás documentos contractuales.
 • Aplicar la normatividad vigente en contratación pública (Ley 80 de 1993 y normas asociadas).
 • Realizar el proceso de selección (mínima cuantía, licitación, etc.).
 4. Proceso de Compra y Recepción
 • Verificar cumplimiento de especificaciones técnicas al momento de recibir.
 • Elaborar actas de entrega y verificación funcional de los equipos.
 • Realizar instalación, pruebas de funcionamiento y calibración si aplica
 5. Capacitación y Uso
 • Asegurar capacitación al personal en el uso y mantenimiento de los equipos adquiridos.
 • Documentar manuales, instructivos, protocolos de operación.
 6. Bioseguridad y Soporte
 • Incluir equipos relacionados con la bioseguridad: EPP, cabinas, duchas de emergencia, etc.
 • Verificar que los nuevos equipos se integren a los protocolos de bioseguridad vigentes
 7. Registro, Seguimiento y Mantenimiento
 • Registrar los equipos en el inventario institucional.
 • Incluir en el plan de mantenimiento preventivo y correctivo.
 • Realizar seguimiento a su impacto en el fortalecimiento de la vigilancia.</t>
  </si>
  <si>
    <t>1. Documentación Técnica y Legal
 • Especificaciones Técnicas Detalladas: Definir claramente las características y funcionalidades requeridas para cada equipo o sistema, asegurando su alineación con las necesidades del LSP y las normativas vigentes.
 • Certificados de Calidad y Conformidad: Obtener certificaciones que acrediten que los equipos cumplen con estándares internacionales de calidad y seguridad. Según el Decreto 4725 de 2005, para equipos de riesgo IIB y III, se requiere un certificado o constancia de cumplimiento con estándares de calidad internacionales, emitido por una entidad reconocida. 
 • Registro Sanitario o Permiso de Comercialización: Verificar que los equipos biomédicos cuenten con el registro sanitario o permiso de comercialización otorgado por el INVIMA, especialmente para aquellos clasificados en las clases de riesgo IIB y III. 2. Soportes de Importación (si aplica)
 • Certificado de Venta Libre (CVL): Documento que acredita que el equipo está autorizado para su comercialización en el país de origen. En su defecto, se puede proporcionar un enlace al sitio web de la entidad sanitaria correspondiente donde se verifique dicha autorización.
 • Documentación Adicional para Equipos Usados o Donados: Si se adquieren equipos usados, es necesario un certificado que indique que no tienen más de cinco años desde su fabricación y que están en óptimas condiciones operativas. Para equipos donados, se deben cumplir los mismos requisitos que para los equipos nuevos, según lo establecido en la Resolución 522 de 2020. 3. Contratos y Acuerdos
 • Contratos de Compra: Documentos que formalizan la adquisición, especificando términos, condiciones, garantías y responsabilidades de las partes involucradas.
 • Compromisos de Soporte y Mantenimiento: Declaraciones del proveedor que aseguren la disponibilidad de repuestos, insumos y servicios de mantenimiento por un período mínimo de cinco años, así como la capacitación necesaria para el personal técnico y operativo4. Registros de Recepción y Validación
 • Actas de Entrega y Recepción: Documentación que confirma la entrega de los equipos en las condiciones acordadas, incluyendo detalles como números de serie, estado físico y cumplimiento de especificaciones técnicas.
 • Informes de Instalación y Puesta en Marcha: Registros que evidencian la correcta instalación, calibración y funcionamiento de los equipos, realizados por personal autorizado.
 5. Capacitación y Bioseguridad
 • Registros de Capacitación: Evidencia de las sesiones de formación impartidas al personal sobre el uso adecuado y mantenimiento de los equipos adquiridos.
 • Protocolos de Bioseguridad Actualizados: Documentación que refleje la integración de los nuevos equipos en los procedimientos de bioseguridad del LSP, garantizando la seguridad del personal y la calidad en los procesos.
 Mantener estos soportes de verificación no solo asegura el cumplimiento de la normativa vigente, sino que también facilita procesos de auditoría y garantiza la transparencia y eficiencia en la gestión de recursos del Laboratorio de Salud Pública.</t>
  </si>
  <si>
    <t>Realizar la compra de insumos y reactivos para cumplir con los procesos misionales y para la bioseguridad en el LSP que garantice las acciones de vigilancia de salud Pública por el LSP .</t>
  </si>
  <si>
    <t>• Identificar y planificar los requerimientos de insumos y reactivos necesarios para el cumplimiento de los procesos misionales del Laboratorio de Salud Pública (LSP).
 • Garantizar la adquisición oportuna y suficiente de insumos y reactivos que permitan mantener la continuidad de las actividades misionales del LSP.
 • Asegurar la compra de insumos específicos para bioseguridad, con el fin de proteger al personal y mantener las condiciones sanitarias requeridas en el laboratorio.
 • Verificar que los productos adquiridos cumplan con las normas técnicas y de calidad vigentes, garantizando su idoneidad para las actividades de vigilancia en salud pública.
 • Gestionar la contratación conforme a la normativa vigente, asegurando la transparencia, eficiencia y legalidad del proceso de adquisición.
 • Mantener actualizado el inventario de insumos y reactivos, para facilitar la trazabilidad y la planificación de futuras compras.
 • Coordinar con las áreas técnicas del LSP para validar los insumos requeridos según los protocolos establecidos.
 • Documentar todo el proceso de compra, desde la solicitud hasta la entrega y recepción conforme de los insumos.</t>
  </si>
  <si>
    <t>Plan de trabajo y cronograma de actividades: Documento que define las actividades misionales y de apoyo, incluyendo cronogramas, metas y recursos requeridos.
 Informe de necesidades técnicas: Elaborado por el equipo del laboratorio, especifica los insumos y reactivos indispensables para realizar los análisis y pruebas de vigilancia epidemiológica.​
 2. Cumplimiento de normativas sanitarias y de bioseguridad Lineamientos de bioseguridad: Establecen los protocolos y procedimientos para garantizar la seguridad del personal y del entorno, incluyendo el uso de elementos específicos como equipos de protección personal (EPP), desinfectantes, entre otros.
 Regulación de reactivos de diagnóstico in vitro: Los reactivos deben contar con registro sanitario vigente y cumplir con los requisitos establecidos por el Instituto Nacional de Vigilancia de Medicamentos y Alimentos (INVIMA).
 3. Control de calidad y trazabilidad Certificados de análisis y hojas de seguridad: Documentación que garantiza la calidad y seguridad de los insumos y reactivos adquiridos.
 Historial de consumo y registros de inventario: Permiten justificar los volúmenes de compra proyectados y asegurar una gestión eficiente de los recursos.​
 4. Protocolos de recepción y almacenamiento Procedimientos de recepción y desinfección: Establecen las acciones a seguir al recibir los insumos y reactivos, incluyendo la limpieza y desinfección de los productos.
 Condiciones de almacenamiento: Garantizan que los insumos y reactivos se mantengan en condiciones adecuadas para preservar su integridad y eficacia.​
 5. Disponibilidad presupuestal y documentación administrativa Certificación de disponibilidad presupuestal: Documento que acredita la existencia de recursos financieros destinados a la adquisición de insumos y reactivos, conforme al plan operativo anual.
 Documentación de procesos de adquisición: Incluye cotizaciones, órdenes de compra y actas de recepción, que respaldan la transparencia y legalidad de las compras realizadas.​</t>
  </si>
  <si>
    <t>Mantenimiento y actualizacion de software para el Laboratorio de Salud Publica para el manejo del sistema de gestion de la calidad</t>
  </si>
  <si>
    <t>• Garantizar el mantenimiento preventivo y correctivo del software utilizado en el sistema de gestión de la calidad del Laboratorio de Salud Pública (LSP).
 • Realizar actualizaciones periódicas del software, asegurando la incorporación de mejoras, nuevas funcionalidades y parches de seguridad que mantengan su operatividad y cumplimiento normativo.
 • Verificar la compatibilidad del software actualizado con los sistemas y equipos existentes en el LSP.
 • Asegurar la integridad, seguridad y disponibilidad de la información gestionada por el sistema, mediante copias de seguridad y protocolos de recuperación.
 • Capacitar al personal del LSP en el uso de las nuevas versiones o herramientas incorporadas al sistema de gestión de la calidad.
 • Documentar las actividades de mantenimiento y actualización, incluyendo fechas, cambios realizados, responsables y validaciones técnicas.
 • Coordinar con proveedores o desarrolladores para el soporte técnico especializado cuando sea necesario.
 • Monitorear el desempeño del software para identificar fallas o necesidades de mejora de forma proactiva.</t>
  </si>
  <si>
    <t>Registros de mantenimiento y actualización del software, con fecha, descripción de actividades realizadas, versiones instaladas y firma del responsable técnico.
 • Informes técnicos o actas de intervención, elaboradas por el proveedor o el área de sistemas, detallando las mejoras implementadas o correcciones realizadas.
 • Copias de licencias y contratos de soporte técnico o mantenimiento con proveedores.
 • Capturas de pantalla o reportes del sistema que evidencien la versión actualizada del software.
 • Actas de capacitación al personal sobre el uso del sistema actualizado, incluyendo lista de asistencia y contenidos impartidos.
 • Respaldo de comunicaciones oficiales (correos, memorandos, solicitudes) relacionadas con el mantenimiento o actualización del software.
 • Bitácoras o logs del sistema, que demuestren la trazabilidad de los cambios aplicados.
 • Manual de usuario o documento de cambios entregado tras la actualización del sistema.
 • Checklist o listas de verificación internas, utilizadas por el LSP para validar que el software cumple con los requisitos del sistema de gestión de la calidad tras la actualización</t>
  </si>
  <si>
    <t>Adquisicion de software para gestionar las muestras en el area Microbiologia de Alimentos para laboratorio de salud publica</t>
  </si>
  <si>
    <t xml:space="preserve">1. Obligaciones Administrativas y Contractuales
- Garantizar que el software cumpla con los requerimientos del laboratorio, incluyendo el registro, trazabilidad, análisis y reporte de resultados de microbiología de alimentos.- Verificar que el proveedor cumpla con requisitos legales: Cámara de Comercio, RUT, soporte técnico y actualizaciones.- Realizar el proceso de contratación conforme a la normatividad de la función pública: estudio de mercado, pliego de requisitos, evaluación técnica y acta de inicio.
2. Obligaciones Técnicas del Laboratorio
- Realizar la validación y verificación del software antes de su uso, asegurando integridad de datos y trazabilidad conforme a la ISO 17025:2017.
- Garantizar la seguridad e integridad de la información mediante controles de acceso, registros de auditoría y copias de respaldo.
- Asegurar la confidencialidad y protección de datos personales conforme a la Ley 1581 de 2012.
3. Obligaciones Operativas del Laboratorio
- Capacitar al personal en el uso del software, documentando cada capacitación.
- Actualizar los procedimientos internos: gestión de muestras en el software, contingencias, e instrucciones de registro digital.
- Gestionar adecuadamente el mantenimiento, documentando fallas, reportes y soportes técnicos.
4. Obligaciones Normativas
- Cumplir los requisitos aplicables de la ISO/IEC 17025, especialmente los relacionados con sistemas informáticos y trazabilidad.
- Alinear el software con los lineamientos del Instituto Nacional de Salud para vigilancia y trazabilidad.
- Cumplir con las políticas de control interno, incluyendo auditorías y verificaciones periódicas.
5. Obligaciones del Proveedor
- Entregar manuales técnicos y de usuario, capacitaciones y garantía del software.
- Brindar soporte técnico oportuno, actualizaciones de seguridad y mejoras derivadas de cambios normativos.
</t>
  </si>
  <si>
    <t xml:space="preserve">1. Soportes Previos a la Adquisición
- Estudio de necesidad del software.
- Especificaciones técnicas del sistema requerido.
- Estudio de mercado con cotizaciones y comparativos técnicos.
- Análisis de riesgos operativos y de seguridad.
2. Soportes Durante la Adquisición
- Documentación del proceso contractual: invitaciones, propuestas y evaluaciones.
- Contrato firmado con objeto, alcance, entregables y garantías.
- Acta de inicio del contrato.
3. Soportes de Instalación, Validación y Puesta en Marcha
- Acta de entrega e instalación del software.
- Manuales técnicos y de usuario entregados por el proveedor.
- Validación del software: plan, evidencias, resultados comparativos e informe final.
- Lista de verificación de funcionalidades del sistema.
- Soportes de capacitación: plan, listas de asistencia y evaluaciones.
4. Soportes de Puesta en Operación
- Acta de aceptación y conformidad del software.
- Procedimientos actualizados: gestión de muestras, contingencia y respaldos.
- Bitácora de soporte técnico del proveedor.
5. Soportes para Auditorías (ISO 17025 – INS – Control Interno)
- Registros de copias de seguridad y pruebas de restauración.
- Matriz de roles y permisos con evidencias de control de acceso.
- Reportes generados por el sistema y trazabilidad completa de muestras
</t>
  </si>
  <si>
    <t>Realizar el Plan de control de plagas del Laboratorio de Salud Publica Departamental del Magdalena; el cual debe llevarlo a cabo una empresa cuyo domicilio principal y razon social este en la ciudad de Santa Marta ( Magdalena).</t>
  </si>
  <si>
    <t xml:space="preserve"> 1. Obligaciones Legales y Administrativas
- La empresa debe estar legalmente constituida con domicilio principal y razón social en la ciudad de Santa Marta (Magdalena).
- Presentar RUT, matrícula mercantil renovada y certificados de idoneidad.
- Acreditar experiencia en manejo de plagas en instituciones de salud.
- Demostrar que el personal cuenta con certificaciones para la aplicación de plaguicidas.
- Cumplir la normatividad ambiental vigente (Corpamag, ICA, INVIMA).
- Cumplir las condiciones de contratación pública, incluyendo pólizas y actas.
2. Obligaciones Técnicas
- Elaborar el Plan de Control de Plagas del laboratorio, incluyendo diagnóstico inicial, identificación de especies, mapa de riesgos y cronograma.
- Cumplir las normas aplicables: ISO 17025, ISO 15189, Resolución 2674 de 2013 y lineamientos del INS.
- Realizar actividades programadas: desratización, desinsectación, revisión de trampas y controles específicos.
- Utilizar métodos compatibles con el ambiente del laboratorio, evitando contaminación de equipos o muestras.
3. Obligaciones de Bioseguridad
- Aplicar productos sin comprometer la integridad de las muestras o equipos del laboratorio.
- Garantizar que los químicos utilizados no afecten áreas críticas como microbiología o almacenamiento de reactivos.
- Señalizar las áreas intervenidas y utilizar EPP adecuado.
- Evitar residuos químicos dentro de las zonas de análisis.
4. Obligaciones de Reporte y Evidencia
- Entregar el plan inicial y la documentación técnica correspondiente.
- Aportar fichas técnicas, hojas de seguridad (MSDS) y registros de aplicaciones.
- Presentar informes mensuales con hallazgos, recomendaciones y seguimiento.
- Mantener actualizadas las bitácoras de control, incluyendo croquis de trampas.
- Participar en auditorías internas y externas cuando sea requerido.
5. Obligaciones de Soporte y Atención
- Brindar atención para emergencias de infestación con disponibilidad inmediata.
- Corregir hallazgos y desviaciones dentro de los tiempos establecidos en el contrato.
- Capacitar al personal del laboratorio en prevención de plagas y buenas prácticas.
6. Obligaciones Específicas para Empresas de Santa Marta
- Proveer evidencia documental de su sede y domicilio en Santa Marta (Magdalena).
- Garantizar tiempos de respuesta óptimos gracias a su presencia local.
- Asegurar que la logística (personal, insumos y equipos) se gestione desde la ciudad de Santa Marta.
</t>
  </si>
  <si>
    <t xml:space="preserve">• Contrato o acta de adjudicación del servicio con empresa domiciliada en Santa Marta (Magdalena).
• Certificado de existencia y representación legal expedido por Cámara de Comercio de Santa Marta (vigente).
• Licencia sanitaria o registro requerido para prestación de servicios de control de plagas (cuando aplique).
• Matriz del plan de control de plagas aprobado por el Laboratorio de Salud Pública.
• Cronograma anual y mensual de actividades preventivas y correctivas.
• Informes técnicos de cada visita realizada con fecha, áreas intervenidas, actividades ejecutadas y observaciones.
• Registros de aplicación de productos plaguicidas: nombre comercial, ingrediente activo, concentración, dosis y método de aplicación.
• Hojas de seguridad (MSDS) de todos los productos químicos utilizados.
• Certificados de disposición final de residuos generados (envases, residuos químicos, etc.).
• Registro de inspección y monitoreo de trampas (insectos, roedores) con ubicación, cambios y conteos.
• Planos del laboratorio con marcación de puntos de control, trampas y zonas de riesgo.
• Informe de hallazgos y recomendaciones de mejora continua.
• Evidencias fotográficas antes/después de intervenciones (cuando aplique).
• Registro de asistencia del personal del laboratorio a capacitaciones impartidas por la empresa prestadora.
• Certificación de idoneidad y entrenamiento del personal técnico de la empresa.
• Constancia de cumplimiento del cronograma acordado (mes a mes).
• Actas de revisión y seguimiento por parte del Laboratorio de Salud Pública.
• Evaluación de satisfacción del servicio prestado.
• Informe anual consolidado de ejecución del plan de control de plagas
</t>
  </si>
  <si>
    <t>Garantizar el analisis de vertimientos de acuerdo a la resolucion Resolución 0631 de 2015 el cual debe llevarlo a cabo una laboratorio acreditado.</t>
  </si>
  <si>
    <t xml:space="preserve"> • Contratar un laboratorio acreditado por el IDEAM en los parámetros y métodos de ensayo exigidos por la Resolución 0631 de 2015.
• Verificar que la acreditación del laboratorio esté vigente e incluya los métodos analíticos requeridos.
• Realizar el muestreo de vertimientos conforme a los lineamientos técnicos establecidos por el IDEAM y la normativa vigente.
• Asegurar que el muestreo sea efectuado por personal competente y autorizado por el laboratorio acreditado.
• Garantizar que el transporte, preservación y almacenamiento de las muestras se realicen de acuerdo con protocolos normalizados (NTC, ISO, APHA, etc.).
• Presentar informes de ensayo completos que incluyan resultados, métodos, incertidumbre (cuando aplique), número de acreditación y firma del responsable técnico.
• Entregar los resultados dentro de los plazos establecidos por la autoridad ambiental.
• Mantener la trazabilidad documental: cadena de custodia, registros de muestreo, bitácoras y soportes asociados.
• Cumplir con la periodicidad de monitoreo establecida en el permiso de vertimientos o por la autoridad ambiental.
• Garantizar que el laboratorio mantenga sus equipos calibrados y cumpla con estándares de calidad nacionales e internacionales.
• Atender requerimientos adicionales de la autoridad ambiental incluyendo entrega de soportes y participación en verificaciones.
• Informar inmediatamente si se detectan valores que exceden los límites máximos permitidos o si ocurre cualquier anomalía en el proceso.
• Reportar incidentes, pérdida de muestras o resultados invalidados, asegurando la transparencia técnica.
• Garantizar la confidencialidad de los resultados de análisis, salvo requerimiento legal.
• Asegurar continuidad del servicio y tener estrategias de contingencia ante suspensión temporal de la acreditación del laboratorio o fallas operativas.
</t>
  </si>
  <si>
    <t xml:space="preserve">• Certificado de acreditación vigente del IDEAM del laboratorio contratado.
• Alcance de acreditación que incluya los parámetros y métodos de ensayo exigidos por la Resolución 0631 de 2015.
• Plan de muestreo o ficha técnica de acuerdo con el tipo de vertimiento.
• Registro del muestreo: fecha, hora, punto, responsable y tipo de muestra.
• Cadena de custodia debidamente diligenciada.
• Evidencia de calibración del equipo de medición in situ (pH, caudal, temperatura, oxígeno disuelto, etc.).
• Fotografías del sitio de muestreo, cuando corresponda.
• Registros de transporte y preservación de muestras, incluyendo control de temperatura.
• Bitácoras de entrega y recepción de muestras en el laboratorio.
• Informe de resultados de laboratorio con número de acreditación IDEAM.
• Métodos analíticos utilizados (APHA, EPA, NTC, ISO).
• Resultados obtenidos para los parámetros exigidos en la actividad económica.
• Límites de detección y cuantificación, cuando aplique.
• Incertidumbre de medición, cuando aplique.
• Firma del responsable técnico y fecha de emisión.
• Evidencia de calibración vigente de los equipos del laboratorio.
• Registros de control de calidad interno y externo.
• Certificados de reactivos, estándares y materiales de referencia.
• Comparación de los resultados frente a los límites máximos permisibles.
• Soporte del cumplimiento de la periodicidad de monitoreo exigida.
• Contrato u orden de servicio con el laboratorio acreditado.
• Certificación de competencia del personal que realizó el muestreo.
• Declaración de integridad y autenticidad de la información.
• Informes de incidentes o inconsistencias durante el proceso.
• Documentación de contingencias ante fallas operativas del laboratorio.
</t>
  </si>
  <si>
    <t xml:space="preserve">ACTIVIDAD EJECUTADA </t>
  </si>
  <si>
    <t>Garantizar el mantenimiento de motobombas y limpieza y desinfeccion del sistema de suministro de agua del laboratorio de salud Publica el cual debe llevarlo a cabo 2 veces al año una empresa cuyo domicilio principal y razon social este en la ciudad de Santa Marta (Magdalena).</t>
  </si>
  <si>
    <t xml:space="preserve">• Contar con domicilio principal y razón social en la ciudad de Santa Marta (Magdalena).
• Presentar certificado de existencia y representación legal expedido por la Cámara de Comercio de Santa Marta (vigente).
• Garantizar personal técnico competente y certificado para realizar mantenimiento de motobombas y limpieza/desinfección de sistemas de agua.
• Realizar el mantenimiento preventivo de las motobombas dos veces al año, cumpliendo con: inspección general, limpieza, verificación de conexiones eléctricas, revisión de presión y caudal, lubricación, y reemplazo de repuestos necesarios.
• Ejecutar la limpieza y desinfección del sistema de agua dos veces al año, incluyendo: lavado profundo de tanques, remoción de sedimentos, desinfección con productos autorizados, enjuague y purga del sistema.
• Usar productos y químicos aprobados por la autoridad sanitaria y equipos en buen estado y calibrados cuando corresponda.
• Cumplir con normas de seguridad industrial y bioseguridad durante todas las actividades.
• Coordinar con el Laboratorio de Salud Pública la programación de actividades para evitar afectación del suministro de agua.
• Garantizar la continuidad operativa del sistema y atender fallas o requerimientos posteriores a la prestación del servicio.
• Entregar informe detallado de mantenimiento de motobombas con actividades realizadas, repuestos cambiados y recomendaciones.
• Presentar informe técnico de limpieza y desinfección del sistema de agua con productos utilizados y evidencias.
• Entregar registro fotográfico del proceso (antes y después).
• Aportar certificados de los productos químicos utilizados.
• Entregar constancia de disposición adecuada de residuos generados.
• Presentar lista de verificación (checklist) utilizada durante el mantenimiento y la desinfección.
• Cumplir estrictamente con la periodicidad semestral establecida por el Laboratorio de Salud Pública.
</t>
  </si>
  <si>
    <t xml:space="preserve">1. Documentos de identificación de la empresa
- Certificado de existencia y representación legal (Cámara de Comercio de Santa Marta).
- RUT actualizado con domicilio en Santa Marta.
- Licencias o certificaciones en mantenimiento hidráulico y desinfección.
2. Plan de trabajo del servicio
- Actividades programadas semestrales.
- Procedimientos técnicos del mantenimiento y desinfección.
- Cronograma semestral.
- Personal técnico responsable.
3. Informe técnico de mantenimiento de motobombas
- Identificación de cada motobomba.
- Diagnóstico antes y después.
- Actividades realizadas (revisión, lubricación, repuestos).
- Pruebas de funcionamiento.
- Registro fotográfico.
- Firmas del técnico y del responsable del laboratorio.
4. Informe técnico de limpieza y desinfección del sistema de agua
- Identificación de tanques/áreas intervenidas.
- Método de desinfección y concentración aplicada.
- Cronograma y pasos realizados.
- Certificados de los productos usados.
- Registro fotográfico.
- Firmas del técnico responsable.
5. Certificados de calidad o fichas técnicas
- Ficha técnica del desinfectante.
- Certificado de lote.
- Hoja de seguridad (MSDS).
6. Registro de mediciones sanitarias
- Concentración de cloro residual.
- Verificación de turbiedad o apariencia.
- Caudal verificado de las motobombas (si aplica).
7. Evidencia de cumplimiento del cronograma
- Actas de visita.
- Registro interno del laboratorio con horas y fechas.
- Constancia de recibo del servicio.
8. Certificado final del servicio
- Declaración de cumplimiento técnico.
- Estado final del sistema.
- Fecha estimada de próxima intervención.
9. Factura del servicio
- Datos de la empresa con domicilio en Santa Marta.
- Descripción detallada del servicio.
- Fecha y valores cobrados.
</t>
  </si>
  <si>
    <t>Garantizar la migracion de la Norma ISO/IEC 17025 2005 a Norma ISO/IEC 17025 2017 para dar cumplimiento a los halazgos del INS e INVIMA y actualizar el sistema de Gestion de la Calidad del laboratorio de Salud Publica</t>
  </si>
  <si>
    <t xml:space="preserve"> 1. Actualización documental del Sistema de Gestión de la Calidad
- Revisar y ajustar procedimientos, instructivos, formatos y políticas a los requisitos de la ISO/IEC 17025:2017.
- Actualizar políticas de imparcialidad, confidencialidad y riesgos.
- Integrar el enfoque basado en riesgos y oportunidades en el SGC.
- Actualizar mapa de procesos, caracterizaciones y matriz de interacción del SGC.
2. Implementación del enfoque basado en riesgos
- Identificar y evaluar riesgos y oportunidades en procesos técnicos y de gestión.
- Documentar la metodología adoptada para la gestión del riesgo.
- Implementar medidas de tratamiento y control de riesgos.
3. Fortalecimiento de la competencia técnica
- Actualizar perfiles de competencia del personal.
- Realizar evaluaciones internas de desempeño técnico.
- Capacitar o recalificar al personal según los requisitos del INS e INVIMA.
- Mantener registros de formación, entrenamientos y autorizaciones.
4. Gestión metrológica y trazabilidad
- Garantizar calibración vigente de equipos con laboratorios acreditados.
- Actualizar programas de mantenimiento, calibración y verificación.
- Documentar trazabilidad metrológica conforme a la norma.
5. Validación y verificación de métodos
- Revisar y validar métodos analíticos según los requisitos de la ISO/IEC 17025:2017.
- Asegurar cumplimiento de los requisitos técnicos del INS e INVIMA.
- Definir criterios de desempeño: precisión, exactitud, incertidumbre, LOD/LOQ.
- Mantener registros documentados de validación/verificación.
6. Control de calidad interno y aseguramiento de validez
- Implementar programas de control de calidad interno para los ensayos.
- Participar en ensayos de aptitud y comparaciones interlaboratoriales.
- Registrar análisis estadísticos, tendencias y acciones correctivas.
7. Atención y cierre de hallazgos del INS e INVIMA
- Realizar análisis de causa raíz para cada hallazgo.
- Implementar acciones correctivas efectivas.
- Presentar evidencias documentales del cierre ante las entidades.
- Hacer seguimiento al cumplimiento de compromisos.
8. Optimización de infraestructura y ambiente de trabajo
- Verificar condiciones ambientales requeridas para los ensayos.
- Implementar controles ambientales según los parámetros críticos.
- Actualizar registros de monitoreo ambiental.
9. Revisión del proceso de auditorías internas
- Actualizar el programa anual de auditorías internas.
- Capacitar auditores internos en los requisitos de la ISO/IEC 17025:2017.
- Realizar auditorías integrales antes de la evaluación externa.
10. Gestión de compras y servicios externos
- Actualizar criterios de adquisición de insumos críticos.
- Evaluar y aprobar proveedores externos conforme a la norma.
- Mantener trazabilidad de reactivos, materiales y servicios adquiridos.
11. Actualización del Comité de Calidad y Revisión por la Dirección
- Actualizar los requisitos de la Revisión por la Dirección según la versión 2017.
- Documentar resultados, decisiones y acciones tomadas.
- Garantizar el compromiso de la alta dirección con la migración normativa.
12. Garantizar recursos para la transición
- Asignar presupuesto para capacitación, consultorías, calibraciones y adecuaciones.
- Asegurar la disponibilidad de tiempo del personal responsable del SGC.
13. Comunicación interna y sensibilización
- Capacitar al personal en los cambios claves de la norma.
- Socializar responsabilidades, riesgos y requisitos actualizados.
</t>
  </si>
  <si>
    <t xml:space="preserve">1. Soportes documentales del Sistema de Gestión de la Calidad
- Manual del Sistema de Gestión actualizado (si aplica).
- Procedimientos, instructivos y formatos ajustados a la norma 2017.
- Política de imparcialidad, confidencialidad y gestión del riesgo actualizadas.
- Matriz de riesgos y oportunidades firmada y actualizada.
- Mapa de procesos, caracterizaciones y matriz de interacción actualizadas.
- Listado maestro de documentos vigente.
2. Evidencias de capacitación y competencia del personal
- Plan de capacitación actualizado con enfoque en la migración.
- Registros de capacitaciones en ISO/IEC 17025:2017.
- Certificados de entrenamientos técnicos exigidos por INS e INVIMA.
- Evaluaciones de desempeño técnico del personal.
- Registros de autorizaciones internas para realizar ensayos.
3. Gestión metrológica y aseguramiento de validez
- Certificados de calibración de equipos con trazabilidad metrológica.
- Programas de mantenimiento, calibración y verificación actualizados.
- Registros de verificaciones periódicas.
- Estudios de incertidumbre conforme a ISO/IEC 17025:2017.
- Programas de control de calidad interno por ensayo.
- Resultados y análisis de ensayos de aptitud.
4. Validación y verificación de métodos
- Informes de validación o verificación de métodos.
- Registros de desempeño metrológico (LOD, LOQ, precisión, exactitud, etc.).
- Comparación de requisitos con INS e INVIMA.
- Evidencias de ajustes o mejoras realizadas a los métodos.
5. Soportes de cierre de hallazgos del INS e INVIMA
- Informe oficial de hallazgos.
- Análisis de causa raíz de cada hallazgo.
- Planes de acción implementados.
- Evidencias de correcciones documentales y técnicas.
- Constancias internas de verificación del cierre.
6. Auditorías internas y revisión por la dirección
- Programa anual de auditorías internas según ISO 17025:2017.
- Informes de auditorías internas con hallazgos y acciones tomadas.
- Actas y registros del Comité de Calidad.
- Informe completo de Revisión por la Dirección.
7. Infraestructura, ambiente y recursos
- Registros de control ambiental (temperatura, humedad, presión).
- Evidencias de mejoras de infraestructura realizadas.
- Soportes de mantenimiento preventivo y correctivo.
- Registros de condiciones ambientales para cada ensayo.
8. Control documental y registros
- Listado maestro de documentos actualizado.
- Listado de registros revisado.
- Evidencia de control de versiones y documentos vigentes.
9. Gestión de proveedores y servicios externos
- Listado de proveedores evaluados y aprobados.
- Registros de evaluación y reevaluación de proveedores críticos.
- Contratos o certificaciones de laboratorios externos acreditados.
- Trazabilidad de reactivos y materiales de referencia.
10. Comunicación interna y socialización
- Actas de reuniones informativas sobre la migración.
- Correos o circulares internas comunicando cambios del SGC.
- Registros de participación del personal en actividades de sensibilización.
11. Informe consolidado de migración ISO/IEC 17025:2017
- Resumen de actividades ejecutadas.
- Relación de evidencias recopiladas.
- Análisis de brechas inicial y final.
- Estado de cumplimiento por cada numeral.
- Declaración final de avance de la migración.
</t>
  </si>
  <si>
    <t>Realizar el encuentro de laboratorios de Banco Sangre departamental para la concertar estrategias para la concientizacion de la donacion de sangre</t>
  </si>
  <si>
    <t xml:space="preserve">• Planificar el encuentro departamental definiendo fecha, hora, lugar, modalidad y duración.
• Convocar formalmente a los laboratorios de banco de sangre públicos y privados mediante comunicación oficial.
• Elaborar y socializar la agenda técnica del encuentro.
• Coordinar la participación de expertos o entidades competentes.
• Preparar y suministrar los materiales técnicos y pedagógicos necesarios.
• Garantizar las condiciones logísticas del evento.
• Realizar el desarrollo del encuentro cumpliendo la agenda establecida.
• Consolidar las estrategias concertadas durante el encuentro.
• Elaborar el acta del encuentro con toda la información requerida.
• Socializar el acta y las estrategias definidas a los participantes y autoridades.
• Crear o actualizar el plan departamental de promoción de la donación de sangre.
• Garantizar el archivo y custodia de la documentación generada.
• Hacer seguimiento a los compromisos adquiridos por los laboratorios
</t>
  </si>
  <si>
    <t xml:space="preserve">• Invitación oficial enviada a los laboratorios de banco de sangre.
• Comprobantes de envío o acuse de recibo de las convocatorias.
• Agenda del encuentro aprobada y socializada.
• Lista de asistencia firmada o registro digital de participantes.
• Presentaciones utilizadas durante el encuentro.
• Registro fotográfico o captura de pantalla (si fue virtual).
• Acta del encuentro firmada o validada por los participantes.
• Documento consolidado de estrategias acordadas.
• Evidencia del lugar o plataforma utilizada (reservas, enlaces, etc.).
• Material pedagógico entregado a los participantes.
• Informes de seguimiento a compromisos derivados del encuentro.
• Comprobación de archivo y custodia de documentos generados.
</t>
  </si>
  <si>
    <t>Desarrollo de capacidades frente a la planeacion integral en salud, la Formulacion coherente, pertinente y oportuna de las intervenciones del PIC/GSP Resolucion 1597/25</t>
  </si>
  <si>
    <t>4 desarrollo de capacidades Teorico - Practico con duracion de dos (2) dias por subregion donde se aborde la planeacion integral teniendio en cuenta la Formulacion coherente, pertinente y oportuna de las intervenciones del PAS (PIC/GSP). Dirigido a Secretarios de Salud y Coordinadores de Salud Publica Municipal. Liderado por Profesional de la Salud experto en temas de Planeacion integral y manejo de la Salud Publica, Garantizar la logistica requerida</t>
  </si>
  <si>
    <t>Agenda
Convocatoria y soportes de envio y confirmacion
Informe del Taller 
Listados de asistencia originales
Registro fotografico minimo 4 por dia</t>
  </si>
  <si>
    <t>21-24</t>
  </si>
  <si>
    <t>Desarrollo de capacidades los EBS para la optima ejecucion de las acciones en campo</t>
  </si>
  <si>
    <t>2 desarrollo de capacidades Teorico - Practico con duracion de dos (2) dias cada uno, cada grupo de 100 personas donde se aborde la induccion para la ejecucion del PIC departamental en cada un de los ejes. Dirigido a los EBS del PIC departamental. Liderado por el equipo tecnico de la DTS, Garantizar la logistica requerida</t>
  </si>
  <si>
    <t>Desarrollo de capacidades en Plan Terrirotial de Salud</t>
  </si>
  <si>
    <t>6 mesas subregionales para avanzar en la construccion de los nucleos participativos y ASIS 2026 Dirigido a los EBS, Secretarios de salud, comuhidad en general. Liderado por el equipo tecnico de la DTS, Garantizar la logistica requerida</t>
  </si>
  <si>
    <t>Fortalecer el sistema de informacion institucional, para garantizar respuestas oportunas, completas y trazables a los requerimientos de los entes de control atraves de la actualizacion del Sistema Integrado de Vigilancia Sanitaria. Que permitan cantralizar, organizar y hacer seguimiento a cada solicitud desde su recepcion hasta su cierre.</t>
  </si>
  <si>
    <t>Fortalecer el sistema de información instituciona, para garantizar respuestas
oportunas, completas y trazables a los requerimientos de los entes de control
atreves de la actualización del SISTEMA INTEGRADO DE VIGILANCIA
SANITARIA. Que permita centralizar, organizar y hacer seguimiento a cada
solicitud desde su recepción hasta su cierre.; con las siguientes
características:
Concepto Descripción
Sistema Propuesto Plataforma Única Integrada (164 aplicaciones)
Tecnología Scriptcase 9.x + MariaDB + OpenStreetMap
Duración Proyecto 26 semanas (~6.5 meses)
Entregas Parciales 4 entregas con productos verificables
Unificación de tres sistemas separados actualmente en operación o
desarrollo en el Instituto de Vigilancia y Control (IVC) del Magdalena en una
plataforma única e integrada que permita la gestión eficiente de todos los
establecimientos bajo vigilancia sanitaria del departamento.
PARA QUE: Para garantizar las respuestas oportunas a los entes de control
sobre censos, visitas y conceptos obtenidos.
CUANDO: Segundo trimestre del año 2026
DONDE: En el área de medicamentos
CANTIDAD: 1 SISTEMA INTEGRADO DE VIGILANCIA SANITARIA
DIRIGIDO: Area de Medicamentos, Fondo Rotario de Estupefacientes.</t>
  </si>
  <si>
    <t>Socializar los lineamientos para las jornadas nacionales de
  vacunación y planes de intensificación emitidos por el nivel nacional</t>
  </si>
  <si>
    <t>Realizar inducion y reinduccion para toda persona que ingrese o esté en el equipo PAI, Dirigidos al talento humano de la DTS, Alcaldias y EAPB, Abarcando todos los modulos. Duracion: 1 dia en la ciudad de santa marta, garantizar toda la logistica.</t>
  </si>
  <si>
    <r>
      <t xml:space="preserve">Que: </t>
    </r>
    <r>
      <rPr>
        <sz val="11"/>
        <color theme="1"/>
        <rFont val="Arial"/>
        <family val="2"/>
      </rPr>
      <t xml:space="preserve">Alianzas transectoriales, que busquen fortalecer la promoción de la salud bucal mediante el desarrollo de actividades y estrategias de prevención, educación, detección temprana, atención integral y oportuna. </t>
    </r>
    <r>
      <rPr>
        <b/>
        <sz val="11"/>
        <color theme="1"/>
        <rFont val="Arial"/>
        <family val="2"/>
      </rPr>
      <t xml:space="preserve">                                          Como: </t>
    </r>
    <r>
      <rPr>
        <sz val="11"/>
        <color theme="1"/>
        <rFont val="Arial"/>
        <family val="2"/>
      </rPr>
      <t xml:space="preserve">Realizar 3 mesas de trabajo de la Estrategia Soy Generacion Mas Sonriente (cada 4 meses, de 8 horas cada uno) </t>
    </r>
    <r>
      <rPr>
        <b/>
        <sz val="11"/>
        <color theme="1"/>
        <rFont val="Arial"/>
        <family val="2"/>
      </rPr>
      <t xml:space="preserve">
Donde: </t>
    </r>
    <r>
      <rPr>
        <sz val="11"/>
        <color theme="1"/>
        <rFont val="Arial"/>
        <family val="2"/>
      </rPr>
      <t xml:space="preserve">presencial; para lo cual se hara necesario un auditorio con buena iluminacion, facilidad de acceso para los asistentes, que cuente con equipos tecnicos de audio y video para el debido desarrollo de la reunion. Garantizar la convocatoria en medio fisico y magnetico y la logistica requerida
</t>
    </r>
    <r>
      <rPr>
        <b/>
        <sz val="11"/>
        <color theme="1"/>
        <rFont val="Arial"/>
        <family val="2"/>
      </rPr>
      <t>Quien:</t>
    </r>
    <r>
      <rPr>
        <sz val="11"/>
        <color theme="1"/>
        <rFont val="Arial"/>
        <family val="2"/>
      </rPr>
      <t>Referente de de salud bucal</t>
    </r>
  </si>
  <si>
    <r>
      <rPr>
        <b/>
        <sz val="11"/>
        <color theme="1"/>
        <rFont val="Arial"/>
        <family val="2"/>
      </rPr>
      <t>Que:</t>
    </r>
    <r>
      <rPr>
        <sz val="11"/>
        <color theme="1"/>
        <rFont val="Arial"/>
        <family val="2"/>
      </rPr>
      <t xml:space="preserve">Realizar 4 sesiones del Consejo Departamental Asesor en Cancer Infantil de la mano de los actores definidos en la resolucion 1101 del 15 de noviembre de 2012 y el reglamento interno del CODACAI                      
</t>
    </r>
    <r>
      <rPr>
        <b/>
        <sz val="11"/>
        <color theme="1"/>
        <rFont val="Arial"/>
        <family val="2"/>
      </rPr>
      <t xml:space="preserve">Como: </t>
    </r>
    <r>
      <rPr>
        <sz val="11"/>
        <color theme="1"/>
        <rFont val="Arial"/>
        <family val="2"/>
      </rPr>
      <t xml:space="preserve">Convocando formalmente a todos los integrantes del CODACAI mediante comunicación escrita y con la anticipación definida en el reglamento interno. </t>
    </r>
    <r>
      <rPr>
        <b/>
        <sz val="11"/>
        <color theme="1"/>
        <rFont val="Arial"/>
        <family val="2"/>
      </rPr>
      <t>Cuando:</t>
    </r>
    <r>
      <rPr>
        <sz val="11"/>
        <color theme="1"/>
        <rFont val="Arial"/>
        <family val="2"/>
      </rPr>
      <t xml:space="preserve"> De manera trimestral, para completar las 4 sesiones dentro del año calendario
</t>
    </r>
    <r>
      <rPr>
        <b/>
        <sz val="11"/>
        <color theme="1"/>
        <rFont val="Arial"/>
        <family val="2"/>
      </rPr>
      <t>Donde:</t>
    </r>
    <r>
      <rPr>
        <sz val="11"/>
        <color theme="1"/>
        <rFont val="Arial"/>
        <family val="2"/>
      </rPr>
      <t xml:space="preserve">En las instalaciones de la Secretaría Departamental de Salud, o el lugar definido por la presidencia del CODACAI. 
</t>
    </r>
    <r>
      <rPr>
        <b/>
        <sz val="11"/>
        <color theme="1"/>
        <rFont val="Arial"/>
        <family val="2"/>
      </rPr>
      <t>Quien:</t>
    </r>
    <r>
      <rPr>
        <sz val="11"/>
        <color theme="1"/>
        <rFont val="Arial"/>
        <family val="2"/>
      </rPr>
      <t>Los miembros del CODACAI según la Resolución 1101 de 2012 y Equipo técnico de apoyo de la Secretaría de Salud para logística, redacción de actas y seguimiento.</t>
    </r>
  </si>
  <si>
    <r>
      <rPr>
        <b/>
        <sz val="11"/>
        <color theme="1"/>
        <rFont val="Arial"/>
        <family val="2"/>
      </rPr>
      <t xml:space="preserve">Que: </t>
    </r>
    <r>
      <rPr>
        <sz val="11"/>
        <color theme="1"/>
        <rFont val="Arial"/>
        <family val="2"/>
      </rPr>
      <t xml:space="preserve">Realizar promocion activa de CERSS - fase de ejecucion, monitoreo y evaluacion (Herramientas: Implementacion de CERSS, monitoreo y evaluacion en los 29 municipios. Realizacion de taller para la implementacion, monitoreo y evaluacion de la estrategias CERSS en los 29 municipios del departamento del Magdalena.  </t>
    </r>
    <r>
      <rPr>
        <b/>
        <sz val="11"/>
        <color theme="1"/>
        <rFont val="Arial"/>
        <family val="2"/>
      </rPr>
      <t xml:space="preserve">Como: </t>
    </r>
    <r>
      <rPr>
        <sz val="11"/>
        <color theme="1"/>
        <rFont val="Arial"/>
        <family val="2"/>
      </rPr>
      <t>Realizar 7 mesas subregionales por los municipios priorizado para implementacion de la estrategia CERSS minimo 10 asistentes por mesa reuniones de un dia completo cada una, para: 1. Socializar el lineamiento de la estrategia. 2. Definir el plan de trabajo. 3. Trazar mapa de actores. 4. Establecer mecanismo de coordinación para la implementación de la estrategia. Al finalizar cada jornada, se les entregaran memorias de dicha reunion, como soporte y apoyo para el trabajo a realizar por cada territorio. Garantizar la logistica requerida.</t>
    </r>
    <r>
      <rPr>
        <b/>
        <sz val="11"/>
        <color theme="1"/>
        <rFont val="Arial"/>
        <family val="2"/>
      </rPr>
      <t xml:space="preserve">
</t>
    </r>
    <r>
      <rPr>
        <sz val="11"/>
        <color theme="1"/>
        <rFont val="Arial"/>
        <family val="2"/>
      </rPr>
      <t xml:space="preserve">
</t>
    </r>
    <r>
      <rPr>
        <b/>
        <sz val="11"/>
        <color theme="1"/>
        <rFont val="Arial"/>
        <family val="2"/>
      </rPr>
      <t>Donde:</t>
    </r>
    <r>
      <rPr>
        <sz val="11"/>
        <color theme="1"/>
        <rFont val="Arial"/>
        <family val="2"/>
      </rPr>
      <t xml:space="preserve">  En los municipios priorizado Fundación, Plato, Aracataca, Ciénaga, Pijiño del Carmen, Sitionuevo y Algarrobo para implementacion de la estrategia CERSS </t>
    </r>
    <r>
      <rPr>
        <b/>
        <sz val="11"/>
        <color theme="1"/>
        <rFont val="Arial"/>
        <family val="2"/>
      </rPr>
      <t xml:space="preserve">Quien:  </t>
    </r>
    <r>
      <rPr>
        <sz val="11"/>
        <color theme="1"/>
        <rFont val="Arial"/>
        <family val="2"/>
      </rPr>
      <t>Equipo de modo condiciones y estilo saludable de la secretaria seccional de salud de departamento del Magdalena.</t>
    </r>
  </si>
  <si>
    <r>
      <rPr>
        <b/>
        <sz val="11"/>
        <color theme="1"/>
        <rFont val="Arial"/>
        <family val="2"/>
      </rPr>
      <t>Que:</t>
    </r>
    <r>
      <rPr>
        <sz val="11"/>
        <color theme="1"/>
        <rFont val="Arial"/>
        <family val="2"/>
      </rPr>
      <t xml:space="preserve"> Desarrollo de capacidades en enfermedades cronicas dirigido a medicos y enfermeros jefes de las entidades prestadoras de servicios en el departamento del Magdalena.                                                          
</t>
    </r>
    <r>
      <rPr>
        <b/>
        <sz val="11"/>
        <color theme="1"/>
        <rFont val="Arial"/>
        <family val="2"/>
      </rPr>
      <t>Como:</t>
    </r>
    <r>
      <rPr>
        <sz val="11"/>
        <color theme="1"/>
        <rFont val="Arial"/>
        <family val="2"/>
      </rPr>
      <t xml:space="preserve">Taller teórico y práctico de 2 días dirigido a medicos y enfermeros jefes de las entidades prestadoras de servicios en el departamento del Magdalena.        
</t>
    </r>
    <r>
      <rPr>
        <b/>
        <sz val="11"/>
        <color theme="1"/>
        <rFont val="Arial"/>
        <family val="2"/>
      </rPr>
      <t xml:space="preserve">Donde: </t>
    </r>
    <r>
      <rPr>
        <sz val="11"/>
        <color theme="1"/>
        <rFont val="Arial"/>
        <family val="2"/>
      </rPr>
      <t xml:space="preserve">Se realizará en un lugar con un espacio suficiente, amplio, dinámico y seguro que permita la logística del evento.         </t>
    </r>
    <r>
      <rPr>
        <b/>
        <sz val="11"/>
        <color theme="1"/>
        <rFont val="Arial"/>
        <family val="2"/>
      </rPr>
      <t xml:space="preserve"> 
Quien: </t>
    </r>
    <r>
      <rPr>
        <sz val="11"/>
        <color theme="1"/>
        <rFont val="Arial"/>
        <family val="2"/>
      </rPr>
      <t>Esta actividad debe ser liderada por profesional con experiencia y aptitudes para impartir conocimiento.</t>
    </r>
  </si>
  <si>
    <r>
      <rPr>
        <b/>
        <sz val="11"/>
        <color theme="1"/>
        <rFont val="Arial"/>
        <family val="2"/>
      </rPr>
      <t>Que:</t>
    </r>
    <r>
      <rPr>
        <sz val="11"/>
        <color theme="1"/>
        <rFont val="Arial"/>
        <family val="2"/>
      </rPr>
      <t xml:space="preserve"> Realizar desarrollo de capacidades tecnicas y talleres praticos basados en Reslución 2465 del 2016 y 2350 del 2020 a todo el recurso humano de las IPS - EAPB del departamento del Magdalena.           
</t>
    </r>
    <r>
      <rPr>
        <b/>
        <sz val="11"/>
        <color theme="1"/>
        <rFont val="Arial"/>
        <family val="2"/>
      </rPr>
      <t xml:space="preserve">Como: </t>
    </r>
    <r>
      <rPr>
        <sz val="11"/>
        <color theme="1"/>
        <rFont val="Arial"/>
        <family val="2"/>
      </rPr>
      <t xml:space="preserve">Realizar 2 desarrollos de capacidades y talleres practicos con una duración de 2 días dirigido a medicos - pediatras - nutricionistas de los 29 Municipios de Departameno del Magdalena. 
</t>
    </r>
    <r>
      <rPr>
        <b/>
        <sz val="11"/>
        <color theme="1"/>
        <rFont val="Arial"/>
        <family val="2"/>
      </rPr>
      <t xml:space="preserve">Cuando: </t>
    </r>
    <r>
      <rPr>
        <sz val="11"/>
        <color theme="1"/>
        <rFont val="Arial"/>
        <family val="2"/>
      </rPr>
      <t xml:space="preserve">Se realizara 1 desarrollo de capacidades y taller practico en el primer semestre del año 2026 y otro en el segundo semestre del año 2026  
</t>
    </r>
    <r>
      <rPr>
        <b/>
        <sz val="11"/>
        <color theme="1"/>
        <rFont val="Arial"/>
        <family val="2"/>
      </rPr>
      <t>Donde</t>
    </r>
    <r>
      <rPr>
        <sz val="11"/>
        <color theme="1"/>
        <rFont val="Arial"/>
        <family val="2"/>
      </rPr>
      <t xml:space="preserve">: El desarrollo de capacidades y taller practico se realizara en la ciudad de Santa marta, lugar por definir.    
</t>
    </r>
    <r>
      <rPr>
        <b/>
        <sz val="11"/>
        <color theme="1"/>
        <rFont val="Arial"/>
        <family val="2"/>
      </rPr>
      <t>Quien:</t>
    </r>
    <r>
      <rPr>
        <sz val="11"/>
        <color theme="1"/>
        <rFont val="Arial"/>
        <family val="2"/>
      </rPr>
      <t xml:space="preserve"> Referente Desnutricion del area de Salud Publica de la Secretaria de Salud Departamental articulara con un profesional experto Medico o Pediatra y con pleno conocimiento de las Resoluciones 2465 del 2016 y 2350 del 2020. </t>
    </r>
  </si>
  <si>
    <r>
      <t>QUÉ:</t>
    </r>
    <r>
      <rPr>
        <sz val="11"/>
        <color theme="1"/>
        <rFont val="Arial"/>
        <family val="2"/>
      </rPr>
      <t xml:space="preserve"> Garantizar la logistica para la realización del primer foro de salud intercultural de los coordinadores étnicos en salud. El foro se desarrollará en Santa Marta y estará dirigido a: Secretaría de Salud municipal, IPS Indígenas, EAPB con cobertura en territorio indígena, Defensoría del Pueblo, Promotores de salud indígenas, Representantes de gremios de salud, Universidades con programas de salud intercultural, autoridades tradicionales de cada pueblo, con la capacidad para 50 personas y una duración de 8 horas. </t>
    </r>
  </si>
  <si>
    <r>
      <t>QUÉ</t>
    </r>
    <r>
      <rPr>
        <sz val="11"/>
        <color theme="1"/>
        <rFont val="Arial"/>
        <family val="2"/>
      </rPr>
      <t xml:space="preserve">: Garantizar la logistica para la realización de 4 mesas temáticas en territorio ancestral con la población étnica del Departamento del Magdalena, se realizará una (1) mesa en los municipios de Ciénaga, Aracataca, Fundación y Sabanas de San Ángel. </t>
    </r>
  </si>
  <si>
    <t xml:space="preserve">ACTIVIDAD SUJETA A EJECUCION POR PARTE DEL OPERADOR </t>
  </si>
  <si>
    <t xml:space="preserve">REALIZADOS
2 COMITES DE DROGAS, 
1 SALUD MENTAL. 
1 ESTUPEFACIENTES. </t>
  </si>
  <si>
    <t xml:space="preserve">19.CONSEJO DE SALUD MENTAL 
19. CONSEJO DE ESTUPEFACIENTES: 13.COMITÉ DE DROGAS: </t>
  </si>
  <si>
    <t>TALLER REALIZADO</t>
  </si>
  <si>
    <t>TALLERES REALIZADOS</t>
  </si>
  <si>
    <t>11: Realizar 4 Sesion</t>
  </si>
  <si>
    <t xml:space="preserve">19: Realizar 3 Sesión </t>
  </si>
  <si>
    <t>TALLERES EJECUTADOS</t>
  </si>
  <si>
    <t>28: Segunda Mesa de Trabajo</t>
  </si>
  <si>
    <t>23: Tercera Mesa de Trabajo</t>
  </si>
  <si>
    <t>29: Cuarta Mesa de Trabajo</t>
  </si>
  <si>
    <t>EJECUTADA PRIMERA MESA DE TRABAJO</t>
  </si>
  <si>
    <t>POR  EJECUTAR</t>
  </si>
  <si>
    <t>14: Primer Taller
15: Segundo Taller</t>
  </si>
  <si>
    <t>SUJETO A CONTRATISTA</t>
  </si>
  <si>
    <t>30-: Entrega Nevera</t>
  </si>
  <si>
    <t>PENDIENTE</t>
  </si>
  <si>
    <t xml:space="preserve">GARANTIZAR TRANSPORTE TODOS LOS MESES </t>
  </si>
  <si>
    <t>PENDIENTE Y EN EJECUCION PERMANENTE</t>
  </si>
  <si>
    <t>REALIZADAS PRIMERA Y SEGUNDA MESAS DE TRABAJO PENDIENTE (1)</t>
  </si>
  <si>
    <t>10 : Tercera Mesa de Trabajo</t>
  </si>
  <si>
    <t>26 a 30: Taller y Mesas Subregionales</t>
  </si>
  <si>
    <t>2 TALLERES EJECUTADOS PENDIENTES 2</t>
  </si>
  <si>
    <t>10 y 11</t>
  </si>
  <si>
    <t xml:space="preserve">21 y 22 </t>
  </si>
  <si>
    <t xml:space="preserve">25 y 26 </t>
  </si>
  <si>
    <t>dos talleres entre14 Y 18</t>
  </si>
  <si>
    <t xml:space="preserve">6,7 y 8 </t>
  </si>
  <si>
    <t>29 y 30</t>
  </si>
  <si>
    <t>1 y 2</t>
  </si>
  <si>
    <t xml:space="preserve">19 al 23 </t>
  </si>
  <si>
    <t>1y 2</t>
  </si>
  <si>
    <t>17 y 18</t>
  </si>
  <si>
    <t>20 a 23</t>
  </si>
  <si>
    <t>5 a 9</t>
  </si>
  <si>
    <t>maximo 29</t>
  </si>
  <si>
    <t>maximo el 28</t>
  </si>
  <si>
    <t xml:space="preserve">24 y 25 </t>
  </si>
  <si>
    <t xml:space="preserve">2 talleres 19 Y 23 </t>
  </si>
  <si>
    <t xml:space="preserve">ACTIVIDAD EN PROCESO DE  CONTRATACION </t>
  </si>
  <si>
    <t>6 Y  29</t>
  </si>
  <si>
    <t>SOPORTE VALIDADO</t>
  </si>
  <si>
    <t>108-110</t>
  </si>
  <si>
    <t>123-124</t>
  </si>
  <si>
    <t>#</t>
  </si>
  <si>
    <t>M</t>
  </si>
  <si>
    <t>J</t>
  </si>
  <si>
    <t>V</t>
  </si>
  <si>
    <t>S</t>
  </si>
  <si>
    <t>D</t>
  </si>
  <si>
    <t>L</t>
  </si>
  <si>
    <r>
      <t xml:space="preserve">Que: </t>
    </r>
    <r>
      <rPr>
        <sz val="8"/>
        <color theme="1"/>
        <rFont val="Arial"/>
        <family val="2"/>
      </rPr>
      <t xml:space="preserve">Alianzas transectoriales, que busquen fortalecer la promoción de la salud bucal mediante el desarrollo de actividades y estrategias de prevención, educación, detección temprana, atención integral y oportuna. </t>
    </r>
    <r>
      <rPr>
        <b/>
        <sz val="8"/>
        <color theme="1"/>
        <rFont val="Arial"/>
        <family val="2"/>
      </rPr>
      <t xml:space="preserve">                                          Como: </t>
    </r>
    <r>
      <rPr>
        <sz val="8"/>
        <color theme="1"/>
        <rFont val="Arial"/>
        <family val="2"/>
      </rPr>
      <t xml:space="preserve">Realizar 3 mesas de trabajo de la Estrategia Soy Generacion Mas Sonriente (cada 4 meses, de 8 horas cada uno) </t>
    </r>
    <r>
      <rPr>
        <b/>
        <sz val="8"/>
        <color theme="1"/>
        <rFont val="Arial"/>
        <family val="2"/>
      </rPr>
      <t xml:space="preserve">
Donde: </t>
    </r>
    <r>
      <rPr>
        <sz val="8"/>
        <color theme="1"/>
        <rFont val="Arial"/>
        <family val="2"/>
      </rPr>
      <t xml:space="preserve">presencial; para lo cual se hara necesario un auditorio con buena iluminacion, facilidad de acceso para los asistentes, que cuente con equipos tecnicos de audio y video para el debido desarrollo de la reunion. Garantizar la convocatoria en medio fisico y magnetico y la logistica requerida
</t>
    </r>
    <r>
      <rPr>
        <b/>
        <sz val="8"/>
        <color theme="1"/>
        <rFont val="Arial"/>
        <family val="2"/>
      </rPr>
      <t>Quien:</t>
    </r>
    <r>
      <rPr>
        <sz val="8"/>
        <color theme="1"/>
        <rFont val="Arial"/>
        <family val="2"/>
      </rPr>
      <t>Referente de de salud bucal</t>
    </r>
  </si>
  <si>
    <r>
      <rPr>
        <b/>
        <sz val="8"/>
        <color theme="1"/>
        <rFont val="Arial"/>
        <family val="2"/>
      </rPr>
      <t>Que:</t>
    </r>
    <r>
      <rPr>
        <sz val="8"/>
        <color theme="1"/>
        <rFont val="Arial"/>
        <family val="2"/>
      </rPr>
      <t xml:space="preserve">Realizar 4 sesiones del Consejo Departamental Asesor en Cancer Infantil de la mano de los actores definidos en la resolucion 1101 del 15 de noviembre de 2012 y el reglamento interno del CODACAI                      
</t>
    </r>
    <r>
      <rPr>
        <b/>
        <sz val="8"/>
        <color theme="1"/>
        <rFont val="Arial"/>
        <family val="2"/>
      </rPr>
      <t xml:space="preserve">Como: </t>
    </r>
    <r>
      <rPr>
        <sz val="8"/>
        <color theme="1"/>
        <rFont val="Arial"/>
        <family val="2"/>
      </rPr>
      <t xml:space="preserve">Convocando formalmente a todos los integrantes del CODACAI mediante comunicación escrita y con la anticipación definida en el reglamento interno. </t>
    </r>
    <r>
      <rPr>
        <b/>
        <sz val="8"/>
        <color theme="1"/>
        <rFont val="Arial"/>
        <family val="2"/>
      </rPr>
      <t>Cuando:</t>
    </r>
    <r>
      <rPr>
        <sz val="8"/>
        <color theme="1"/>
        <rFont val="Arial"/>
        <family val="2"/>
      </rPr>
      <t xml:space="preserve"> De manera trimestral, para completar las 4 sesiones dentro del año calendario
</t>
    </r>
    <r>
      <rPr>
        <b/>
        <sz val="8"/>
        <color theme="1"/>
        <rFont val="Arial"/>
        <family val="2"/>
      </rPr>
      <t>Donde:</t>
    </r>
    <r>
      <rPr>
        <sz val="8"/>
        <color theme="1"/>
        <rFont val="Arial"/>
        <family val="2"/>
      </rPr>
      <t xml:space="preserve">En las instalaciones de la Secretaría Departamental de Salud, o el lugar definido por la presidencia del CODACAI. 
</t>
    </r>
    <r>
      <rPr>
        <b/>
        <sz val="8"/>
        <color theme="1"/>
        <rFont val="Arial"/>
        <family val="2"/>
      </rPr>
      <t>Quien:</t>
    </r>
    <r>
      <rPr>
        <sz val="8"/>
        <color theme="1"/>
        <rFont val="Arial"/>
        <family val="2"/>
      </rPr>
      <t>Los miembros del CODACAI según la Resolución 1101 de 2012 y Equipo técnico de apoyo de la Secretaría de Salud para logística, redacción de actas y seguimiento.</t>
    </r>
  </si>
  <si>
    <r>
      <rPr>
        <b/>
        <sz val="8"/>
        <color theme="1"/>
        <rFont val="Arial"/>
        <family val="2"/>
      </rPr>
      <t xml:space="preserve">Que: </t>
    </r>
    <r>
      <rPr>
        <sz val="8"/>
        <color theme="1"/>
        <rFont val="Arial"/>
        <family val="2"/>
      </rPr>
      <t xml:space="preserve">Realizar promocion activa de CERSS - fase de ejecucion, monitoreo y evaluacion (Herramientas: Implementacion de CERSS, monitoreo y evaluacion en los 29 municipios. Realizacion de taller para la implementacion, monitoreo y evaluacion de la estrategias CERSS en los 29 municipios del departamento del Magdalena.  </t>
    </r>
    <r>
      <rPr>
        <b/>
        <sz val="8"/>
        <color theme="1"/>
        <rFont val="Arial"/>
        <family val="2"/>
      </rPr>
      <t xml:space="preserve">Como: </t>
    </r>
    <r>
      <rPr>
        <sz val="8"/>
        <color theme="1"/>
        <rFont val="Arial"/>
        <family val="2"/>
      </rPr>
      <t>Realizar 7 mesas subregionales por los municipios priorizado para implementacion de la estrategia CERSS minimo 10 asistentes por mesa reuniones de un dia completo cada una, para: 1. Socializar el lineamiento de la estrategia. 2. Definir el plan de trabajo. 3. Trazar mapa de actores. 4. Establecer mecanismo de coordinación para la implementación de la estrategia. Al finalizar cada jornada, se les entregaran memorias de dicha reunion, como soporte y apoyo para el trabajo a realizar por cada territorio. Garantizar la logistica requerida.</t>
    </r>
    <r>
      <rPr>
        <b/>
        <sz val="8"/>
        <color theme="1"/>
        <rFont val="Arial"/>
        <family val="2"/>
      </rPr>
      <t xml:space="preserve">
</t>
    </r>
    <r>
      <rPr>
        <sz val="8"/>
        <color theme="1"/>
        <rFont val="Arial"/>
        <family val="2"/>
      </rPr>
      <t xml:space="preserve">
</t>
    </r>
    <r>
      <rPr>
        <b/>
        <sz val="8"/>
        <color theme="1"/>
        <rFont val="Arial"/>
        <family val="2"/>
      </rPr>
      <t>Donde:</t>
    </r>
    <r>
      <rPr>
        <sz val="8"/>
        <color theme="1"/>
        <rFont val="Arial"/>
        <family val="2"/>
      </rPr>
      <t xml:space="preserve">  En los municipios priorizado Fundación, Plato, Aracataca, Ciénaga, Pijiño del Carmen, Sitionuevo y Algarrobo para implementacion de la estrategia CERSS </t>
    </r>
    <r>
      <rPr>
        <b/>
        <sz val="8"/>
        <color theme="1"/>
        <rFont val="Arial"/>
        <family val="2"/>
      </rPr>
      <t xml:space="preserve">Quien:  </t>
    </r>
    <r>
      <rPr>
        <sz val="8"/>
        <color theme="1"/>
        <rFont val="Arial"/>
        <family val="2"/>
      </rPr>
      <t>Equipo de modo condiciones y estilo saludable de la secretaria seccional de salud de departamento del Magdalena.</t>
    </r>
  </si>
  <si>
    <r>
      <rPr>
        <b/>
        <sz val="8"/>
        <color theme="1"/>
        <rFont val="Arial"/>
        <family val="2"/>
      </rPr>
      <t>Que:</t>
    </r>
    <r>
      <rPr>
        <sz val="8"/>
        <color theme="1"/>
        <rFont val="Arial"/>
        <family val="2"/>
      </rPr>
      <t xml:space="preserve"> Desarrollo de capacidades en enfermedades cronicas dirigido a medicos y enfermeros jefes de las entidades prestadoras de servicios en el departamento del Magdalena.                                                          
</t>
    </r>
    <r>
      <rPr>
        <b/>
        <sz val="8"/>
        <color theme="1"/>
        <rFont val="Arial"/>
        <family val="2"/>
      </rPr>
      <t>Como:</t>
    </r>
    <r>
      <rPr>
        <sz val="8"/>
        <color theme="1"/>
        <rFont val="Arial"/>
        <family val="2"/>
      </rPr>
      <t xml:space="preserve">Taller teórico y práctico de 2 días dirigido a medicos y enfermeros jefes de las entidades prestadoras de servicios en el departamento del Magdalena.        
</t>
    </r>
    <r>
      <rPr>
        <b/>
        <sz val="8"/>
        <color theme="1"/>
        <rFont val="Arial"/>
        <family val="2"/>
      </rPr>
      <t xml:space="preserve">Donde: </t>
    </r>
    <r>
      <rPr>
        <sz val="8"/>
        <color theme="1"/>
        <rFont val="Arial"/>
        <family val="2"/>
      </rPr>
      <t xml:space="preserve">Se realizará en un lugar con un espacio suficiente, amplio, dinámico y seguro que permita la logística del evento.         </t>
    </r>
    <r>
      <rPr>
        <b/>
        <sz val="8"/>
        <color theme="1"/>
        <rFont val="Arial"/>
        <family val="2"/>
      </rPr>
      <t xml:space="preserve"> 
Quien: </t>
    </r>
    <r>
      <rPr>
        <sz val="8"/>
        <color theme="1"/>
        <rFont val="Arial"/>
        <family val="2"/>
      </rPr>
      <t>Esta actividad debe ser liderada por profesional con experiencia y aptitudes para impartir conocimiento.</t>
    </r>
  </si>
  <si>
    <r>
      <rPr>
        <b/>
        <sz val="8"/>
        <color theme="1"/>
        <rFont val="Arial"/>
        <family val="2"/>
      </rPr>
      <t>Que:</t>
    </r>
    <r>
      <rPr>
        <sz val="8"/>
        <color theme="1"/>
        <rFont val="Arial"/>
        <family val="2"/>
      </rPr>
      <t xml:space="preserve"> Realizar desarrollo de capacidades tecnicas y talleres praticos basados en Reslución 2465 del 2016 y 2350 del 2020 a todo el recurso humano de las IPS - EAPB del departamento del Magdalena.           
</t>
    </r>
    <r>
      <rPr>
        <b/>
        <sz val="8"/>
        <color theme="1"/>
        <rFont val="Arial"/>
        <family val="2"/>
      </rPr>
      <t xml:space="preserve">Como: </t>
    </r>
    <r>
      <rPr>
        <sz val="8"/>
        <color theme="1"/>
        <rFont val="Arial"/>
        <family val="2"/>
      </rPr>
      <t xml:space="preserve">Realizar 2 desarrollos de capacidades y talleres practicos con una duración de 2 días dirigido a medicos - pediatras - nutricionistas de los 29 Municipios de Departameno del Magdalena. 
</t>
    </r>
    <r>
      <rPr>
        <b/>
        <sz val="8"/>
        <color theme="1"/>
        <rFont val="Arial"/>
        <family val="2"/>
      </rPr>
      <t xml:space="preserve">Cuando: </t>
    </r>
    <r>
      <rPr>
        <sz val="8"/>
        <color theme="1"/>
        <rFont val="Arial"/>
        <family val="2"/>
      </rPr>
      <t xml:space="preserve">Se realizara 1 desarrollo de capacidades y taller practico en el primer semestre del año 2026 y otro en el segundo semestre del año 2026  
</t>
    </r>
    <r>
      <rPr>
        <b/>
        <sz val="8"/>
        <color theme="1"/>
        <rFont val="Arial"/>
        <family val="2"/>
      </rPr>
      <t>Donde</t>
    </r>
    <r>
      <rPr>
        <sz val="8"/>
        <color theme="1"/>
        <rFont val="Arial"/>
        <family val="2"/>
      </rPr>
      <t xml:space="preserve">: El desarrollo de capacidades y taller practico se realizara en la ciudad de Santa marta, lugar por definir.    
</t>
    </r>
    <r>
      <rPr>
        <b/>
        <sz val="8"/>
        <color theme="1"/>
        <rFont val="Arial"/>
        <family val="2"/>
      </rPr>
      <t>Quien:</t>
    </r>
    <r>
      <rPr>
        <sz val="8"/>
        <color theme="1"/>
        <rFont val="Arial"/>
        <family val="2"/>
      </rPr>
      <t xml:space="preserve"> Referente Desnutricion del area de Salud Publica de la Secretaria de Salud Departamental articulara con un profesional experto Medico o Pediatra y con pleno conocimiento de las Resoluciones 2465 del 2016 y 2350 del 2020. </t>
    </r>
  </si>
  <si>
    <r>
      <t>QUÉ:</t>
    </r>
    <r>
      <rPr>
        <sz val="8"/>
        <color theme="1"/>
        <rFont val="Arial"/>
        <family val="2"/>
      </rPr>
      <t xml:space="preserve"> Garantizar la logistica para la realización del primer foro de salud intercultural de los coordinadores étnicos en salud. El foro se desarrollará en Santa Marta y estará dirigido a: Secretaría de Salud municipal, IPS Indígenas, EAPB con cobertura en territorio indígena, Defensoría del Pueblo, Promotores de salud indígenas, Representantes de gremios de salud, Universidades con programas de salud intercultural, autoridades tradicionales de cada pueblo, con la capacidad para 50 personas y una duración de 8 horas. </t>
    </r>
  </si>
  <si>
    <r>
      <t>QUÉ</t>
    </r>
    <r>
      <rPr>
        <sz val="8"/>
        <color theme="1"/>
        <rFont val="Arial"/>
        <family val="2"/>
      </rPr>
      <t xml:space="preserve">: Garantizar la logistica para la realización de 4 mesas temáticas en territorio ancestral con la población étnica del Departamento del Magdalena, se realizará una (1) mesa en los municipios de Ciénaga, Aracataca, Fundación y Sabanas de San Ángel. </t>
    </r>
  </si>
  <si>
    <t># CONSEC</t>
  </si>
  <si>
    <t>Permanente</t>
  </si>
  <si>
    <t>Pendiente</t>
  </si>
  <si>
    <t>Ejecutada</t>
  </si>
  <si>
    <t>Sujeto a contratista</t>
  </si>
  <si>
    <t>En ejecución</t>
  </si>
  <si>
    <t>ACTIVIDAD SUJETA A EJECUCION POR PARTE DEL OPERADOR</t>
  </si>
  <si>
    <t>Pendiente tercera mesa</t>
  </si>
  <si>
    <t>ESTADO</t>
  </si>
  <si>
    <t>TOTAL</t>
  </si>
  <si>
    <t>Pendiente tercera y cuarta mesa</t>
  </si>
  <si>
    <t>del 26 al 30 de Oct</t>
  </si>
  <si>
    <t>2 ejecutados y 2 programados</t>
  </si>
  <si>
    <t>Son 8 se han realzado 4 (2 de drogas - 1 SM - 1 estup) y se programan 3</t>
  </si>
  <si>
    <t>1 realizada 3 pendientes</t>
  </si>
  <si>
    <t>Revisar si son dos talleres</t>
  </si>
  <si>
    <t>dos talleres de 2 dias cada uno</t>
  </si>
  <si>
    <t>1 taller de 3 dias</t>
  </si>
  <si>
    <t>1 taller de 2 dias</t>
  </si>
  <si>
    <t>taller de 5 dias (18 al 23 de octubre)</t>
  </si>
  <si>
    <t>taller de 3 dias</t>
  </si>
  <si>
    <t>Compra</t>
  </si>
  <si>
    <t>taller 8 y 9 de octubre</t>
  </si>
  <si>
    <t>NUMERADOR</t>
  </si>
  <si>
    <t>DENOMINADOR</t>
  </si>
  <si>
    <t>%CUMP</t>
  </si>
  <si>
    <t>ENE</t>
  </si>
  <si>
    <t>FEB</t>
  </si>
  <si>
    <t>MAR</t>
  </si>
  <si>
    <t>ABR</t>
  </si>
  <si>
    <t>MAY</t>
  </si>
  <si>
    <t>JUN</t>
  </si>
  <si>
    <t>JUL</t>
  </si>
  <si>
    <t>AGO</t>
  </si>
  <si>
    <t>SEP</t>
  </si>
  <si>
    <t>OCT</t>
  </si>
  <si>
    <t xml:space="preserve">NOV </t>
  </si>
  <si>
    <t>DIC</t>
  </si>
  <si>
    <t>A demanda</t>
  </si>
  <si>
    <t>MATRIZ DE SEGUIMIENTO A EJECUCION DE CONTRATO DE GESTIÓN</t>
  </si>
  <si>
    <t>1 Capacitación de 3 dias</t>
  </si>
  <si>
    <t>1 Cpacitación</t>
  </si>
  <si>
    <t>RESUMEN DEL COMPROMISO</t>
  </si>
  <si>
    <t>30 Tomas de muestra</t>
  </si>
  <si>
    <t>1000 batas - 800 tapabicas - 400 gorros</t>
  </si>
  <si>
    <t>logística para 1 capacitación de 2 dias</t>
  </si>
  <si>
    <t>logística para 1 capacitación de dia y medio</t>
  </si>
  <si>
    <t>EVALUACION</t>
  </si>
  <si>
    <t>MES DE CORTE</t>
  </si>
  <si>
    <t>AGOSTO</t>
  </si>
  <si>
    <t>% ESP</t>
  </si>
  <si>
    <t>2 Talleres</t>
  </si>
  <si>
    <t>1 Taller</t>
  </si>
  <si>
    <t>2 talleres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</si>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</sst>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d\-mm\-yy"/>
    <numFmt numFmtId="167" formatCode="dd\-mm"/>
    <numFmt numFmtId="168" formatCode="dd/mm/yyyy;@"/>
  </numFmts>
  <fonts count="23" x14ac:knownFonts="1">
    <font>
      <sz val="11"/>
      <color theme="1"/>
      <name val="Aptos Narrow"/>
      <scheme val="minor"/>
    </font>
    <font>
      <sz val="11"/>
      <name val="Arial"/>
      <family val="2"/>
    </font>
    <font>
      <sz val="11"/>
      <color theme="1"/>
      <name val="Arial"/>
      <family val="2"/>
    </font>
    <font>
      <sz val="11"/>
      <color rgb="FF000000"/>
      <name val="Arial"/>
      <family val="2"/>
    </font>
    <font>
      <b/>
      <sz val="11"/>
      <color theme="1"/>
      <name val="Arial"/>
      <family val="2"/>
    </font>
    <font>
      <b/>
      <sz val="11"/>
      <color rgb="FF4F81BD"/>
      <name val="Arial"/>
      <family val="2"/>
    </font>
    <font>
      <sz val="9"/>
      <color theme="1"/>
      <name val="Arial"/>
      <family val="2"/>
    </font>
    <font>
      <sz val="11"/>
      <color theme="1"/>
      <name val="Aptos Narrow"/>
      <family val="2"/>
      <scheme val="minor"/>
    </font>
    <font>
      <b/>
      <sz val="10"/>
      <color rgb="FFFF0000"/>
      <name val="Arial"/>
      <family val="2"/>
    </font>
    <font>
      <b/>
      <sz val="10"/>
      <color theme="1"/>
      <name val="Aptos Narrow"/>
      <family val="2"/>
      <scheme val="minor"/>
    </font>
    <font>
      <b/>
      <sz val="8"/>
      <color theme="1"/>
      <name val="Aptos Narrow"/>
      <family val="2"/>
      <scheme val="minor"/>
    </font>
    <font>
      <sz val="8"/>
      <color theme="1"/>
      <name val="Aptos Narrow"/>
      <family val="2"/>
      <scheme val="minor"/>
    </font>
    <font>
      <b/>
      <sz val="8"/>
      <color rgb="FFFF0000"/>
      <name val="Arial"/>
      <family val="2"/>
    </font>
    <font>
      <sz val="8"/>
      <color rgb="FFFF0000"/>
      <name val="Aptos Narrow"/>
      <family val="2"/>
      <scheme val="minor"/>
    </font>
    <font>
      <b/>
      <sz val="8"/>
      <color rgb="FFFF0000"/>
      <name val="Aptos Narrow"/>
      <family val="2"/>
      <scheme val="minor"/>
    </font>
    <font>
      <sz val="8"/>
      <color theme="1"/>
      <name val="Arial"/>
      <family val="2"/>
    </font>
    <font>
      <b/>
      <sz val="8"/>
      <color theme="1"/>
      <name val="Arial"/>
      <family val="2"/>
    </font>
    <font>
      <sz val="8"/>
      <color rgb="FF000000"/>
      <name val="Arial"/>
      <family val="2"/>
    </font>
    <font>
      <sz val="8"/>
      <name val="Arial"/>
      <family val="2"/>
    </font>
    <font>
      <b/>
      <sz val="8"/>
      <name val="Arial"/>
      <family val="2"/>
    </font>
    <font>
      <b/>
      <sz val="8"/>
      <name val="Aptos Narrow"/>
      <family val="2"/>
      <scheme val="minor"/>
    </font>
    <font>
      <b/>
      <sz val="6"/>
      <color theme="1"/>
      <name val="Aptos Narrow"/>
      <family val="2"/>
      <scheme val="minor"/>
    </font>
    <font>
      <b/>
      <sz val="12"/>
      <color theme="1"/>
      <name val="Aptos Narrow"/>
      <family val="2"/>
      <scheme val="minor"/>
    </font>
  </fonts>
  <fills count="16">
    <fill>
      <patternFill patternType="none"/>
    </fill>
    <fill>
      <patternFill patternType="gray125"/>
    </fill>
    <fill>
      <patternFill patternType="solid">
        <fgColor theme="0"/>
        <bgColor theme="0"/>
      </patternFill>
    </fill>
    <fill>
      <patternFill patternType="solid">
        <fgColor theme="9" tint="0.59999389629810485"/>
        <bgColor theme="0"/>
      </patternFill>
    </fill>
    <fill>
      <patternFill patternType="solid">
        <fgColor theme="0"/>
        <bgColor rgb="FFFFFF00"/>
      </patternFill>
    </fill>
    <fill>
      <patternFill patternType="solid">
        <fgColor rgb="FFFFFF99"/>
        <bgColor theme="0"/>
      </patternFill>
    </fill>
    <fill>
      <patternFill patternType="solid">
        <fgColor rgb="FFFF3399"/>
        <bgColor theme="0"/>
      </patternFill>
    </fill>
    <fill>
      <patternFill patternType="solid">
        <fgColor theme="9" tint="0.79998168889431442"/>
        <bgColor theme="0"/>
      </patternFill>
    </fill>
    <fill>
      <patternFill patternType="solid">
        <fgColor theme="0"/>
        <bgColor indexed="64"/>
      </patternFill>
    </fill>
    <fill>
      <patternFill patternType="solid">
        <fgColor theme="0"/>
        <bgColor rgb="FFFFFFFF"/>
      </patternFill>
    </fill>
    <fill>
      <patternFill patternType="solid">
        <fgColor theme="0" tint="-0.249977111117893"/>
        <bgColor theme="0"/>
      </patternFill>
    </fill>
    <fill>
      <patternFill patternType="solid">
        <fgColor theme="0"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37">
    <border>
      <left/>
      <right/>
      <top/>
      <bottom/>
      <diagonal/>
    </border>
    <border>
      <left style="thin">
        <color rgb="FF000000"/>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000000"/>
      </left>
      <right/>
      <top style="medium">
        <color rgb="FFCCCCCC"/>
      </top>
      <bottom style="medium">
        <color rgb="FFCCCCCC"/>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top/>
      <bottom style="thin">
        <color rgb="FF000000"/>
      </bottom>
      <diagonal/>
    </border>
    <border>
      <left style="medium">
        <color rgb="FF000000"/>
      </left>
      <right/>
      <top style="medium">
        <color rgb="FFCCCCCC"/>
      </top>
      <bottom style="medium">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7" fillId="0" borderId="0" applyFont="0" applyFill="0" applyBorder="0" applyAlignment="0" applyProtection="0"/>
  </cellStyleXfs>
  <cellXfs count="190">
    <xf numFmtId="0" fontId="0" fillId="0" borderId="0" xfId="0"/>
    <xf numFmtId="0" fontId="2" fillId="0" borderId="0" xfId="0" applyFont="1" applyAlignment="1">
      <alignment horizontal="left" vertical="top"/>
    </xf>
    <xf numFmtId="0" fontId="2" fillId="0" borderId="0" xfId="0" applyFont="1" applyAlignment="1">
      <alignment horizontal="center" vertical="center"/>
    </xf>
    <xf numFmtId="0" fontId="2" fillId="2" borderId="5" xfId="0" applyFont="1" applyFill="1" applyBorder="1" applyAlignment="1">
      <alignment horizontal="left" vertical="top"/>
    </xf>
    <xf numFmtId="0" fontId="2" fillId="2" borderId="4" xfId="0" applyFont="1" applyFill="1" applyBorder="1" applyAlignment="1">
      <alignment horizontal="left" vertical="top"/>
    </xf>
    <xf numFmtId="0" fontId="2" fillId="2" borderId="5" xfId="0" applyFont="1" applyFill="1" applyBorder="1" applyAlignment="1">
      <alignment horizontal="center" vertical="center"/>
    </xf>
    <xf numFmtId="0" fontId="4" fillId="2" borderId="5" xfId="0" applyFont="1" applyFill="1" applyBorder="1" applyAlignment="1">
      <alignment horizontal="center" vertical="center"/>
    </xf>
    <xf numFmtId="3" fontId="4" fillId="2" borderId="5" xfId="0" applyNumberFormat="1" applyFont="1" applyFill="1" applyBorder="1" applyAlignment="1">
      <alignment horizontal="center" vertical="center"/>
    </xf>
    <xf numFmtId="0" fontId="2" fillId="2" borderId="4" xfId="0" applyFont="1" applyFill="1" applyBorder="1" applyAlignment="1">
      <alignment horizontal="center" vertical="center"/>
    </xf>
    <xf numFmtId="3" fontId="2" fillId="3" borderId="5" xfId="0" applyNumberFormat="1" applyFont="1" applyFill="1" applyBorder="1" applyAlignment="1">
      <alignment horizontal="left" vertical="center"/>
    </xf>
    <xf numFmtId="3" fontId="2" fillId="2" borderId="5" xfId="0" applyNumberFormat="1" applyFont="1" applyFill="1" applyBorder="1" applyAlignment="1">
      <alignment horizontal="center" vertical="center"/>
    </xf>
    <xf numFmtId="0" fontId="2" fillId="5" borderId="5" xfId="0" applyFont="1" applyFill="1" applyBorder="1" applyAlignment="1">
      <alignment horizontal="left" vertical="center"/>
    </xf>
    <xf numFmtId="0" fontId="2" fillId="5" borderId="5" xfId="0" applyFont="1" applyFill="1" applyBorder="1" applyAlignment="1">
      <alignment horizontal="center" vertical="center"/>
    </xf>
    <xf numFmtId="14" fontId="2" fillId="2" borderId="5" xfId="0" applyNumberFormat="1" applyFont="1" applyFill="1" applyBorder="1" applyAlignment="1">
      <alignment horizontal="center" vertical="center"/>
    </xf>
    <xf numFmtId="3" fontId="6" fillId="2" borderId="5" xfId="0" applyNumberFormat="1" applyFont="1" applyFill="1" applyBorder="1" applyAlignment="1">
      <alignment horizontal="center" vertical="center"/>
    </xf>
    <xf numFmtId="164" fontId="2" fillId="2" borderId="5" xfId="0" applyNumberFormat="1" applyFont="1" applyFill="1" applyBorder="1" applyAlignment="1">
      <alignment horizontal="center" vertical="center"/>
    </xf>
    <xf numFmtId="165" fontId="2" fillId="2" borderId="5" xfId="0" applyNumberFormat="1" applyFont="1" applyFill="1" applyBorder="1" applyAlignment="1">
      <alignment horizontal="center" vertical="center"/>
    </xf>
    <xf numFmtId="3" fontId="2" fillId="5" borderId="5" xfId="0" applyNumberFormat="1" applyFont="1" applyFill="1" applyBorder="1" applyAlignment="1">
      <alignment horizontal="left" vertical="center"/>
    </xf>
    <xf numFmtId="0" fontId="2" fillId="7" borderId="5" xfId="0" applyFont="1" applyFill="1" applyBorder="1" applyAlignment="1">
      <alignment horizontal="left" vertical="center"/>
    </xf>
    <xf numFmtId="0" fontId="2" fillId="5" borderId="5" xfId="0" applyFont="1" applyFill="1" applyBorder="1" applyAlignment="1">
      <alignment horizontal="left" vertical="top"/>
    </xf>
    <xf numFmtId="166" fontId="2" fillId="2" borderId="5" xfId="0" applyNumberFormat="1" applyFont="1" applyFill="1" applyBorder="1" applyAlignment="1">
      <alignment horizontal="center" vertical="center"/>
    </xf>
    <xf numFmtId="167" fontId="2" fillId="2" borderId="5" xfId="0" applyNumberFormat="1" applyFont="1" applyFill="1" applyBorder="1" applyAlignment="1">
      <alignment horizontal="center" vertical="center"/>
    </xf>
    <xf numFmtId="3" fontId="2" fillId="2" borderId="17" xfId="0" applyNumberFormat="1" applyFont="1" applyFill="1" applyBorder="1" applyAlignment="1">
      <alignment horizontal="center" vertical="center"/>
    </xf>
    <xf numFmtId="0" fontId="2" fillId="8" borderId="5" xfId="0" applyFont="1" applyFill="1" applyBorder="1" applyAlignment="1">
      <alignment horizontal="center" vertical="center"/>
    </xf>
    <xf numFmtId="3" fontId="2" fillId="6" borderId="5" xfId="0" applyNumberFormat="1" applyFont="1" applyFill="1" applyBorder="1" applyAlignment="1">
      <alignment horizontal="left" vertical="center"/>
    </xf>
    <xf numFmtId="0" fontId="2" fillId="2" borderId="23" xfId="0" applyFont="1" applyFill="1" applyBorder="1" applyAlignment="1">
      <alignment horizontal="left" vertical="top"/>
    </xf>
    <xf numFmtId="0" fontId="2" fillId="0" borderId="4" xfId="0" applyFont="1" applyBorder="1" applyAlignment="1">
      <alignment horizontal="left" vertical="top"/>
    </xf>
    <xf numFmtId="3" fontId="2" fillId="0" borderId="5" xfId="0" applyNumberFormat="1" applyFont="1" applyBorder="1" applyAlignment="1">
      <alignment horizontal="left" vertical="center"/>
    </xf>
    <xf numFmtId="0" fontId="2" fillId="0" borderId="5" xfId="0" applyFont="1" applyBorder="1" applyAlignment="1">
      <alignment horizontal="left" vertical="center"/>
    </xf>
    <xf numFmtId="0" fontId="2" fillId="0" borderId="5" xfId="0" applyFont="1" applyBorder="1" applyAlignment="1">
      <alignment horizontal="center" vertical="center"/>
    </xf>
    <xf numFmtId="0" fontId="2" fillId="0" borderId="5" xfId="0" applyFont="1" applyBorder="1" applyAlignment="1">
      <alignment horizontal="left" vertical="top"/>
    </xf>
    <xf numFmtId="0" fontId="2" fillId="0" borderId="23" xfId="0" applyFont="1" applyBorder="1" applyAlignment="1">
      <alignment horizontal="left" vertical="top"/>
    </xf>
    <xf numFmtId="3" fontId="6" fillId="10" borderId="5" xfId="0" applyNumberFormat="1" applyFont="1" applyFill="1" applyBorder="1" applyAlignment="1">
      <alignment horizontal="center" vertical="center"/>
    </xf>
    <xf numFmtId="3" fontId="2" fillId="10" borderId="5" xfId="0" applyNumberFormat="1" applyFont="1" applyFill="1" applyBorder="1" applyAlignment="1">
      <alignment horizontal="center" vertical="center"/>
    </xf>
    <xf numFmtId="168" fontId="2" fillId="10" borderId="5" xfId="0" applyNumberFormat="1" applyFont="1" applyFill="1" applyBorder="1" applyAlignment="1">
      <alignment horizontal="center" vertical="center"/>
    </xf>
    <xf numFmtId="0" fontId="2" fillId="10" borderId="5" xfId="0" applyFont="1" applyFill="1" applyBorder="1" applyAlignment="1">
      <alignment horizontal="center" vertical="center"/>
    </xf>
    <xf numFmtId="0" fontId="8" fillId="0" borderId="0" xfId="0" applyFont="1" applyAlignment="1">
      <alignment horizontal="center" vertical="center"/>
    </xf>
    <xf numFmtId="0" fontId="4" fillId="2" borderId="5" xfId="0" applyFont="1" applyFill="1" applyBorder="1" applyAlignment="1">
      <alignment horizontal="center" vertical="center" wrapText="1"/>
    </xf>
    <xf numFmtId="0" fontId="2" fillId="2" borderId="5" xfId="0" applyFont="1" applyFill="1" applyBorder="1" applyAlignment="1">
      <alignment horizontal="left" vertical="top" wrapText="1"/>
    </xf>
    <xf numFmtId="0" fontId="3" fillId="2" borderId="5" xfId="0" applyFont="1" applyFill="1" applyBorder="1" applyAlignment="1">
      <alignment horizontal="left" vertical="top" wrapText="1"/>
    </xf>
    <xf numFmtId="1" fontId="2" fillId="2" borderId="5" xfId="0" applyNumberFormat="1" applyFont="1" applyFill="1" applyBorder="1" applyAlignment="1">
      <alignment horizontal="left" vertical="top" wrapText="1"/>
    </xf>
    <xf numFmtId="0" fontId="2" fillId="2" borderId="22" xfId="0" applyFont="1" applyFill="1" applyBorder="1" applyAlignment="1">
      <alignment horizontal="left" vertical="top" wrapText="1"/>
    </xf>
    <xf numFmtId="0" fontId="2" fillId="2" borderId="15" xfId="0" applyFont="1" applyFill="1" applyBorder="1" applyAlignment="1">
      <alignment horizontal="left" vertical="top" wrapText="1"/>
    </xf>
    <xf numFmtId="0" fontId="3" fillId="8" borderId="5" xfId="0" applyFont="1" applyFill="1" applyBorder="1" applyAlignment="1">
      <alignment horizontal="left" vertical="top" wrapText="1"/>
    </xf>
    <xf numFmtId="0" fontId="3" fillId="4" borderId="5"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0" borderId="0" xfId="0" applyFont="1" applyAlignment="1">
      <alignment horizontal="left" vertical="top" wrapText="1"/>
    </xf>
    <xf numFmtId="0" fontId="8" fillId="12" borderId="0" xfId="0" applyFont="1" applyFill="1" applyAlignment="1">
      <alignment horizontal="center" vertical="center"/>
    </xf>
    <xf numFmtId="1" fontId="2" fillId="2" borderId="5" xfId="0" applyNumberFormat="1" applyFont="1" applyFill="1" applyBorder="1" applyAlignment="1">
      <alignment horizontal="center" vertical="center"/>
    </xf>
    <xf numFmtId="17" fontId="10" fillId="13" borderId="25" xfId="0" applyNumberFormat="1" applyFont="1" applyFill="1" applyBorder="1" applyAlignment="1">
      <alignment horizontal="center" vertical="center"/>
    </xf>
    <xf numFmtId="0" fontId="10" fillId="13" borderId="25" xfId="0" applyFont="1" applyFill="1" applyBorder="1" applyAlignment="1">
      <alignment horizontal="center" vertical="center"/>
    </xf>
    <xf numFmtId="0" fontId="11" fillId="13" borderId="25" xfId="0" applyFont="1" applyFill="1" applyBorder="1" applyAlignment="1">
      <alignment horizontal="center" vertical="center"/>
    </xf>
    <xf numFmtId="0" fontId="10" fillId="14" borderId="25" xfId="0" applyFont="1" applyFill="1" applyBorder="1" applyAlignment="1">
      <alignment horizontal="center" vertical="center"/>
    </xf>
    <xf numFmtId="0" fontId="11" fillId="14" borderId="25" xfId="0" applyFont="1" applyFill="1" applyBorder="1" applyAlignment="1">
      <alignment horizontal="center" vertical="center"/>
    </xf>
    <xf numFmtId="0" fontId="2" fillId="4" borderId="5" xfId="0" applyFont="1" applyFill="1" applyBorder="1" applyAlignment="1">
      <alignment horizontal="left" vertical="top" wrapText="1"/>
    </xf>
    <xf numFmtId="0" fontId="4" fillId="2" borderId="5" xfId="0" applyFont="1" applyFill="1" applyBorder="1" applyAlignment="1">
      <alignment horizontal="left" vertical="top" wrapText="1"/>
    </xf>
    <xf numFmtId="0" fontId="3"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8" borderId="5" xfId="0" applyFont="1" applyFill="1" applyBorder="1" applyAlignment="1">
      <alignment horizontal="left" vertical="top" wrapText="1"/>
    </xf>
    <xf numFmtId="0" fontId="2" fillId="2" borderId="19" xfId="0" applyFont="1" applyFill="1" applyBorder="1" applyAlignment="1">
      <alignment horizontal="left" vertical="top" wrapText="1"/>
    </xf>
    <xf numFmtId="0" fontId="4" fillId="2" borderId="13" xfId="0" applyFont="1" applyFill="1" applyBorder="1" applyAlignment="1">
      <alignment horizontal="left" vertical="top" wrapText="1"/>
    </xf>
    <xf numFmtId="0" fontId="3" fillId="9" borderId="5" xfId="0" applyFont="1" applyFill="1" applyBorder="1" applyAlignment="1">
      <alignment horizontal="left" vertical="top" wrapText="1"/>
    </xf>
    <xf numFmtId="0" fontId="5" fillId="0" borderId="0" xfId="0" applyFont="1" applyAlignment="1">
      <alignment horizontal="left" vertical="top" wrapText="1"/>
    </xf>
    <xf numFmtId="0" fontId="2" fillId="2" borderId="6" xfId="0" applyFont="1" applyFill="1" applyBorder="1" applyAlignment="1">
      <alignment horizontal="left" vertical="top" wrapText="1"/>
    </xf>
    <xf numFmtId="0" fontId="2" fillId="2" borderId="7" xfId="0" applyFont="1" applyFill="1" applyBorder="1" applyAlignment="1">
      <alignment horizontal="left" vertical="top" wrapText="1"/>
    </xf>
    <xf numFmtId="0" fontId="3" fillId="2" borderId="4"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8" borderId="7" xfId="0" applyFont="1" applyFill="1" applyBorder="1" applyAlignment="1">
      <alignment horizontal="left" vertical="top" wrapText="1"/>
    </xf>
    <xf numFmtId="0" fontId="2" fillId="2" borderId="16" xfId="0" applyFont="1" applyFill="1" applyBorder="1" applyAlignment="1">
      <alignment horizontal="left" vertical="top" wrapText="1"/>
    </xf>
    <xf numFmtId="0" fontId="2" fillId="2" borderId="18" xfId="0" applyFont="1" applyFill="1" applyBorder="1" applyAlignment="1">
      <alignment horizontal="left" vertical="top" wrapText="1"/>
    </xf>
    <xf numFmtId="0" fontId="2" fillId="2" borderId="20"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6" xfId="0" applyFont="1" applyFill="1" applyBorder="1" applyAlignment="1">
      <alignment horizontal="left" vertical="top" wrapText="1"/>
    </xf>
    <xf numFmtId="0" fontId="4" fillId="8" borderId="5" xfId="0" applyFont="1" applyFill="1" applyBorder="1" applyAlignment="1">
      <alignment horizontal="left" vertical="top" wrapText="1"/>
    </xf>
    <xf numFmtId="0" fontId="4" fillId="0" borderId="0" xfId="0" applyFont="1" applyAlignment="1">
      <alignment horizontal="left" vertical="top" wrapText="1"/>
    </xf>
    <xf numFmtId="0" fontId="19" fillId="2" borderId="5" xfId="0" applyFont="1" applyFill="1" applyBorder="1" applyAlignment="1">
      <alignment horizontal="center" vertical="center" wrapText="1"/>
    </xf>
    <xf numFmtId="0" fontId="15" fillId="2" borderId="7" xfId="0" applyFont="1" applyFill="1" applyBorder="1" applyAlignment="1">
      <alignment horizontal="left" vertical="top" wrapText="1"/>
    </xf>
    <xf numFmtId="0" fontId="15" fillId="4" borderId="7" xfId="0" applyFont="1" applyFill="1" applyBorder="1" applyAlignment="1">
      <alignment horizontal="left" vertical="top" wrapText="1"/>
    </xf>
    <xf numFmtId="0" fontId="16" fillId="2" borderId="7" xfId="0" applyFont="1" applyFill="1" applyBorder="1" applyAlignment="1">
      <alignment horizontal="left" vertical="top" wrapText="1"/>
    </xf>
    <xf numFmtId="0" fontId="17" fillId="2" borderId="28" xfId="0" applyFont="1" applyFill="1" applyBorder="1" applyAlignment="1">
      <alignment horizontal="left" vertical="top" wrapText="1"/>
    </xf>
    <xf numFmtId="0" fontId="15" fillId="2" borderId="18" xfId="0" applyFont="1" applyFill="1" applyBorder="1" applyAlignment="1">
      <alignment horizontal="left" vertical="top" wrapText="1"/>
    </xf>
    <xf numFmtId="0" fontId="15" fillId="2" borderId="29" xfId="0" applyFont="1" applyFill="1" applyBorder="1" applyAlignment="1">
      <alignment horizontal="left" vertical="top" wrapText="1"/>
    </xf>
    <xf numFmtId="0" fontId="15" fillId="2" borderId="23" xfId="0" applyFont="1" applyFill="1" applyBorder="1" applyAlignment="1">
      <alignment horizontal="left" vertical="top" wrapText="1"/>
    </xf>
    <xf numFmtId="0" fontId="15" fillId="2" borderId="16" xfId="0" applyFont="1" applyFill="1" applyBorder="1" applyAlignment="1">
      <alignment horizontal="left" vertical="top" wrapText="1"/>
    </xf>
    <xf numFmtId="0" fontId="15" fillId="8" borderId="7" xfId="0" applyFont="1" applyFill="1" applyBorder="1" applyAlignment="1">
      <alignment horizontal="left" vertical="top" wrapText="1"/>
    </xf>
    <xf numFmtId="0" fontId="15" fillId="2" borderId="20" xfId="0" applyFont="1" applyFill="1" applyBorder="1" applyAlignment="1">
      <alignment horizontal="left" vertical="top" wrapText="1"/>
    </xf>
    <xf numFmtId="0" fontId="16" fillId="2" borderId="29" xfId="0" applyFont="1" applyFill="1" applyBorder="1" applyAlignment="1">
      <alignment horizontal="left" vertical="top" wrapText="1"/>
    </xf>
    <xf numFmtId="0" fontId="17" fillId="2" borderId="7" xfId="0" applyFont="1" applyFill="1" applyBorder="1" applyAlignment="1">
      <alignment horizontal="left" vertical="top" wrapText="1"/>
    </xf>
    <xf numFmtId="0" fontId="17" fillId="9" borderId="7" xfId="0" applyFont="1" applyFill="1" applyBorder="1" applyAlignment="1">
      <alignment horizontal="left" vertical="top" wrapText="1"/>
    </xf>
    <xf numFmtId="0" fontId="17" fillId="8" borderId="7" xfId="0" applyFont="1" applyFill="1" applyBorder="1" applyAlignment="1">
      <alignment horizontal="left" vertical="top" wrapText="1"/>
    </xf>
    <xf numFmtId="0" fontId="15" fillId="2" borderId="25" xfId="0" applyFont="1" applyFill="1" applyBorder="1" applyAlignment="1">
      <alignment horizontal="left" vertical="top" wrapText="1"/>
    </xf>
    <xf numFmtId="0" fontId="17" fillId="2" borderId="25" xfId="0" applyFont="1" applyFill="1" applyBorder="1" applyAlignment="1">
      <alignment horizontal="left" vertical="top" wrapText="1"/>
    </xf>
    <xf numFmtId="0" fontId="15" fillId="8" borderId="25" xfId="0" applyFont="1" applyFill="1" applyBorder="1" applyAlignment="1">
      <alignment horizontal="left" vertical="top" wrapText="1"/>
    </xf>
    <xf numFmtId="0" fontId="16" fillId="8" borderId="25" xfId="0" applyFont="1" applyFill="1" applyBorder="1" applyAlignment="1">
      <alignment horizontal="left" vertical="top" wrapText="1"/>
    </xf>
    <xf numFmtId="0" fontId="17" fillId="8" borderId="25" xfId="0" applyFont="1" applyFill="1" applyBorder="1" applyAlignment="1">
      <alignment horizontal="left" vertical="top" wrapText="1"/>
    </xf>
    <xf numFmtId="0" fontId="16" fillId="2" borderId="5"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5" fillId="2" borderId="9" xfId="0" applyFont="1" applyFill="1" applyBorder="1" applyAlignment="1">
      <alignment horizontal="left" vertical="top" wrapText="1"/>
    </xf>
    <xf numFmtId="0" fontId="17" fillId="2" borderId="9" xfId="0" applyFont="1" applyFill="1" applyBorder="1" applyAlignment="1">
      <alignment horizontal="left" vertical="top" wrapText="1"/>
    </xf>
    <xf numFmtId="1" fontId="15" fillId="2" borderId="9" xfId="0" applyNumberFormat="1" applyFont="1" applyFill="1" applyBorder="1" applyAlignment="1">
      <alignment horizontal="left" vertical="top" wrapText="1"/>
    </xf>
    <xf numFmtId="0" fontId="15" fillId="2" borderId="30" xfId="0" applyFont="1" applyFill="1" applyBorder="1" applyAlignment="1">
      <alignment horizontal="left" vertical="top" wrapText="1"/>
    </xf>
    <xf numFmtId="0" fontId="17" fillId="8" borderId="9" xfId="0" applyFont="1" applyFill="1" applyBorder="1" applyAlignment="1">
      <alignment horizontal="left" vertical="top" wrapText="1"/>
    </xf>
    <xf numFmtId="0" fontId="17" fillId="4" borderId="9" xfId="0" applyFont="1" applyFill="1" applyBorder="1" applyAlignment="1">
      <alignment horizontal="left" vertical="top" wrapText="1"/>
    </xf>
    <xf numFmtId="0" fontId="14" fillId="0" borderId="25" xfId="0" applyFont="1" applyBorder="1" applyAlignment="1">
      <alignment horizontal="center" vertical="center" textRotation="90" wrapText="1"/>
    </xf>
    <xf numFmtId="0" fontId="12" fillId="0" borderId="25" xfId="0" applyFont="1" applyBorder="1" applyAlignment="1">
      <alignment horizontal="center" vertical="center"/>
    </xf>
    <xf numFmtId="0" fontId="12" fillId="12" borderId="25" xfId="0" applyFont="1" applyFill="1" applyBorder="1" applyAlignment="1">
      <alignment horizontal="center" vertical="center"/>
    </xf>
    <xf numFmtId="0" fontId="20" fillId="0" borderId="25" xfId="0" applyFont="1" applyBorder="1" applyAlignment="1">
      <alignment horizontal="center" vertical="center" textRotation="90" wrapText="1"/>
    </xf>
    <xf numFmtId="0" fontId="15" fillId="2" borderId="9"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8" borderId="9"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1" fillId="0" borderId="0" xfId="0" applyFont="1" applyAlignment="1">
      <alignment horizontal="center" vertical="center"/>
    </xf>
    <xf numFmtId="0" fontId="0" fillId="0" borderId="0" xfId="0" applyAlignment="1">
      <alignment horizontal="left" vertical="center"/>
    </xf>
    <xf numFmtId="0" fontId="11" fillId="0" borderId="0" xfId="0" applyFont="1" applyAlignment="1">
      <alignment vertical="center"/>
    </xf>
    <xf numFmtId="0" fontId="11" fillId="0" borderId="0" xfId="0" applyFont="1" applyAlignment="1">
      <alignment horizontal="left" vertical="center"/>
    </xf>
    <xf numFmtId="0" fontId="11" fillId="0" borderId="25" xfId="0" applyFont="1" applyBorder="1" applyAlignment="1">
      <alignment horizontal="center" vertical="center"/>
    </xf>
    <xf numFmtId="0" fontId="10" fillId="0" borderId="25" xfId="0" applyFont="1" applyBorder="1" applyAlignment="1">
      <alignment horizontal="center" vertical="center"/>
    </xf>
    <xf numFmtId="0" fontId="10" fillId="15" borderId="25" xfId="0" applyFont="1" applyFill="1" applyBorder="1" applyAlignment="1">
      <alignment horizontal="center" vertical="center"/>
    </xf>
    <xf numFmtId="0" fontId="15" fillId="2" borderId="9" xfId="0" applyFont="1" applyFill="1" applyBorder="1" applyAlignment="1">
      <alignment horizontal="left" vertical="top"/>
    </xf>
    <xf numFmtId="3" fontId="2" fillId="2" borderId="5"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5" borderId="5" xfId="0" applyFont="1" applyFill="1" applyBorder="1" applyAlignment="1">
      <alignment horizontal="left" vertical="center" wrapText="1"/>
    </xf>
    <xf numFmtId="0" fontId="2" fillId="0" borderId="5" xfId="0" applyFont="1" applyBorder="1" applyAlignment="1">
      <alignment horizontal="left" vertical="center" wrapText="1"/>
    </xf>
    <xf numFmtId="3" fontId="2" fillId="10" borderId="5" xfId="0" applyNumberFormat="1" applyFont="1" applyFill="1" applyBorder="1" applyAlignment="1">
      <alignment horizontal="center" vertical="center" wrapText="1"/>
    </xf>
    <xf numFmtId="0" fontId="10" fillId="15" borderId="32" xfId="0" applyFont="1" applyFill="1" applyBorder="1" applyAlignment="1">
      <alignment horizontal="center" vertical="center"/>
    </xf>
    <xf numFmtId="0" fontId="21" fillId="13" borderId="25" xfId="0" applyFont="1" applyFill="1" applyBorder="1" applyAlignment="1">
      <alignment horizontal="center" vertical="center" textRotation="90"/>
    </xf>
    <xf numFmtId="0" fontId="11" fillId="0" borderId="25" xfId="0" applyFont="1" applyBorder="1" applyAlignment="1">
      <alignment vertical="center"/>
    </xf>
    <xf numFmtId="0" fontId="11" fillId="0" borderId="25" xfId="0" applyFont="1" applyBorder="1" applyAlignment="1">
      <alignment horizontal="left" vertical="center"/>
    </xf>
    <xf numFmtId="0" fontId="13" fillId="0" borderId="25" xfId="0" applyFont="1" applyBorder="1" applyAlignment="1">
      <alignment vertical="center"/>
    </xf>
    <xf numFmtId="0" fontId="13" fillId="0" borderId="25" xfId="0" applyFont="1" applyBorder="1" applyAlignment="1">
      <alignment horizontal="left" vertical="center"/>
    </xf>
    <xf numFmtId="0" fontId="13" fillId="0" borderId="25" xfId="0" applyFont="1" applyBorder="1" applyAlignment="1">
      <alignment horizontal="center" vertical="center"/>
    </xf>
    <xf numFmtId="9" fontId="11" fillId="0" borderId="25" xfId="1" applyFont="1" applyBorder="1" applyAlignment="1">
      <alignment horizontal="center" vertical="center"/>
    </xf>
    <xf numFmtId="9" fontId="13" fillId="0" borderId="25" xfId="1" applyFont="1" applyBorder="1" applyAlignment="1">
      <alignment horizontal="center" vertical="center"/>
    </xf>
    <xf numFmtId="9" fontId="10" fillId="15" borderId="25" xfId="1" applyFont="1" applyFill="1" applyBorder="1" applyAlignment="1">
      <alignment horizontal="center" vertical="center"/>
    </xf>
    <xf numFmtId="0" fontId="10" fillId="13" borderId="25" xfId="0" applyFont="1" applyFill="1" applyBorder="1" applyAlignment="1">
      <alignment horizontal="center" vertical="center" wrapText="1"/>
    </xf>
    <xf numFmtId="9" fontId="9" fillId="12" borderId="25" xfId="1" applyFont="1" applyFill="1" applyBorder="1" applyAlignment="1">
      <alignment vertical="center"/>
    </xf>
    <xf numFmtId="3" fontId="11" fillId="0" borderId="0" xfId="0" applyNumberFormat="1" applyFont="1" applyAlignment="1">
      <alignment horizontal="center" vertical="center"/>
    </xf>
    <xf numFmtId="0" fontId="2" fillId="2" borderId="25" xfId="0" applyFont="1" applyFill="1" applyBorder="1" applyAlignment="1">
      <alignment horizontal="center" vertical="center"/>
    </xf>
    <xf numFmtId="3" fontId="15" fillId="3" borderId="25" xfId="0" applyNumberFormat="1" applyFont="1" applyFill="1" applyBorder="1" applyAlignment="1">
      <alignment horizontal="left" vertical="center"/>
    </xf>
    <xf numFmtId="1" fontId="2" fillId="2" borderId="25" xfId="0" applyNumberFormat="1" applyFont="1" applyFill="1" applyBorder="1" applyAlignment="1">
      <alignment horizontal="center" vertical="center"/>
    </xf>
    <xf numFmtId="0" fontId="15" fillId="5" borderId="25" xfId="0" applyFont="1" applyFill="1" applyBorder="1" applyAlignment="1">
      <alignment horizontal="left" vertical="center"/>
    </xf>
    <xf numFmtId="3" fontId="15" fillId="5" borderId="25" xfId="0" applyNumberFormat="1" applyFont="1" applyFill="1" applyBorder="1" applyAlignment="1">
      <alignment horizontal="left" vertical="center"/>
    </xf>
    <xf numFmtId="0" fontId="15" fillId="7" borderId="25" xfId="0" applyFont="1" applyFill="1" applyBorder="1" applyAlignment="1">
      <alignment horizontal="left" vertical="center"/>
    </xf>
    <xf numFmtId="3" fontId="15" fillId="6" borderId="25" xfId="0" applyNumberFormat="1" applyFont="1" applyFill="1" applyBorder="1" applyAlignment="1">
      <alignment horizontal="left" vertical="center"/>
    </xf>
    <xf numFmtId="0" fontId="14" fillId="0" borderId="25" xfId="0" applyFont="1" applyBorder="1" applyAlignment="1">
      <alignment horizontal="center" vertical="center"/>
    </xf>
    <xf numFmtId="0" fontId="10" fillId="0" borderId="0" xfId="0" applyFont="1" applyAlignment="1">
      <alignment horizontal="center" vertical="center"/>
    </xf>
    <xf numFmtId="17" fontId="22" fillId="13" borderId="34" xfId="0" applyNumberFormat="1" applyFont="1" applyFill="1" applyBorder="1" applyAlignment="1">
      <alignment horizontal="center" vertical="center"/>
    </xf>
    <xf numFmtId="17" fontId="22" fillId="13" borderId="35" xfId="0" applyNumberFormat="1" applyFont="1" applyFill="1" applyBorder="1" applyAlignment="1">
      <alignment horizontal="center" vertical="center"/>
    </xf>
    <xf numFmtId="17" fontId="22" fillId="13" borderId="36" xfId="0" applyNumberFormat="1" applyFont="1" applyFill="1" applyBorder="1" applyAlignment="1">
      <alignment horizontal="center" vertical="center"/>
    </xf>
    <xf numFmtId="17" fontId="10" fillId="13" borderId="34" xfId="0" applyNumberFormat="1" applyFont="1" applyFill="1" applyBorder="1" applyAlignment="1">
      <alignment horizontal="center" vertical="center"/>
    </xf>
    <xf numFmtId="17" fontId="10" fillId="13" borderId="36" xfId="0" applyNumberFormat="1" applyFont="1" applyFill="1" applyBorder="1" applyAlignment="1">
      <alignment horizontal="center" vertical="center"/>
    </xf>
    <xf numFmtId="0" fontId="12" fillId="0" borderId="25" xfId="0" applyFont="1" applyBorder="1" applyAlignment="1">
      <alignment horizontal="center" vertical="center"/>
    </xf>
    <xf numFmtId="0" fontId="15" fillId="2" borderId="30" xfId="0" applyFont="1" applyFill="1" applyBorder="1" applyAlignment="1">
      <alignment horizontal="left" vertical="top" wrapText="1"/>
    </xf>
    <xf numFmtId="0" fontId="18" fillId="8" borderId="24" xfId="0" applyFont="1" applyFill="1" applyBorder="1" applyAlignment="1">
      <alignment horizontal="left" vertical="top" wrapText="1"/>
    </xf>
    <xf numFmtId="0" fontId="18" fillId="8" borderId="31" xfId="0" applyFont="1" applyFill="1" applyBorder="1" applyAlignment="1">
      <alignment horizontal="left" vertical="top" wrapText="1"/>
    </xf>
    <xf numFmtId="0" fontId="15" fillId="2" borderId="30" xfId="0" applyFont="1" applyFill="1" applyBorder="1" applyAlignment="1">
      <alignment horizontal="center" vertical="center" wrapText="1"/>
    </xf>
    <xf numFmtId="0" fontId="18" fillId="8" borderId="24" xfId="0" applyFont="1" applyFill="1" applyBorder="1" applyAlignment="1">
      <alignment horizontal="center" vertical="center" wrapText="1"/>
    </xf>
    <xf numFmtId="0" fontId="18" fillId="8" borderId="31" xfId="0" applyFont="1" applyFill="1" applyBorder="1" applyAlignment="1">
      <alignment horizontal="center" vertical="center" wrapText="1"/>
    </xf>
    <xf numFmtId="0" fontId="2" fillId="2" borderId="25" xfId="0" applyFont="1" applyFill="1" applyBorder="1" applyAlignment="1">
      <alignment horizontal="center" vertical="center"/>
    </xf>
    <xf numFmtId="1" fontId="2" fillId="2" borderId="25" xfId="0" applyNumberFormat="1" applyFont="1" applyFill="1" applyBorder="1" applyAlignment="1">
      <alignment horizontal="center" vertical="center"/>
    </xf>
    <xf numFmtId="17" fontId="9" fillId="13" borderId="25" xfId="0" applyNumberFormat="1" applyFont="1" applyFill="1" applyBorder="1" applyAlignment="1">
      <alignment horizontal="center" vertical="center"/>
    </xf>
    <xf numFmtId="0" fontId="9" fillId="13" borderId="25" xfId="0" applyFont="1" applyFill="1" applyBorder="1" applyAlignment="1">
      <alignment horizontal="center" vertical="center"/>
    </xf>
    <xf numFmtId="17" fontId="9" fillId="14" borderId="26" xfId="0" applyNumberFormat="1" applyFont="1" applyFill="1" applyBorder="1" applyAlignment="1">
      <alignment horizontal="center" vertical="center"/>
    </xf>
    <xf numFmtId="17" fontId="9" fillId="14" borderId="27" xfId="0" applyNumberFormat="1" applyFont="1" applyFill="1" applyBorder="1" applyAlignment="1">
      <alignment horizontal="center" vertical="center"/>
    </xf>
    <xf numFmtId="17" fontId="0" fillId="13" borderId="25" xfId="0" applyNumberFormat="1" applyFill="1" applyBorder="1" applyAlignment="1">
      <alignment horizontal="center"/>
    </xf>
    <xf numFmtId="0" fontId="0" fillId="13" borderId="25" xfId="0" applyFill="1" applyBorder="1" applyAlignment="1">
      <alignment horizontal="center"/>
    </xf>
    <xf numFmtId="17" fontId="0" fillId="14" borderId="25" xfId="0" applyNumberFormat="1" applyFill="1" applyBorder="1" applyAlignment="1">
      <alignment horizontal="center"/>
    </xf>
    <xf numFmtId="0" fontId="9" fillId="0" borderId="23" xfId="0" applyFont="1" applyBorder="1" applyAlignment="1">
      <alignment horizontal="center" vertical="center" wrapText="1"/>
    </xf>
    <xf numFmtId="0" fontId="9" fillId="0" borderId="33" xfId="0" applyFont="1" applyBorder="1" applyAlignment="1">
      <alignment horizontal="center" vertical="center" wrapText="1"/>
    </xf>
    <xf numFmtId="0" fontId="2" fillId="2" borderId="22"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17" xfId="0" applyFont="1" applyFill="1" applyBorder="1" applyAlignment="1">
      <alignment horizontal="center" vertical="center"/>
    </xf>
    <xf numFmtId="0" fontId="8" fillId="0" borderId="24" xfId="0" applyFont="1" applyBorder="1" applyAlignment="1">
      <alignment horizontal="center" vertical="center"/>
    </xf>
    <xf numFmtId="1" fontId="2" fillId="2" borderId="22" xfId="0" applyNumberFormat="1" applyFont="1" applyFill="1" applyBorder="1" applyAlignment="1">
      <alignment horizontal="center" vertical="center"/>
    </xf>
    <xf numFmtId="1" fontId="2" fillId="2" borderId="21" xfId="0" applyNumberFormat="1" applyFont="1" applyFill="1" applyBorder="1" applyAlignment="1">
      <alignment horizontal="center" vertical="center"/>
    </xf>
    <xf numFmtId="1" fontId="2" fillId="2" borderId="17" xfId="0" applyNumberFormat="1" applyFont="1" applyFill="1" applyBorder="1" applyAlignment="1">
      <alignment horizontal="center" vertical="center"/>
    </xf>
    <xf numFmtId="3" fontId="2" fillId="2" borderId="7" xfId="0" applyNumberFormat="1" applyFont="1" applyFill="1" applyBorder="1" applyAlignment="1">
      <alignment horizontal="center" vertical="center"/>
    </xf>
    <xf numFmtId="3" fontId="2" fillId="2" borderId="8" xfId="0" applyNumberFormat="1" applyFont="1" applyFill="1" applyBorder="1" applyAlignment="1">
      <alignment horizontal="center" vertical="center"/>
    </xf>
    <xf numFmtId="3" fontId="2" fillId="2" borderId="9" xfId="0" applyNumberFormat="1" applyFont="1" applyFill="1" applyBorder="1" applyAlignment="1">
      <alignment horizontal="center" vertical="center"/>
    </xf>
    <xf numFmtId="0" fontId="2" fillId="2" borderId="15" xfId="0" applyFont="1" applyFill="1" applyBorder="1" applyAlignment="1">
      <alignment horizontal="left" vertical="top" wrapText="1"/>
    </xf>
    <xf numFmtId="0" fontId="1" fillId="8" borderId="21" xfId="0" applyFont="1" applyFill="1" applyBorder="1" applyAlignment="1">
      <alignment horizontal="left" vertical="top" wrapText="1"/>
    </xf>
    <xf numFmtId="0" fontId="1" fillId="8" borderId="17" xfId="0" applyFont="1" applyFill="1" applyBorder="1" applyAlignment="1">
      <alignment horizontal="left" vertical="top" wrapText="1"/>
    </xf>
    <xf numFmtId="0" fontId="4" fillId="2" borderId="1" xfId="0" applyFont="1" applyFill="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3" fontId="2" fillId="10" borderId="7" xfId="0" applyNumberFormat="1" applyFont="1" applyFill="1" applyBorder="1" applyAlignment="1">
      <alignment horizontal="center" vertical="center"/>
    </xf>
    <xf numFmtId="0" fontId="1" fillId="11" borderId="8" xfId="0" applyFont="1" applyFill="1" applyBorder="1" applyAlignment="1">
      <alignment horizontal="center" vertical="center"/>
    </xf>
    <xf numFmtId="0" fontId="1" fillId="11" borderId="9" xfId="0" applyFont="1" applyFill="1" applyBorder="1" applyAlignment="1">
      <alignment horizontal="center" vertical="center"/>
    </xf>
  </cellXfs>
  <cellStyles count="2">
    <cellStyle name="Normal" xfId="0" builtinId="0"/>
    <cellStyle name="Porcentaje" xfId="1" builtinId="5"/>
  </cellStyles>
  <dxfs count="1">
    <dxf>
      <font>
        <color rgb="FF9C0006"/>
      </font>
      <fill>
        <patternFill>
          <bgColor rgb="FFFFC7CE"/>
        </patternFill>
      </fill>
    </dxf>
  </dxfs>
  <tableStyles count="0" defaultTableStyle="TableStyleMedium2" defaultPivotStyle="PivotStyleLight16"/>
  <colors>
    <mruColors>
      <color rgb="FFFFFF99"/>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5"/>
  <sheetViews>
    <sheetView zoomScale="70" zoomScaleNormal="70" workbookViewId="0">
      <pane xSplit="4" ySplit="2" topLeftCell="E3" activePane="bottomRight" state="frozen"/>
      <selection pane="topRight" activeCell="E1" sqref="E1"/>
      <selection pane="bottomLeft" activeCell="A3" sqref="A3"/>
      <selection pane="bottomRight" activeCell="D5" sqref="D5"/>
    </sheetView>
  </sheetViews>
  <sheetFormatPr baseColWidth="10" defaultColWidth="12.5546875" defaultRowHeight="15" customHeight="1" x14ac:dyDescent="0.3"/>
  <cols>
    <col min="1" max="1" width="5.109375" style="36" customWidth="1"/>
    <col min="2" max="2" width="3.77734375" style="2" customWidth="1"/>
    <col min="3" max="3" width="14.33203125" style="46" customWidth="1"/>
    <col min="4" max="4" width="65.21875" style="46" customWidth="1"/>
    <col min="5" max="5" width="16.21875" style="46" customWidth="1"/>
    <col min="6" max="6" width="15.21875" style="1" customWidth="1"/>
    <col min="7" max="7" width="14.77734375" style="1" customWidth="1"/>
    <col min="8" max="8" width="15.5546875" style="1" customWidth="1"/>
    <col min="9" max="9" width="13.44140625" style="1" customWidth="1"/>
    <col min="10" max="11" width="27" style="1" customWidth="1"/>
    <col min="12" max="21" width="14.44140625" style="1" customWidth="1"/>
    <col min="22" max="16384" width="12.5546875" style="1"/>
  </cols>
  <sheetData>
    <row r="1" spans="1:21" ht="16.5" customHeight="1" x14ac:dyDescent="0.3">
      <c r="B1" s="184" t="s">
        <v>0</v>
      </c>
      <c r="C1" s="185"/>
      <c r="D1" s="185"/>
      <c r="E1" s="185"/>
      <c r="F1" s="186"/>
      <c r="G1" s="4"/>
      <c r="H1" s="4"/>
      <c r="I1" s="4"/>
      <c r="J1" s="4"/>
      <c r="K1" s="26"/>
      <c r="L1" s="4"/>
      <c r="M1" s="4"/>
      <c r="N1" s="4"/>
      <c r="O1" s="4"/>
      <c r="P1" s="4"/>
      <c r="Q1" s="4"/>
      <c r="R1" s="4"/>
      <c r="S1" s="4"/>
      <c r="T1" s="4"/>
      <c r="U1" s="4"/>
    </row>
    <row r="2" spans="1:21" s="2" customFormat="1" ht="24.45" customHeight="1" x14ac:dyDescent="0.3">
      <c r="A2" s="36" t="s">
        <v>326</v>
      </c>
      <c r="B2" s="5" t="s">
        <v>1</v>
      </c>
      <c r="C2" s="37" t="s">
        <v>2</v>
      </c>
      <c r="D2" s="37" t="s">
        <v>3</v>
      </c>
      <c r="E2" s="37" t="s">
        <v>4</v>
      </c>
      <c r="F2" s="7" t="s">
        <v>5</v>
      </c>
      <c r="G2" s="6" t="s">
        <v>6</v>
      </c>
      <c r="H2" s="6" t="s">
        <v>7</v>
      </c>
      <c r="I2" s="6" t="s">
        <v>8</v>
      </c>
      <c r="J2" s="6" t="s">
        <v>9</v>
      </c>
      <c r="K2" s="6" t="s">
        <v>323</v>
      </c>
      <c r="L2" s="8"/>
      <c r="M2" s="8"/>
      <c r="N2" s="8"/>
      <c r="O2" s="8"/>
      <c r="P2" s="8"/>
      <c r="Q2" s="8"/>
      <c r="R2" s="8"/>
      <c r="S2" s="8"/>
      <c r="T2" s="8"/>
      <c r="U2" s="8"/>
    </row>
    <row r="3" spans="1:21" ht="151.80000000000001" x14ac:dyDescent="0.3">
      <c r="A3" s="36">
        <v>3</v>
      </c>
      <c r="B3" s="5">
        <v>2</v>
      </c>
      <c r="C3" s="38" t="s">
        <v>10</v>
      </c>
      <c r="D3" s="38" t="s">
        <v>11</v>
      </c>
      <c r="E3" s="64" t="s">
        <v>12</v>
      </c>
      <c r="F3" s="178"/>
      <c r="G3" s="179"/>
      <c r="H3" s="179"/>
      <c r="I3" s="180"/>
      <c r="J3" s="9" t="s">
        <v>253</v>
      </c>
      <c r="K3" s="27"/>
      <c r="L3" s="4"/>
      <c r="M3" s="4"/>
      <c r="N3" s="4"/>
      <c r="O3" s="4"/>
      <c r="P3" s="4"/>
      <c r="Q3" s="4"/>
      <c r="R3" s="4"/>
      <c r="S3" s="4"/>
      <c r="T3" s="4"/>
      <c r="U3" s="4"/>
    </row>
    <row r="4" spans="1:21" ht="138" x14ac:dyDescent="0.3">
      <c r="A4" s="36">
        <v>4</v>
      </c>
      <c r="B4" s="48">
        <v>3</v>
      </c>
      <c r="C4" s="38" t="s">
        <v>13</v>
      </c>
      <c r="D4" s="38" t="s">
        <v>14</v>
      </c>
      <c r="E4" s="65" t="s">
        <v>12</v>
      </c>
      <c r="F4" s="178"/>
      <c r="G4" s="179"/>
      <c r="H4" s="179"/>
      <c r="I4" s="180"/>
      <c r="J4" s="9" t="s">
        <v>253</v>
      </c>
      <c r="K4" s="27"/>
      <c r="L4" s="4"/>
      <c r="M4" s="4"/>
      <c r="N4" s="4"/>
      <c r="O4" s="4"/>
      <c r="P4" s="4"/>
      <c r="Q4" s="4"/>
      <c r="R4" s="4"/>
      <c r="S4" s="4"/>
      <c r="T4" s="4"/>
      <c r="U4" s="4"/>
    </row>
    <row r="5" spans="1:21" ht="138" x14ac:dyDescent="0.3">
      <c r="A5" s="36">
        <v>5</v>
      </c>
      <c r="B5" s="5">
        <v>4</v>
      </c>
      <c r="C5" s="38" t="s">
        <v>15</v>
      </c>
      <c r="D5" s="38" t="s">
        <v>16</v>
      </c>
      <c r="E5" s="65" t="s">
        <v>12</v>
      </c>
      <c r="F5" s="178"/>
      <c r="G5" s="179"/>
      <c r="H5" s="179"/>
      <c r="I5" s="180"/>
      <c r="J5" s="9" t="s">
        <v>253</v>
      </c>
      <c r="K5" s="27"/>
      <c r="L5" s="4"/>
      <c r="M5" s="4"/>
      <c r="N5" s="4"/>
      <c r="O5" s="4"/>
      <c r="P5" s="4"/>
      <c r="Q5" s="4"/>
      <c r="R5" s="4"/>
      <c r="S5" s="4"/>
      <c r="T5" s="4"/>
      <c r="U5" s="4"/>
    </row>
    <row r="6" spans="1:21" ht="220.8" x14ac:dyDescent="0.3">
      <c r="A6" s="36">
        <v>7</v>
      </c>
      <c r="B6" s="48">
        <v>5</v>
      </c>
      <c r="C6" s="38" t="s">
        <v>17</v>
      </c>
      <c r="D6" s="38" t="s">
        <v>18</v>
      </c>
      <c r="E6" s="64" t="s">
        <v>19</v>
      </c>
      <c r="F6" s="10"/>
      <c r="G6" s="5"/>
      <c r="H6" s="5"/>
      <c r="I6" s="5"/>
      <c r="J6" s="11" t="s">
        <v>296</v>
      </c>
      <c r="K6" s="28"/>
      <c r="L6" s="4"/>
      <c r="M6" s="4"/>
      <c r="N6" s="4"/>
      <c r="O6" s="4"/>
      <c r="P6" s="4"/>
      <c r="Q6" s="4"/>
      <c r="R6" s="4"/>
      <c r="S6" s="4"/>
      <c r="T6" s="4"/>
      <c r="U6" s="4"/>
    </row>
    <row r="7" spans="1:21" ht="165.6" x14ac:dyDescent="0.3">
      <c r="A7" s="36">
        <v>8</v>
      </c>
      <c r="B7" s="5">
        <v>6</v>
      </c>
      <c r="C7" s="38" t="s">
        <v>20</v>
      </c>
      <c r="D7" s="38" t="s">
        <v>21</v>
      </c>
      <c r="E7" s="64" t="s">
        <v>22</v>
      </c>
      <c r="F7" s="10"/>
      <c r="G7" s="5"/>
      <c r="H7" s="5" t="s">
        <v>297</v>
      </c>
      <c r="I7" s="5"/>
      <c r="J7" s="12" t="s">
        <v>298</v>
      </c>
      <c r="K7" s="29"/>
      <c r="L7" s="4"/>
      <c r="M7" s="4"/>
      <c r="N7" s="4"/>
      <c r="O7" s="4"/>
      <c r="P7" s="4"/>
      <c r="Q7" s="4"/>
      <c r="R7" s="4"/>
      <c r="S7" s="4"/>
      <c r="T7" s="3"/>
      <c r="U7" s="3"/>
    </row>
    <row r="8" spans="1:21" ht="234.6" x14ac:dyDescent="0.3">
      <c r="A8" s="36">
        <v>184</v>
      </c>
      <c r="B8" s="48">
        <v>7</v>
      </c>
      <c r="C8" s="38" t="s">
        <v>23</v>
      </c>
      <c r="D8" s="54" t="s">
        <v>24</v>
      </c>
      <c r="E8" s="64" t="s">
        <v>25</v>
      </c>
      <c r="F8" s="178"/>
      <c r="G8" s="179"/>
      <c r="H8" s="179"/>
      <c r="I8" s="180"/>
      <c r="J8" s="9" t="s">
        <v>253</v>
      </c>
      <c r="K8" s="27"/>
      <c r="L8" s="4"/>
      <c r="M8" s="4"/>
      <c r="N8" s="4"/>
      <c r="O8" s="4"/>
      <c r="P8" s="4"/>
      <c r="Q8" s="4"/>
      <c r="R8" s="4"/>
      <c r="S8" s="4"/>
      <c r="T8" s="3"/>
      <c r="U8" s="3"/>
    </row>
    <row r="9" spans="1:21" ht="151.80000000000001" x14ac:dyDescent="0.3">
      <c r="A9" s="36">
        <v>11</v>
      </c>
      <c r="B9" s="5">
        <v>8</v>
      </c>
      <c r="C9" s="38" t="s">
        <v>26</v>
      </c>
      <c r="D9" s="38" t="s">
        <v>27</v>
      </c>
      <c r="E9" s="64" t="s">
        <v>28</v>
      </c>
      <c r="F9" s="187" t="s">
        <v>299</v>
      </c>
      <c r="G9" s="188"/>
      <c r="H9" s="188"/>
      <c r="I9" s="189"/>
      <c r="J9" s="11" t="s">
        <v>300</v>
      </c>
      <c r="K9" s="28"/>
      <c r="L9" s="4"/>
      <c r="M9" s="4"/>
      <c r="N9" s="4"/>
      <c r="O9" s="4"/>
      <c r="P9" s="4"/>
      <c r="Q9" s="4"/>
      <c r="R9" s="4"/>
      <c r="S9" s="4"/>
      <c r="T9" s="3"/>
      <c r="U9" s="3"/>
    </row>
    <row r="10" spans="1:21" ht="220.8" x14ac:dyDescent="0.3">
      <c r="A10" s="36">
        <v>15</v>
      </c>
      <c r="B10" s="48">
        <v>9</v>
      </c>
      <c r="C10" s="38" t="s">
        <v>29</v>
      </c>
      <c r="D10" s="38" t="s">
        <v>30</v>
      </c>
      <c r="E10" s="64" t="s">
        <v>31</v>
      </c>
      <c r="F10" s="10"/>
      <c r="G10" s="13" t="s">
        <v>306</v>
      </c>
      <c r="H10" s="5"/>
      <c r="I10" s="5"/>
      <c r="J10" s="11" t="s">
        <v>298</v>
      </c>
      <c r="K10" s="28"/>
      <c r="L10" s="4"/>
      <c r="M10" s="4"/>
      <c r="N10" s="4"/>
      <c r="O10" s="4"/>
      <c r="P10" s="4"/>
      <c r="Q10" s="4"/>
      <c r="R10" s="4"/>
      <c r="S10" s="4"/>
      <c r="T10" s="3"/>
      <c r="U10" s="3"/>
    </row>
    <row r="11" spans="1:21" ht="234.6" x14ac:dyDescent="0.3">
      <c r="A11" s="36">
        <v>16</v>
      </c>
      <c r="B11" s="5">
        <v>10</v>
      </c>
      <c r="C11" s="38" t="s">
        <v>32</v>
      </c>
      <c r="D11" s="38" t="s">
        <v>33</v>
      </c>
      <c r="E11" s="64" t="s">
        <v>34</v>
      </c>
      <c r="F11" s="10"/>
      <c r="G11" s="5"/>
      <c r="H11" s="5" t="s">
        <v>307</v>
      </c>
      <c r="I11" s="5"/>
      <c r="J11" s="11" t="s">
        <v>298</v>
      </c>
      <c r="K11" s="28"/>
      <c r="L11" s="4"/>
      <c r="M11" s="4"/>
      <c r="N11" s="4"/>
      <c r="O11" s="4"/>
      <c r="P11" s="4"/>
      <c r="Q11" s="4"/>
      <c r="R11" s="4"/>
      <c r="S11" s="4"/>
      <c r="T11" s="3"/>
      <c r="U11" s="3"/>
    </row>
    <row r="12" spans="1:21" ht="220.8" x14ac:dyDescent="0.3">
      <c r="A12" s="36">
        <v>17</v>
      </c>
      <c r="B12" s="48">
        <v>11</v>
      </c>
      <c r="C12" s="38" t="s">
        <v>35</v>
      </c>
      <c r="D12" s="54" t="s">
        <v>36</v>
      </c>
      <c r="E12" s="65" t="s">
        <v>37</v>
      </c>
      <c r="F12" s="178"/>
      <c r="G12" s="179"/>
      <c r="H12" s="179"/>
      <c r="I12" s="180"/>
      <c r="J12" s="9" t="s">
        <v>253</v>
      </c>
      <c r="K12" s="27"/>
      <c r="L12" s="4"/>
      <c r="M12" s="4"/>
      <c r="N12" s="4"/>
      <c r="O12" s="4"/>
      <c r="P12" s="4"/>
      <c r="Q12" s="4"/>
      <c r="R12" s="4"/>
      <c r="S12" s="4"/>
      <c r="T12" s="3"/>
      <c r="U12" s="3"/>
    </row>
    <row r="13" spans="1:21" ht="82.8" x14ac:dyDescent="0.3">
      <c r="A13" s="36">
        <v>20</v>
      </c>
      <c r="B13" s="5">
        <v>12</v>
      </c>
      <c r="C13" s="38" t="s">
        <v>38</v>
      </c>
      <c r="D13" s="38" t="s">
        <v>39</v>
      </c>
      <c r="E13" s="65" t="s">
        <v>22</v>
      </c>
      <c r="F13" s="32" t="s">
        <v>282</v>
      </c>
      <c r="G13" s="14" t="s">
        <v>282</v>
      </c>
      <c r="H13" s="14" t="s">
        <v>282</v>
      </c>
      <c r="I13" s="14" t="s">
        <v>282</v>
      </c>
      <c r="J13" s="11" t="s">
        <v>298</v>
      </c>
      <c r="K13" s="28"/>
      <c r="L13" s="4"/>
      <c r="M13" s="4"/>
      <c r="N13" s="4"/>
      <c r="O13" s="4"/>
      <c r="P13" s="4"/>
      <c r="Q13" s="4"/>
      <c r="R13" s="4"/>
      <c r="S13" s="4"/>
      <c r="T13" s="3"/>
      <c r="U13" s="3"/>
    </row>
    <row r="14" spans="1:21" ht="138" x14ac:dyDescent="0.3">
      <c r="A14" s="36">
        <v>23</v>
      </c>
      <c r="B14" s="48">
        <v>13</v>
      </c>
      <c r="C14" s="38" t="s">
        <v>40</v>
      </c>
      <c r="D14" s="38" t="s">
        <v>41</v>
      </c>
      <c r="E14" s="65" t="s">
        <v>22</v>
      </c>
      <c r="F14" s="32" t="s">
        <v>282</v>
      </c>
      <c r="G14" s="14" t="s">
        <v>282</v>
      </c>
      <c r="H14" s="14" t="s">
        <v>282</v>
      </c>
      <c r="I14" s="14" t="s">
        <v>282</v>
      </c>
      <c r="J14" s="11" t="s">
        <v>298</v>
      </c>
      <c r="K14" s="28"/>
      <c r="L14" s="4"/>
      <c r="M14" s="4"/>
      <c r="N14" s="4"/>
      <c r="O14" s="4"/>
      <c r="P14" s="4"/>
      <c r="Q14" s="4"/>
      <c r="R14" s="4"/>
      <c r="S14" s="4"/>
      <c r="T14" s="3"/>
      <c r="U14" s="3"/>
    </row>
    <row r="15" spans="1:21" ht="234.6" x14ac:dyDescent="0.3">
      <c r="A15" s="36">
        <v>29</v>
      </c>
      <c r="B15" s="5">
        <v>14</v>
      </c>
      <c r="C15" s="38" t="s">
        <v>42</v>
      </c>
      <c r="D15" s="54" t="s">
        <v>43</v>
      </c>
      <c r="E15" s="64"/>
      <c r="F15" s="178"/>
      <c r="G15" s="179"/>
      <c r="H15" s="179"/>
      <c r="I15" s="180"/>
      <c r="J15" s="9" t="s">
        <v>253</v>
      </c>
      <c r="K15" s="27"/>
      <c r="L15" s="4"/>
      <c r="M15" s="4"/>
      <c r="N15" s="4"/>
      <c r="O15" s="4"/>
      <c r="P15" s="4"/>
      <c r="Q15" s="4"/>
      <c r="R15" s="4"/>
      <c r="S15" s="4"/>
      <c r="T15" s="3"/>
      <c r="U15" s="3"/>
    </row>
    <row r="16" spans="1:21" ht="262.2" x14ac:dyDescent="0.3">
      <c r="A16" s="36">
        <v>30</v>
      </c>
      <c r="B16" s="48">
        <v>15</v>
      </c>
      <c r="C16" s="38" t="s">
        <v>44</v>
      </c>
      <c r="D16" s="54" t="s">
        <v>45</v>
      </c>
      <c r="E16" s="64"/>
      <c r="F16" s="178"/>
      <c r="G16" s="179"/>
      <c r="H16" s="179"/>
      <c r="I16" s="180"/>
      <c r="J16" s="9" t="s">
        <v>253</v>
      </c>
      <c r="K16" s="27"/>
      <c r="L16" s="4"/>
      <c r="M16" s="4"/>
      <c r="N16" s="4"/>
      <c r="O16" s="4"/>
      <c r="P16" s="4"/>
      <c r="Q16" s="4"/>
      <c r="R16" s="4"/>
      <c r="S16" s="4"/>
      <c r="T16" s="3"/>
      <c r="U16" s="3"/>
    </row>
    <row r="17" spans="1:21" ht="234.6" x14ac:dyDescent="0.3">
      <c r="A17" s="36">
        <v>34</v>
      </c>
      <c r="B17" s="5">
        <v>16</v>
      </c>
      <c r="C17" s="38" t="s">
        <v>46</v>
      </c>
      <c r="D17" s="55" t="s">
        <v>275</v>
      </c>
      <c r="E17" s="64" t="s">
        <v>47</v>
      </c>
      <c r="F17" s="10"/>
      <c r="G17" s="15" t="s">
        <v>302</v>
      </c>
      <c r="H17" s="5"/>
      <c r="I17" s="5"/>
      <c r="J17" s="11" t="s">
        <v>301</v>
      </c>
      <c r="K17" s="28"/>
      <c r="L17" s="4"/>
      <c r="M17" s="4"/>
      <c r="N17" s="4"/>
      <c r="O17" s="4"/>
      <c r="P17" s="4"/>
      <c r="Q17" s="4"/>
      <c r="R17" s="4"/>
      <c r="S17" s="4"/>
      <c r="T17" s="3"/>
      <c r="U17" s="3"/>
    </row>
    <row r="18" spans="1:21" ht="220.8" x14ac:dyDescent="0.3">
      <c r="A18" s="36">
        <v>36</v>
      </c>
      <c r="B18" s="48">
        <v>17</v>
      </c>
      <c r="C18" s="38" t="s">
        <v>48</v>
      </c>
      <c r="D18" s="38" t="s">
        <v>276</v>
      </c>
      <c r="E18" s="64" t="s">
        <v>49</v>
      </c>
      <c r="F18" s="10"/>
      <c r="G18" s="16" t="s">
        <v>288</v>
      </c>
      <c r="H18" s="16" t="s">
        <v>287</v>
      </c>
      <c r="I18" s="5"/>
      <c r="J18" s="17" t="s">
        <v>298</v>
      </c>
      <c r="K18" s="27"/>
      <c r="L18" s="4"/>
      <c r="M18" s="4"/>
      <c r="N18" s="4"/>
      <c r="O18" s="4"/>
      <c r="P18" s="4"/>
      <c r="Q18" s="4"/>
      <c r="R18" s="4"/>
      <c r="S18" s="4"/>
      <c r="T18" s="3"/>
      <c r="U18" s="3"/>
    </row>
    <row r="19" spans="1:21" ht="386.4" x14ac:dyDescent="0.3">
      <c r="A19" s="36">
        <v>37</v>
      </c>
      <c r="B19" s="5">
        <v>18</v>
      </c>
      <c r="C19" s="38" t="s">
        <v>50</v>
      </c>
      <c r="D19" s="38" t="s">
        <v>277</v>
      </c>
      <c r="E19" s="64" t="s">
        <v>51</v>
      </c>
      <c r="F19" s="10"/>
      <c r="G19" s="5" t="s">
        <v>303</v>
      </c>
      <c r="H19" s="5"/>
      <c r="I19" s="5"/>
      <c r="J19" s="11" t="s">
        <v>298</v>
      </c>
      <c r="K19" s="28"/>
      <c r="L19" s="4"/>
      <c r="M19" s="4"/>
      <c r="N19" s="4"/>
      <c r="O19" s="4"/>
      <c r="P19" s="4"/>
      <c r="Q19" s="4"/>
      <c r="R19" s="4"/>
      <c r="S19" s="4"/>
      <c r="T19" s="3"/>
      <c r="U19" s="3"/>
    </row>
    <row r="20" spans="1:21" ht="331.2" x14ac:dyDescent="0.3">
      <c r="A20" s="36">
        <v>38</v>
      </c>
      <c r="B20" s="48">
        <v>19</v>
      </c>
      <c r="C20" s="38" t="s">
        <v>52</v>
      </c>
      <c r="D20" s="38" t="s">
        <v>278</v>
      </c>
      <c r="E20" s="64" t="s">
        <v>53</v>
      </c>
      <c r="F20" s="178"/>
      <c r="G20" s="179"/>
      <c r="H20" s="179"/>
      <c r="I20" s="180"/>
      <c r="J20" s="9" t="s">
        <v>253</v>
      </c>
      <c r="K20" s="27"/>
      <c r="L20" s="4"/>
      <c r="M20" s="4"/>
      <c r="N20" s="4"/>
      <c r="O20" s="4"/>
      <c r="P20" s="4"/>
      <c r="Q20" s="4"/>
      <c r="R20" s="4"/>
      <c r="S20" s="4"/>
      <c r="T20" s="3"/>
      <c r="U20" s="3"/>
    </row>
    <row r="21" spans="1:21" ht="409.6" x14ac:dyDescent="0.3">
      <c r="A21" s="36">
        <v>42</v>
      </c>
      <c r="B21" s="5">
        <v>20</v>
      </c>
      <c r="C21" s="39" t="s">
        <v>54</v>
      </c>
      <c r="D21" s="56" t="s">
        <v>55</v>
      </c>
      <c r="E21" s="66" t="s">
        <v>56</v>
      </c>
      <c r="F21" s="10"/>
      <c r="G21" s="5" t="s">
        <v>320</v>
      </c>
      <c r="H21" s="5"/>
      <c r="I21" s="5"/>
      <c r="J21" s="11" t="s">
        <v>298</v>
      </c>
      <c r="K21" s="28"/>
      <c r="L21" s="4"/>
      <c r="M21" s="4"/>
      <c r="N21" s="4"/>
      <c r="O21" s="4"/>
      <c r="P21" s="4"/>
      <c r="Q21" s="4"/>
      <c r="R21" s="4"/>
      <c r="S21" s="4"/>
      <c r="T21" s="3"/>
      <c r="U21" s="3"/>
    </row>
    <row r="22" spans="1:21" ht="409.6" x14ac:dyDescent="0.3">
      <c r="A22" s="36">
        <v>43</v>
      </c>
      <c r="B22" s="48">
        <v>21</v>
      </c>
      <c r="C22" s="38" t="s">
        <v>57</v>
      </c>
      <c r="D22" s="38" t="s">
        <v>58</v>
      </c>
      <c r="E22" s="66" t="s">
        <v>59</v>
      </c>
      <c r="F22" s="33" t="s">
        <v>308</v>
      </c>
      <c r="G22" s="5"/>
      <c r="H22" s="5"/>
      <c r="I22" s="5"/>
      <c r="J22" s="11" t="s">
        <v>304</v>
      </c>
      <c r="K22" s="28"/>
      <c r="L22" s="4"/>
      <c r="M22" s="4"/>
      <c r="N22" s="4"/>
      <c r="O22" s="4"/>
      <c r="P22" s="4"/>
      <c r="Q22" s="4"/>
      <c r="R22" s="4"/>
      <c r="S22" s="4"/>
      <c r="T22" s="3"/>
      <c r="U22" s="3"/>
    </row>
    <row r="23" spans="1:21" ht="409.6" x14ac:dyDescent="0.3">
      <c r="A23" s="36">
        <v>44</v>
      </c>
      <c r="B23" s="5">
        <v>22</v>
      </c>
      <c r="C23" s="38" t="s">
        <v>60</v>
      </c>
      <c r="D23" s="38" t="s">
        <v>61</v>
      </c>
      <c r="E23" s="64" t="s">
        <v>59</v>
      </c>
      <c r="F23" s="178"/>
      <c r="G23" s="179"/>
      <c r="H23" s="179"/>
      <c r="I23" s="180"/>
      <c r="J23" s="18" t="s">
        <v>289</v>
      </c>
      <c r="K23" s="28"/>
      <c r="L23" s="4"/>
      <c r="M23" s="4"/>
      <c r="N23" s="4"/>
      <c r="O23" s="4"/>
      <c r="P23" s="4"/>
      <c r="Q23" s="4"/>
      <c r="R23" s="4"/>
      <c r="S23" s="4"/>
      <c r="T23" s="3"/>
      <c r="U23" s="3"/>
    </row>
    <row r="24" spans="1:21" ht="409.6" x14ac:dyDescent="0.3">
      <c r="A24" s="36">
        <v>45</v>
      </c>
      <c r="B24" s="48">
        <v>23</v>
      </c>
      <c r="C24" s="38" t="s">
        <v>62</v>
      </c>
      <c r="D24" s="38" t="s">
        <v>63</v>
      </c>
      <c r="E24" s="45" t="s">
        <v>64</v>
      </c>
      <c r="F24" s="34" t="s">
        <v>305</v>
      </c>
      <c r="G24" s="5"/>
      <c r="H24" s="5"/>
      <c r="I24" s="5"/>
      <c r="J24" s="11" t="s">
        <v>298</v>
      </c>
      <c r="K24" s="28"/>
      <c r="L24" s="4"/>
      <c r="M24" s="4"/>
      <c r="N24" s="4"/>
      <c r="O24" s="4"/>
      <c r="P24" s="4"/>
      <c r="Q24" s="4"/>
      <c r="R24" s="4"/>
      <c r="S24" s="4"/>
      <c r="T24" s="3"/>
      <c r="U24" s="3"/>
    </row>
    <row r="25" spans="1:21" ht="409.6" x14ac:dyDescent="0.3">
      <c r="A25" s="36">
        <v>46</v>
      </c>
      <c r="B25" s="5">
        <v>24</v>
      </c>
      <c r="C25" s="39" t="s">
        <v>65</v>
      </c>
      <c r="D25" s="38" t="s">
        <v>66</v>
      </c>
      <c r="E25" s="64" t="s">
        <v>67</v>
      </c>
      <c r="F25" s="10"/>
      <c r="G25" s="5" t="s">
        <v>68</v>
      </c>
      <c r="H25" s="5"/>
      <c r="I25" s="5"/>
      <c r="J25" s="11" t="s">
        <v>298</v>
      </c>
      <c r="K25" s="28"/>
      <c r="L25" s="4"/>
      <c r="M25" s="4"/>
      <c r="N25" s="4"/>
      <c r="O25" s="4"/>
      <c r="P25" s="4"/>
      <c r="Q25" s="4"/>
      <c r="R25" s="4"/>
      <c r="S25" s="4"/>
      <c r="T25" s="3"/>
      <c r="U25" s="3"/>
    </row>
    <row r="26" spans="1:21" ht="289.8" x14ac:dyDescent="0.3">
      <c r="A26" s="36">
        <v>47</v>
      </c>
      <c r="B26" s="48">
        <v>25</v>
      </c>
      <c r="C26" s="39" t="s">
        <v>69</v>
      </c>
      <c r="D26" s="38" t="s">
        <v>70</v>
      </c>
      <c r="E26" s="64" t="s">
        <v>71</v>
      </c>
      <c r="F26" s="121"/>
      <c r="G26" s="122"/>
      <c r="H26" s="122" t="s">
        <v>284</v>
      </c>
      <c r="I26" s="122"/>
      <c r="J26" s="123" t="s">
        <v>283</v>
      </c>
      <c r="K26" s="124"/>
      <c r="L26" s="4"/>
      <c r="M26" s="4"/>
      <c r="N26" s="4"/>
      <c r="O26" s="4"/>
      <c r="P26" s="4"/>
      <c r="Q26" s="4"/>
      <c r="R26" s="4"/>
      <c r="S26" s="4"/>
      <c r="T26" s="3"/>
      <c r="U26" s="3"/>
    </row>
    <row r="27" spans="1:21" ht="317.39999999999998" x14ac:dyDescent="0.3">
      <c r="A27" s="36">
        <v>51</v>
      </c>
      <c r="B27" s="5">
        <v>26</v>
      </c>
      <c r="C27" s="38" t="s">
        <v>72</v>
      </c>
      <c r="D27" s="38" t="s">
        <v>73</v>
      </c>
      <c r="E27" s="64" t="s">
        <v>74</v>
      </c>
      <c r="F27" s="178"/>
      <c r="G27" s="179"/>
      <c r="H27" s="179"/>
      <c r="I27" s="180"/>
      <c r="J27" s="18" t="s">
        <v>285</v>
      </c>
      <c r="K27" s="28"/>
      <c r="L27" s="4"/>
      <c r="M27" s="4"/>
      <c r="N27" s="4"/>
      <c r="O27" s="4"/>
      <c r="P27" s="4"/>
      <c r="Q27" s="4"/>
      <c r="R27" s="4"/>
      <c r="S27" s="4"/>
      <c r="T27" s="3"/>
      <c r="U27" s="3"/>
    </row>
    <row r="28" spans="1:21" ht="207" x14ac:dyDescent="0.3">
      <c r="A28" s="36">
        <v>53</v>
      </c>
      <c r="B28" s="48">
        <v>27</v>
      </c>
      <c r="C28" s="38" t="s">
        <v>75</v>
      </c>
      <c r="D28" s="38" t="s">
        <v>76</v>
      </c>
      <c r="E28" s="64" t="s">
        <v>77</v>
      </c>
      <c r="F28" s="178"/>
      <c r="G28" s="179"/>
      <c r="H28" s="179"/>
      <c r="I28" s="180"/>
      <c r="J28" s="18" t="s">
        <v>285</v>
      </c>
      <c r="K28" s="28"/>
      <c r="L28" s="4"/>
      <c r="M28" s="4"/>
      <c r="N28" s="4"/>
      <c r="O28" s="4"/>
      <c r="P28" s="4"/>
      <c r="Q28" s="4"/>
      <c r="R28" s="4"/>
      <c r="S28" s="4"/>
      <c r="T28" s="3"/>
      <c r="U28" s="3"/>
    </row>
    <row r="29" spans="1:21" ht="409.6" x14ac:dyDescent="0.3">
      <c r="A29" s="36">
        <v>55</v>
      </c>
      <c r="B29" s="5">
        <v>28</v>
      </c>
      <c r="C29" s="38" t="s">
        <v>78</v>
      </c>
      <c r="D29" s="38" t="s">
        <v>79</v>
      </c>
      <c r="E29" s="64" t="s">
        <v>80</v>
      </c>
      <c r="F29" s="125" t="s">
        <v>290</v>
      </c>
      <c r="G29" s="121" t="s">
        <v>291</v>
      </c>
      <c r="H29" s="121" t="s">
        <v>292</v>
      </c>
      <c r="I29" s="122"/>
      <c r="J29" s="123" t="s">
        <v>293</v>
      </c>
      <c r="K29" s="124"/>
      <c r="L29" s="4"/>
      <c r="M29" s="4"/>
      <c r="N29" s="4"/>
      <c r="O29" s="4"/>
      <c r="P29" s="4"/>
      <c r="Q29" s="4"/>
      <c r="R29" s="4"/>
      <c r="S29" s="4"/>
      <c r="T29" s="3"/>
      <c r="U29" s="3"/>
    </row>
    <row r="30" spans="1:21" ht="276" x14ac:dyDescent="0.3">
      <c r="A30" s="36">
        <v>56</v>
      </c>
      <c r="B30" s="48">
        <v>29</v>
      </c>
      <c r="C30" s="38" t="s">
        <v>81</v>
      </c>
      <c r="D30" s="38" t="s">
        <v>279</v>
      </c>
      <c r="E30" s="64" t="s">
        <v>82</v>
      </c>
      <c r="F30" s="125" t="s">
        <v>295</v>
      </c>
      <c r="G30" s="5"/>
      <c r="H30" s="5"/>
      <c r="I30" s="5"/>
      <c r="J30" s="11" t="s">
        <v>294</v>
      </c>
      <c r="K30" s="28"/>
      <c r="L30" s="4"/>
      <c r="M30" s="4"/>
      <c r="N30" s="4"/>
      <c r="O30" s="4"/>
      <c r="P30" s="4"/>
      <c r="Q30" s="4"/>
      <c r="R30" s="4"/>
      <c r="S30" s="4"/>
      <c r="T30" s="3"/>
      <c r="U30" s="3"/>
    </row>
    <row r="31" spans="1:21" ht="409.6" x14ac:dyDescent="0.3">
      <c r="A31" s="36">
        <v>57</v>
      </c>
      <c r="B31" s="5">
        <v>30</v>
      </c>
      <c r="C31" s="38" t="s">
        <v>83</v>
      </c>
      <c r="D31" s="38" t="s">
        <v>84</v>
      </c>
      <c r="E31" s="64" t="s">
        <v>85</v>
      </c>
      <c r="F31" s="178"/>
      <c r="G31" s="179"/>
      <c r="H31" s="179"/>
      <c r="I31" s="180"/>
      <c r="J31" s="18" t="s">
        <v>286</v>
      </c>
      <c r="K31" s="28"/>
      <c r="L31" s="4"/>
      <c r="M31" s="4"/>
      <c r="N31" s="4"/>
      <c r="O31" s="4"/>
      <c r="P31" s="4"/>
      <c r="Q31" s="4"/>
      <c r="R31" s="4"/>
      <c r="S31" s="4"/>
      <c r="T31" s="3"/>
      <c r="U31" s="3"/>
    </row>
    <row r="32" spans="1:21" ht="409.6" x14ac:dyDescent="0.3">
      <c r="A32" s="36">
        <v>58</v>
      </c>
      <c r="B32" s="48">
        <v>31</v>
      </c>
      <c r="C32" s="38" t="s">
        <v>86</v>
      </c>
      <c r="D32" s="38" t="s">
        <v>87</v>
      </c>
      <c r="E32" s="64" t="s">
        <v>88</v>
      </c>
      <c r="F32" s="10"/>
      <c r="G32" s="5" t="s">
        <v>309</v>
      </c>
      <c r="H32" s="5"/>
      <c r="I32" s="5"/>
      <c r="J32" s="11" t="s">
        <v>298</v>
      </c>
      <c r="K32" s="28"/>
      <c r="L32" s="4"/>
      <c r="M32" s="4"/>
      <c r="N32" s="4"/>
      <c r="O32" s="4"/>
      <c r="P32" s="4"/>
      <c r="Q32" s="4"/>
      <c r="R32" s="4"/>
      <c r="S32" s="4"/>
      <c r="T32" s="3"/>
      <c r="U32" s="3"/>
    </row>
    <row r="33" spans="1:21" ht="409.6" x14ac:dyDescent="0.3">
      <c r="A33" s="36">
        <v>65</v>
      </c>
      <c r="B33" s="5">
        <v>32</v>
      </c>
      <c r="C33" s="38" t="s">
        <v>89</v>
      </c>
      <c r="D33" s="38" t="s">
        <v>90</v>
      </c>
      <c r="E33" s="64" t="s">
        <v>91</v>
      </c>
      <c r="F33" s="33" t="s">
        <v>92</v>
      </c>
      <c r="G33" s="5" t="s">
        <v>93</v>
      </c>
      <c r="H33" s="5"/>
      <c r="I33" s="5"/>
      <c r="J33" s="11" t="s">
        <v>298</v>
      </c>
      <c r="K33" s="28"/>
      <c r="L33" s="4"/>
      <c r="M33" s="4"/>
      <c r="N33" s="4"/>
      <c r="O33" s="4"/>
      <c r="P33" s="4"/>
      <c r="Q33" s="4"/>
      <c r="R33" s="4"/>
      <c r="S33" s="4"/>
      <c r="T33" s="3"/>
      <c r="U33" s="3"/>
    </row>
    <row r="34" spans="1:21" ht="345" x14ac:dyDescent="0.3">
      <c r="A34" s="36">
        <v>66</v>
      </c>
      <c r="B34" s="48">
        <v>33</v>
      </c>
      <c r="C34" s="38" t="s">
        <v>94</v>
      </c>
      <c r="D34" s="56" t="s">
        <v>95</v>
      </c>
      <c r="E34" s="64" t="s">
        <v>96</v>
      </c>
      <c r="F34" s="10"/>
      <c r="G34" s="5" t="s">
        <v>97</v>
      </c>
      <c r="H34" s="5"/>
      <c r="I34" s="5"/>
      <c r="J34" s="11" t="s">
        <v>298</v>
      </c>
      <c r="K34" s="28"/>
      <c r="L34" s="4"/>
      <c r="M34" s="4"/>
      <c r="N34" s="4"/>
      <c r="O34" s="4"/>
      <c r="P34" s="4"/>
      <c r="Q34" s="4"/>
      <c r="R34" s="4"/>
      <c r="S34" s="4"/>
      <c r="T34" s="3"/>
      <c r="U34" s="3"/>
    </row>
    <row r="35" spans="1:21" ht="165.6" x14ac:dyDescent="0.3">
      <c r="A35" s="36">
        <v>70</v>
      </c>
      <c r="B35" s="5">
        <v>34</v>
      </c>
      <c r="C35" s="38" t="s">
        <v>98</v>
      </c>
      <c r="D35" s="38" t="s">
        <v>99</v>
      </c>
      <c r="E35" s="64" t="s">
        <v>100</v>
      </c>
      <c r="F35" s="33" t="s">
        <v>101</v>
      </c>
      <c r="G35" s="5"/>
      <c r="H35" s="5"/>
      <c r="I35" s="5"/>
      <c r="J35" s="11" t="s">
        <v>298</v>
      </c>
      <c r="K35" s="28"/>
      <c r="L35" s="4"/>
      <c r="M35" s="4"/>
      <c r="N35" s="4"/>
      <c r="O35" s="4"/>
      <c r="P35" s="4"/>
      <c r="Q35" s="4"/>
      <c r="R35" s="4"/>
      <c r="S35" s="4"/>
      <c r="T35" s="3"/>
      <c r="U35" s="3"/>
    </row>
    <row r="36" spans="1:21" ht="358.8" x14ac:dyDescent="0.3">
      <c r="A36" s="36">
        <v>71</v>
      </c>
      <c r="B36" s="48">
        <v>35</v>
      </c>
      <c r="C36" s="38" t="s">
        <v>102</v>
      </c>
      <c r="D36" s="57" t="s">
        <v>103</v>
      </c>
      <c r="E36" s="67" t="s">
        <v>104</v>
      </c>
      <c r="F36" s="10"/>
      <c r="G36" s="5"/>
      <c r="H36" s="5"/>
      <c r="I36" s="5"/>
      <c r="J36" s="11" t="s">
        <v>105</v>
      </c>
      <c r="K36" s="28"/>
      <c r="L36" s="4"/>
      <c r="M36" s="4"/>
      <c r="N36" s="4"/>
      <c r="O36" s="4"/>
      <c r="P36" s="4"/>
      <c r="Q36" s="4"/>
      <c r="R36" s="4"/>
      <c r="S36" s="4"/>
      <c r="T36" s="3"/>
      <c r="U36" s="3"/>
    </row>
    <row r="37" spans="1:21" ht="409.6" x14ac:dyDescent="0.3">
      <c r="A37" s="36">
        <v>74</v>
      </c>
      <c r="B37" s="5">
        <v>36</v>
      </c>
      <c r="C37" s="38" t="s">
        <v>106</v>
      </c>
      <c r="D37" s="58" t="s">
        <v>107</v>
      </c>
      <c r="E37" s="68" t="s">
        <v>108</v>
      </c>
      <c r="F37" s="10"/>
      <c r="G37" s="5"/>
      <c r="H37" s="5"/>
      <c r="I37" s="5"/>
      <c r="J37" s="11" t="s">
        <v>109</v>
      </c>
      <c r="K37" s="28"/>
      <c r="L37" s="4"/>
      <c r="M37" s="4"/>
      <c r="N37" s="4"/>
      <c r="O37" s="4"/>
      <c r="P37" s="4"/>
      <c r="Q37" s="4"/>
      <c r="R37" s="4"/>
      <c r="S37" s="4"/>
      <c r="T37" s="3"/>
      <c r="U37" s="3"/>
    </row>
    <row r="38" spans="1:21" ht="409.6" x14ac:dyDescent="0.3">
      <c r="A38" s="36">
        <v>75</v>
      </c>
      <c r="B38" s="48">
        <v>37</v>
      </c>
      <c r="C38" s="38" t="s">
        <v>110</v>
      </c>
      <c r="D38" s="58" t="s">
        <v>111</v>
      </c>
      <c r="E38" s="68" t="s">
        <v>112</v>
      </c>
      <c r="F38" s="10"/>
      <c r="G38" s="5"/>
      <c r="H38" s="5"/>
      <c r="I38" s="5"/>
      <c r="J38" s="11" t="s">
        <v>109</v>
      </c>
      <c r="K38" s="28"/>
      <c r="L38" s="4"/>
      <c r="M38" s="4"/>
      <c r="N38" s="4"/>
      <c r="O38" s="4"/>
      <c r="P38" s="4"/>
      <c r="Q38" s="4"/>
      <c r="R38" s="4"/>
      <c r="S38" s="4"/>
      <c r="T38" s="3"/>
      <c r="U38" s="3"/>
    </row>
    <row r="39" spans="1:21" ht="289.8" x14ac:dyDescent="0.3">
      <c r="A39" s="47"/>
      <c r="B39" s="5">
        <v>38</v>
      </c>
      <c r="C39" s="38" t="s">
        <v>113</v>
      </c>
      <c r="D39" s="58" t="s">
        <v>114</v>
      </c>
      <c r="E39" s="68" t="s">
        <v>115</v>
      </c>
      <c r="F39" s="10"/>
      <c r="G39" s="5" t="s">
        <v>116</v>
      </c>
      <c r="H39" s="5"/>
      <c r="I39" s="5"/>
      <c r="J39" s="11" t="s">
        <v>298</v>
      </c>
      <c r="K39" s="28"/>
      <c r="L39" s="4"/>
      <c r="M39" s="4"/>
      <c r="N39" s="4"/>
      <c r="O39" s="4"/>
      <c r="P39" s="4"/>
      <c r="Q39" s="4"/>
      <c r="R39" s="4"/>
      <c r="S39" s="4"/>
      <c r="T39" s="3"/>
      <c r="U39" s="3"/>
    </row>
    <row r="40" spans="1:21" ht="289.8" x14ac:dyDescent="0.3">
      <c r="A40" s="36">
        <v>77</v>
      </c>
      <c r="B40" s="48">
        <v>39</v>
      </c>
      <c r="C40" s="38" t="s">
        <v>117</v>
      </c>
      <c r="D40" s="58" t="s">
        <v>118</v>
      </c>
      <c r="E40" s="68" t="s">
        <v>115</v>
      </c>
      <c r="F40" s="10"/>
      <c r="G40" s="5" t="s">
        <v>116</v>
      </c>
      <c r="H40" s="5"/>
      <c r="I40" s="5"/>
      <c r="J40" s="11" t="s">
        <v>298</v>
      </c>
      <c r="K40" s="28"/>
      <c r="L40" s="4"/>
      <c r="M40" s="4"/>
      <c r="N40" s="4"/>
      <c r="O40" s="4"/>
      <c r="P40" s="4"/>
      <c r="Q40" s="4"/>
      <c r="R40" s="4"/>
      <c r="S40" s="4"/>
      <c r="T40" s="3"/>
      <c r="U40" s="3"/>
    </row>
    <row r="41" spans="1:21" ht="317.39999999999998" x14ac:dyDescent="0.3">
      <c r="A41" s="36">
        <v>86</v>
      </c>
      <c r="B41" s="5">
        <v>40</v>
      </c>
      <c r="C41" s="38" t="s">
        <v>119</v>
      </c>
      <c r="D41" s="58" t="s">
        <v>120</v>
      </c>
      <c r="E41" s="68" t="s">
        <v>115</v>
      </c>
      <c r="F41" s="10"/>
      <c r="G41" s="5" t="s">
        <v>116</v>
      </c>
      <c r="H41" s="5"/>
      <c r="I41" s="5"/>
      <c r="J41" s="11" t="s">
        <v>298</v>
      </c>
      <c r="K41" s="28"/>
      <c r="L41" s="4"/>
      <c r="M41" s="4"/>
      <c r="N41" s="4"/>
      <c r="O41" s="4"/>
      <c r="P41" s="4"/>
      <c r="Q41" s="4"/>
      <c r="R41" s="4"/>
      <c r="S41" s="4"/>
      <c r="T41" s="3"/>
      <c r="U41" s="3"/>
    </row>
    <row r="42" spans="1:21" ht="345" x14ac:dyDescent="0.3">
      <c r="A42" s="36">
        <v>92</v>
      </c>
      <c r="B42" s="48">
        <v>41</v>
      </c>
      <c r="C42" s="38" t="s">
        <v>121</v>
      </c>
      <c r="D42" s="38" t="s">
        <v>122</v>
      </c>
      <c r="E42" s="64" t="s">
        <v>123</v>
      </c>
      <c r="F42" s="10"/>
      <c r="G42" s="5">
        <v>8</v>
      </c>
      <c r="H42" s="5"/>
      <c r="I42" s="5"/>
      <c r="J42" s="12" t="s">
        <v>298</v>
      </c>
      <c r="K42" s="29"/>
      <c r="L42" s="4"/>
      <c r="M42" s="4"/>
      <c r="N42" s="4"/>
      <c r="O42" s="4"/>
      <c r="P42" s="4"/>
      <c r="Q42" s="4"/>
      <c r="R42" s="4"/>
      <c r="S42" s="4"/>
      <c r="T42" s="3"/>
      <c r="U42" s="3"/>
    </row>
    <row r="43" spans="1:21" ht="303.60000000000002" x14ac:dyDescent="0.3">
      <c r="A43" s="36">
        <v>93</v>
      </c>
      <c r="B43" s="5">
        <v>42</v>
      </c>
      <c r="C43" s="38" t="s">
        <v>124</v>
      </c>
      <c r="D43" s="38" t="s">
        <v>125</v>
      </c>
      <c r="E43" s="64" t="s">
        <v>126</v>
      </c>
      <c r="F43" s="10"/>
      <c r="G43" s="5">
        <v>11</v>
      </c>
      <c r="H43" s="5"/>
      <c r="I43" s="5"/>
      <c r="J43" s="11" t="s">
        <v>298</v>
      </c>
      <c r="K43" s="28"/>
      <c r="L43" s="4"/>
      <c r="M43" s="4"/>
      <c r="N43" s="4"/>
      <c r="O43" s="4"/>
      <c r="P43" s="4"/>
      <c r="Q43" s="4"/>
      <c r="R43" s="4"/>
      <c r="S43" s="4"/>
      <c r="T43" s="3"/>
      <c r="U43" s="3"/>
    </row>
    <row r="44" spans="1:21" ht="276" x14ac:dyDescent="0.3">
      <c r="A44" s="36">
        <v>95</v>
      </c>
      <c r="B44" s="48">
        <v>43</v>
      </c>
      <c r="C44" s="40" t="s">
        <v>127</v>
      </c>
      <c r="D44" s="45" t="s">
        <v>128</v>
      </c>
      <c r="E44" s="64" t="s">
        <v>129</v>
      </c>
      <c r="F44" s="10"/>
      <c r="G44" s="5"/>
      <c r="H44" s="5"/>
      <c r="I44" s="5"/>
      <c r="J44" s="19" t="s">
        <v>105</v>
      </c>
      <c r="K44" s="30"/>
      <c r="L44" s="4"/>
      <c r="M44" s="4"/>
      <c r="N44" s="4"/>
      <c r="O44" s="4"/>
      <c r="P44" s="4"/>
      <c r="Q44" s="4"/>
      <c r="R44" s="4"/>
      <c r="S44" s="4"/>
      <c r="T44" s="3"/>
      <c r="U44" s="3"/>
    </row>
    <row r="45" spans="1:21" ht="276" x14ac:dyDescent="0.3">
      <c r="A45" s="36">
        <v>99</v>
      </c>
      <c r="B45" s="5">
        <v>44</v>
      </c>
      <c r="C45" s="38" t="s">
        <v>130</v>
      </c>
      <c r="D45" s="45" t="s">
        <v>131</v>
      </c>
      <c r="E45" s="64" t="s">
        <v>132</v>
      </c>
      <c r="F45" s="35">
        <v>22</v>
      </c>
      <c r="G45" s="5"/>
      <c r="H45" s="5"/>
      <c r="I45" s="5"/>
      <c r="J45" s="11" t="s">
        <v>298</v>
      </c>
      <c r="K45" s="28"/>
      <c r="L45" s="4"/>
      <c r="M45" s="4"/>
      <c r="N45" s="4"/>
      <c r="O45" s="4"/>
      <c r="P45" s="4"/>
      <c r="Q45" s="4"/>
      <c r="R45" s="4"/>
      <c r="S45" s="4"/>
      <c r="T45" s="3"/>
      <c r="U45" s="3"/>
    </row>
    <row r="46" spans="1:21" ht="372.6" x14ac:dyDescent="0.3">
      <c r="A46" s="36">
        <v>105</v>
      </c>
      <c r="B46" s="48">
        <v>45</v>
      </c>
      <c r="C46" s="39" t="s">
        <v>133</v>
      </c>
      <c r="D46" s="38" t="s">
        <v>134</v>
      </c>
      <c r="E46" s="64" t="s">
        <v>135</v>
      </c>
      <c r="F46" s="33" t="s">
        <v>310</v>
      </c>
      <c r="G46" s="5" t="s">
        <v>311</v>
      </c>
      <c r="H46" s="5"/>
      <c r="I46" s="5"/>
      <c r="J46" s="11" t="s">
        <v>298</v>
      </c>
      <c r="K46" s="28"/>
      <c r="L46" s="4"/>
      <c r="M46" s="4"/>
      <c r="N46" s="4"/>
      <c r="O46" s="4"/>
      <c r="P46" s="4"/>
      <c r="Q46" s="4"/>
      <c r="R46" s="4"/>
      <c r="S46" s="4"/>
      <c r="T46" s="3"/>
      <c r="U46" s="3"/>
    </row>
    <row r="47" spans="1:21" ht="317.39999999999998" x14ac:dyDescent="0.3">
      <c r="A47" s="36" t="s">
        <v>324</v>
      </c>
      <c r="B47" s="5">
        <v>46</v>
      </c>
      <c r="C47" s="41" t="s">
        <v>136</v>
      </c>
      <c r="D47" s="41" t="s">
        <v>137</v>
      </c>
      <c r="E47" s="41" t="s">
        <v>138</v>
      </c>
      <c r="F47" s="10"/>
      <c r="G47" s="5">
        <v>2</v>
      </c>
      <c r="H47" s="5"/>
      <c r="I47" s="5"/>
      <c r="J47" s="11" t="s">
        <v>298</v>
      </c>
      <c r="K47" s="28"/>
      <c r="L47" s="4"/>
      <c r="M47" s="4"/>
      <c r="N47" s="4"/>
      <c r="O47" s="4"/>
      <c r="P47" s="4"/>
      <c r="Q47" s="4"/>
      <c r="R47" s="4"/>
      <c r="S47" s="4"/>
      <c r="T47" s="3"/>
      <c r="U47" s="3"/>
    </row>
    <row r="48" spans="1:21" ht="96.6" x14ac:dyDescent="0.3">
      <c r="A48" s="36">
        <v>109</v>
      </c>
      <c r="B48" s="5">
        <v>48</v>
      </c>
      <c r="C48" s="38" t="s">
        <v>139</v>
      </c>
      <c r="D48" s="59" t="s">
        <v>140</v>
      </c>
      <c r="E48" s="69"/>
      <c r="F48" s="10"/>
      <c r="G48" s="5"/>
      <c r="H48" s="5"/>
      <c r="I48" s="5"/>
      <c r="J48" s="19" t="s">
        <v>105</v>
      </c>
      <c r="K48" s="30"/>
      <c r="L48" s="4"/>
      <c r="M48" s="4"/>
      <c r="N48" s="4"/>
      <c r="O48" s="4"/>
      <c r="P48" s="4"/>
      <c r="Q48" s="4"/>
      <c r="R48" s="4"/>
      <c r="S48" s="4"/>
      <c r="T48" s="3"/>
      <c r="U48" s="3"/>
    </row>
    <row r="49" spans="1:24" ht="409.6" x14ac:dyDescent="0.3">
      <c r="A49" s="36">
        <v>115</v>
      </c>
      <c r="B49" s="48">
        <v>49</v>
      </c>
      <c r="C49" s="38" t="s">
        <v>141</v>
      </c>
      <c r="D49" s="38" t="s">
        <v>142</v>
      </c>
      <c r="E49" s="64" t="s">
        <v>143</v>
      </c>
      <c r="F49" s="10"/>
      <c r="G49" s="5" t="s">
        <v>92</v>
      </c>
      <c r="H49" s="5"/>
      <c r="I49" s="5"/>
      <c r="J49" s="11" t="s">
        <v>298</v>
      </c>
      <c r="K49" s="28"/>
      <c r="L49" s="4"/>
      <c r="M49" s="4"/>
      <c r="N49" s="4"/>
      <c r="O49" s="4"/>
      <c r="P49" s="4"/>
      <c r="Q49" s="4"/>
      <c r="R49" s="4"/>
      <c r="S49" s="4"/>
      <c r="T49" s="3"/>
      <c r="U49" s="3"/>
    </row>
    <row r="50" spans="1:24" ht="220.8" x14ac:dyDescent="0.3">
      <c r="A50" s="36">
        <v>116</v>
      </c>
      <c r="B50" s="5">
        <v>50</v>
      </c>
      <c r="C50" s="38" t="s">
        <v>144</v>
      </c>
      <c r="D50" s="38" t="s">
        <v>145</v>
      </c>
      <c r="E50" s="64" t="s">
        <v>143</v>
      </c>
      <c r="F50" s="10"/>
      <c r="G50" s="5" t="s">
        <v>312</v>
      </c>
      <c r="H50" s="5"/>
      <c r="I50" s="5"/>
      <c r="J50" s="11" t="s">
        <v>298</v>
      </c>
      <c r="K50" s="28"/>
      <c r="L50" s="4"/>
      <c r="M50" s="4"/>
      <c r="N50" s="4"/>
      <c r="O50" s="4"/>
      <c r="P50" s="4"/>
      <c r="Q50" s="4"/>
      <c r="R50" s="4"/>
      <c r="S50" s="4"/>
      <c r="T50" s="3"/>
      <c r="U50" s="3"/>
    </row>
    <row r="51" spans="1:24" ht="289.8" x14ac:dyDescent="0.3">
      <c r="A51" s="36">
        <v>118</v>
      </c>
      <c r="B51" s="48">
        <v>51</v>
      </c>
      <c r="C51" s="38" t="s">
        <v>146</v>
      </c>
      <c r="D51" s="38" t="s">
        <v>147</v>
      </c>
      <c r="E51" s="64" t="s">
        <v>143</v>
      </c>
      <c r="F51" s="10"/>
      <c r="G51" s="5"/>
      <c r="H51" s="5">
        <v>4</v>
      </c>
      <c r="I51" s="5"/>
      <c r="J51" s="11" t="s">
        <v>298</v>
      </c>
      <c r="K51" s="28"/>
      <c r="L51" s="4"/>
      <c r="M51" s="4"/>
      <c r="N51" s="4"/>
      <c r="O51" s="4"/>
      <c r="P51" s="4"/>
      <c r="Q51" s="4"/>
      <c r="R51" s="4"/>
      <c r="S51" s="4"/>
      <c r="T51" s="3"/>
      <c r="U51" s="3"/>
    </row>
    <row r="52" spans="1:24" ht="276" x14ac:dyDescent="0.3">
      <c r="A52" s="36" t="s">
        <v>325</v>
      </c>
      <c r="B52" s="5">
        <v>52</v>
      </c>
      <c r="C52" s="42" t="s">
        <v>148</v>
      </c>
      <c r="D52" s="42" t="s">
        <v>149</v>
      </c>
      <c r="E52" s="70" t="s">
        <v>150</v>
      </c>
      <c r="F52" s="33" t="s">
        <v>310</v>
      </c>
      <c r="G52" s="5" t="s">
        <v>313</v>
      </c>
      <c r="H52" s="5"/>
      <c r="I52" s="5"/>
      <c r="J52" s="11" t="s">
        <v>298</v>
      </c>
      <c r="K52" s="28"/>
      <c r="L52" s="4"/>
      <c r="M52" s="4"/>
      <c r="N52" s="4"/>
      <c r="O52" s="4"/>
      <c r="P52" s="4"/>
      <c r="Q52" s="4"/>
      <c r="R52" s="4"/>
      <c r="S52" s="4"/>
      <c r="T52" s="3"/>
      <c r="U52" s="3"/>
      <c r="V52" s="4"/>
      <c r="W52" s="4"/>
      <c r="X52" s="4"/>
    </row>
    <row r="53" spans="1:24" ht="193.2" x14ac:dyDescent="0.3">
      <c r="A53" s="36">
        <v>128</v>
      </c>
      <c r="B53" s="5">
        <v>54</v>
      </c>
      <c r="C53" s="38" t="s">
        <v>151</v>
      </c>
      <c r="D53" s="57" t="s">
        <v>152</v>
      </c>
      <c r="E53" s="67" t="s">
        <v>153</v>
      </c>
      <c r="F53" s="178"/>
      <c r="G53" s="179"/>
      <c r="H53" s="179"/>
      <c r="I53" s="180"/>
      <c r="J53" s="9" t="s">
        <v>253</v>
      </c>
      <c r="K53" s="27"/>
      <c r="L53" s="4"/>
      <c r="M53" s="4"/>
      <c r="N53" s="4"/>
      <c r="O53" s="4"/>
      <c r="P53" s="4"/>
      <c r="Q53" s="4"/>
      <c r="R53" s="4"/>
      <c r="S53" s="4"/>
      <c r="T53" s="3"/>
      <c r="U53" s="3"/>
    </row>
    <row r="54" spans="1:24" ht="276" x14ac:dyDescent="0.3">
      <c r="A54" s="36">
        <v>130</v>
      </c>
      <c r="B54" s="48">
        <v>55</v>
      </c>
      <c r="C54" s="38" t="s">
        <v>154</v>
      </c>
      <c r="D54" s="57" t="s">
        <v>155</v>
      </c>
      <c r="E54" s="71" t="s">
        <v>156</v>
      </c>
      <c r="F54" s="178"/>
      <c r="G54" s="179"/>
      <c r="H54" s="179"/>
      <c r="I54" s="180"/>
      <c r="J54" s="9" t="s">
        <v>253</v>
      </c>
      <c r="K54" s="27"/>
      <c r="L54" s="4"/>
      <c r="M54" s="4"/>
      <c r="N54" s="4"/>
      <c r="O54" s="4"/>
      <c r="P54" s="4"/>
      <c r="Q54" s="4"/>
      <c r="R54" s="4"/>
      <c r="S54" s="4"/>
      <c r="T54" s="3"/>
      <c r="U54" s="3"/>
    </row>
    <row r="55" spans="1:24" ht="165.6" x14ac:dyDescent="0.3">
      <c r="A55" s="36">
        <v>134</v>
      </c>
      <c r="B55" s="5">
        <v>56</v>
      </c>
      <c r="C55" s="39" t="s">
        <v>157</v>
      </c>
      <c r="D55" s="60" t="s">
        <v>158</v>
      </c>
      <c r="E55" s="68" t="s">
        <v>159</v>
      </c>
      <c r="F55" s="178"/>
      <c r="G55" s="179"/>
      <c r="H55" s="179"/>
      <c r="I55" s="180"/>
      <c r="J55" s="9" t="s">
        <v>253</v>
      </c>
      <c r="K55" s="27"/>
      <c r="L55" s="4"/>
      <c r="M55" s="4"/>
      <c r="N55" s="4"/>
      <c r="O55" s="4"/>
      <c r="P55" s="4"/>
      <c r="Q55" s="4"/>
      <c r="R55" s="4"/>
      <c r="S55" s="4"/>
      <c r="T55" s="3"/>
      <c r="U55" s="3"/>
    </row>
    <row r="56" spans="1:24" ht="234.6" x14ac:dyDescent="0.3">
      <c r="A56" s="36">
        <v>139</v>
      </c>
      <c r="B56" s="48">
        <v>57</v>
      </c>
      <c r="C56" s="39" t="s">
        <v>160</v>
      </c>
      <c r="D56" s="60" t="s">
        <v>161</v>
      </c>
      <c r="E56" s="72" t="s">
        <v>162</v>
      </c>
      <c r="F56" s="10"/>
      <c r="G56" s="20">
        <v>39635</v>
      </c>
      <c r="H56" s="5">
        <v>10</v>
      </c>
      <c r="I56" s="5"/>
      <c r="J56" s="11" t="s">
        <v>298</v>
      </c>
      <c r="K56" s="28"/>
      <c r="L56" s="4"/>
      <c r="M56" s="4"/>
      <c r="N56" s="4"/>
      <c r="O56" s="4"/>
      <c r="P56" s="4"/>
      <c r="Q56" s="4"/>
      <c r="R56" s="4"/>
      <c r="S56" s="4"/>
      <c r="T56" s="3"/>
      <c r="U56" s="3"/>
    </row>
    <row r="57" spans="1:24" ht="138" x14ac:dyDescent="0.3">
      <c r="A57" s="36">
        <v>140</v>
      </c>
      <c r="B57" s="5">
        <v>58</v>
      </c>
      <c r="C57" s="39" t="s">
        <v>163</v>
      </c>
      <c r="D57" s="61" t="s">
        <v>164</v>
      </c>
      <c r="E57" s="68" t="s">
        <v>165</v>
      </c>
      <c r="F57" s="10"/>
      <c r="G57" s="5">
        <v>5</v>
      </c>
      <c r="H57" s="5"/>
      <c r="I57" s="5"/>
      <c r="J57" s="11" t="s">
        <v>298</v>
      </c>
      <c r="K57" s="28"/>
      <c r="L57" s="4"/>
      <c r="M57" s="4"/>
      <c r="N57" s="4"/>
      <c r="O57" s="4"/>
      <c r="P57" s="4"/>
      <c r="Q57" s="4"/>
      <c r="R57" s="4"/>
      <c r="S57" s="4"/>
      <c r="T57" s="3"/>
      <c r="U57" s="3"/>
    </row>
    <row r="58" spans="1:24" ht="151.80000000000001" x14ac:dyDescent="0.3">
      <c r="A58" s="36">
        <v>144</v>
      </c>
      <c r="B58" s="48">
        <v>59</v>
      </c>
      <c r="C58" s="39" t="s">
        <v>166</v>
      </c>
      <c r="D58" s="58" t="s">
        <v>167</v>
      </c>
      <c r="E58" s="68" t="s">
        <v>168</v>
      </c>
      <c r="F58" s="178"/>
      <c r="G58" s="179"/>
      <c r="H58" s="179"/>
      <c r="I58" s="180"/>
      <c r="J58" s="9" t="s">
        <v>253</v>
      </c>
      <c r="K58" s="27"/>
      <c r="L58" s="4"/>
      <c r="M58" s="4"/>
      <c r="N58" s="4"/>
      <c r="O58" s="4"/>
      <c r="P58" s="4"/>
      <c r="Q58" s="4"/>
      <c r="R58" s="4"/>
      <c r="S58" s="4"/>
      <c r="T58" s="3"/>
      <c r="U58" s="3"/>
    </row>
    <row r="59" spans="1:24" ht="138" x14ac:dyDescent="0.3">
      <c r="A59" s="36">
        <v>152</v>
      </c>
      <c r="B59" s="5">
        <v>60</v>
      </c>
      <c r="C59" s="39" t="s">
        <v>169</v>
      </c>
      <c r="D59" s="58" t="s">
        <v>170</v>
      </c>
      <c r="E59" s="68" t="s">
        <v>171</v>
      </c>
      <c r="F59" s="178"/>
      <c r="G59" s="179"/>
      <c r="H59" s="179"/>
      <c r="I59" s="180"/>
      <c r="J59" s="9" t="s">
        <v>253</v>
      </c>
      <c r="K59" s="27"/>
      <c r="L59" s="4"/>
      <c r="M59" s="4"/>
      <c r="N59" s="4"/>
      <c r="O59" s="4"/>
      <c r="P59" s="4"/>
      <c r="Q59" s="4"/>
      <c r="R59" s="4"/>
      <c r="S59" s="4"/>
      <c r="T59" s="3"/>
      <c r="U59" s="3"/>
    </row>
    <row r="60" spans="1:24" ht="193.2" x14ac:dyDescent="0.3">
      <c r="A60" s="36">
        <v>159</v>
      </c>
      <c r="B60" s="48">
        <v>61</v>
      </c>
      <c r="C60" s="39" t="s">
        <v>172</v>
      </c>
      <c r="D60" s="58" t="s">
        <v>173</v>
      </c>
      <c r="E60" s="68" t="s">
        <v>174</v>
      </c>
      <c r="F60" s="10"/>
      <c r="G60" s="5" t="s">
        <v>322</v>
      </c>
      <c r="H60" s="5"/>
      <c r="I60" s="5"/>
      <c r="J60" s="11" t="s">
        <v>298</v>
      </c>
      <c r="K60" s="28"/>
      <c r="L60" s="4"/>
      <c r="M60" s="4"/>
      <c r="N60" s="4"/>
      <c r="O60" s="4"/>
      <c r="P60" s="4"/>
      <c r="Q60" s="4"/>
      <c r="R60" s="4"/>
      <c r="S60" s="4"/>
      <c r="T60" s="3"/>
      <c r="U60" s="3"/>
    </row>
    <row r="61" spans="1:24" ht="262.2" x14ac:dyDescent="0.3">
      <c r="A61" s="36">
        <v>160</v>
      </c>
      <c r="B61" s="5">
        <v>62</v>
      </c>
      <c r="C61" s="38" t="s">
        <v>175</v>
      </c>
      <c r="D61" s="61" t="s">
        <v>280</v>
      </c>
      <c r="E61" s="68" t="s">
        <v>176</v>
      </c>
      <c r="F61" s="10"/>
      <c r="G61" s="5"/>
      <c r="H61" s="5">
        <v>11</v>
      </c>
      <c r="I61" s="5"/>
      <c r="J61" s="11" t="s">
        <v>298</v>
      </c>
      <c r="K61" s="28"/>
      <c r="L61" s="4"/>
      <c r="M61" s="4"/>
      <c r="N61" s="4"/>
      <c r="O61" s="4"/>
      <c r="P61" s="4"/>
      <c r="Q61" s="4"/>
      <c r="R61" s="4"/>
      <c r="S61" s="4"/>
      <c r="T61" s="3"/>
      <c r="U61" s="3"/>
    </row>
    <row r="62" spans="1:24" ht="207" x14ac:dyDescent="0.3">
      <c r="A62" s="36">
        <v>161</v>
      </c>
      <c r="B62" s="48">
        <v>63</v>
      </c>
      <c r="C62" s="38" t="s">
        <v>177</v>
      </c>
      <c r="D62" s="61" t="s">
        <v>281</v>
      </c>
      <c r="E62" s="68" t="s">
        <v>176</v>
      </c>
      <c r="F62" s="10"/>
      <c r="G62" s="5" t="s">
        <v>178</v>
      </c>
      <c r="H62" s="5"/>
      <c r="I62" s="5"/>
      <c r="J62" s="11" t="s">
        <v>298</v>
      </c>
      <c r="K62" s="28"/>
      <c r="L62" s="4"/>
      <c r="M62" s="4"/>
      <c r="N62" s="4"/>
      <c r="O62" s="4"/>
      <c r="P62" s="4"/>
      <c r="Q62" s="4"/>
      <c r="R62" s="4"/>
      <c r="S62" s="4"/>
      <c r="T62" s="3"/>
      <c r="U62" s="3"/>
    </row>
    <row r="63" spans="1:24" ht="372.6" x14ac:dyDescent="0.3">
      <c r="A63" s="36">
        <v>162</v>
      </c>
      <c r="B63" s="5">
        <v>64</v>
      </c>
      <c r="C63" s="39" t="s">
        <v>179</v>
      </c>
      <c r="D63" s="57" t="s">
        <v>180</v>
      </c>
      <c r="E63" s="67" t="s">
        <v>181</v>
      </c>
      <c r="F63" s="33" t="s">
        <v>182</v>
      </c>
      <c r="G63" s="21">
        <v>46209</v>
      </c>
      <c r="H63" s="5"/>
      <c r="I63" s="5"/>
      <c r="J63" s="11" t="s">
        <v>298</v>
      </c>
      <c r="K63" s="28"/>
      <c r="L63" s="4"/>
      <c r="M63" s="4"/>
      <c r="N63" s="4"/>
      <c r="O63" s="4"/>
      <c r="P63" s="4"/>
      <c r="Q63" s="4"/>
      <c r="R63" s="4"/>
      <c r="S63" s="4"/>
      <c r="T63" s="3"/>
      <c r="U63" s="3"/>
    </row>
    <row r="64" spans="1:24" ht="234.6" x14ac:dyDescent="0.3">
      <c r="A64" s="36">
        <v>170</v>
      </c>
      <c r="B64" s="48">
        <v>65</v>
      </c>
      <c r="C64" s="38" t="s">
        <v>183</v>
      </c>
      <c r="D64" s="58" t="s">
        <v>184</v>
      </c>
      <c r="E64" s="68" t="s">
        <v>176</v>
      </c>
      <c r="F64" s="10"/>
      <c r="G64" s="5" t="s">
        <v>185</v>
      </c>
      <c r="H64" s="5">
        <v>5</v>
      </c>
      <c r="I64" s="5"/>
      <c r="J64" s="11" t="s">
        <v>298</v>
      </c>
      <c r="K64" s="28"/>
      <c r="L64" s="4"/>
      <c r="M64" s="4"/>
      <c r="N64" s="4"/>
      <c r="O64" s="4"/>
      <c r="P64" s="4"/>
      <c r="Q64" s="4"/>
      <c r="R64" s="4"/>
      <c r="S64" s="4"/>
      <c r="T64" s="3"/>
      <c r="U64" s="3"/>
    </row>
    <row r="65" spans="1:21" ht="409.6" x14ac:dyDescent="0.3">
      <c r="A65" s="36">
        <v>171</v>
      </c>
      <c r="B65" s="5">
        <v>66</v>
      </c>
      <c r="C65" s="39" t="s">
        <v>186</v>
      </c>
      <c r="D65" s="56" t="s">
        <v>187</v>
      </c>
      <c r="E65" s="64" t="s">
        <v>188</v>
      </c>
      <c r="F65" s="35" t="s">
        <v>314</v>
      </c>
      <c r="G65" s="5"/>
      <c r="H65" s="5"/>
      <c r="I65" s="5"/>
      <c r="J65" s="11" t="s">
        <v>298</v>
      </c>
      <c r="K65" s="28"/>
      <c r="L65" s="4"/>
      <c r="M65" s="4"/>
      <c r="N65" s="4"/>
      <c r="O65" s="4"/>
      <c r="P65" s="4"/>
      <c r="Q65" s="4"/>
      <c r="R65" s="4"/>
      <c r="S65" s="4"/>
      <c r="T65" s="3"/>
      <c r="U65" s="3"/>
    </row>
    <row r="66" spans="1:21" ht="303.60000000000002" x14ac:dyDescent="0.3">
      <c r="A66" s="36">
        <v>172</v>
      </c>
      <c r="B66" s="48">
        <v>67</v>
      </c>
      <c r="C66" s="38" t="s">
        <v>189</v>
      </c>
      <c r="D66" s="38" t="s">
        <v>190</v>
      </c>
      <c r="E66" s="64" t="s">
        <v>191</v>
      </c>
      <c r="F66" s="10"/>
      <c r="G66" s="5" t="s">
        <v>315</v>
      </c>
      <c r="H66" s="5"/>
      <c r="I66" s="5"/>
      <c r="J66" s="11" t="s">
        <v>298</v>
      </c>
      <c r="K66" s="28"/>
      <c r="L66" s="4"/>
      <c r="M66" s="4"/>
      <c r="N66" s="4"/>
      <c r="O66" s="4"/>
      <c r="P66" s="4"/>
      <c r="Q66" s="4"/>
      <c r="R66" s="4"/>
      <c r="S66" s="4"/>
      <c r="T66" s="3"/>
      <c r="U66" s="3"/>
    </row>
    <row r="67" spans="1:21" ht="289.8" x14ac:dyDescent="0.3">
      <c r="A67" s="36">
        <v>173</v>
      </c>
      <c r="B67" s="5">
        <v>68</v>
      </c>
      <c r="C67" s="38" t="s">
        <v>192</v>
      </c>
      <c r="D67" s="38" t="s">
        <v>193</v>
      </c>
      <c r="E67" s="64" t="s">
        <v>194</v>
      </c>
      <c r="F67" s="10"/>
      <c r="G67" s="5" t="s">
        <v>316</v>
      </c>
      <c r="H67" s="5"/>
      <c r="I67" s="5"/>
      <c r="J67" s="11" t="s">
        <v>298</v>
      </c>
      <c r="K67" s="28"/>
      <c r="L67" s="4"/>
      <c r="M67" s="4"/>
      <c r="N67" s="4"/>
      <c r="O67" s="4"/>
      <c r="P67" s="4"/>
      <c r="Q67" s="4"/>
      <c r="R67" s="4"/>
      <c r="S67" s="4"/>
      <c r="T67" s="3"/>
      <c r="U67" s="3"/>
    </row>
    <row r="68" spans="1:21" ht="345" x14ac:dyDescent="0.3">
      <c r="A68" s="36">
        <v>177</v>
      </c>
      <c r="B68" s="48">
        <v>69</v>
      </c>
      <c r="C68" s="38" t="s">
        <v>195</v>
      </c>
      <c r="D68" s="38" t="s">
        <v>196</v>
      </c>
      <c r="E68" s="64" t="s">
        <v>197</v>
      </c>
      <c r="F68" s="35" t="s">
        <v>198</v>
      </c>
      <c r="G68" s="5" t="s">
        <v>199</v>
      </c>
      <c r="H68" s="5" t="s">
        <v>200</v>
      </c>
      <c r="I68" s="5" t="s">
        <v>201</v>
      </c>
      <c r="J68" s="11" t="s">
        <v>298</v>
      </c>
      <c r="K68" s="28"/>
      <c r="L68" s="4"/>
      <c r="M68" s="4"/>
      <c r="N68" s="4"/>
      <c r="O68" s="4"/>
      <c r="P68" s="4"/>
      <c r="Q68" s="4"/>
      <c r="R68" s="4"/>
      <c r="S68" s="4"/>
      <c r="T68" s="3"/>
      <c r="U68" s="3"/>
    </row>
    <row r="69" spans="1:21" ht="14.55" customHeight="1" x14ac:dyDescent="0.3">
      <c r="A69" s="174">
        <v>178</v>
      </c>
      <c r="B69" s="171">
        <v>70</v>
      </c>
      <c r="C69" s="181" t="s">
        <v>202</v>
      </c>
      <c r="D69" s="38" t="s">
        <v>203</v>
      </c>
      <c r="E69" s="65" t="s">
        <v>204</v>
      </c>
      <c r="F69" s="33" t="s">
        <v>205</v>
      </c>
      <c r="G69" s="10" t="s">
        <v>205</v>
      </c>
      <c r="H69" s="10" t="s">
        <v>205</v>
      </c>
      <c r="I69" s="10" t="s">
        <v>205</v>
      </c>
      <c r="J69" s="11" t="s">
        <v>298</v>
      </c>
      <c r="K69" s="28"/>
      <c r="L69" s="4"/>
      <c r="M69" s="4"/>
      <c r="N69" s="4"/>
      <c r="O69" s="4"/>
      <c r="P69" s="4"/>
      <c r="Q69" s="4"/>
      <c r="R69" s="4"/>
      <c r="S69" s="4"/>
      <c r="T69" s="3"/>
      <c r="U69" s="3"/>
    </row>
    <row r="70" spans="1:21" ht="193.2" x14ac:dyDescent="0.3">
      <c r="A70" s="174"/>
      <c r="B70" s="172"/>
      <c r="C70" s="182"/>
      <c r="D70" s="38" t="s">
        <v>206</v>
      </c>
      <c r="E70" s="65" t="s">
        <v>207</v>
      </c>
      <c r="F70" s="178"/>
      <c r="G70" s="179"/>
      <c r="H70" s="179"/>
      <c r="I70" s="180"/>
      <c r="J70" s="9" t="s">
        <v>253</v>
      </c>
      <c r="K70" s="27"/>
      <c r="L70" s="4"/>
      <c r="M70" s="4"/>
      <c r="N70" s="4"/>
      <c r="O70" s="4"/>
      <c r="P70" s="4"/>
      <c r="Q70" s="4"/>
      <c r="R70" s="4"/>
      <c r="S70" s="4"/>
      <c r="T70" s="3"/>
      <c r="U70" s="3"/>
    </row>
    <row r="71" spans="1:21" ht="151.80000000000001" x14ac:dyDescent="0.3">
      <c r="A71" s="174"/>
      <c r="B71" s="172"/>
      <c r="C71" s="182"/>
      <c r="D71" s="38" t="s">
        <v>208</v>
      </c>
      <c r="E71" s="65" t="s">
        <v>207</v>
      </c>
      <c r="F71" s="33" t="s">
        <v>318</v>
      </c>
      <c r="G71" s="5"/>
      <c r="H71" s="5"/>
      <c r="I71" s="5"/>
      <c r="J71" s="11" t="s">
        <v>298</v>
      </c>
      <c r="K71" s="28"/>
      <c r="L71" s="4"/>
      <c r="M71" s="4"/>
      <c r="N71" s="4"/>
      <c r="O71" s="4"/>
      <c r="P71" s="4"/>
      <c r="Q71" s="4"/>
      <c r="R71" s="4"/>
      <c r="S71" s="4"/>
      <c r="T71" s="3"/>
      <c r="U71" s="3"/>
    </row>
    <row r="72" spans="1:21" ht="331.2" x14ac:dyDescent="0.3">
      <c r="A72" s="174"/>
      <c r="B72" s="173"/>
      <c r="C72" s="183"/>
      <c r="D72" s="38" t="s">
        <v>209</v>
      </c>
      <c r="E72" s="65" t="s">
        <v>207</v>
      </c>
      <c r="F72" s="22"/>
      <c r="G72" s="5"/>
      <c r="H72" s="5" t="s">
        <v>317</v>
      </c>
      <c r="I72" s="5"/>
      <c r="J72" s="11" t="s">
        <v>298</v>
      </c>
      <c r="K72" s="28"/>
      <c r="L72" s="4"/>
      <c r="M72" s="4"/>
      <c r="N72" s="4"/>
      <c r="O72" s="4"/>
      <c r="P72" s="4"/>
      <c r="Q72" s="4"/>
      <c r="R72" s="4"/>
      <c r="S72" s="4"/>
      <c r="T72" s="3"/>
      <c r="U72" s="3"/>
    </row>
    <row r="73" spans="1:21" ht="276" x14ac:dyDescent="0.3">
      <c r="A73" s="36">
        <v>179</v>
      </c>
      <c r="B73" s="48">
        <v>71</v>
      </c>
      <c r="C73" s="38" t="s">
        <v>210</v>
      </c>
      <c r="D73" s="38" t="s">
        <v>211</v>
      </c>
      <c r="E73" s="64" t="s">
        <v>212</v>
      </c>
      <c r="F73" s="33" t="s">
        <v>318</v>
      </c>
      <c r="G73" s="5"/>
      <c r="H73" s="5"/>
      <c r="I73" s="5"/>
      <c r="J73" s="11" t="s">
        <v>298</v>
      </c>
      <c r="K73" s="28"/>
      <c r="L73" s="4"/>
      <c r="M73" s="4"/>
      <c r="N73" s="4"/>
      <c r="O73" s="4"/>
      <c r="P73" s="4"/>
      <c r="Q73" s="4"/>
      <c r="R73" s="4"/>
      <c r="S73" s="4"/>
      <c r="T73" s="3"/>
      <c r="U73" s="3"/>
    </row>
    <row r="74" spans="1:21" ht="400.2" x14ac:dyDescent="0.3">
      <c r="A74" s="36">
        <v>181</v>
      </c>
      <c r="B74" s="5">
        <v>72</v>
      </c>
      <c r="C74" s="38" t="s">
        <v>213</v>
      </c>
      <c r="D74" s="38" t="s">
        <v>214</v>
      </c>
      <c r="E74" s="64" t="s">
        <v>215</v>
      </c>
      <c r="F74" s="35">
        <v>28</v>
      </c>
      <c r="G74" s="5">
        <v>31</v>
      </c>
      <c r="H74" s="23"/>
      <c r="I74" s="23"/>
      <c r="J74" s="11" t="s">
        <v>298</v>
      </c>
      <c r="K74" s="28"/>
      <c r="L74" s="4"/>
      <c r="M74" s="4"/>
      <c r="N74" s="4"/>
      <c r="O74" s="4"/>
      <c r="P74" s="4"/>
      <c r="Q74" s="4"/>
      <c r="R74" s="4"/>
      <c r="S74" s="4"/>
      <c r="T74" s="3"/>
      <c r="U74" s="3"/>
    </row>
    <row r="75" spans="1:21" ht="14.55" customHeight="1" x14ac:dyDescent="0.3">
      <c r="A75" s="174">
        <v>183</v>
      </c>
      <c r="B75" s="175">
        <v>73</v>
      </c>
      <c r="C75" s="181" t="s">
        <v>216</v>
      </c>
      <c r="D75" s="38" t="s">
        <v>217</v>
      </c>
      <c r="E75" s="65" t="s">
        <v>218</v>
      </c>
      <c r="F75" s="10"/>
      <c r="G75" s="5"/>
      <c r="H75" s="5" t="s">
        <v>319</v>
      </c>
      <c r="I75" s="5"/>
      <c r="J75" s="11" t="s">
        <v>298</v>
      </c>
      <c r="K75" s="28"/>
      <c r="L75" s="4"/>
      <c r="M75" s="4"/>
      <c r="N75" s="4"/>
      <c r="O75" s="4"/>
      <c r="P75" s="4"/>
      <c r="Q75" s="4"/>
      <c r="R75" s="4"/>
      <c r="S75" s="4"/>
      <c r="T75" s="3"/>
      <c r="U75" s="3"/>
    </row>
    <row r="76" spans="1:21" ht="193.2" x14ac:dyDescent="0.3">
      <c r="A76" s="174"/>
      <c r="B76" s="176"/>
      <c r="C76" s="182"/>
      <c r="D76" s="38" t="s">
        <v>219</v>
      </c>
      <c r="E76" s="65" t="s">
        <v>218</v>
      </c>
      <c r="F76" s="178"/>
      <c r="G76" s="179"/>
      <c r="H76" s="179"/>
      <c r="I76" s="180"/>
      <c r="J76" s="9" t="s">
        <v>253</v>
      </c>
      <c r="K76" s="27"/>
      <c r="L76" s="4"/>
      <c r="M76" s="4"/>
      <c r="N76" s="4"/>
      <c r="O76" s="4"/>
      <c r="P76" s="4"/>
      <c r="Q76" s="4"/>
      <c r="R76" s="4"/>
      <c r="S76" s="4"/>
      <c r="T76" s="3"/>
      <c r="U76" s="3"/>
    </row>
    <row r="77" spans="1:21" ht="193.2" x14ac:dyDescent="0.3">
      <c r="A77" s="174"/>
      <c r="B77" s="176"/>
      <c r="C77" s="182"/>
      <c r="D77" s="38" t="s">
        <v>220</v>
      </c>
      <c r="E77" s="65" t="s">
        <v>218</v>
      </c>
      <c r="F77" s="178"/>
      <c r="G77" s="179"/>
      <c r="H77" s="179"/>
      <c r="I77" s="180"/>
      <c r="J77" s="9" t="s">
        <v>253</v>
      </c>
      <c r="K77" s="27"/>
      <c r="L77" s="4"/>
      <c r="M77" s="4"/>
      <c r="N77" s="4"/>
      <c r="O77" s="4"/>
      <c r="P77" s="4"/>
      <c r="Q77" s="4"/>
      <c r="R77" s="4"/>
      <c r="S77" s="4"/>
      <c r="T77" s="3"/>
      <c r="U77" s="3"/>
    </row>
    <row r="78" spans="1:21" ht="193.2" x14ac:dyDescent="0.3">
      <c r="A78" s="174"/>
      <c r="B78" s="176"/>
      <c r="C78" s="182"/>
      <c r="D78" s="38" t="s">
        <v>221</v>
      </c>
      <c r="E78" s="65" t="s">
        <v>218</v>
      </c>
      <c r="F78" s="178"/>
      <c r="G78" s="179"/>
      <c r="H78" s="179"/>
      <c r="I78" s="180"/>
      <c r="J78" s="9" t="s">
        <v>253</v>
      </c>
      <c r="K78" s="27"/>
      <c r="L78" s="4"/>
      <c r="M78" s="4"/>
      <c r="N78" s="4"/>
      <c r="O78" s="4"/>
      <c r="P78" s="4"/>
      <c r="Q78" s="4"/>
      <c r="R78" s="4"/>
      <c r="S78" s="4"/>
      <c r="T78" s="3"/>
      <c r="U78" s="3"/>
    </row>
    <row r="79" spans="1:21" ht="207" x14ac:dyDescent="0.3">
      <c r="A79" s="174"/>
      <c r="B79" s="177"/>
      <c r="C79" s="183"/>
      <c r="D79" s="38" t="s">
        <v>222</v>
      </c>
      <c r="E79" s="65" t="s">
        <v>223</v>
      </c>
      <c r="F79" s="10"/>
      <c r="G79" s="5">
        <v>30</v>
      </c>
      <c r="H79" s="16"/>
      <c r="I79" s="5"/>
      <c r="J79" s="11" t="s">
        <v>298</v>
      </c>
      <c r="K79" s="28"/>
      <c r="L79" s="4"/>
      <c r="M79" s="4"/>
      <c r="N79" s="4"/>
      <c r="O79" s="4"/>
      <c r="P79" s="4"/>
      <c r="Q79" s="4"/>
      <c r="R79" s="4"/>
      <c r="S79" s="4"/>
      <c r="T79" s="3"/>
      <c r="U79" s="3"/>
    </row>
    <row r="80" spans="1:21" ht="248.4" x14ac:dyDescent="0.3">
      <c r="A80" s="36">
        <v>184</v>
      </c>
      <c r="B80" s="5">
        <v>74</v>
      </c>
      <c r="C80" s="38" t="s">
        <v>224</v>
      </c>
      <c r="D80" s="38" t="s">
        <v>225</v>
      </c>
      <c r="E80" s="65" t="s">
        <v>197</v>
      </c>
      <c r="F80" s="178"/>
      <c r="G80" s="179"/>
      <c r="H80" s="179"/>
      <c r="I80" s="180"/>
      <c r="J80" s="9" t="s">
        <v>253</v>
      </c>
      <c r="K80" s="27"/>
      <c r="L80" s="4"/>
      <c r="M80" s="4"/>
      <c r="N80" s="4"/>
      <c r="O80" s="4"/>
      <c r="P80" s="4"/>
      <c r="Q80" s="4"/>
      <c r="R80" s="4"/>
      <c r="S80" s="4"/>
      <c r="T80" s="3"/>
      <c r="U80" s="3"/>
    </row>
    <row r="81" spans="1:21" ht="409.6" x14ac:dyDescent="0.3">
      <c r="A81" s="36">
        <v>189</v>
      </c>
      <c r="B81" s="48">
        <v>75</v>
      </c>
      <c r="C81" s="38" t="s">
        <v>226</v>
      </c>
      <c r="D81" s="39" t="s">
        <v>227</v>
      </c>
      <c r="E81" s="73" t="s">
        <v>228</v>
      </c>
      <c r="F81" s="178"/>
      <c r="G81" s="179"/>
      <c r="H81" s="179"/>
      <c r="I81" s="180"/>
      <c r="J81" s="9" t="s">
        <v>253</v>
      </c>
      <c r="K81" s="27"/>
      <c r="L81" s="4"/>
      <c r="M81" s="4"/>
      <c r="N81" s="4"/>
      <c r="O81" s="4"/>
      <c r="P81" s="4"/>
      <c r="Q81" s="4"/>
      <c r="R81" s="4"/>
      <c r="S81" s="4"/>
      <c r="T81" s="3"/>
      <c r="U81" s="3"/>
    </row>
    <row r="82" spans="1:21" ht="409.6" x14ac:dyDescent="0.3">
      <c r="A82" s="36">
        <v>190</v>
      </c>
      <c r="B82" s="5">
        <v>76</v>
      </c>
      <c r="C82" s="38" t="s">
        <v>229</v>
      </c>
      <c r="D82" s="39" t="s">
        <v>230</v>
      </c>
      <c r="E82" s="73" t="s">
        <v>231</v>
      </c>
      <c r="F82" s="178"/>
      <c r="G82" s="179"/>
      <c r="H82" s="179"/>
      <c r="I82" s="180"/>
      <c r="J82" s="9" t="s">
        <v>253</v>
      </c>
      <c r="K82" s="27"/>
      <c r="L82" s="4"/>
      <c r="M82" s="4"/>
      <c r="N82" s="4"/>
      <c r="O82" s="4"/>
      <c r="P82" s="4"/>
      <c r="Q82" s="4"/>
      <c r="R82" s="4"/>
      <c r="S82" s="4"/>
      <c r="T82" s="3"/>
      <c r="U82" s="3"/>
    </row>
    <row r="83" spans="1:21" ht="409.6" x14ac:dyDescent="0.3">
      <c r="A83" s="36">
        <v>191</v>
      </c>
      <c r="B83" s="48">
        <v>77</v>
      </c>
      <c r="C83" s="38" t="s">
        <v>232</v>
      </c>
      <c r="D83" s="39" t="s">
        <v>233</v>
      </c>
      <c r="E83" s="73" t="s">
        <v>234</v>
      </c>
      <c r="F83" s="23"/>
      <c r="G83" s="5"/>
      <c r="H83" s="5"/>
      <c r="I83" s="5"/>
      <c r="J83" s="17" t="s">
        <v>282</v>
      </c>
      <c r="K83" s="27"/>
      <c r="L83" s="4"/>
      <c r="M83" s="4"/>
      <c r="N83" s="4"/>
      <c r="O83" s="4"/>
      <c r="P83" s="4"/>
      <c r="Q83" s="4"/>
      <c r="R83" s="4"/>
      <c r="S83" s="4"/>
      <c r="T83" s="3"/>
      <c r="U83" s="3"/>
    </row>
    <row r="84" spans="1:21" ht="409.6" x14ac:dyDescent="0.3">
      <c r="A84" s="36">
        <v>193</v>
      </c>
      <c r="B84" s="48">
        <v>79</v>
      </c>
      <c r="C84" s="38" t="s">
        <v>235</v>
      </c>
      <c r="D84" s="39" t="s">
        <v>236</v>
      </c>
      <c r="E84" s="73" t="s">
        <v>237</v>
      </c>
      <c r="F84" s="23"/>
      <c r="G84" s="5"/>
      <c r="H84" s="5"/>
      <c r="I84" s="5"/>
      <c r="J84" s="17" t="s">
        <v>282</v>
      </c>
      <c r="K84" s="27"/>
      <c r="L84" s="4"/>
      <c r="M84" s="4"/>
      <c r="N84" s="4"/>
      <c r="O84" s="4"/>
      <c r="P84" s="4"/>
      <c r="Q84" s="4"/>
      <c r="R84" s="4"/>
      <c r="S84" s="4"/>
      <c r="T84" s="3"/>
      <c r="U84" s="3"/>
    </row>
    <row r="85" spans="1:21" ht="409.6" x14ac:dyDescent="0.3">
      <c r="A85" s="36">
        <v>194</v>
      </c>
      <c r="B85" s="5">
        <v>80</v>
      </c>
      <c r="C85" s="38" t="s">
        <v>238</v>
      </c>
      <c r="D85" s="39" t="s">
        <v>239</v>
      </c>
      <c r="E85" s="73" t="s">
        <v>240</v>
      </c>
      <c r="F85" s="23"/>
      <c r="G85" s="5"/>
      <c r="H85" s="5"/>
      <c r="I85" s="5"/>
      <c r="J85" s="17" t="s">
        <v>282</v>
      </c>
      <c r="K85" s="27"/>
      <c r="L85" s="4"/>
      <c r="M85" s="4"/>
      <c r="N85" s="4"/>
      <c r="O85" s="4"/>
      <c r="P85" s="4"/>
      <c r="Q85" s="4"/>
      <c r="R85" s="4"/>
      <c r="S85" s="4"/>
      <c r="T85" s="3"/>
      <c r="U85" s="3"/>
    </row>
    <row r="86" spans="1:21" ht="409.6" x14ac:dyDescent="0.3">
      <c r="A86" s="36">
        <v>195</v>
      </c>
      <c r="B86" s="48">
        <v>81</v>
      </c>
      <c r="C86" s="38" t="s">
        <v>241</v>
      </c>
      <c r="D86" s="39" t="s">
        <v>242</v>
      </c>
      <c r="E86" s="74" t="s">
        <v>243</v>
      </c>
      <c r="F86" s="10"/>
      <c r="G86" s="5">
        <v>30</v>
      </c>
      <c r="H86" s="5"/>
      <c r="I86" s="5"/>
      <c r="J86" s="11" t="s">
        <v>298</v>
      </c>
      <c r="K86" s="28"/>
      <c r="L86" s="4"/>
      <c r="M86" s="4"/>
      <c r="N86" s="4"/>
      <c r="O86" s="4"/>
      <c r="P86" s="4"/>
      <c r="Q86" s="4"/>
      <c r="R86" s="4"/>
      <c r="S86" s="4"/>
      <c r="T86" s="3"/>
      <c r="U86" s="3"/>
    </row>
    <row r="87" spans="1:21" ht="409.6" x14ac:dyDescent="0.3">
      <c r="A87" s="36">
        <v>196</v>
      </c>
      <c r="B87" s="5">
        <v>82</v>
      </c>
      <c r="C87" s="38" t="s">
        <v>244</v>
      </c>
      <c r="D87" s="39" t="s">
        <v>245</v>
      </c>
      <c r="E87" s="73" t="s">
        <v>246</v>
      </c>
      <c r="F87" s="23"/>
      <c r="G87" s="5"/>
      <c r="H87" s="5"/>
      <c r="I87" s="5"/>
      <c r="J87" s="17" t="s">
        <v>282</v>
      </c>
      <c r="K87" s="27"/>
      <c r="L87" s="4"/>
      <c r="M87" s="4"/>
      <c r="N87" s="4"/>
      <c r="O87" s="4"/>
      <c r="P87" s="4"/>
      <c r="Q87" s="4"/>
      <c r="R87" s="4"/>
      <c r="S87" s="4"/>
      <c r="T87" s="3"/>
      <c r="U87" s="3"/>
    </row>
    <row r="88" spans="1:21" ht="409.6" x14ac:dyDescent="0.3">
      <c r="A88" s="36">
        <v>197</v>
      </c>
      <c r="B88" s="48">
        <v>83</v>
      </c>
      <c r="C88" s="38" t="s">
        <v>247</v>
      </c>
      <c r="D88" s="39" t="s">
        <v>248</v>
      </c>
      <c r="E88" s="73" t="s">
        <v>249</v>
      </c>
      <c r="F88" s="23"/>
      <c r="G88" s="5"/>
      <c r="H88" s="5"/>
      <c r="I88" s="5"/>
      <c r="J88" s="17" t="s">
        <v>282</v>
      </c>
      <c r="K88" s="27"/>
      <c r="L88" s="4"/>
      <c r="M88" s="4"/>
      <c r="N88" s="4"/>
      <c r="O88" s="4"/>
      <c r="P88" s="4"/>
      <c r="Q88" s="4"/>
      <c r="R88" s="4"/>
      <c r="S88" s="4"/>
      <c r="T88" s="3"/>
      <c r="U88" s="3"/>
    </row>
    <row r="89" spans="1:21" ht="409.6" x14ac:dyDescent="0.3">
      <c r="A89" s="36">
        <v>198</v>
      </c>
      <c r="B89" s="5">
        <v>84</v>
      </c>
      <c r="C89" s="38" t="s">
        <v>250</v>
      </c>
      <c r="D89" s="39" t="s">
        <v>251</v>
      </c>
      <c r="E89" s="73" t="s">
        <v>252</v>
      </c>
      <c r="F89" s="178"/>
      <c r="G89" s="179"/>
      <c r="H89" s="179"/>
      <c r="I89" s="180"/>
      <c r="J89" s="9" t="s">
        <v>253</v>
      </c>
      <c r="K89" s="27"/>
      <c r="L89" s="4"/>
      <c r="M89" s="4"/>
      <c r="N89" s="4"/>
      <c r="O89" s="4"/>
      <c r="P89" s="4"/>
      <c r="Q89" s="4"/>
      <c r="R89" s="4"/>
      <c r="S89" s="4"/>
      <c r="T89" s="3"/>
      <c r="U89" s="3"/>
    </row>
    <row r="90" spans="1:21" ht="409.6" x14ac:dyDescent="0.3">
      <c r="A90" s="36">
        <v>199</v>
      </c>
      <c r="B90" s="48">
        <v>85</v>
      </c>
      <c r="C90" s="38" t="s">
        <v>254</v>
      </c>
      <c r="D90" s="39" t="s">
        <v>255</v>
      </c>
      <c r="E90" s="73" t="s">
        <v>256</v>
      </c>
      <c r="F90" s="23"/>
      <c r="G90" s="5"/>
      <c r="H90" s="5"/>
      <c r="I90" s="5"/>
      <c r="J90" s="17" t="s">
        <v>282</v>
      </c>
      <c r="K90" s="27"/>
      <c r="L90" s="4"/>
      <c r="M90" s="4"/>
      <c r="N90" s="4"/>
      <c r="O90" s="4"/>
      <c r="P90" s="4"/>
      <c r="Q90" s="4"/>
      <c r="R90" s="4"/>
      <c r="S90" s="4"/>
      <c r="T90" s="3"/>
      <c r="U90" s="3"/>
    </row>
    <row r="91" spans="1:21" ht="409.6" x14ac:dyDescent="0.3">
      <c r="A91" s="36">
        <v>200</v>
      </c>
      <c r="B91" s="5">
        <v>86</v>
      </c>
      <c r="C91" s="38" t="s">
        <v>257</v>
      </c>
      <c r="D91" s="39" t="s">
        <v>258</v>
      </c>
      <c r="E91" s="73" t="s">
        <v>259</v>
      </c>
      <c r="F91" s="23"/>
      <c r="G91" s="5"/>
      <c r="H91" s="5"/>
      <c r="I91" s="5"/>
      <c r="J91" s="24" t="s">
        <v>321</v>
      </c>
      <c r="K91" s="27"/>
      <c r="L91" s="4"/>
      <c r="M91" s="4"/>
      <c r="N91" s="4"/>
      <c r="O91" s="4"/>
      <c r="P91" s="4"/>
      <c r="Q91" s="4"/>
      <c r="R91" s="4"/>
      <c r="S91" s="4"/>
      <c r="T91" s="3"/>
      <c r="U91" s="3"/>
    </row>
    <row r="92" spans="1:21" ht="409.6" x14ac:dyDescent="0.3">
      <c r="A92" s="36">
        <v>201</v>
      </c>
      <c r="B92" s="48">
        <v>87</v>
      </c>
      <c r="C92" s="38" t="s">
        <v>260</v>
      </c>
      <c r="D92" s="39" t="s">
        <v>261</v>
      </c>
      <c r="E92" s="73" t="s">
        <v>262</v>
      </c>
      <c r="F92" s="178"/>
      <c r="G92" s="179"/>
      <c r="H92" s="179"/>
      <c r="I92" s="180"/>
      <c r="J92" s="9" t="s">
        <v>253</v>
      </c>
      <c r="K92" s="27"/>
      <c r="L92" s="4"/>
      <c r="M92" s="4"/>
      <c r="N92" s="4"/>
      <c r="O92" s="4"/>
      <c r="P92" s="4"/>
      <c r="Q92" s="4"/>
      <c r="R92" s="4"/>
      <c r="S92" s="4"/>
      <c r="T92" s="3"/>
      <c r="U92" s="3"/>
    </row>
    <row r="93" spans="1:21" ht="207" x14ac:dyDescent="0.3">
      <c r="A93" s="36">
        <v>209</v>
      </c>
      <c r="B93" s="5">
        <v>88</v>
      </c>
      <c r="C93" s="39" t="s">
        <v>263</v>
      </c>
      <c r="D93" s="41" t="s">
        <v>264</v>
      </c>
      <c r="E93" s="65" t="s">
        <v>265</v>
      </c>
      <c r="F93" s="33" t="s">
        <v>266</v>
      </c>
      <c r="G93" s="5"/>
      <c r="H93" s="5"/>
      <c r="I93" s="5"/>
      <c r="J93" s="11" t="s">
        <v>298</v>
      </c>
      <c r="K93" s="28"/>
      <c r="L93" s="4"/>
      <c r="M93" s="4"/>
      <c r="N93" s="4"/>
      <c r="O93" s="4"/>
      <c r="P93" s="4"/>
      <c r="Q93" s="4"/>
      <c r="R93" s="4"/>
      <c r="S93" s="4"/>
      <c r="T93" s="3"/>
      <c r="U93" s="3"/>
    </row>
    <row r="94" spans="1:21" ht="179.4" x14ac:dyDescent="0.3">
      <c r="A94" s="36">
        <v>210</v>
      </c>
      <c r="B94" s="48">
        <v>89</v>
      </c>
      <c r="C94" s="39" t="s">
        <v>267</v>
      </c>
      <c r="D94" s="38" t="s">
        <v>268</v>
      </c>
      <c r="E94" s="65" t="s">
        <v>265</v>
      </c>
      <c r="F94" s="178"/>
      <c r="G94" s="179"/>
      <c r="H94" s="179"/>
      <c r="I94" s="180"/>
      <c r="J94" s="9" t="s">
        <v>253</v>
      </c>
      <c r="K94" s="27"/>
      <c r="L94" s="4"/>
      <c r="M94" s="4"/>
      <c r="N94" s="4"/>
      <c r="O94" s="4"/>
      <c r="P94" s="4"/>
      <c r="Q94" s="4"/>
      <c r="R94" s="4"/>
      <c r="S94" s="4"/>
      <c r="T94" s="3"/>
      <c r="U94" s="3"/>
    </row>
    <row r="95" spans="1:21" ht="179.4" x14ac:dyDescent="0.3">
      <c r="A95" s="36">
        <v>211</v>
      </c>
      <c r="B95" s="5">
        <v>90</v>
      </c>
      <c r="C95" s="38" t="s">
        <v>269</v>
      </c>
      <c r="D95" s="38" t="s">
        <v>270</v>
      </c>
      <c r="E95" s="65" t="s">
        <v>265</v>
      </c>
      <c r="F95" s="178"/>
      <c r="G95" s="179"/>
      <c r="H95" s="179"/>
      <c r="I95" s="180"/>
      <c r="J95" s="9" t="s">
        <v>253</v>
      </c>
      <c r="K95" s="27"/>
      <c r="L95" s="4"/>
      <c r="M95" s="4"/>
      <c r="N95" s="4"/>
      <c r="O95" s="4"/>
      <c r="P95" s="4"/>
      <c r="Q95" s="4"/>
      <c r="R95" s="4"/>
      <c r="S95" s="4"/>
      <c r="T95" s="3"/>
      <c r="U95" s="3"/>
    </row>
    <row r="96" spans="1:21" ht="400.2" x14ac:dyDescent="0.3">
      <c r="A96" s="36">
        <v>176</v>
      </c>
      <c r="B96" s="5">
        <v>92</v>
      </c>
      <c r="C96" s="43" t="s">
        <v>271</v>
      </c>
      <c r="D96" s="62" t="s">
        <v>272</v>
      </c>
      <c r="E96" s="75"/>
      <c r="F96" s="178"/>
      <c r="G96" s="179"/>
      <c r="H96" s="179"/>
      <c r="I96" s="180"/>
      <c r="J96" s="9" t="s">
        <v>253</v>
      </c>
      <c r="K96" s="27"/>
      <c r="L96" s="4"/>
      <c r="M96" s="4"/>
      <c r="N96" s="4"/>
      <c r="O96" s="4"/>
      <c r="P96" s="4"/>
      <c r="Q96" s="4"/>
      <c r="R96" s="4"/>
      <c r="S96" s="4"/>
      <c r="T96" s="3"/>
      <c r="U96" s="3"/>
    </row>
    <row r="97" spans="1:21" ht="151.80000000000001" x14ac:dyDescent="0.3">
      <c r="A97" s="36">
        <v>274</v>
      </c>
      <c r="B97" s="5"/>
      <c r="C97" s="44" t="s">
        <v>273</v>
      </c>
      <c r="D97" s="43" t="s">
        <v>274</v>
      </c>
      <c r="E97" s="43"/>
      <c r="F97" s="5"/>
      <c r="G97" s="5"/>
      <c r="H97" s="5"/>
      <c r="I97" s="5"/>
      <c r="J97" s="11" t="s">
        <v>298</v>
      </c>
      <c r="K97" s="28"/>
      <c r="L97" s="4"/>
      <c r="M97" s="4"/>
      <c r="N97" s="4"/>
      <c r="O97" s="4"/>
      <c r="P97" s="4"/>
      <c r="Q97" s="4"/>
      <c r="R97" s="4"/>
      <c r="S97" s="4"/>
      <c r="T97" s="3"/>
      <c r="U97" s="3"/>
    </row>
    <row r="98" spans="1:21" ht="15.75" customHeight="1" x14ac:dyDescent="0.3">
      <c r="B98" s="5"/>
      <c r="C98" s="45"/>
      <c r="D98" s="63"/>
      <c r="E98" s="76"/>
      <c r="F98" s="25"/>
      <c r="G98" s="25"/>
      <c r="H98" s="25"/>
      <c r="I98" s="25"/>
      <c r="J98" s="25"/>
      <c r="K98" s="31"/>
      <c r="L98" s="4"/>
      <c r="M98" s="4"/>
      <c r="N98" s="4"/>
      <c r="O98" s="4"/>
      <c r="P98" s="4"/>
      <c r="Q98" s="4"/>
      <c r="R98" s="4"/>
      <c r="S98" s="4"/>
      <c r="T98" s="3"/>
      <c r="U98" s="3"/>
    </row>
    <row r="99" spans="1:21" ht="15.75" customHeight="1" x14ac:dyDescent="0.3">
      <c r="B99" s="5"/>
      <c r="C99" s="45"/>
      <c r="D99" s="63"/>
      <c r="E99" s="76"/>
      <c r="F99" s="4"/>
      <c r="G99" s="4"/>
      <c r="H99" s="4"/>
      <c r="I99" s="4"/>
      <c r="J99" s="4"/>
      <c r="K99" s="26"/>
      <c r="L99" s="4"/>
      <c r="M99" s="4"/>
      <c r="N99" s="4"/>
      <c r="O99" s="4"/>
      <c r="P99" s="4"/>
      <c r="Q99" s="4"/>
      <c r="R99" s="4"/>
      <c r="S99" s="4"/>
      <c r="T99" s="3"/>
      <c r="U99" s="3"/>
    </row>
    <row r="100" spans="1:21" ht="15.75" customHeight="1" x14ac:dyDescent="0.3">
      <c r="B100" s="5"/>
      <c r="C100" s="45"/>
      <c r="D100" s="63"/>
      <c r="E100" s="76"/>
      <c r="F100" s="4"/>
      <c r="G100" s="4"/>
      <c r="H100" s="4"/>
      <c r="I100" s="4"/>
      <c r="J100" s="4"/>
      <c r="K100" s="26"/>
      <c r="L100" s="4"/>
      <c r="M100" s="4"/>
      <c r="N100" s="4"/>
      <c r="O100" s="4"/>
      <c r="P100" s="4"/>
      <c r="Q100" s="4"/>
      <c r="R100" s="4"/>
      <c r="S100" s="4"/>
      <c r="T100" s="3"/>
      <c r="U100" s="3"/>
    </row>
    <row r="101" spans="1:21" ht="15.75" customHeight="1" x14ac:dyDescent="0.3">
      <c r="B101" s="5"/>
      <c r="C101" s="45"/>
      <c r="D101" s="63"/>
      <c r="E101" s="76"/>
      <c r="F101" s="4"/>
      <c r="G101" s="4"/>
      <c r="H101" s="4"/>
      <c r="I101" s="4"/>
      <c r="J101" s="4"/>
      <c r="K101" s="26"/>
      <c r="L101" s="4"/>
      <c r="M101" s="4"/>
      <c r="N101" s="4"/>
      <c r="O101" s="4"/>
      <c r="P101" s="4"/>
      <c r="Q101" s="4"/>
      <c r="R101" s="4"/>
      <c r="S101" s="4"/>
      <c r="T101" s="3"/>
      <c r="U101" s="3"/>
    </row>
    <row r="102" spans="1:21" ht="15.75" customHeight="1" x14ac:dyDescent="0.3">
      <c r="B102" s="5"/>
      <c r="C102" s="45"/>
      <c r="D102" s="63"/>
      <c r="E102" s="63"/>
      <c r="F102" s="4"/>
      <c r="G102" s="4"/>
      <c r="H102" s="4"/>
      <c r="I102" s="4"/>
      <c r="J102" s="4"/>
      <c r="K102" s="26"/>
      <c r="L102" s="4"/>
      <c r="M102" s="4"/>
      <c r="N102" s="4"/>
      <c r="O102" s="4"/>
      <c r="P102" s="4"/>
      <c r="Q102" s="4"/>
      <c r="R102" s="4"/>
      <c r="S102" s="4"/>
      <c r="T102" s="3"/>
      <c r="U102" s="3"/>
    </row>
    <row r="103" spans="1:21" ht="15.75" customHeight="1" x14ac:dyDescent="0.3">
      <c r="B103" s="5"/>
      <c r="C103" s="45"/>
      <c r="D103" s="63"/>
      <c r="E103" s="76"/>
      <c r="F103" s="4"/>
      <c r="G103" s="4"/>
      <c r="H103" s="4"/>
      <c r="I103" s="4"/>
      <c r="J103" s="4"/>
      <c r="K103" s="26"/>
      <c r="L103" s="4"/>
      <c r="M103" s="4"/>
      <c r="N103" s="4"/>
      <c r="O103" s="4"/>
      <c r="P103" s="4"/>
      <c r="Q103" s="4"/>
      <c r="R103" s="4"/>
      <c r="S103" s="4"/>
      <c r="T103" s="3"/>
      <c r="U103" s="3"/>
    </row>
    <row r="104" spans="1:21" ht="15.75" customHeight="1" x14ac:dyDescent="0.3">
      <c r="B104" s="5"/>
      <c r="C104" s="45"/>
      <c r="D104" s="63"/>
      <c r="E104" s="76"/>
      <c r="F104" s="4"/>
      <c r="G104" s="4"/>
      <c r="H104" s="4"/>
      <c r="I104" s="4"/>
      <c r="J104" s="4"/>
      <c r="K104" s="26"/>
      <c r="L104" s="4"/>
      <c r="M104" s="4"/>
      <c r="N104" s="4"/>
      <c r="O104" s="4"/>
      <c r="P104" s="4"/>
      <c r="Q104" s="4"/>
      <c r="R104" s="4"/>
      <c r="S104" s="4"/>
      <c r="T104" s="3"/>
      <c r="U104" s="3"/>
    </row>
    <row r="105" spans="1:21" ht="15.75" customHeight="1" x14ac:dyDescent="0.3">
      <c r="B105" s="5"/>
      <c r="C105" s="45"/>
      <c r="D105" s="63"/>
      <c r="E105" s="76"/>
      <c r="F105" s="4"/>
      <c r="G105" s="4"/>
      <c r="H105" s="4"/>
      <c r="I105" s="4"/>
      <c r="J105" s="4"/>
      <c r="K105" s="26"/>
      <c r="L105" s="4"/>
      <c r="M105" s="4"/>
      <c r="N105" s="4"/>
      <c r="O105" s="4"/>
      <c r="P105" s="4"/>
      <c r="Q105" s="4"/>
      <c r="R105" s="4"/>
      <c r="S105" s="4"/>
      <c r="T105" s="3"/>
      <c r="U105" s="3"/>
    </row>
    <row r="106" spans="1:21" ht="15.75" customHeight="1" x14ac:dyDescent="0.3">
      <c r="B106" s="5"/>
      <c r="C106" s="45"/>
      <c r="D106" s="63"/>
      <c r="E106" s="76"/>
      <c r="F106" s="4"/>
      <c r="G106" s="4"/>
      <c r="H106" s="4"/>
      <c r="I106" s="4"/>
      <c r="J106" s="4"/>
      <c r="K106" s="26"/>
      <c r="L106" s="4"/>
      <c r="M106" s="4"/>
      <c r="N106" s="4"/>
      <c r="O106" s="4"/>
      <c r="P106" s="4"/>
      <c r="Q106" s="4"/>
      <c r="R106" s="4"/>
      <c r="S106" s="4"/>
      <c r="T106" s="3"/>
      <c r="U106" s="3"/>
    </row>
    <row r="107" spans="1:21" ht="15.75" customHeight="1" x14ac:dyDescent="0.3">
      <c r="B107" s="5"/>
      <c r="C107" s="45"/>
      <c r="D107" s="63"/>
      <c r="E107" s="76"/>
      <c r="F107" s="4"/>
      <c r="G107" s="4"/>
      <c r="H107" s="4"/>
      <c r="I107" s="4"/>
      <c r="J107" s="4"/>
      <c r="K107" s="26"/>
      <c r="L107" s="4"/>
      <c r="M107" s="4"/>
      <c r="N107" s="4"/>
      <c r="O107" s="4"/>
      <c r="P107" s="4"/>
      <c r="Q107" s="4"/>
      <c r="R107" s="4"/>
      <c r="S107" s="4"/>
      <c r="T107" s="3"/>
      <c r="U107" s="3"/>
    </row>
    <row r="108" spans="1:21" ht="15.75" customHeight="1" x14ac:dyDescent="0.3">
      <c r="B108" s="5"/>
      <c r="C108" s="45"/>
      <c r="D108" s="63"/>
      <c r="E108" s="76"/>
      <c r="F108" s="4"/>
      <c r="G108" s="4"/>
      <c r="H108" s="4"/>
      <c r="I108" s="4"/>
      <c r="J108" s="4"/>
      <c r="K108" s="26"/>
      <c r="L108" s="4"/>
      <c r="M108" s="4"/>
      <c r="N108" s="4"/>
      <c r="O108" s="4"/>
      <c r="P108" s="4"/>
      <c r="Q108" s="4"/>
      <c r="R108" s="4"/>
      <c r="S108" s="4"/>
      <c r="T108" s="3"/>
      <c r="U108" s="3"/>
    </row>
    <row r="109" spans="1:21" ht="15.75" customHeight="1" x14ac:dyDescent="0.3">
      <c r="B109" s="5"/>
      <c r="C109" s="45"/>
      <c r="D109" s="63"/>
      <c r="E109" s="76"/>
      <c r="F109" s="4"/>
      <c r="G109" s="4"/>
      <c r="H109" s="4"/>
      <c r="I109" s="4"/>
      <c r="J109" s="4"/>
      <c r="K109" s="26"/>
      <c r="L109" s="4"/>
      <c r="M109" s="4"/>
      <c r="N109" s="4"/>
      <c r="O109" s="4"/>
      <c r="P109" s="4"/>
      <c r="Q109" s="4"/>
      <c r="R109" s="4"/>
      <c r="S109" s="4"/>
      <c r="T109" s="3"/>
      <c r="U109" s="3"/>
    </row>
    <row r="110" spans="1:21" ht="15.75" customHeight="1" x14ac:dyDescent="0.3">
      <c r="B110" s="5"/>
      <c r="C110" s="45"/>
      <c r="D110" s="63"/>
      <c r="E110" s="76"/>
      <c r="F110" s="4"/>
      <c r="G110" s="4"/>
      <c r="H110" s="4"/>
      <c r="I110" s="4"/>
      <c r="J110" s="4"/>
      <c r="K110" s="26"/>
      <c r="L110" s="4"/>
      <c r="M110" s="4"/>
      <c r="N110" s="4"/>
      <c r="O110" s="4"/>
      <c r="P110" s="4"/>
      <c r="Q110" s="4"/>
      <c r="R110" s="4"/>
      <c r="S110" s="4"/>
      <c r="T110" s="3"/>
      <c r="U110" s="3"/>
    </row>
    <row r="111" spans="1:21" ht="15.75" customHeight="1" x14ac:dyDescent="0.3">
      <c r="B111" s="5"/>
      <c r="C111" s="45"/>
      <c r="D111" s="63"/>
      <c r="E111" s="76"/>
      <c r="F111" s="4"/>
      <c r="G111" s="4"/>
      <c r="H111" s="4"/>
      <c r="I111" s="4"/>
      <c r="J111" s="4"/>
      <c r="K111" s="26"/>
      <c r="L111" s="4"/>
      <c r="M111" s="4"/>
      <c r="N111" s="4"/>
      <c r="O111" s="4"/>
      <c r="P111" s="4"/>
      <c r="Q111" s="4"/>
      <c r="R111" s="4"/>
      <c r="S111" s="4"/>
      <c r="T111" s="3"/>
      <c r="U111" s="3"/>
    </row>
    <row r="112" spans="1:21" ht="15.75" customHeight="1" x14ac:dyDescent="0.3">
      <c r="B112" s="5"/>
      <c r="C112" s="45"/>
      <c r="D112" s="63"/>
      <c r="E112" s="76"/>
      <c r="F112" s="4"/>
      <c r="G112" s="4"/>
      <c r="H112" s="4"/>
      <c r="I112" s="4"/>
      <c r="J112" s="4"/>
      <c r="K112" s="26"/>
      <c r="L112" s="4"/>
      <c r="M112" s="4"/>
      <c r="N112" s="4"/>
      <c r="O112" s="4"/>
      <c r="P112" s="4"/>
      <c r="Q112" s="4"/>
      <c r="R112" s="4"/>
      <c r="S112" s="4"/>
      <c r="T112" s="3"/>
      <c r="U112" s="3"/>
    </row>
    <row r="113" spans="2:21" ht="15.75" customHeight="1" x14ac:dyDescent="0.3">
      <c r="B113" s="5"/>
      <c r="C113" s="45"/>
      <c r="D113" s="63"/>
      <c r="E113" s="76"/>
      <c r="F113" s="4"/>
      <c r="G113" s="4"/>
      <c r="H113" s="4"/>
      <c r="I113" s="4"/>
      <c r="J113" s="4"/>
      <c r="K113" s="26"/>
      <c r="L113" s="4"/>
      <c r="M113" s="4"/>
      <c r="N113" s="4"/>
      <c r="O113" s="4"/>
      <c r="P113" s="4"/>
      <c r="Q113" s="4"/>
      <c r="R113" s="4"/>
      <c r="S113" s="4"/>
      <c r="T113" s="3"/>
      <c r="U113" s="3"/>
    </row>
    <row r="114" spans="2:21" ht="15.75" customHeight="1" x14ac:dyDescent="0.3">
      <c r="B114" s="5"/>
      <c r="C114" s="45"/>
      <c r="D114" s="63"/>
      <c r="E114" s="63"/>
      <c r="F114" s="4"/>
      <c r="G114" s="4"/>
      <c r="H114" s="4"/>
      <c r="I114" s="4"/>
      <c r="J114" s="4"/>
      <c r="K114" s="26"/>
      <c r="L114" s="4"/>
      <c r="M114" s="4"/>
      <c r="N114" s="4"/>
      <c r="O114" s="4"/>
      <c r="P114" s="4"/>
      <c r="Q114" s="4"/>
      <c r="R114" s="4"/>
      <c r="S114" s="4"/>
      <c r="T114" s="3"/>
      <c r="U114" s="3"/>
    </row>
    <row r="115" spans="2:21" ht="15.75" customHeight="1" x14ac:dyDescent="0.3">
      <c r="B115" s="5"/>
      <c r="C115" s="45"/>
      <c r="D115" s="63"/>
      <c r="E115" s="76"/>
      <c r="F115" s="4"/>
      <c r="G115" s="4"/>
      <c r="H115" s="4"/>
      <c r="I115" s="4"/>
      <c r="J115" s="4"/>
      <c r="K115" s="26"/>
      <c r="L115" s="4"/>
      <c r="M115" s="4"/>
      <c r="N115" s="4"/>
      <c r="O115" s="4"/>
      <c r="P115" s="4"/>
      <c r="Q115" s="4"/>
      <c r="R115" s="4"/>
      <c r="S115" s="4"/>
      <c r="T115" s="3"/>
      <c r="U115" s="3"/>
    </row>
    <row r="116" spans="2:21" ht="15.75" customHeight="1" x14ac:dyDescent="0.3">
      <c r="B116" s="5"/>
      <c r="C116" s="45"/>
      <c r="D116" s="63"/>
      <c r="E116" s="76"/>
      <c r="F116" s="4"/>
      <c r="G116" s="4"/>
      <c r="H116" s="4"/>
      <c r="I116" s="4"/>
      <c r="J116" s="4"/>
      <c r="K116" s="26"/>
      <c r="L116" s="4"/>
      <c r="M116" s="4"/>
      <c r="N116" s="4"/>
      <c r="O116" s="4"/>
      <c r="P116" s="4"/>
      <c r="Q116" s="4"/>
      <c r="R116" s="4"/>
      <c r="S116" s="4"/>
      <c r="T116" s="3"/>
      <c r="U116" s="3"/>
    </row>
    <row r="117" spans="2:21" ht="15.75" customHeight="1" x14ac:dyDescent="0.3">
      <c r="B117" s="5"/>
      <c r="C117" s="45"/>
      <c r="D117" s="63"/>
      <c r="E117" s="76"/>
      <c r="F117" s="4"/>
      <c r="G117" s="4"/>
      <c r="H117" s="4"/>
      <c r="I117" s="4"/>
      <c r="J117" s="4"/>
      <c r="K117" s="26"/>
      <c r="L117" s="4"/>
      <c r="M117" s="4"/>
      <c r="N117" s="4"/>
      <c r="O117" s="4"/>
      <c r="P117" s="4"/>
      <c r="Q117" s="4"/>
      <c r="R117" s="4"/>
      <c r="S117" s="4"/>
      <c r="T117" s="3"/>
      <c r="U117" s="3"/>
    </row>
    <row r="118" spans="2:21" ht="15.75" customHeight="1" x14ac:dyDescent="0.3">
      <c r="B118" s="5"/>
      <c r="C118" s="45"/>
      <c r="D118" s="63"/>
      <c r="E118" s="76"/>
      <c r="F118" s="4"/>
      <c r="G118" s="4"/>
      <c r="H118" s="4"/>
      <c r="I118" s="4"/>
      <c r="J118" s="4"/>
      <c r="K118" s="26"/>
      <c r="L118" s="4"/>
      <c r="M118" s="4"/>
      <c r="N118" s="4"/>
      <c r="O118" s="4"/>
      <c r="P118" s="4"/>
      <c r="Q118" s="4"/>
      <c r="R118" s="4"/>
      <c r="S118" s="4"/>
      <c r="T118" s="3"/>
      <c r="U118" s="3"/>
    </row>
    <row r="119" spans="2:21" ht="15.75" customHeight="1" x14ac:dyDescent="0.3">
      <c r="B119" s="5"/>
      <c r="C119" s="45"/>
      <c r="D119" s="63"/>
      <c r="E119" s="76"/>
      <c r="F119" s="4"/>
      <c r="G119" s="4"/>
      <c r="H119" s="4"/>
      <c r="I119" s="4"/>
      <c r="J119" s="4"/>
      <c r="K119" s="26"/>
      <c r="L119" s="4"/>
      <c r="M119" s="4"/>
      <c r="N119" s="4"/>
      <c r="O119" s="4"/>
      <c r="P119" s="4"/>
      <c r="Q119" s="4"/>
      <c r="R119" s="4"/>
      <c r="S119" s="4"/>
      <c r="T119" s="3"/>
      <c r="U119" s="3"/>
    </row>
    <row r="120" spans="2:21" ht="15.75" customHeight="1" x14ac:dyDescent="0.3">
      <c r="B120" s="5"/>
      <c r="C120" s="45"/>
      <c r="D120" s="63"/>
      <c r="E120" s="76"/>
      <c r="F120" s="4"/>
      <c r="G120" s="4"/>
      <c r="H120" s="4"/>
      <c r="I120" s="4"/>
      <c r="J120" s="4"/>
      <c r="K120" s="26"/>
      <c r="L120" s="4"/>
      <c r="M120" s="4"/>
      <c r="N120" s="4"/>
      <c r="O120" s="4"/>
      <c r="P120" s="4"/>
      <c r="Q120" s="4"/>
      <c r="R120" s="4"/>
      <c r="S120" s="4"/>
      <c r="T120" s="3"/>
      <c r="U120" s="3"/>
    </row>
    <row r="121" spans="2:21" ht="15.75" customHeight="1" x14ac:dyDescent="0.3">
      <c r="B121" s="5"/>
      <c r="C121" s="45"/>
      <c r="D121" s="63"/>
      <c r="E121" s="76"/>
      <c r="F121" s="4"/>
      <c r="G121" s="4"/>
      <c r="H121" s="4"/>
      <c r="I121" s="4"/>
      <c r="J121" s="4"/>
      <c r="K121" s="26"/>
      <c r="L121" s="4"/>
      <c r="M121" s="4"/>
      <c r="N121" s="4"/>
      <c r="O121" s="4"/>
      <c r="P121" s="4"/>
      <c r="Q121" s="4"/>
      <c r="R121" s="4"/>
      <c r="S121" s="4"/>
      <c r="T121" s="3"/>
      <c r="U121" s="3"/>
    </row>
    <row r="122" spans="2:21" ht="15.75" customHeight="1" x14ac:dyDescent="0.3">
      <c r="B122" s="5"/>
      <c r="C122" s="45"/>
      <c r="D122" s="45"/>
      <c r="E122" s="63"/>
      <c r="F122" s="4"/>
      <c r="G122" s="4"/>
      <c r="H122" s="4"/>
      <c r="I122" s="4"/>
      <c r="J122" s="4"/>
      <c r="K122" s="26"/>
      <c r="L122" s="4"/>
      <c r="M122" s="4"/>
      <c r="N122" s="4"/>
      <c r="O122" s="4"/>
      <c r="P122" s="4"/>
      <c r="Q122" s="4"/>
      <c r="R122" s="4"/>
      <c r="S122" s="4"/>
      <c r="T122" s="3"/>
      <c r="U122" s="3"/>
    </row>
    <row r="123" spans="2:21" ht="15.75" customHeight="1" x14ac:dyDescent="0.3">
      <c r="B123" s="5"/>
      <c r="C123" s="45"/>
      <c r="D123" s="45"/>
      <c r="E123" s="76"/>
      <c r="F123" s="4"/>
      <c r="G123" s="4"/>
      <c r="H123" s="4"/>
      <c r="I123" s="4"/>
      <c r="J123" s="4"/>
      <c r="K123" s="26"/>
      <c r="L123" s="4"/>
      <c r="M123" s="4"/>
      <c r="N123" s="4"/>
      <c r="O123" s="4"/>
      <c r="P123" s="4"/>
      <c r="Q123" s="4"/>
      <c r="R123" s="4"/>
      <c r="S123" s="4"/>
      <c r="T123" s="3"/>
      <c r="U123" s="3"/>
    </row>
    <row r="124" spans="2:21" ht="15.75" customHeight="1" x14ac:dyDescent="0.3">
      <c r="B124" s="5"/>
      <c r="C124" s="45"/>
      <c r="D124" s="45"/>
      <c r="E124" s="76"/>
      <c r="F124" s="4"/>
      <c r="G124" s="4"/>
      <c r="H124" s="4"/>
      <c r="I124" s="4"/>
      <c r="J124" s="4"/>
      <c r="K124" s="26"/>
      <c r="L124" s="4"/>
      <c r="M124" s="4"/>
      <c r="N124" s="4"/>
      <c r="O124" s="4"/>
      <c r="P124" s="4"/>
      <c r="Q124" s="4"/>
      <c r="R124" s="4"/>
      <c r="S124" s="4"/>
      <c r="T124" s="3"/>
      <c r="U124" s="3"/>
    </row>
    <row r="125" spans="2:21" ht="15.75" customHeight="1" x14ac:dyDescent="0.3">
      <c r="B125" s="5"/>
      <c r="C125" s="45"/>
      <c r="D125" s="45"/>
      <c r="E125" s="76"/>
      <c r="F125" s="4"/>
      <c r="G125" s="4"/>
      <c r="H125" s="4"/>
      <c r="I125" s="4"/>
      <c r="J125" s="4"/>
      <c r="K125" s="26"/>
      <c r="L125" s="4"/>
      <c r="M125" s="4"/>
      <c r="N125" s="4"/>
      <c r="O125" s="4"/>
      <c r="P125" s="4"/>
      <c r="Q125" s="4"/>
      <c r="R125" s="4"/>
      <c r="S125" s="4"/>
      <c r="T125" s="3"/>
      <c r="U125" s="3"/>
    </row>
    <row r="126" spans="2:21" ht="15.75" customHeight="1" x14ac:dyDescent="0.3">
      <c r="B126" s="5"/>
      <c r="C126" s="45"/>
      <c r="D126" s="45"/>
      <c r="E126" s="76"/>
      <c r="F126" s="4"/>
      <c r="G126" s="4"/>
      <c r="H126" s="4"/>
      <c r="I126" s="4"/>
      <c r="J126" s="4"/>
      <c r="K126" s="26"/>
      <c r="L126" s="4"/>
      <c r="M126" s="4"/>
      <c r="N126" s="4"/>
      <c r="O126" s="4"/>
      <c r="P126" s="4"/>
      <c r="Q126" s="4"/>
      <c r="R126" s="4"/>
      <c r="S126" s="4"/>
      <c r="T126" s="3"/>
      <c r="U126" s="3"/>
    </row>
    <row r="127" spans="2:21" ht="15.75" customHeight="1" x14ac:dyDescent="0.3">
      <c r="B127" s="5"/>
      <c r="C127" s="45"/>
      <c r="D127" s="45"/>
      <c r="E127" s="76"/>
      <c r="F127" s="4"/>
      <c r="G127" s="4"/>
      <c r="H127" s="4"/>
      <c r="I127" s="4"/>
      <c r="J127" s="4"/>
      <c r="K127" s="26"/>
      <c r="L127" s="4"/>
      <c r="M127" s="4"/>
      <c r="N127" s="4"/>
      <c r="O127" s="4"/>
      <c r="P127" s="4"/>
      <c r="Q127" s="4"/>
      <c r="R127" s="4"/>
      <c r="S127" s="4"/>
      <c r="T127" s="3"/>
      <c r="U127" s="3"/>
    </row>
    <row r="128" spans="2:21" ht="15.75" customHeight="1" x14ac:dyDescent="0.3">
      <c r="B128" s="5"/>
      <c r="C128" s="45"/>
      <c r="D128" s="45"/>
      <c r="E128" s="76"/>
      <c r="F128" s="4"/>
      <c r="G128" s="4"/>
      <c r="H128" s="4"/>
      <c r="I128" s="4"/>
      <c r="J128" s="4"/>
      <c r="K128" s="26"/>
      <c r="L128" s="4"/>
      <c r="M128" s="4"/>
      <c r="N128" s="4"/>
      <c r="O128" s="4"/>
      <c r="P128" s="4"/>
      <c r="Q128" s="4"/>
      <c r="R128" s="4"/>
      <c r="S128" s="4"/>
      <c r="T128" s="3"/>
      <c r="U128" s="3"/>
    </row>
    <row r="129" spans="2:21" ht="15.75" customHeight="1" x14ac:dyDescent="0.3">
      <c r="B129" s="5"/>
      <c r="C129" s="45"/>
      <c r="D129" s="45"/>
      <c r="E129" s="76"/>
      <c r="F129" s="4"/>
      <c r="G129" s="4"/>
      <c r="H129" s="4"/>
      <c r="I129" s="4"/>
      <c r="J129" s="4"/>
      <c r="K129" s="26"/>
      <c r="L129" s="4"/>
      <c r="M129" s="4"/>
      <c r="N129" s="4"/>
      <c r="O129" s="4"/>
      <c r="P129" s="4"/>
      <c r="Q129" s="4"/>
      <c r="R129" s="4"/>
      <c r="S129" s="4"/>
      <c r="T129" s="3"/>
      <c r="U129" s="3"/>
    </row>
    <row r="130" spans="2:21" ht="15.75" customHeight="1" x14ac:dyDescent="0.3">
      <c r="B130" s="5"/>
      <c r="C130" s="45"/>
      <c r="D130" s="45"/>
      <c r="E130" s="45"/>
      <c r="F130" s="4"/>
      <c r="G130" s="4"/>
      <c r="H130" s="4"/>
      <c r="I130" s="4"/>
      <c r="J130" s="4"/>
      <c r="K130" s="26"/>
      <c r="L130" s="4"/>
      <c r="M130" s="4"/>
      <c r="N130" s="4"/>
      <c r="O130" s="4"/>
      <c r="P130" s="4"/>
      <c r="Q130" s="4"/>
      <c r="R130" s="4"/>
      <c r="S130" s="4"/>
      <c r="T130" s="3"/>
      <c r="U130" s="3"/>
    </row>
    <row r="131" spans="2:21" ht="15.75" customHeight="1" x14ac:dyDescent="0.3">
      <c r="B131" s="5"/>
      <c r="C131" s="45"/>
      <c r="D131" s="45"/>
      <c r="E131" s="45"/>
      <c r="F131" s="4"/>
      <c r="G131" s="4"/>
      <c r="H131" s="4"/>
      <c r="I131" s="4"/>
      <c r="J131" s="4"/>
      <c r="K131" s="26"/>
      <c r="L131" s="4"/>
      <c r="M131" s="4"/>
      <c r="N131" s="4"/>
      <c r="O131" s="4"/>
      <c r="P131" s="4"/>
      <c r="Q131" s="4"/>
      <c r="R131" s="4"/>
      <c r="S131" s="4"/>
      <c r="T131" s="3"/>
      <c r="U131" s="3"/>
    </row>
    <row r="132" spans="2:21" ht="15.75" customHeight="1" x14ac:dyDescent="0.3">
      <c r="B132" s="5"/>
      <c r="C132" s="45"/>
      <c r="D132" s="45"/>
      <c r="E132" s="45"/>
      <c r="F132" s="4"/>
      <c r="G132" s="4"/>
      <c r="H132" s="4"/>
      <c r="I132" s="4"/>
      <c r="J132" s="4"/>
      <c r="K132" s="26"/>
      <c r="L132" s="4"/>
      <c r="M132" s="4"/>
      <c r="N132" s="4"/>
      <c r="O132" s="4"/>
      <c r="P132" s="4"/>
      <c r="Q132" s="4"/>
      <c r="R132" s="4"/>
      <c r="S132" s="4"/>
      <c r="T132" s="3"/>
      <c r="U132" s="3"/>
    </row>
    <row r="133" spans="2:21" ht="15.75" customHeight="1" x14ac:dyDescent="0.3">
      <c r="B133" s="5"/>
      <c r="C133" s="45"/>
      <c r="D133" s="45"/>
      <c r="E133" s="45"/>
      <c r="F133" s="4"/>
      <c r="G133" s="4"/>
      <c r="H133" s="4"/>
      <c r="I133" s="4"/>
      <c r="J133" s="4"/>
      <c r="K133" s="26"/>
      <c r="L133" s="4"/>
      <c r="M133" s="4"/>
      <c r="N133" s="4"/>
      <c r="O133" s="4"/>
      <c r="P133" s="4"/>
      <c r="Q133" s="4"/>
      <c r="R133" s="4"/>
      <c r="S133" s="4"/>
      <c r="T133" s="3"/>
      <c r="U133" s="3"/>
    </row>
    <row r="134" spans="2:21" ht="15.75" customHeight="1" x14ac:dyDescent="0.3">
      <c r="B134" s="5"/>
      <c r="C134" s="45"/>
      <c r="D134" s="45"/>
      <c r="E134" s="45"/>
      <c r="F134" s="4"/>
      <c r="G134" s="4"/>
      <c r="H134" s="4"/>
      <c r="I134" s="4"/>
      <c r="J134" s="4"/>
      <c r="K134" s="26"/>
      <c r="L134" s="4"/>
      <c r="M134" s="4"/>
      <c r="N134" s="4"/>
      <c r="O134" s="4"/>
      <c r="P134" s="4"/>
      <c r="Q134" s="4"/>
      <c r="R134" s="4"/>
      <c r="S134" s="4"/>
      <c r="T134" s="3"/>
      <c r="U134" s="3"/>
    </row>
    <row r="135" spans="2:21" ht="15.75" customHeight="1" x14ac:dyDescent="0.3">
      <c r="B135" s="5"/>
      <c r="C135" s="45"/>
      <c r="D135" s="45"/>
      <c r="E135" s="45"/>
      <c r="F135" s="4"/>
      <c r="G135" s="4"/>
      <c r="H135" s="4"/>
      <c r="I135" s="4"/>
      <c r="J135" s="4"/>
      <c r="K135" s="26"/>
      <c r="L135" s="4"/>
      <c r="M135" s="4"/>
      <c r="N135" s="4"/>
      <c r="O135" s="4"/>
      <c r="P135" s="4"/>
      <c r="Q135" s="4"/>
      <c r="R135" s="4"/>
      <c r="S135" s="4"/>
      <c r="T135" s="3"/>
      <c r="U135" s="3"/>
    </row>
    <row r="136" spans="2:21" ht="15.75" customHeight="1" x14ac:dyDescent="0.3">
      <c r="B136" s="5"/>
      <c r="C136" s="45"/>
      <c r="D136" s="45"/>
      <c r="E136" s="45"/>
      <c r="F136" s="4"/>
      <c r="G136" s="4"/>
      <c r="H136" s="4"/>
      <c r="I136" s="4"/>
      <c r="J136" s="4"/>
      <c r="K136" s="26"/>
      <c r="L136" s="4"/>
      <c r="M136" s="4"/>
      <c r="N136" s="4"/>
      <c r="O136" s="4"/>
      <c r="P136" s="4"/>
      <c r="Q136" s="4"/>
      <c r="R136" s="4"/>
      <c r="S136" s="4"/>
      <c r="T136" s="3"/>
      <c r="U136" s="3"/>
    </row>
    <row r="137" spans="2:21" ht="15.75" customHeight="1" x14ac:dyDescent="0.3">
      <c r="B137" s="5"/>
      <c r="C137" s="45"/>
      <c r="D137" s="45"/>
      <c r="E137" s="45"/>
      <c r="F137" s="4"/>
      <c r="G137" s="4"/>
      <c r="H137" s="4"/>
      <c r="I137" s="4"/>
      <c r="J137" s="4"/>
      <c r="K137" s="26"/>
      <c r="L137" s="4"/>
      <c r="M137" s="4"/>
      <c r="N137" s="4"/>
      <c r="O137" s="4"/>
      <c r="P137" s="4"/>
      <c r="Q137" s="4"/>
      <c r="R137" s="4"/>
      <c r="S137" s="4"/>
      <c r="T137" s="3"/>
      <c r="U137" s="3"/>
    </row>
    <row r="138" spans="2:21" ht="15.75" customHeight="1" x14ac:dyDescent="0.3">
      <c r="B138" s="5"/>
      <c r="C138" s="45"/>
      <c r="D138" s="45"/>
      <c r="E138" s="45"/>
      <c r="F138" s="4"/>
      <c r="G138" s="4"/>
      <c r="H138" s="4"/>
      <c r="I138" s="4"/>
      <c r="J138" s="4"/>
      <c r="K138" s="26"/>
      <c r="L138" s="4"/>
      <c r="M138" s="4"/>
      <c r="N138" s="4"/>
      <c r="O138" s="4"/>
      <c r="P138" s="4"/>
      <c r="Q138" s="4"/>
      <c r="R138" s="4"/>
      <c r="S138" s="4"/>
      <c r="T138" s="3"/>
      <c r="U138" s="3"/>
    </row>
    <row r="139" spans="2:21" ht="15.75" customHeight="1" x14ac:dyDescent="0.3">
      <c r="B139" s="5"/>
      <c r="C139" s="45"/>
      <c r="D139" s="45"/>
      <c r="E139" s="45"/>
      <c r="F139" s="4"/>
      <c r="G139" s="4"/>
      <c r="H139" s="4"/>
      <c r="I139" s="4"/>
      <c r="J139" s="4"/>
      <c r="K139" s="26"/>
      <c r="L139" s="4"/>
      <c r="M139" s="4"/>
      <c r="N139" s="4"/>
      <c r="O139" s="4"/>
      <c r="P139" s="4"/>
      <c r="Q139" s="4"/>
      <c r="R139" s="4"/>
      <c r="S139" s="4"/>
      <c r="T139" s="3"/>
      <c r="U139" s="3"/>
    </row>
    <row r="140" spans="2:21" ht="15.75" customHeight="1" x14ac:dyDescent="0.3">
      <c r="B140" s="5"/>
      <c r="C140" s="45"/>
      <c r="D140" s="45"/>
      <c r="E140" s="45"/>
      <c r="F140" s="4"/>
      <c r="G140" s="4"/>
      <c r="H140" s="4"/>
      <c r="I140" s="4"/>
      <c r="J140" s="4"/>
      <c r="K140" s="26"/>
      <c r="L140" s="4"/>
      <c r="M140" s="4"/>
      <c r="N140" s="4"/>
      <c r="O140" s="4"/>
      <c r="P140" s="4"/>
      <c r="Q140" s="4"/>
      <c r="R140" s="4"/>
      <c r="S140" s="4"/>
      <c r="T140" s="3"/>
      <c r="U140" s="3"/>
    </row>
    <row r="141" spans="2:21" ht="15.75" customHeight="1" x14ac:dyDescent="0.3">
      <c r="B141" s="5"/>
      <c r="C141" s="45"/>
      <c r="D141" s="45"/>
      <c r="E141" s="45"/>
      <c r="F141" s="4"/>
      <c r="G141" s="4"/>
      <c r="H141" s="4"/>
      <c r="I141" s="4"/>
      <c r="J141" s="4"/>
      <c r="K141" s="26"/>
      <c r="L141" s="4"/>
      <c r="M141" s="4"/>
      <c r="N141" s="4"/>
      <c r="O141" s="4"/>
      <c r="P141" s="4"/>
      <c r="Q141" s="4"/>
      <c r="R141" s="4"/>
      <c r="S141" s="4"/>
      <c r="T141" s="3"/>
      <c r="U141" s="3"/>
    </row>
    <row r="142" spans="2:21" ht="15.75" customHeight="1" x14ac:dyDescent="0.3">
      <c r="B142" s="5"/>
      <c r="C142" s="45"/>
      <c r="D142" s="45"/>
      <c r="E142" s="45"/>
      <c r="F142" s="4"/>
      <c r="G142" s="4"/>
      <c r="H142" s="4"/>
      <c r="I142" s="4"/>
      <c r="J142" s="4"/>
      <c r="K142" s="26"/>
      <c r="L142" s="4"/>
      <c r="M142" s="4"/>
      <c r="N142" s="4"/>
      <c r="O142" s="4"/>
      <c r="P142" s="4"/>
      <c r="Q142" s="4"/>
      <c r="R142" s="4"/>
      <c r="S142" s="4"/>
      <c r="T142" s="3"/>
      <c r="U142" s="3"/>
    </row>
    <row r="143" spans="2:21" ht="15.75" customHeight="1" x14ac:dyDescent="0.3">
      <c r="B143" s="5"/>
      <c r="C143" s="45"/>
      <c r="D143" s="45"/>
      <c r="E143" s="45"/>
      <c r="F143" s="4"/>
      <c r="G143" s="4"/>
      <c r="H143" s="4"/>
      <c r="I143" s="4"/>
      <c r="J143" s="4"/>
      <c r="K143" s="26"/>
      <c r="L143" s="4"/>
      <c r="M143" s="4"/>
      <c r="N143" s="4"/>
      <c r="O143" s="4"/>
      <c r="P143" s="4"/>
      <c r="Q143" s="4"/>
      <c r="R143" s="4"/>
      <c r="S143" s="4"/>
      <c r="T143" s="3"/>
      <c r="U143" s="3"/>
    </row>
    <row r="144" spans="2:21" ht="15.75" customHeight="1" x14ac:dyDescent="0.3">
      <c r="B144" s="5"/>
      <c r="C144" s="45"/>
      <c r="D144" s="45"/>
      <c r="E144" s="45"/>
      <c r="F144" s="4"/>
      <c r="G144" s="4"/>
      <c r="H144" s="4"/>
      <c r="I144" s="4"/>
      <c r="J144" s="4"/>
      <c r="K144" s="26"/>
      <c r="L144" s="4"/>
      <c r="M144" s="4"/>
      <c r="N144" s="4"/>
      <c r="O144" s="4"/>
      <c r="P144" s="4"/>
      <c r="Q144" s="4"/>
      <c r="R144" s="4"/>
      <c r="S144" s="4"/>
      <c r="T144" s="3"/>
      <c r="U144" s="3"/>
    </row>
    <row r="145" spans="2:21" ht="15.75" customHeight="1" x14ac:dyDescent="0.3">
      <c r="B145" s="5"/>
      <c r="C145" s="45"/>
      <c r="D145" s="45"/>
      <c r="E145" s="45"/>
      <c r="F145" s="4"/>
      <c r="G145" s="4"/>
      <c r="H145" s="4"/>
      <c r="I145" s="4"/>
      <c r="J145" s="4"/>
      <c r="K145" s="26"/>
      <c r="L145" s="4"/>
      <c r="M145" s="4"/>
      <c r="N145" s="4"/>
      <c r="O145" s="4"/>
      <c r="P145" s="4"/>
      <c r="Q145" s="4"/>
      <c r="R145" s="4"/>
      <c r="S145" s="4"/>
      <c r="T145" s="3"/>
      <c r="U145" s="3"/>
    </row>
    <row r="146" spans="2:21" ht="15.75" customHeight="1" x14ac:dyDescent="0.3">
      <c r="B146" s="5"/>
      <c r="C146" s="45"/>
      <c r="D146" s="45"/>
      <c r="E146" s="45"/>
      <c r="F146" s="4"/>
      <c r="G146" s="4"/>
      <c r="H146" s="4"/>
      <c r="I146" s="4"/>
      <c r="J146" s="4"/>
      <c r="K146" s="26"/>
      <c r="L146" s="4"/>
      <c r="M146" s="4"/>
      <c r="N146" s="4"/>
      <c r="O146" s="4"/>
      <c r="P146" s="4"/>
      <c r="Q146" s="4"/>
      <c r="R146" s="4"/>
      <c r="S146" s="4"/>
      <c r="T146" s="3"/>
      <c r="U146" s="3"/>
    </row>
    <row r="147" spans="2:21" ht="15.75" customHeight="1" x14ac:dyDescent="0.3">
      <c r="B147" s="5"/>
      <c r="C147" s="45"/>
      <c r="D147" s="45"/>
      <c r="E147" s="45"/>
      <c r="F147" s="4"/>
      <c r="G147" s="4"/>
      <c r="H147" s="4"/>
      <c r="I147" s="4"/>
      <c r="J147" s="4"/>
      <c r="K147" s="26"/>
      <c r="L147" s="4"/>
      <c r="M147" s="4"/>
      <c r="N147" s="4"/>
      <c r="O147" s="4"/>
      <c r="P147" s="4"/>
      <c r="Q147" s="4"/>
      <c r="R147" s="4"/>
      <c r="S147" s="4"/>
      <c r="T147" s="3"/>
      <c r="U147" s="3"/>
    </row>
    <row r="148" spans="2:21" ht="15.75" customHeight="1" x14ac:dyDescent="0.3">
      <c r="B148" s="5"/>
      <c r="C148" s="45"/>
      <c r="D148" s="45"/>
      <c r="E148" s="45"/>
      <c r="F148" s="4"/>
      <c r="G148" s="4"/>
      <c r="H148" s="4"/>
      <c r="I148" s="4"/>
      <c r="J148" s="4"/>
      <c r="K148" s="26"/>
      <c r="L148" s="4"/>
      <c r="M148" s="4"/>
      <c r="N148" s="4"/>
      <c r="O148" s="4"/>
      <c r="P148" s="4"/>
      <c r="Q148" s="4"/>
      <c r="R148" s="4"/>
      <c r="S148" s="4"/>
      <c r="T148" s="3"/>
      <c r="U148" s="3"/>
    </row>
    <row r="149" spans="2:21" ht="15.75" customHeight="1" x14ac:dyDescent="0.3">
      <c r="B149" s="5"/>
      <c r="C149" s="45"/>
      <c r="D149" s="45"/>
      <c r="E149" s="45"/>
      <c r="F149" s="4"/>
      <c r="G149" s="4"/>
      <c r="H149" s="4"/>
      <c r="I149" s="4"/>
      <c r="J149" s="4"/>
      <c r="K149" s="26"/>
      <c r="L149" s="4"/>
      <c r="M149" s="4"/>
      <c r="N149" s="4"/>
      <c r="O149" s="4"/>
      <c r="P149" s="4"/>
      <c r="Q149" s="4"/>
      <c r="R149" s="4"/>
      <c r="S149" s="4"/>
      <c r="T149" s="3"/>
      <c r="U149" s="3"/>
    </row>
    <row r="150" spans="2:21" ht="15.75" customHeight="1" x14ac:dyDescent="0.3">
      <c r="B150" s="5"/>
      <c r="C150" s="45"/>
      <c r="D150" s="45"/>
      <c r="E150" s="45"/>
      <c r="F150" s="4"/>
      <c r="G150" s="4"/>
      <c r="H150" s="4"/>
      <c r="I150" s="4"/>
      <c r="J150" s="4"/>
      <c r="K150" s="26"/>
      <c r="L150" s="4"/>
      <c r="M150" s="4"/>
      <c r="N150" s="4"/>
      <c r="O150" s="4"/>
      <c r="P150" s="4"/>
      <c r="Q150" s="4"/>
      <c r="R150" s="4"/>
      <c r="S150" s="4"/>
      <c r="T150" s="3"/>
      <c r="U150" s="3"/>
    </row>
    <row r="151" spans="2:21" ht="15.75" customHeight="1" x14ac:dyDescent="0.3">
      <c r="B151" s="5"/>
      <c r="C151" s="45"/>
      <c r="D151" s="45"/>
      <c r="E151" s="45"/>
      <c r="F151" s="4"/>
      <c r="G151" s="4"/>
      <c r="H151" s="4"/>
      <c r="I151" s="4"/>
      <c r="J151" s="4"/>
      <c r="K151" s="26"/>
      <c r="L151" s="4"/>
      <c r="M151" s="4"/>
      <c r="N151" s="4"/>
      <c r="O151" s="4"/>
      <c r="P151" s="4"/>
      <c r="Q151" s="4"/>
      <c r="R151" s="4"/>
      <c r="S151" s="4"/>
      <c r="T151" s="3"/>
      <c r="U151" s="3"/>
    </row>
    <row r="152" spans="2:21" ht="15.75" customHeight="1" x14ac:dyDescent="0.3">
      <c r="B152" s="5"/>
      <c r="C152" s="45"/>
      <c r="D152" s="45"/>
      <c r="E152" s="45"/>
      <c r="F152" s="4"/>
      <c r="G152" s="4"/>
      <c r="H152" s="4"/>
      <c r="I152" s="4"/>
      <c r="J152" s="4"/>
      <c r="K152" s="26"/>
      <c r="L152" s="4"/>
      <c r="M152" s="4"/>
      <c r="N152" s="4"/>
      <c r="O152" s="4"/>
      <c r="P152" s="4"/>
      <c r="Q152" s="4"/>
      <c r="R152" s="4"/>
      <c r="S152" s="4"/>
      <c r="T152" s="3"/>
      <c r="U152" s="3"/>
    </row>
    <row r="153" spans="2:21" ht="15.75" customHeight="1" x14ac:dyDescent="0.3">
      <c r="B153" s="5"/>
      <c r="C153" s="45"/>
      <c r="D153" s="45"/>
      <c r="E153" s="45"/>
      <c r="F153" s="4"/>
      <c r="G153" s="4"/>
      <c r="H153" s="4"/>
      <c r="I153" s="4"/>
      <c r="J153" s="4"/>
      <c r="K153" s="26"/>
      <c r="L153" s="4"/>
      <c r="M153" s="4"/>
      <c r="N153" s="4"/>
      <c r="O153" s="4"/>
      <c r="P153" s="4"/>
      <c r="Q153" s="4"/>
      <c r="R153" s="4"/>
      <c r="S153" s="4"/>
      <c r="T153" s="3"/>
      <c r="U153" s="3"/>
    </row>
    <row r="154" spans="2:21" ht="15.75" customHeight="1" x14ac:dyDescent="0.3">
      <c r="B154" s="5"/>
      <c r="C154" s="45"/>
      <c r="D154" s="45"/>
      <c r="E154" s="45"/>
      <c r="F154" s="4"/>
      <c r="G154" s="4"/>
      <c r="H154" s="4"/>
      <c r="I154" s="4"/>
      <c r="J154" s="4"/>
      <c r="K154" s="26"/>
      <c r="L154" s="4"/>
      <c r="M154" s="4"/>
      <c r="N154" s="4"/>
      <c r="O154" s="4"/>
      <c r="P154" s="4"/>
      <c r="Q154" s="4"/>
      <c r="R154" s="4"/>
      <c r="S154" s="4"/>
      <c r="T154" s="3"/>
      <c r="U154" s="3"/>
    </row>
    <row r="155" spans="2:21" ht="15.75" customHeight="1" x14ac:dyDescent="0.3">
      <c r="B155" s="5"/>
      <c r="C155" s="45"/>
      <c r="D155" s="45"/>
      <c r="E155" s="45"/>
      <c r="F155" s="4"/>
      <c r="G155" s="4"/>
      <c r="H155" s="4"/>
      <c r="I155" s="4"/>
      <c r="J155" s="4"/>
      <c r="K155" s="26"/>
      <c r="L155" s="4"/>
      <c r="M155" s="4"/>
      <c r="N155" s="4"/>
      <c r="O155" s="4"/>
      <c r="P155" s="4"/>
      <c r="Q155" s="4"/>
      <c r="R155" s="4"/>
      <c r="S155" s="4"/>
      <c r="T155" s="3"/>
      <c r="U155" s="3"/>
    </row>
    <row r="156" spans="2:21" ht="15.75" customHeight="1" x14ac:dyDescent="0.3">
      <c r="B156" s="5"/>
      <c r="C156" s="45"/>
      <c r="D156" s="45"/>
      <c r="E156" s="45"/>
      <c r="F156" s="4"/>
      <c r="G156" s="4"/>
      <c r="H156" s="4"/>
      <c r="I156" s="4"/>
      <c r="J156" s="4"/>
      <c r="K156" s="26"/>
      <c r="L156" s="4"/>
      <c r="M156" s="4"/>
      <c r="N156" s="4"/>
      <c r="O156" s="4"/>
      <c r="P156" s="4"/>
      <c r="Q156" s="4"/>
      <c r="R156" s="4"/>
      <c r="S156" s="4"/>
      <c r="T156" s="3"/>
      <c r="U156" s="3"/>
    </row>
    <row r="157" spans="2:21" ht="15.75" customHeight="1" x14ac:dyDescent="0.3">
      <c r="B157" s="5"/>
      <c r="C157" s="45"/>
      <c r="D157" s="45"/>
      <c r="E157" s="45"/>
      <c r="F157" s="4"/>
      <c r="G157" s="4"/>
      <c r="H157" s="4"/>
      <c r="I157" s="4"/>
      <c r="J157" s="4"/>
      <c r="K157" s="26"/>
      <c r="L157" s="4"/>
      <c r="M157" s="4"/>
      <c r="N157" s="4"/>
      <c r="O157" s="4"/>
      <c r="P157" s="4"/>
      <c r="Q157" s="4"/>
      <c r="R157" s="4"/>
      <c r="S157" s="4"/>
      <c r="T157" s="3"/>
      <c r="U157" s="3"/>
    </row>
    <row r="158" spans="2:21" ht="15.75" customHeight="1" x14ac:dyDescent="0.3">
      <c r="B158" s="5"/>
      <c r="C158" s="45"/>
      <c r="D158" s="45"/>
      <c r="E158" s="45"/>
      <c r="F158" s="4"/>
      <c r="G158" s="4"/>
      <c r="H158" s="4"/>
      <c r="I158" s="4"/>
      <c r="J158" s="4"/>
      <c r="K158" s="26"/>
      <c r="L158" s="4"/>
      <c r="M158" s="4"/>
      <c r="N158" s="4"/>
      <c r="O158" s="4"/>
      <c r="P158" s="4"/>
      <c r="Q158" s="4"/>
      <c r="R158" s="4"/>
      <c r="S158" s="4"/>
      <c r="T158" s="3"/>
      <c r="U158" s="3"/>
    </row>
    <row r="159" spans="2:21" ht="15.75" customHeight="1" x14ac:dyDescent="0.3">
      <c r="B159" s="5"/>
      <c r="C159" s="45"/>
      <c r="D159" s="45"/>
      <c r="E159" s="45"/>
      <c r="F159" s="4"/>
      <c r="G159" s="4"/>
      <c r="H159" s="4"/>
      <c r="I159" s="4"/>
      <c r="J159" s="4"/>
      <c r="K159" s="26"/>
      <c r="L159" s="4"/>
      <c r="M159" s="4"/>
      <c r="N159" s="4"/>
      <c r="O159" s="4"/>
      <c r="P159" s="4"/>
      <c r="Q159" s="4"/>
      <c r="R159" s="4"/>
      <c r="S159" s="4"/>
      <c r="T159" s="3"/>
      <c r="U159" s="3"/>
    </row>
    <row r="160" spans="2:21" ht="15.75" customHeight="1" x14ac:dyDescent="0.3">
      <c r="B160" s="5"/>
      <c r="C160" s="45"/>
      <c r="D160" s="45"/>
      <c r="E160" s="45"/>
      <c r="F160" s="4"/>
      <c r="G160" s="4"/>
      <c r="H160" s="4"/>
      <c r="I160" s="4"/>
      <c r="J160" s="4"/>
      <c r="K160" s="26"/>
      <c r="L160" s="4"/>
      <c r="M160" s="4"/>
      <c r="N160" s="4"/>
      <c r="O160" s="4"/>
      <c r="P160" s="4"/>
      <c r="Q160" s="4"/>
      <c r="R160" s="4"/>
      <c r="S160" s="4"/>
      <c r="T160" s="3"/>
      <c r="U160" s="3"/>
    </row>
    <row r="161" spans="2:21" ht="15.75" customHeight="1" x14ac:dyDescent="0.3">
      <c r="B161" s="5"/>
      <c r="C161" s="45"/>
      <c r="D161" s="45"/>
      <c r="E161" s="45"/>
      <c r="F161" s="4"/>
      <c r="G161" s="4"/>
      <c r="H161" s="4"/>
      <c r="I161" s="4"/>
      <c r="J161" s="4"/>
      <c r="K161" s="26"/>
      <c r="L161" s="4"/>
      <c r="M161" s="4"/>
      <c r="N161" s="4"/>
      <c r="O161" s="4"/>
      <c r="P161" s="4"/>
      <c r="Q161" s="4"/>
      <c r="R161" s="4"/>
      <c r="S161" s="4"/>
      <c r="T161" s="3"/>
      <c r="U161" s="3"/>
    </row>
    <row r="162" spans="2:21" ht="15.75" customHeight="1" x14ac:dyDescent="0.3">
      <c r="B162" s="5"/>
      <c r="C162" s="45"/>
      <c r="D162" s="45"/>
      <c r="E162" s="45"/>
      <c r="F162" s="4"/>
      <c r="G162" s="4"/>
      <c r="H162" s="4"/>
      <c r="I162" s="4"/>
      <c r="J162" s="4"/>
      <c r="K162" s="26"/>
      <c r="L162" s="4"/>
      <c r="M162" s="4"/>
      <c r="N162" s="4"/>
      <c r="O162" s="4"/>
      <c r="P162" s="4"/>
      <c r="Q162" s="4"/>
      <c r="R162" s="4"/>
      <c r="S162" s="4"/>
      <c r="T162" s="3"/>
      <c r="U162" s="3"/>
    </row>
    <row r="163" spans="2:21" ht="15.75" customHeight="1" x14ac:dyDescent="0.3">
      <c r="B163" s="5"/>
      <c r="C163" s="45"/>
      <c r="D163" s="45"/>
      <c r="E163" s="45"/>
      <c r="F163" s="4"/>
      <c r="G163" s="4"/>
      <c r="H163" s="4"/>
      <c r="I163" s="4"/>
      <c r="J163" s="4"/>
      <c r="K163" s="26"/>
      <c r="L163" s="4"/>
      <c r="M163" s="4"/>
      <c r="N163" s="4"/>
      <c r="O163" s="4"/>
      <c r="P163" s="4"/>
      <c r="Q163" s="4"/>
      <c r="R163" s="4"/>
      <c r="S163" s="4"/>
      <c r="T163" s="3"/>
      <c r="U163" s="3"/>
    </row>
    <row r="164" spans="2:21" ht="15.75" customHeight="1" x14ac:dyDescent="0.3">
      <c r="B164" s="5"/>
      <c r="C164" s="45"/>
      <c r="D164" s="45"/>
      <c r="E164" s="45"/>
      <c r="F164" s="4"/>
      <c r="G164" s="4"/>
      <c r="H164" s="4"/>
      <c r="I164" s="4"/>
      <c r="J164" s="4"/>
      <c r="K164" s="26"/>
      <c r="L164" s="4"/>
      <c r="M164" s="4"/>
      <c r="N164" s="4"/>
      <c r="O164" s="4"/>
      <c r="P164" s="4"/>
      <c r="Q164" s="4"/>
      <c r="R164" s="4"/>
      <c r="S164" s="4"/>
      <c r="T164" s="3"/>
      <c r="U164" s="3"/>
    </row>
    <row r="165" spans="2:21" ht="15.75" customHeight="1" x14ac:dyDescent="0.3">
      <c r="B165" s="5"/>
      <c r="C165" s="45"/>
      <c r="D165" s="45"/>
      <c r="E165" s="45"/>
      <c r="F165" s="4"/>
      <c r="G165" s="4"/>
      <c r="H165" s="4"/>
      <c r="I165" s="4"/>
      <c r="J165" s="4"/>
      <c r="K165" s="26"/>
      <c r="L165" s="4"/>
      <c r="M165" s="4"/>
      <c r="N165" s="4"/>
      <c r="O165" s="4"/>
      <c r="P165" s="4"/>
      <c r="Q165" s="4"/>
      <c r="R165" s="4"/>
      <c r="S165" s="4"/>
      <c r="T165" s="3"/>
      <c r="U165" s="3"/>
    </row>
    <row r="166" spans="2:21" ht="15.75" customHeight="1" x14ac:dyDescent="0.3">
      <c r="B166" s="5"/>
      <c r="C166" s="45"/>
      <c r="D166" s="45"/>
      <c r="E166" s="45"/>
      <c r="F166" s="4"/>
      <c r="G166" s="4"/>
      <c r="H166" s="4"/>
      <c r="I166" s="4"/>
      <c r="J166" s="4"/>
      <c r="K166" s="26"/>
      <c r="L166" s="4"/>
      <c r="M166" s="4"/>
      <c r="N166" s="4"/>
      <c r="O166" s="4"/>
      <c r="P166" s="4"/>
      <c r="Q166" s="4"/>
      <c r="R166" s="4"/>
      <c r="S166" s="4"/>
      <c r="T166" s="3"/>
      <c r="U166" s="3"/>
    </row>
    <row r="167" spans="2:21" ht="15.75" customHeight="1" x14ac:dyDescent="0.3">
      <c r="B167" s="5"/>
      <c r="C167" s="45"/>
      <c r="D167" s="45"/>
      <c r="E167" s="45"/>
      <c r="F167" s="4"/>
      <c r="G167" s="4"/>
      <c r="H167" s="4"/>
      <c r="I167" s="4"/>
      <c r="J167" s="4"/>
      <c r="K167" s="26"/>
      <c r="L167" s="4"/>
      <c r="M167" s="4"/>
      <c r="N167" s="4"/>
      <c r="O167" s="4"/>
      <c r="P167" s="4"/>
      <c r="Q167" s="4"/>
      <c r="R167" s="4"/>
      <c r="S167" s="4"/>
      <c r="T167" s="3"/>
      <c r="U167" s="3"/>
    </row>
    <row r="168" spans="2:21" ht="15.75" customHeight="1" x14ac:dyDescent="0.3">
      <c r="B168" s="5"/>
      <c r="C168" s="45"/>
      <c r="D168" s="45"/>
      <c r="E168" s="45"/>
      <c r="F168" s="4"/>
      <c r="G168" s="4"/>
      <c r="H168" s="4"/>
      <c r="I168" s="4"/>
      <c r="J168" s="4"/>
      <c r="K168" s="26"/>
      <c r="L168" s="4"/>
      <c r="M168" s="4"/>
      <c r="N168" s="4"/>
      <c r="O168" s="4"/>
      <c r="P168" s="4"/>
      <c r="Q168" s="4"/>
      <c r="R168" s="4"/>
      <c r="S168" s="4"/>
      <c r="T168" s="3"/>
      <c r="U168" s="3"/>
    </row>
    <row r="169" spans="2:21" ht="15.75" customHeight="1" x14ac:dyDescent="0.3">
      <c r="B169" s="5"/>
      <c r="C169" s="45"/>
      <c r="D169" s="45"/>
      <c r="E169" s="45"/>
      <c r="F169" s="4"/>
      <c r="G169" s="4"/>
      <c r="H169" s="4"/>
      <c r="I169" s="4"/>
      <c r="J169" s="4"/>
      <c r="K169" s="26"/>
      <c r="L169" s="4"/>
      <c r="M169" s="4"/>
      <c r="N169" s="4"/>
      <c r="O169" s="4"/>
      <c r="P169" s="4"/>
      <c r="Q169" s="4"/>
      <c r="R169" s="4"/>
      <c r="S169" s="4"/>
      <c r="T169" s="3"/>
      <c r="U169" s="3"/>
    </row>
    <row r="170" spans="2:21" ht="15.75" customHeight="1" x14ac:dyDescent="0.3">
      <c r="B170" s="5"/>
      <c r="C170" s="45"/>
      <c r="D170" s="45"/>
      <c r="E170" s="45"/>
      <c r="F170" s="4"/>
      <c r="G170" s="4"/>
      <c r="H170" s="4"/>
      <c r="I170" s="4"/>
      <c r="J170" s="4"/>
      <c r="K170" s="26"/>
      <c r="L170" s="4"/>
      <c r="M170" s="4"/>
      <c r="N170" s="4"/>
      <c r="O170" s="4"/>
      <c r="P170" s="4"/>
      <c r="Q170" s="4"/>
      <c r="R170" s="4"/>
      <c r="S170" s="4"/>
      <c r="T170" s="3"/>
      <c r="U170" s="3"/>
    </row>
    <row r="171" spans="2:21" ht="15.75" customHeight="1" x14ac:dyDescent="0.3">
      <c r="B171" s="5"/>
      <c r="C171" s="45"/>
      <c r="D171" s="45"/>
      <c r="E171" s="45"/>
      <c r="F171" s="4"/>
      <c r="G171" s="4"/>
      <c r="H171" s="4"/>
      <c r="I171" s="4"/>
      <c r="J171" s="4"/>
      <c r="K171" s="26"/>
      <c r="L171" s="4"/>
      <c r="M171" s="4"/>
      <c r="N171" s="4"/>
      <c r="O171" s="4"/>
      <c r="P171" s="4"/>
      <c r="Q171" s="4"/>
      <c r="R171" s="4"/>
      <c r="S171" s="4"/>
      <c r="T171" s="3"/>
      <c r="U171" s="3"/>
    </row>
    <row r="172" spans="2:21" ht="15.75" customHeight="1" x14ac:dyDescent="0.3">
      <c r="B172" s="5"/>
      <c r="C172" s="45"/>
      <c r="D172" s="45"/>
      <c r="E172" s="45"/>
      <c r="F172" s="4"/>
      <c r="G172" s="4"/>
      <c r="H172" s="4"/>
      <c r="I172" s="4"/>
      <c r="J172" s="4"/>
      <c r="K172" s="26"/>
      <c r="L172" s="4"/>
      <c r="M172" s="4"/>
      <c r="N172" s="4"/>
      <c r="O172" s="4"/>
      <c r="P172" s="4"/>
      <c r="Q172" s="4"/>
      <c r="R172" s="4"/>
      <c r="S172" s="4"/>
      <c r="T172" s="3"/>
      <c r="U172" s="3"/>
    </row>
    <row r="173" spans="2:21" ht="15.75" customHeight="1" x14ac:dyDescent="0.3">
      <c r="B173" s="5"/>
      <c r="C173" s="45"/>
      <c r="D173" s="45"/>
      <c r="E173" s="45"/>
      <c r="F173" s="4"/>
      <c r="G173" s="4"/>
      <c r="H173" s="4"/>
      <c r="I173" s="4"/>
      <c r="J173" s="4"/>
      <c r="K173" s="26"/>
      <c r="L173" s="4"/>
      <c r="M173" s="4"/>
      <c r="N173" s="4"/>
      <c r="O173" s="4"/>
      <c r="P173" s="4"/>
      <c r="Q173" s="4"/>
      <c r="R173" s="4"/>
      <c r="S173" s="4"/>
      <c r="T173" s="3"/>
      <c r="U173" s="3"/>
    </row>
    <row r="174" spans="2:21" ht="15.75" customHeight="1" x14ac:dyDescent="0.3">
      <c r="B174" s="5"/>
      <c r="C174" s="45"/>
      <c r="D174" s="45"/>
      <c r="E174" s="45"/>
      <c r="F174" s="4"/>
      <c r="G174" s="4"/>
      <c r="H174" s="4"/>
      <c r="I174" s="4"/>
      <c r="J174" s="4"/>
      <c r="K174" s="26"/>
      <c r="L174" s="4"/>
      <c r="M174" s="4"/>
      <c r="N174" s="4"/>
      <c r="O174" s="4"/>
      <c r="P174" s="4"/>
      <c r="Q174" s="4"/>
      <c r="R174" s="4"/>
      <c r="S174" s="4"/>
      <c r="T174" s="3"/>
      <c r="U174" s="3"/>
    </row>
    <row r="175" spans="2:21" ht="15.75" customHeight="1" x14ac:dyDescent="0.3">
      <c r="B175" s="5"/>
      <c r="C175" s="45"/>
      <c r="D175" s="45"/>
      <c r="E175" s="45"/>
      <c r="F175" s="4"/>
      <c r="G175" s="4"/>
      <c r="H175" s="4"/>
      <c r="I175" s="4"/>
      <c r="J175" s="4"/>
      <c r="K175" s="26"/>
      <c r="L175" s="4"/>
      <c r="M175" s="4"/>
      <c r="N175" s="4"/>
      <c r="O175" s="4"/>
      <c r="P175" s="4"/>
      <c r="Q175" s="4"/>
      <c r="R175" s="4"/>
      <c r="S175" s="4"/>
      <c r="T175" s="3"/>
      <c r="U175" s="3"/>
    </row>
    <row r="176" spans="2:21" ht="15.75" customHeight="1" x14ac:dyDescent="0.3">
      <c r="B176" s="5"/>
      <c r="C176" s="45"/>
      <c r="D176" s="45"/>
      <c r="E176" s="45"/>
      <c r="F176" s="4"/>
      <c r="G176" s="4"/>
      <c r="H176" s="4"/>
      <c r="I176" s="4"/>
      <c r="J176" s="4"/>
      <c r="K176" s="26"/>
      <c r="L176" s="4"/>
      <c r="M176" s="4"/>
      <c r="N176" s="4"/>
      <c r="O176" s="4"/>
      <c r="P176" s="4"/>
      <c r="Q176" s="4"/>
      <c r="R176" s="4"/>
      <c r="S176" s="4"/>
      <c r="T176" s="3"/>
      <c r="U176" s="3"/>
    </row>
    <row r="177" spans="2:21" ht="15.75" customHeight="1" x14ac:dyDescent="0.3">
      <c r="B177" s="5"/>
      <c r="C177" s="45"/>
      <c r="D177" s="45"/>
      <c r="E177" s="45"/>
      <c r="F177" s="4"/>
      <c r="G177" s="4"/>
      <c r="H177" s="4"/>
      <c r="I177" s="4"/>
      <c r="J177" s="4"/>
      <c r="K177" s="26"/>
      <c r="L177" s="4"/>
      <c r="M177" s="4"/>
      <c r="N177" s="4"/>
      <c r="O177" s="4"/>
      <c r="P177" s="4"/>
      <c r="Q177" s="4"/>
      <c r="R177" s="4"/>
      <c r="S177" s="4"/>
      <c r="T177" s="3"/>
      <c r="U177" s="3"/>
    </row>
    <row r="178" spans="2:21" ht="15.75" customHeight="1" x14ac:dyDescent="0.3">
      <c r="B178" s="5"/>
      <c r="C178" s="45"/>
      <c r="D178" s="45"/>
      <c r="E178" s="45"/>
      <c r="F178" s="4"/>
      <c r="G178" s="4"/>
      <c r="H178" s="4"/>
      <c r="I178" s="4"/>
      <c r="J178" s="4"/>
      <c r="K178" s="26"/>
      <c r="L178" s="4"/>
      <c r="M178" s="4"/>
      <c r="N178" s="4"/>
      <c r="O178" s="4"/>
      <c r="P178" s="4"/>
      <c r="Q178" s="4"/>
      <c r="R178" s="4"/>
      <c r="S178" s="4"/>
      <c r="T178" s="3"/>
      <c r="U178" s="3"/>
    </row>
    <row r="179" spans="2:21" ht="15.75" customHeight="1" x14ac:dyDescent="0.3">
      <c r="B179" s="5"/>
      <c r="C179" s="45"/>
      <c r="D179" s="45"/>
      <c r="E179" s="45"/>
      <c r="F179" s="4"/>
      <c r="G179" s="4"/>
      <c r="H179" s="4"/>
      <c r="I179" s="4"/>
      <c r="J179" s="4"/>
      <c r="K179" s="26"/>
      <c r="L179" s="4"/>
      <c r="M179" s="4"/>
      <c r="N179" s="4"/>
      <c r="O179" s="4"/>
      <c r="P179" s="4"/>
      <c r="Q179" s="4"/>
      <c r="R179" s="4"/>
      <c r="S179" s="4"/>
      <c r="T179" s="3"/>
      <c r="U179" s="3"/>
    </row>
    <row r="180" spans="2:21" ht="15.75" customHeight="1" x14ac:dyDescent="0.3">
      <c r="B180" s="5"/>
      <c r="C180" s="45"/>
      <c r="D180" s="45"/>
      <c r="E180" s="45"/>
      <c r="F180" s="4"/>
      <c r="G180" s="4"/>
      <c r="H180" s="4"/>
      <c r="I180" s="4"/>
      <c r="J180" s="4"/>
      <c r="K180" s="26"/>
      <c r="L180" s="4"/>
      <c r="M180" s="4"/>
      <c r="N180" s="4"/>
      <c r="O180" s="4"/>
      <c r="P180" s="4"/>
      <c r="Q180" s="4"/>
      <c r="R180" s="4"/>
      <c r="S180" s="4"/>
      <c r="T180" s="3"/>
      <c r="U180" s="3"/>
    </row>
    <row r="181" spans="2:21" ht="15.75" customHeight="1" x14ac:dyDescent="0.3">
      <c r="B181" s="5"/>
      <c r="C181" s="45"/>
      <c r="D181" s="45"/>
      <c r="E181" s="45"/>
      <c r="F181" s="4"/>
      <c r="G181" s="4"/>
      <c r="H181" s="4"/>
      <c r="I181" s="4"/>
      <c r="J181" s="4"/>
      <c r="K181" s="26"/>
      <c r="L181" s="4"/>
      <c r="M181" s="4"/>
      <c r="N181" s="4"/>
      <c r="O181" s="4"/>
      <c r="P181" s="4"/>
      <c r="Q181" s="4"/>
      <c r="R181" s="4"/>
      <c r="S181" s="4"/>
      <c r="T181" s="3"/>
      <c r="U181" s="3"/>
    </row>
    <row r="182" spans="2:21" ht="15.75" customHeight="1" x14ac:dyDescent="0.3">
      <c r="B182" s="5"/>
      <c r="C182" s="45"/>
      <c r="D182" s="45"/>
      <c r="E182" s="45"/>
      <c r="F182" s="4"/>
      <c r="G182" s="4"/>
      <c r="H182" s="4"/>
      <c r="I182" s="4"/>
      <c r="J182" s="4"/>
      <c r="K182" s="26"/>
      <c r="L182" s="4"/>
      <c r="M182" s="4"/>
      <c r="N182" s="4"/>
      <c r="O182" s="4"/>
      <c r="P182" s="4"/>
      <c r="Q182" s="4"/>
      <c r="R182" s="4"/>
      <c r="S182" s="4"/>
      <c r="T182" s="3"/>
      <c r="U182" s="3"/>
    </row>
    <row r="183" spans="2:21" ht="15.75" customHeight="1" x14ac:dyDescent="0.3">
      <c r="B183" s="5"/>
      <c r="C183" s="45"/>
      <c r="D183" s="45"/>
      <c r="E183" s="45"/>
      <c r="F183" s="4"/>
      <c r="G183" s="4"/>
      <c r="H183" s="4"/>
      <c r="I183" s="4"/>
      <c r="J183" s="4"/>
      <c r="K183" s="26"/>
      <c r="L183" s="4"/>
      <c r="M183" s="4"/>
      <c r="N183" s="4"/>
      <c r="O183" s="4"/>
      <c r="P183" s="4"/>
      <c r="Q183" s="4"/>
      <c r="R183" s="4"/>
      <c r="S183" s="4"/>
      <c r="T183" s="3"/>
      <c r="U183" s="3"/>
    </row>
    <row r="184" spans="2:21" ht="15.75" customHeight="1" x14ac:dyDescent="0.3">
      <c r="B184" s="5"/>
      <c r="C184" s="45"/>
      <c r="D184" s="45"/>
      <c r="E184" s="45"/>
      <c r="F184" s="4"/>
      <c r="G184" s="4"/>
      <c r="H184" s="4"/>
      <c r="I184" s="4"/>
      <c r="J184" s="4"/>
      <c r="K184" s="26"/>
      <c r="L184" s="4"/>
      <c r="M184" s="4"/>
      <c r="N184" s="4"/>
      <c r="O184" s="4"/>
      <c r="P184" s="4"/>
      <c r="Q184" s="4"/>
      <c r="R184" s="4"/>
      <c r="S184" s="4"/>
      <c r="T184" s="3"/>
      <c r="U184" s="3"/>
    </row>
    <row r="185" spans="2:21" ht="15.75" customHeight="1" x14ac:dyDescent="0.3">
      <c r="B185" s="5"/>
      <c r="C185" s="45"/>
      <c r="D185" s="45"/>
      <c r="E185" s="45"/>
      <c r="F185" s="4"/>
      <c r="G185" s="4"/>
      <c r="H185" s="4"/>
      <c r="I185" s="4"/>
      <c r="J185" s="4"/>
      <c r="K185" s="26"/>
      <c r="L185" s="4"/>
      <c r="M185" s="4"/>
      <c r="N185" s="4"/>
      <c r="O185" s="4"/>
      <c r="P185" s="4"/>
      <c r="Q185" s="4"/>
      <c r="R185" s="4"/>
      <c r="S185" s="4"/>
      <c r="T185" s="3"/>
      <c r="U185" s="3"/>
    </row>
    <row r="186" spans="2:21" ht="15.75" customHeight="1" x14ac:dyDescent="0.3">
      <c r="B186" s="5"/>
      <c r="C186" s="45"/>
      <c r="D186" s="45"/>
      <c r="E186" s="45"/>
      <c r="F186" s="4"/>
      <c r="G186" s="4"/>
      <c r="H186" s="4"/>
      <c r="I186" s="4"/>
      <c r="J186" s="4"/>
      <c r="K186" s="26"/>
      <c r="L186" s="4"/>
      <c r="M186" s="4"/>
      <c r="N186" s="4"/>
      <c r="O186" s="4"/>
      <c r="P186" s="4"/>
      <c r="Q186" s="4"/>
      <c r="R186" s="4"/>
      <c r="S186" s="4"/>
      <c r="T186" s="3"/>
      <c r="U186" s="3"/>
    </row>
    <row r="187" spans="2:21" ht="15.75" customHeight="1" x14ac:dyDescent="0.3">
      <c r="B187" s="5"/>
      <c r="C187" s="45"/>
      <c r="D187" s="45"/>
      <c r="E187" s="45"/>
      <c r="F187" s="4"/>
      <c r="G187" s="4"/>
      <c r="H187" s="4"/>
      <c r="I187" s="4"/>
      <c r="J187" s="4"/>
      <c r="K187" s="26"/>
      <c r="L187" s="4"/>
      <c r="M187" s="4"/>
      <c r="N187" s="4"/>
      <c r="O187" s="4"/>
      <c r="P187" s="4"/>
      <c r="Q187" s="4"/>
      <c r="R187" s="4"/>
      <c r="S187" s="4"/>
      <c r="T187" s="3"/>
      <c r="U187" s="3"/>
    </row>
    <row r="188" spans="2:21" ht="15.75" customHeight="1" x14ac:dyDescent="0.3">
      <c r="B188" s="5"/>
      <c r="C188" s="45"/>
      <c r="D188" s="45"/>
      <c r="E188" s="45"/>
      <c r="F188" s="4"/>
      <c r="G188" s="4"/>
      <c r="H188" s="4"/>
      <c r="I188" s="4"/>
      <c r="J188" s="4"/>
      <c r="K188" s="26"/>
      <c r="L188" s="4"/>
      <c r="M188" s="4"/>
      <c r="N188" s="4"/>
      <c r="O188" s="4"/>
      <c r="P188" s="4"/>
      <c r="Q188" s="4"/>
      <c r="R188" s="4"/>
      <c r="S188" s="4"/>
      <c r="T188" s="3"/>
      <c r="U188" s="3"/>
    </row>
    <row r="189" spans="2:21" ht="15.75" customHeight="1" x14ac:dyDescent="0.3">
      <c r="B189" s="5"/>
      <c r="C189" s="45"/>
      <c r="D189" s="45"/>
      <c r="E189" s="45"/>
      <c r="F189" s="4"/>
      <c r="G189" s="4"/>
      <c r="H189" s="4"/>
      <c r="I189" s="4"/>
      <c r="J189" s="4"/>
      <c r="K189" s="26"/>
      <c r="L189" s="4"/>
      <c r="M189" s="4"/>
      <c r="N189" s="4"/>
      <c r="O189" s="4"/>
      <c r="P189" s="4"/>
      <c r="Q189" s="4"/>
      <c r="R189" s="4"/>
      <c r="S189" s="4"/>
      <c r="T189" s="3"/>
      <c r="U189" s="3"/>
    </row>
    <row r="190" spans="2:21" ht="15.75" customHeight="1" x14ac:dyDescent="0.3">
      <c r="B190" s="5"/>
      <c r="C190" s="45"/>
      <c r="D190" s="45"/>
      <c r="E190" s="45"/>
      <c r="F190" s="4"/>
      <c r="G190" s="4"/>
      <c r="H190" s="4"/>
      <c r="I190" s="4"/>
      <c r="J190" s="4"/>
      <c r="K190" s="26"/>
      <c r="L190" s="4"/>
      <c r="M190" s="4"/>
      <c r="N190" s="4"/>
      <c r="O190" s="4"/>
      <c r="P190" s="4"/>
      <c r="Q190" s="4"/>
      <c r="R190" s="4"/>
      <c r="S190" s="4"/>
      <c r="T190" s="3"/>
      <c r="U190" s="3"/>
    </row>
    <row r="191" spans="2:21" ht="15.75" customHeight="1" x14ac:dyDescent="0.3">
      <c r="B191" s="5"/>
      <c r="C191" s="45"/>
      <c r="D191" s="45"/>
      <c r="E191" s="45"/>
      <c r="F191" s="4"/>
      <c r="G191" s="4"/>
      <c r="H191" s="4"/>
      <c r="I191" s="4"/>
      <c r="J191" s="4"/>
      <c r="K191" s="26"/>
      <c r="L191" s="4"/>
      <c r="M191" s="4"/>
      <c r="N191" s="4"/>
      <c r="O191" s="4"/>
      <c r="P191" s="4"/>
      <c r="Q191" s="4"/>
      <c r="R191" s="4"/>
      <c r="S191" s="4"/>
      <c r="T191" s="3"/>
      <c r="U191" s="3"/>
    </row>
    <row r="192" spans="2:21" ht="15.75" customHeight="1" x14ac:dyDescent="0.3">
      <c r="B192" s="5"/>
      <c r="C192" s="45"/>
      <c r="D192" s="45"/>
      <c r="E192" s="45"/>
      <c r="F192" s="4"/>
      <c r="G192" s="4"/>
      <c r="H192" s="4"/>
      <c r="I192" s="4"/>
      <c r="J192" s="4"/>
      <c r="K192" s="26"/>
      <c r="L192" s="4"/>
      <c r="M192" s="4"/>
      <c r="N192" s="4"/>
      <c r="O192" s="4"/>
      <c r="P192" s="4"/>
      <c r="Q192" s="4"/>
      <c r="R192" s="4"/>
      <c r="S192" s="4"/>
      <c r="T192" s="3"/>
      <c r="U192" s="3"/>
    </row>
    <row r="193" spans="2:21" ht="15.75" customHeight="1" x14ac:dyDescent="0.3">
      <c r="B193" s="5"/>
      <c r="C193" s="45"/>
      <c r="D193" s="45"/>
      <c r="E193" s="45"/>
      <c r="F193" s="4"/>
      <c r="G193" s="4"/>
      <c r="H193" s="4"/>
      <c r="I193" s="4"/>
      <c r="J193" s="4"/>
      <c r="K193" s="26"/>
      <c r="L193" s="4"/>
      <c r="M193" s="4"/>
      <c r="N193" s="4"/>
      <c r="O193" s="4"/>
      <c r="P193" s="4"/>
      <c r="Q193" s="4"/>
      <c r="R193" s="4"/>
      <c r="S193" s="4"/>
      <c r="T193" s="3"/>
      <c r="U193" s="3"/>
    </row>
    <row r="194" spans="2:21" ht="15.75" customHeight="1" x14ac:dyDescent="0.3">
      <c r="B194" s="5"/>
      <c r="C194" s="45"/>
      <c r="D194" s="45"/>
      <c r="E194" s="45"/>
      <c r="F194" s="4"/>
      <c r="G194" s="4"/>
      <c r="H194" s="4"/>
      <c r="I194" s="4"/>
      <c r="J194" s="4"/>
      <c r="K194" s="26"/>
      <c r="L194" s="4"/>
      <c r="M194" s="4"/>
      <c r="N194" s="4"/>
      <c r="O194" s="4"/>
      <c r="P194" s="4"/>
      <c r="Q194" s="4"/>
      <c r="R194" s="4"/>
      <c r="S194" s="4"/>
      <c r="T194" s="3"/>
      <c r="U194" s="3"/>
    </row>
    <row r="195" spans="2:21" ht="15.75" customHeight="1" x14ac:dyDescent="0.3">
      <c r="B195" s="5"/>
      <c r="C195" s="45"/>
      <c r="D195" s="45"/>
      <c r="E195" s="45"/>
      <c r="F195" s="4"/>
      <c r="G195" s="4"/>
      <c r="H195" s="4"/>
      <c r="I195" s="4"/>
      <c r="J195" s="4"/>
      <c r="K195" s="26"/>
      <c r="L195" s="4"/>
      <c r="M195" s="4"/>
      <c r="N195" s="4"/>
      <c r="O195" s="4"/>
      <c r="P195" s="4"/>
      <c r="Q195" s="4"/>
      <c r="R195" s="4"/>
      <c r="S195" s="4"/>
      <c r="T195" s="3"/>
      <c r="U195" s="3"/>
    </row>
    <row r="196" spans="2:21" ht="15.75" customHeight="1" x14ac:dyDescent="0.3">
      <c r="B196" s="5"/>
      <c r="C196" s="45"/>
      <c r="D196" s="45"/>
      <c r="E196" s="45"/>
      <c r="F196" s="4"/>
      <c r="G196" s="4"/>
      <c r="H196" s="4"/>
      <c r="I196" s="4"/>
      <c r="J196" s="4"/>
      <c r="K196" s="26"/>
      <c r="L196" s="4"/>
      <c r="M196" s="4"/>
      <c r="N196" s="4"/>
      <c r="O196" s="4"/>
      <c r="P196" s="4"/>
      <c r="Q196" s="4"/>
      <c r="R196" s="4"/>
      <c r="S196" s="4"/>
      <c r="T196" s="3"/>
      <c r="U196" s="3"/>
    </row>
    <row r="197" spans="2:21" ht="15.75" customHeight="1" x14ac:dyDescent="0.3">
      <c r="B197" s="5"/>
      <c r="C197" s="45"/>
      <c r="D197" s="45"/>
      <c r="E197" s="45"/>
      <c r="F197" s="4"/>
      <c r="G197" s="4"/>
      <c r="H197" s="4"/>
      <c r="I197" s="4"/>
      <c r="J197" s="4"/>
      <c r="K197" s="26"/>
      <c r="L197" s="4"/>
      <c r="M197" s="4"/>
      <c r="N197" s="4"/>
      <c r="O197" s="4"/>
      <c r="P197" s="4"/>
      <c r="Q197" s="4"/>
      <c r="R197" s="4"/>
      <c r="S197" s="4"/>
      <c r="T197" s="3"/>
      <c r="U197" s="3"/>
    </row>
    <row r="198" spans="2:21" ht="15.75" customHeight="1" x14ac:dyDescent="0.3">
      <c r="B198" s="5"/>
      <c r="C198" s="45"/>
      <c r="D198" s="45"/>
      <c r="E198" s="45"/>
      <c r="F198" s="4"/>
      <c r="G198" s="4"/>
      <c r="H198" s="4"/>
      <c r="I198" s="4"/>
      <c r="J198" s="4"/>
      <c r="K198" s="26"/>
      <c r="L198" s="4"/>
      <c r="M198" s="4"/>
      <c r="N198" s="4"/>
      <c r="O198" s="4"/>
      <c r="P198" s="4"/>
      <c r="Q198" s="4"/>
      <c r="R198" s="4"/>
      <c r="S198" s="4"/>
      <c r="T198" s="3"/>
      <c r="U198" s="3"/>
    </row>
    <row r="199" spans="2:21" ht="15.75" customHeight="1" x14ac:dyDescent="0.3">
      <c r="B199" s="5"/>
      <c r="C199" s="45"/>
      <c r="D199" s="45"/>
      <c r="E199" s="45"/>
      <c r="F199" s="4"/>
      <c r="G199" s="4"/>
      <c r="H199" s="4"/>
      <c r="I199" s="4"/>
      <c r="J199" s="4"/>
      <c r="K199" s="26"/>
      <c r="L199" s="4"/>
      <c r="M199" s="4"/>
      <c r="N199" s="4"/>
      <c r="O199" s="4"/>
      <c r="P199" s="4"/>
      <c r="Q199" s="4"/>
      <c r="R199" s="4"/>
      <c r="S199" s="4"/>
      <c r="T199" s="3"/>
      <c r="U199" s="3"/>
    </row>
    <row r="200" spans="2:21" ht="15.75" customHeight="1" x14ac:dyDescent="0.3">
      <c r="B200" s="5"/>
      <c r="C200" s="45"/>
      <c r="D200" s="45"/>
      <c r="E200" s="45"/>
      <c r="F200" s="4"/>
      <c r="G200" s="4"/>
      <c r="H200" s="4"/>
      <c r="I200" s="4"/>
      <c r="J200" s="4"/>
      <c r="K200" s="26"/>
      <c r="L200" s="4"/>
      <c r="M200" s="4"/>
      <c r="N200" s="4"/>
      <c r="O200" s="4"/>
      <c r="P200" s="4"/>
      <c r="Q200" s="4"/>
      <c r="R200" s="4"/>
      <c r="S200" s="4"/>
      <c r="T200" s="3"/>
      <c r="U200" s="3"/>
    </row>
    <row r="201" spans="2:21" ht="15.75" customHeight="1" x14ac:dyDescent="0.3">
      <c r="B201" s="5"/>
      <c r="C201" s="45"/>
      <c r="D201" s="45"/>
      <c r="E201" s="45"/>
      <c r="F201" s="4"/>
      <c r="G201" s="4"/>
      <c r="H201" s="4"/>
      <c r="I201" s="4"/>
      <c r="J201" s="4"/>
      <c r="K201" s="26"/>
      <c r="L201" s="4"/>
      <c r="M201" s="4"/>
      <c r="N201" s="4"/>
      <c r="O201" s="4"/>
      <c r="P201" s="4"/>
      <c r="Q201" s="4"/>
      <c r="R201" s="4"/>
      <c r="S201" s="4"/>
      <c r="T201" s="3"/>
      <c r="U201" s="3"/>
    </row>
    <row r="202" spans="2:21" ht="15.75" customHeight="1" x14ac:dyDescent="0.3">
      <c r="B202" s="5"/>
      <c r="C202" s="45"/>
      <c r="D202" s="45"/>
      <c r="E202" s="45"/>
      <c r="F202" s="4"/>
      <c r="G202" s="4"/>
      <c r="H202" s="4"/>
      <c r="I202" s="4"/>
      <c r="J202" s="4"/>
      <c r="K202" s="26"/>
      <c r="L202" s="4"/>
      <c r="M202" s="4"/>
      <c r="N202" s="4"/>
      <c r="O202" s="4"/>
      <c r="P202" s="4"/>
      <c r="Q202" s="4"/>
      <c r="R202" s="4"/>
      <c r="S202" s="4"/>
      <c r="T202" s="3"/>
      <c r="U202" s="3"/>
    </row>
    <row r="203" spans="2:21" ht="15.75" customHeight="1" x14ac:dyDescent="0.3">
      <c r="B203" s="5"/>
      <c r="C203" s="45"/>
      <c r="D203" s="45"/>
      <c r="E203" s="45"/>
      <c r="F203" s="4"/>
      <c r="G203" s="4"/>
      <c r="H203" s="4"/>
      <c r="I203" s="4"/>
      <c r="J203" s="4"/>
      <c r="K203" s="26"/>
      <c r="L203" s="4"/>
      <c r="M203" s="4"/>
      <c r="N203" s="4"/>
      <c r="O203" s="4"/>
      <c r="P203" s="4"/>
      <c r="Q203" s="4"/>
      <c r="R203" s="4"/>
      <c r="S203" s="4"/>
      <c r="T203" s="3"/>
      <c r="U203" s="3"/>
    </row>
    <row r="204" spans="2:21" ht="15.75" customHeight="1" x14ac:dyDescent="0.3">
      <c r="B204" s="5"/>
      <c r="C204" s="45"/>
      <c r="D204" s="45"/>
      <c r="E204" s="45"/>
      <c r="F204" s="4"/>
      <c r="G204" s="4"/>
      <c r="H204" s="4"/>
      <c r="I204" s="4"/>
      <c r="J204" s="4"/>
      <c r="K204" s="26"/>
      <c r="L204" s="4"/>
      <c r="M204" s="4"/>
      <c r="N204" s="4"/>
      <c r="O204" s="4"/>
      <c r="P204" s="4"/>
      <c r="Q204" s="4"/>
      <c r="R204" s="4"/>
      <c r="S204" s="4"/>
      <c r="T204" s="3"/>
      <c r="U204" s="3"/>
    </row>
    <row r="205" spans="2:21" ht="15.75" customHeight="1" x14ac:dyDescent="0.3">
      <c r="B205" s="5"/>
      <c r="C205" s="45"/>
      <c r="D205" s="45"/>
      <c r="E205" s="45"/>
      <c r="F205" s="4"/>
      <c r="G205" s="4"/>
      <c r="H205" s="4"/>
      <c r="I205" s="4"/>
      <c r="J205" s="4"/>
      <c r="K205" s="26"/>
      <c r="L205" s="4"/>
      <c r="M205" s="4"/>
      <c r="N205" s="4"/>
      <c r="O205" s="4"/>
      <c r="P205" s="4"/>
      <c r="Q205" s="4"/>
      <c r="R205" s="4"/>
      <c r="S205" s="4"/>
      <c r="T205" s="3"/>
      <c r="U205" s="3"/>
    </row>
    <row r="206" spans="2:21" ht="15.75" customHeight="1" x14ac:dyDescent="0.3">
      <c r="B206" s="5"/>
      <c r="C206" s="45"/>
      <c r="D206" s="45"/>
      <c r="E206" s="45"/>
      <c r="F206" s="4"/>
      <c r="G206" s="4"/>
      <c r="H206" s="4"/>
      <c r="I206" s="4"/>
      <c r="J206" s="4"/>
      <c r="K206" s="26"/>
      <c r="L206" s="4"/>
      <c r="M206" s="4"/>
      <c r="N206" s="4"/>
      <c r="O206" s="4"/>
      <c r="P206" s="4"/>
      <c r="Q206" s="4"/>
      <c r="R206" s="4"/>
      <c r="S206" s="4"/>
      <c r="T206" s="3"/>
      <c r="U206" s="3"/>
    </row>
    <row r="207" spans="2:21" ht="15.75" customHeight="1" x14ac:dyDescent="0.3">
      <c r="B207" s="5"/>
      <c r="C207" s="45"/>
      <c r="D207" s="45"/>
      <c r="E207" s="45"/>
      <c r="F207" s="4"/>
      <c r="G207" s="4"/>
      <c r="H207" s="4"/>
      <c r="I207" s="4"/>
      <c r="J207" s="4"/>
      <c r="K207" s="26"/>
      <c r="L207" s="4"/>
      <c r="M207" s="4"/>
      <c r="N207" s="4"/>
      <c r="O207" s="4"/>
      <c r="P207" s="4"/>
      <c r="Q207" s="4"/>
      <c r="R207" s="4"/>
      <c r="S207" s="4"/>
      <c r="T207" s="3"/>
      <c r="U207" s="3"/>
    </row>
    <row r="208" spans="2:21" ht="15.75" customHeight="1" x14ac:dyDescent="0.3">
      <c r="B208" s="5"/>
      <c r="C208" s="45"/>
      <c r="D208" s="45"/>
      <c r="E208" s="45"/>
      <c r="F208" s="4"/>
      <c r="G208" s="4"/>
      <c r="H208" s="4"/>
      <c r="I208" s="4"/>
      <c r="J208" s="4"/>
      <c r="K208" s="26"/>
      <c r="L208" s="4"/>
      <c r="M208" s="4"/>
      <c r="N208" s="4"/>
      <c r="O208" s="4"/>
      <c r="P208" s="4"/>
      <c r="Q208" s="4"/>
      <c r="R208" s="4"/>
      <c r="S208" s="4"/>
      <c r="T208" s="3"/>
      <c r="U208" s="3"/>
    </row>
    <row r="209" spans="2:21" ht="15.75" customHeight="1" x14ac:dyDescent="0.3">
      <c r="B209" s="5"/>
      <c r="C209" s="45"/>
      <c r="D209" s="45"/>
      <c r="E209" s="45"/>
      <c r="F209" s="4"/>
      <c r="G209" s="4"/>
      <c r="H209" s="4"/>
      <c r="I209" s="4"/>
      <c r="J209" s="4"/>
      <c r="K209" s="26"/>
      <c r="L209" s="4"/>
      <c r="M209" s="4"/>
      <c r="N209" s="4"/>
      <c r="O209" s="4"/>
      <c r="P209" s="4"/>
      <c r="Q209" s="4"/>
      <c r="R209" s="4"/>
      <c r="S209" s="4"/>
      <c r="T209" s="3"/>
      <c r="U209" s="3"/>
    </row>
    <row r="210" spans="2:21" ht="15.75" customHeight="1" x14ac:dyDescent="0.3">
      <c r="B210" s="5"/>
      <c r="C210" s="45"/>
      <c r="D210" s="45"/>
      <c r="E210" s="45"/>
      <c r="F210" s="4"/>
      <c r="G210" s="4"/>
      <c r="H210" s="4"/>
      <c r="I210" s="4"/>
      <c r="J210" s="4"/>
      <c r="K210" s="26"/>
      <c r="L210" s="4"/>
      <c r="M210" s="4"/>
      <c r="N210" s="4"/>
      <c r="O210" s="4"/>
      <c r="P210" s="4"/>
      <c r="Q210" s="4"/>
      <c r="R210" s="4"/>
      <c r="S210" s="4"/>
      <c r="T210" s="3"/>
      <c r="U210" s="3"/>
    </row>
    <row r="211" spans="2:21" ht="15.75" customHeight="1" x14ac:dyDescent="0.3">
      <c r="B211" s="5"/>
      <c r="C211" s="45"/>
      <c r="D211" s="45"/>
      <c r="E211" s="45"/>
      <c r="F211" s="4"/>
      <c r="G211" s="4"/>
      <c r="H211" s="4"/>
      <c r="I211" s="4"/>
      <c r="J211" s="4"/>
      <c r="K211" s="26"/>
      <c r="L211" s="4"/>
      <c r="M211" s="4"/>
      <c r="N211" s="4"/>
      <c r="O211" s="4"/>
      <c r="P211" s="4"/>
      <c r="Q211" s="4"/>
      <c r="R211" s="4"/>
      <c r="S211" s="4"/>
      <c r="T211" s="3"/>
      <c r="U211" s="3"/>
    </row>
    <row r="212" spans="2:21" ht="15.75" customHeight="1" x14ac:dyDescent="0.3">
      <c r="B212" s="5"/>
      <c r="C212" s="45"/>
      <c r="D212" s="45"/>
      <c r="E212" s="45"/>
      <c r="F212" s="4"/>
      <c r="G212" s="4"/>
      <c r="H212" s="4"/>
      <c r="I212" s="4"/>
      <c r="J212" s="4"/>
      <c r="K212" s="26"/>
      <c r="L212" s="4"/>
      <c r="M212" s="4"/>
      <c r="N212" s="4"/>
      <c r="O212" s="4"/>
      <c r="P212" s="4"/>
      <c r="Q212" s="4"/>
      <c r="R212" s="4"/>
      <c r="S212" s="4"/>
      <c r="T212" s="3"/>
      <c r="U212" s="3"/>
    </row>
    <row r="213" spans="2:21" ht="15.75" customHeight="1" x14ac:dyDescent="0.3">
      <c r="B213" s="5"/>
      <c r="C213" s="45"/>
      <c r="D213" s="45"/>
      <c r="E213" s="45"/>
      <c r="F213" s="4"/>
      <c r="G213" s="4"/>
      <c r="H213" s="4"/>
      <c r="I213" s="4"/>
      <c r="J213" s="4"/>
      <c r="K213" s="26"/>
      <c r="L213" s="4"/>
      <c r="M213" s="4"/>
      <c r="N213" s="4"/>
      <c r="O213" s="4"/>
      <c r="P213" s="4"/>
      <c r="Q213" s="4"/>
      <c r="R213" s="4"/>
      <c r="S213" s="4"/>
      <c r="T213" s="3"/>
      <c r="U213" s="3"/>
    </row>
    <row r="214" spans="2:21" ht="15.75" customHeight="1" x14ac:dyDescent="0.3">
      <c r="B214" s="5"/>
      <c r="C214" s="45"/>
      <c r="D214" s="45"/>
      <c r="E214" s="45"/>
      <c r="F214" s="4"/>
      <c r="G214" s="4"/>
      <c r="H214" s="4"/>
      <c r="I214" s="4"/>
      <c r="J214" s="4"/>
      <c r="K214" s="26"/>
      <c r="L214" s="4"/>
      <c r="M214" s="4"/>
      <c r="N214" s="4"/>
      <c r="O214" s="4"/>
      <c r="P214" s="4"/>
      <c r="Q214" s="4"/>
      <c r="R214" s="4"/>
      <c r="S214" s="4"/>
      <c r="T214" s="3"/>
      <c r="U214" s="3"/>
    </row>
    <row r="215" spans="2:21" ht="15.75" customHeight="1" x14ac:dyDescent="0.3">
      <c r="B215" s="5"/>
      <c r="C215" s="45"/>
      <c r="D215" s="45"/>
      <c r="E215" s="45"/>
      <c r="F215" s="4"/>
      <c r="G215" s="4"/>
      <c r="H215" s="4"/>
      <c r="I215" s="4"/>
      <c r="J215" s="4"/>
      <c r="K215" s="26"/>
      <c r="L215" s="4"/>
      <c r="M215" s="4"/>
      <c r="N215" s="4"/>
      <c r="O215" s="4"/>
      <c r="P215" s="4"/>
      <c r="Q215" s="4"/>
      <c r="R215" s="4"/>
      <c r="S215" s="4"/>
      <c r="T215" s="3"/>
      <c r="U215" s="3"/>
    </row>
    <row r="216" spans="2:21" ht="15.75" customHeight="1" x14ac:dyDescent="0.3">
      <c r="B216" s="5"/>
      <c r="C216" s="45"/>
      <c r="D216" s="45"/>
      <c r="E216" s="45"/>
      <c r="F216" s="4"/>
      <c r="G216" s="4"/>
      <c r="H216" s="4"/>
      <c r="I216" s="4"/>
      <c r="J216" s="4"/>
      <c r="K216" s="26"/>
      <c r="L216" s="4"/>
      <c r="M216" s="4"/>
      <c r="N216" s="4"/>
      <c r="O216" s="4"/>
      <c r="P216" s="4"/>
      <c r="Q216" s="4"/>
      <c r="R216" s="4"/>
      <c r="S216" s="4"/>
      <c r="T216" s="3"/>
      <c r="U216" s="3"/>
    </row>
    <row r="217" spans="2:21" ht="15.75" customHeight="1" x14ac:dyDescent="0.3">
      <c r="B217" s="5"/>
      <c r="C217" s="45"/>
      <c r="D217" s="45"/>
      <c r="E217" s="45"/>
      <c r="F217" s="4"/>
      <c r="G217" s="4"/>
      <c r="H217" s="4"/>
      <c r="I217" s="4"/>
      <c r="J217" s="4"/>
      <c r="K217" s="26"/>
      <c r="L217" s="4"/>
      <c r="M217" s="4"/>
      <c r="N217" s="4"/>
      <c r="O217" s="4"/>
      <c r="P217" s="4"/>
      <c r="Q217" s="4"/>
      <c r="R217" s="4"/>
      <c r="S217" s="4"/>
      <c r="T217" s="3"/>
      <c r="U217" s="3"/>
    </row>
    <row r="218" spans="2:21" ht="15.75" customHeight="1" x14ac:dyDescent="0.3">
      <c r="B218" s="5"/>
      <c r="C218" s="45"/>
      <c r="D218" s="45"/>
      <c r="E218" s="45"/>
      <c r="F218" s="4"/>
      <c r="G218" s="4"/>
      <c r="H218" s="4"/>
      <c r="I218" s="4"/>
      <c r="J218" s="4"/>
      <c r="K218" s="26"/>
      <c r="L218" s="4"/>
      <c r="M218" s="4"/>
      <c r="N218" s="4"/>
      <c r="O218" s="4"/>
      <c r="P218" s="4"/>
      <c r="Q218" s="4"/>
      <c r="R218" s="4"/>
      <c r="S218" s="4"/>
      <c r="T218" s="3"/>
      <c r="U218" s="3"/>
    </row>
    <row r="219" spans="2:21" ht="15.75" customHeight="1" x14ac:dyDescent="0.3">
      <c r="B219" s="5"/>
      <c r="C219" s="45"/>
      <c r="D219" s="45"/>
      <c r="E219" s="45"/>
      <c r="F219" s="4"/>
      <c r="G219" s="4"/>
      <c r="H219" s="4"/>
      <c r="I219" s="4"/>
      <c r="J219" s="4"/>
      <c r="K219" s="26"/>
      <c r="L219" s="4"/>
      <c r="M219" s="4"/>
      <c r="N219" s="4"/>
      <c r="O219" s="4"/>
      <c r="P219" s="4"/>
      <c r="Q219" s="4"/>
      <c r="R219" s="4"/>
      <c r="S219" s="4"/>
      <c r="T219" s="3"/>
      <c r="U219" s="3"/>
    </row>
    <row r="220" spans="2:21" ht="15.75" customHeight="1" x14ac:dyDescent="0.3">
      <c r="B220" s="5"/>
      <c r="C220" s="45"/>
      <c r="D220" s="45"/>
      <c r="E220" s="45"/>
      <c r="F220" s="4"/>
      <c r="G220" s="4"/>
      <c r="H220" s="4"/>
      <c r="I220" s="4"/>
      <c r="J220" s="4"/>
      <c r="K220" s="26"/>
      <c r="L220" s="4"/>
      <c r="M220" s="4"/>
      <c r="N220" s="4"/>
      <c r="O220" s="4"/>
      <c r="P220" s="4"/>
      <c r="Q220" s="4"/>
      <c r="R220" s="4"/>
      <c r="S220" s="4"/>
      <c r="T220" s="3"/>
      <c r="U220" s="3"/>
    </row>
    <row r="221" spans="2:21" ht="15.75" customHeight="1" x14ac:dyDescent="0.3">
      <c r="B221" s="5"/>
      <c r="C221" s="45"/>
      <c r="D221" s="45"/>
      <c r="E221" s="45"/>
      <c r="F221" s="4"/>
      <c r="G221" s="4"/>
      <c r="H221" s="4"/>
      <c r="I221" s="4"/>
      <c r="J221" s="4"/>
      <c r="K221" s="26"/>
      <c r="L221" s="4"/>
      <c r="M221" s="4"/>
      <c r="N221" s="4"/>
      <c r="O221" s="4"/>
      <c r="P221" s="4"/>
      <c r="Q221" s="4"/>
      <c r="R221" s="4"/>
      <c r="S221" s="4"/>
      <c r="T221" s="3"/>
      <c r="U221" s="3"/>
    </row>
    <row r="222" spans="2:21" ht="15.75" customHeight="1" x14ac:dyDescent="0.3">
      <c r="B222" s="5"/>
      <c r="C222" s="45"/>
      <c r="D222" s="45"/>
      <c r="E222" s="45"/>
      <c r="F222" s="4"/>
      <c r="G222" s="4"/>
      <c r="H222" s="4"/>
      <c r="I222" s="4"/>
      <c r="J222" s="4"/>
      <c r="K222" s="26"/>
      <c r="L222" s="4"/>
      <c r="M222" s="4"/>
      <c r="N222" s="4"/>
      <c r="O222" s="4"/>
      <c r="P222" s="4"/>
      <c r="Q222" s="4"/>
      <c r="R222" s="4"/>
      <c r="S222" s="4"/>
      <c r="T222" s="3"/>
      <c r="U222" s="3"/>
    </row>
    <row r="223" spans="2:21" ht="15.75" customHeight="1" x14ac:dyDescent="0.3">
      <c r="B223" s="5"/>
      <c r="C223" s="45"/>
      <c r="D223" s="45"/>
      <c r="E223" s="45"/>
      <c r="F223" s="4"/>
      <c r="G223" s="4"/>
      <c r="H223" s="4"/>
      <c r="I223" s="4"/>
      <c r="J223" s="4"/>
      <c r="K223" s="26"/>
      <c r="L223" s="4"/>
      <c r="M223" s="4"/>
      <c r="N223" s="4"/>
      <c r="O223" s="4"/>
      <c r="P223" s="4"/>
      <c r="Q223" s="4"/>
      <c r="R223" s="4"/>
      <c r="S223" s="4"/>
      <c r="T223" s="3"/>
      <c r="U223" s="3"/>
    </row>
    <row r="224" spans="2:21" ht="15.75" customHeight="1" x14ac:dyDescent="0.3">
      <c r="B224" s="5"/>
      <c r="C224" s="45"/>
      <c r="D224" s="45"/>
      <c r="E224" s="45"/>
      <c r="F224" s="4"/>
      <c r="G224" s="4"/>
      <c r="H224" s="4"/>
      <c r="I224" s="4"/>
      <c r="J224" s="4"/>
      <c r="K224" s="26"/>
      <c r="L224" s="4"/>
      <c r="M224" s="4"/>
      <c r="N224" s="4"/>
      <c r="O224" s="4"/>
      <c r="P224" s="4"/>
      <c r="Q224" s="4"/>
      <c r="R224" s="4"/>
      <c r="S224" s="4"/>
      <c r="T224" s="3"/>
      <c r="U224" s="3"/>
    </row>
    <row r="225" spans="2:21" ht="15.75" customHeight="1" x14ac:dyDescent="0.3">
      <c r="B225" s="5"/>
      <c r="C225" s="45"/>
      <c r="D225" s="45"/>
      <c r="E225" s="45"/>
      <c r="F225" s="4"/>
      <c r="G225" s="4"/>
      <c r="H225" s="4"/>
      <c r="I225" s="4"/>
      <c r="J225" s="4"/>
      <c r="K225" s="26"/>
      <c r="L225" s="4"/>
      <c r="M225" s="4"/>
      <c r="N225" s="4"/>
      <c r="O225" s="4"/>
      <c r="P225" s="4"/>
      <c r="Q225" s="4"/>
      <c r="R225" s="4"/>
      <c r="S225" s="4"/>
      <c r="T225" s="3"/>
      <c r="U225" s="3"/>
    </row>
    <row r="226" spans="2:21" ht="15.75" customHeight="1" x14ac:dyDescent="0.3">
      <c r="B226" s="5"/>
      <c r="C226" s="45"/>
      <c r="D226" s="45"/>
      <c r="E226" s="45"/>
      <c r="F226" s="4"/>
      <c r="G226" s="4"/>
      <c r="H226" s="4"/>
      <c r="I226" s="4"/>
      <c r="J226" s="4"/>
      <c r="K226" s="26"/>
      <c r="L226" s="4"/>
      <c r="M226" s="4"/>
      <c r="N226" s="4"/>
      <c r="O226" s="4"/>
      <c r="P226" s="4"/>
      <c r="Q226" s="4"/>
      <c r="R226" s="4"/>
      <c r="S226" s="4"/>
      <c r="T226" s="3"/>
      <c r="U226" s="3"/>
    </row>
    <row r="227" spans="2:21" ht="15.75" customHeight="1" x14ac:dyDescent="0.3">
      <c r="B227" s="5"/>
      <c r="C227" s="45"/>
      <c r="D227" s="45"/>
      <c r="E227" s="45"/>
      <c r="F227" s="4"/>
      <c r="G227" s="4"/>
      <c r="H227" s="4"/>
      <c r="I227" s="4"/>
      <c r="J227" s="4"/>
      <c r="K227" s="26"/>
      <c r="L227" s="4"/>
      <c r="M227" s="4"/>
      <c r="N227" s="4"/>
      <c r="O227" s="4"/>
      <c r="P227" s="4"/>
      <c r="Q227" s="4"/>
      <c r="R227" s="4"/>
      <c r="S227" s="4"/>
      <c r="T227" s="3"/>
      <c r="U227" s="3"/>
    </row>
    <row r="228" spans="2:21" ht="15.75" customHeight="1" x14ac:dyDescent="0.3">
      <c r="B228" s="5"/>
      <c r="C228" s="45"/>
      <c r="D228" s="45"/>
      <c r="E228" s="45"/>
      <c r="F228" s="4"/>
      <c r="G228" s="4"/>
      <c r="H228" s="4"/>
      <c r="I228" s="4"/>
      <c r="J228" s="4"/>
      <c r="K228" s="26"/>
      <c r="L228" s="4"/>
      <c r="M228" s="4"/>
      <c r="N228" s="4"/>
      <c r="O228" s="4"/>
      <c r="P228" s="4"/>
      <c r="Q228" s="4"/>
      <c r="R228" s="4"/>
      <c r="S228" s="4"/>
      <c r="T228" s="3"/>
      <c r="U228" s="3"/>
    </row>
    <row r="229" spans="2:21" ht="15.75" customHeight="1" x14ac:dyDescent="0.3">
      <c r="B229" s="5"/>
      <c r="C229" s="45"/>
      <c r="D229" s="45"/>
      <c r="E229" s="45"/>
      <c r="F229" s="4"/>
      <c r="G229" s="4"/>
      <c r="H229" s="4"/>
      <c r="I229" s="4"/>
      <c r="J229" s="4"/>
      <c r="K229" s="26"/>
      <c r="L229" s="4"/>
      <c r="M229" s="4"/>
      <c r="N229" s="4"/>
      <c r="O229" s="4"/>
      <c r="P229" s="4"/>
      <c r="Q229" s="4"/>
      <c r="R229" s="4"/>
      <c r="S229" s="4"/>
      <c r="T229" s="3"/>
      <c r="U229" s="3"/>
    </row>
    <row r="230" spans="2:21" ht="15.75" customHeight="1" x14ac:dyDescent="0.3">
      <c r="B230" s="5"/>
      <c r="C230" s="45"/>
      <c r="D230" s="45"/>
      <c r="E230" s="45"/>
      <c r="F230" s="4"/>
      <c r="G230" s="4"/>
      <c r="H230" s="4"/>
      <c r="I230" s="4"/>
      <c r="J230" s="4"/>
      <c r="K230" s="26"/>
      <c r="L230" s="4"/>
      <c r="M230" s="4"/>
      <c r="N230" s="4"/>
      <c r="O230" s="4"/>
      <c r="P230" s="4"/>
      <c r="Q230" s="4"/>
      <c r="R230" s="4"/>
      <c r="S230" s="4"/>
      <c r="T230" s="3"/>
      <c r="U230" s="3"/>
    </row>
    <row r="231" spans="2:21" ht="15.75" customHeight="1" x14ac:dyDescent="0.3">
      <c r="B231" s="5"/>
      <c r="C231" s="45"/>
      <c r="D231" s="45"/>
      <c r="E231" s="45"/>
      <c r="F231" s="4"/>
      <c r="G231" s="4"/>
      <c r="H231" s="4"/>
      <c r="I231" s="4"/>
      <c r="J231" s="4"/>
      <c r="K231" s="26"/>
      <c r="L231" s="4"/>
      <c r="M231" s="4"/>
      <c r="N231" s="4"/>
      <c r="O231" s="4"/>
      <c r="P231" s="4"/>
      <c r="Q231" s="4"/>
      <c r="R231" s="4"/>
      <c r="S231" s="4"/>
      <c r="T231" s="3"/>
      <c r="U231" s="3"/>
    </row>
    <row r="232" spans="2:21" ht="15.75" customHeight="1" x14ac:dyDescent="0.3">
      <c r="B232" s="5"/>
      <c r="C232" s="45"/>
      <c r="D232" s="45"/>
      <c r="E232" s="45"/>
      <c r="F232" s="4"/>
      <c r="G232" s="4"/>
      <c r="H232" s="4"/>
      <c r="I232" s="4"/>
      <c r="J232" s="4"/>
      <c r="K232" s="26"/>
      <c r="L232" s="4"/>
      <c r="M232" s="4"/>
      <c r="N232" s="4"/>
      <c r="O232" s="4"/>
      <c r="P232" s="4"/>
      <c r="Q232" s="4"/>
      <c r="R232" s="4"/>
      <c r="S232" s="4"/>
      <c r="T232" s="3"/>
      <c r="U232" s="3"/>
    </row>
    <row r="233" spans="2:21" ht="15.75" customHeight="1" x14ac:dyDescent="0.3">
      <c r="B233" s="5"/>
      <c r="C233" s="45"/>
      <c r="D233" s="45"/>
      <c r="E233" s="45"/>
      <c r="F233" s="4"/>
      <c r="G233" s="4"/>
      <c r="H233" s="4"/>
      <c r="I233" s="4"/>
      <c r="J233" s="4"/>
      <c r="K233" s="26"/>
      <c r="L233" s="4"/>
      <c r="M233" s="4"/>
      <c r="N233" s="4"/>
      <c r="O233" s="4"/>
      <c r="P233" s="4"/>
      <c r="Q233" s="4"/>
      <c r="R233" s="4"/>
      <c r="S233" s="4"/>
      <c r="T233" s="3"/>
      <c r="U233" s="3"/>
    </row>
    <row r="234" spans="2:21" ht="15.75" customHeight="1" x14ac:dyDescent="0.3">
      <c r="B234" s="5"/>
      <c r="C234" s="45"/>
      <c r="D234" s="45"/>
      <c r="E234" s="45"/>
      <c r="F234" s="4"/>
      <c r="G234" s="4"/>
      <c r="H234" s="4"/>
      <c r="I234" s="4"/>
      <c r="J234" s="4"/>
      <c r="K234" s="26"/>
      <c r="L234" s="4"/>
      <c r="M234" s="4"/>
      <c r="N234" s="4"/>
      <c r="O234" s="4"/>
      <c r="P234" s="4"/>
      <c r="Q234" s="4"/>
      <c r="R234" s="4"/>
      <c r="S234" s="4"/>
      <c r="T234" s="3"/>
      <c r="U234" s="3"/>
    </row>
    <row r="235" spans="2:21" ht="15.75" customHeight="1" x14ac:dyDescent="0.3">
      <c r="B235" s="5"/>
      <c r="C235" s="45"/>
      <c r="D235" s="45"/>
      <c r="E235" s="45"/>
      <c r="F235" s="4"/>
      <c r="G235" s="4"/>
      <c r="H235" s="4"/>
      <c r="I235" s="4"/>
      <c r="J235" s="4"/>
      <c r="K235" s="26"/>
      <c r="L235" s="4"/>
      <c r="M235" s="4"/>
      <c r="N235" s="4"/>
      <c r="O235" s="4"/>
      <c r="P235" s="4"/>
      <c r="Q235" s="4"/>
      <c r="R235" s="4"/>
      <c r="S235" s="4"/>
      <c r="T235" s="3"/>
      <c r="U235" s="3"/>
    </row>
    <row r="236" spans="2:21" ht="15.75" customHeight="1" x14ac:dyDescent="0.3">
      <c r="B236" s="5"/>
      <c r="C236" s="45"/>
      <c r="D236" s="45"/>
      <c r="E236" s="45"/>
      <c r="F236" s="4"/>
      <c r="G236" s="4"/>
      <c r="H236" s="4"/>
      <c r="I236" s="4"/>
      <c r="J236" s="4"/>
      <c r="K236" s="26"/>
      <c r="L236" s="4"/>
      <c r="M236" s="4"/>
      <c r="N236" s="4"/>
      <c r="O236" s="4"/>
      <c r="P236" s="4"/>
      <c r="Q236" s="4"/>
      <c r="R236" s="4"/>
      <c r="S236" s="4"/>
      <c r="T236" s="3"/>
      <c r="U236" s="3"/>
    </row>
    <row r="237" spans="2:21" ht="15.75" customHeight="1" x14ac:dyDescent="0.3">
      <c r="B237" s="5"/>
      <c r="C237" s="45"/>
      <c r="D237" s="45"/>
      <c r="E237" s="45"/>
      <c r="F237" s="4"/>
      <c r="G237" s="4"/>
      <c r="H237" s="4"/>
      <c r="I237" s="4"/>
      <c r="J237" s="4"/>
      <c r="K237" s="26"/>
      <c r="L237" s="4"/>
      <c r="M237" s="4"/>
      <c r="N237" s="4"/>
      <c r="O237" s="4"/>
      <c r="P237" s="4"/>
      <c r="Q237" s="4"/>
      <c r="R237" s="4"/>
      <c r="S237" s="4"/>
      <c r="T237" s="3"/>
      <c r="U237" s="3"/>
    </row>
    <row r="238" spans="2:21" ht="15.75" customHeight="1" x14ac:dyDescent="0.3">
      <c r="B238" s="5"/>
      <c r="C238" s="45"/>
      <c r="D238" s="45"/>
      <c r="E238" s="45"/>
      <c r="F238" s="4"/>
      <c r="G238" s="4"/>
      <c r="H238" s="4"/>
      <c r="I238" s="4"/>
      <c r="J238" s="4"/>
      <c r="K238" s="26"/>
      <c r="L238" s="4"/>
      <c r="M238" s="4"/>
      <c r="N238" s="4"/>
      <c r="O238" s="4"/>
      <c r="P238" s="4"/>
      <c r="Q238" s="4"/>
      <c r="R238" s="4"/>
      <c r="S238" s="4"/>
      <c r="T238" s="3"/>
      <c r="U238" s="3"/>
    </row>
    <row r="239" spans="2:21" ht="15.75" customHeight="1" x14ac:dyDescent="0.3">
      <c r="B239" s="5"/>
      <c r="C239" s="45"/>
      <c r="D239" s="45"/>
      <c r="E239" s="45"/>
      <c r="F239" s="4"/>
      <c r="G239" s="4"/>
      <c r="H239" s="4"/>
      <c r="I239" s="4"/>
      <c r="J239" s="4"/>
      <c r="K239" s="26"/>
      <c r="L239" s="4"/>
      <c r="M239" s="4"/>
      <c r="N239" s="4"/>
      <c r="O239" s="4"/>
      <c r="P239" s="4"/>
      <c r="Q239" s="4"/>
      <c r="R239" s="4"/>
      <c r="S239" s="4"/>
      <c r="T239" s="3"/>
      <c r="U239" s="3"/>
    </row>
    <row r="240" spans="2:21" ht="15.75" customHeight="1" x14ac:dyDescent="0.3">
      <c r="B240" s="5"/>
      <c r="C240" s="45"/>
      <c r="D240" s="45"/>
      <c r="E240" s="45"/>
      <c r="F240" s="4"/>
      <c r="G240" s="4"/>
      <c r="H240" s="4"/>
      <c r="I240" s="4"/>
      <c r="J240" s="4"/>
      <c r="K240" s="26"/>
      <c r="L240" s="4"/>
      <c r="M240" s="4"/>
      <c r="N240" s="4"/>
      <c r="O240" s="4"/>
      <c r="P240" s="4"/>
      <c r="Q240" s="4"/>
      <c r="R240" s="4"/>
      <c r="S240" s="4"/>
      <c r="T240" s="3"/>
      <c r="U240" s="3"/>
    </row>
    <row r="241" spans="2:21" ht="15.75" customHeight="1" x14ac:dyDescent="0.3">
      <c r="B241" s="5"/>
      <c r="C241" s="45"/>
      <c r="D241" s="45"/>
      <c r="E241" s="45"/>
      <c r="F241" s="4"/>
      <c r="G241" s="4"/>
      <c r="H241" s="4"/>
      <c r="I241" s="4"/>
      <c r="J241" s="4"/>
      <c r="K241" s="26"/>
      <c r="L241" s="4"/>
      <c r="M241" s="4"/>
      <c r="N241" s="4"/>
      <c r="O241" s="4"/>
      <c r="P241" s="4"/>
      <c r="Q241" s="4"/>
      <c r="R241" s="4"/>
      <c r="S241" s="4"/>
      <c r="T241" s="3"/>
      <c r="U241" s="3"/>
    </row>
    <row r="242" spans="2:21" ht="15.75" customHeight="1" x14ac:dyDescent="0.3">
      <c r="B242" s="5"/>
      <c r="C242" s="45"/>
      <c r="D242" s="45"/>
      <c r="E242" s="45"/>
      <c r="F242" s="4"/>
      <c r="G242" s="4"/>
      <c r="H242" s="4"/>
      <c r="I242" s="4"/>
      <c r="J242" s="4"/>
      <c r="K242" s="26"/>
      <c r="L242" s="4"/>
      <c r="M242" s="4"/>
      <c r="N242" s="4"/>
      <c r="O242" s="4"/>
      <c r="P242" s="4"/>
      <c r="Q242" s="4"/>
      <c r="R242" s="4"/>
      <c r="S242" s="4"/>
      <c r="T242" s="3"/>
      <c r="U242" s="3"/>
    </row>
    <row r="243" spans="2:21" ht="15.75" customHeight="1" x14ac:dyDescent="0.3">
      <c r="B243" s="5"/>
      <c r="C243" s="45"/>
      <c r="D243" s="45"/>
      <c r="E243" s="45"/>
      <c r="F243" s="4"/>
      <c r="G243" s="4"/>
      <c r="H243" s="4"/>
      <c r="I243" s="4"/>
      <c r="J243" s="4"/>
      <c r="K243" s="26"/>
      <c r="L243" s="4"/>
      <c r="M243" s="4"/>
      <c r="N243" s="4"/>
      <c r="O243" s="4"/>
      <c r="P243" s="4"/>
      <c r="Q243" s="4"/>
      <c r="R243" s="4"/>
      <c r="S243" s="4"/>
      <c r="T243" s="3"/>
      <c r="U243" s="3"/>
    </row>
    <row r="244" spans="2:21" ht="15.75" customHeight="1" x14ac:dyDescent="0.3">
      <c r="B244" s="5"/>
      <c r="C244" s="45"/>
      <c r="D244" s="45"/>
      <c r="E244" s="45"/>
      <c r="F244" s="4"/>
      <c r="G244" s="4"/>
      <c r="H244" s="4"/>
      <c r="I244" s="4"/>
      <c r="J244" s="4"/>
      <c r="K244" s="26"/>
      <c r="L244" s="4"/>
      <c r="M244" s="4"/>
      <c r="N244" s="4"/>
      <c r="O244" s="4"/>
      <c r="P244" s="4"/>
      <c r="Q244" s="4"/>
      <c r="R244" s="4"/>
      <c r="S244" s="4"/>
      <c r="T244" s="3"/>
      <c r="U244" s="3"/>
    </row>
    <row r="245" spans="2:21" ht="15.75" customHeight="1" x14ac:dyDescent="0.3">
      <c r="B245" s="5"/>
      <c r="C245" s="45"/>
      <c r="D245" s="45"/>
      <c r="E245" s="45"/>
      <c r="F245" s="4"/>
      <c r="G245" s="4"/>
      <c r="H245" s="4"/>
      <c r="I245" s="4"/>
      <c r="J245" s="4"/>
      <c r="K245" s="26"/>
      <c r="L245" s="4"/>
      <c r="M245" s="4"/>
      <c r="N245" s="4"/>
      <c r="O245" s="4"/>
      <c r="P245" s="4"/>
      <c r="Q245" s="4"/>
      <c r="R245" s="4"/>
      <c r="S245" s="4"/>
      <c r="T245" s="3"/>
      <c r="U245" s="3"/>
    </row>
    <row r="246" spans="2:21" ht="15.75" customHeight="1" x14ac:dyDescent="0.3">
      <c r="B246" s="5"/>
      <c r="C246" s="45"/>
      <c r="D246" s="45"/>
      <c r="E246" s="45"/>
      <c r="F246" s="4"/>
      <c r="G246" s="4"/>
      <c r="H246" s="4"/>
      <c r="I246" s="4"/>
      <c r="J246" s="4"/>
      <c r="K246" s="26"/>
      <c r="L246" s="4"/>
      <c r="M246" s="4"/>
      <c r="N246" s="4"/>
      <c r="O246" s="4"/>
      <c r="P246" s="4"/>
      <c r="Q246" s="4"/>
      <c r="R246" s="4"/>
      <c r="S246" s="4"/>
      <c r="T246" s="3"/>
      <c r="U246" s="3"/>
    </row>
    <row r="247" spans="2:21" ht="15.75" customHeight="1" x14ac:dyDescent="0.3">
      <c r="B247" s="5"/>
      <c r="C247" s="45"/>
      <c r="D247" s="45"/>
      <c r="E247" s="45"/>
      <c r="F247" s="4"/>
      <c r="G247" s="4"/>
      <c r="H247" s="4"/>
      <c r="I247" s="4"/>
      <c r="J247" s="4"/>
      <c r="K247" s="26"/>
      <c r="L247" s="4"/>
      <c r="M247" s="4"/>
      <c r="N247" s="4"/>
      <c r="O247" s="4"/>
      <c r="P247" s="4"/>
      <c r="Q247" s="4"/>
      <c r="R247" s="4"/>
      <c r="S247" s="4"/>
      <c r="T247" s="3"/>
      <c r="U247" s="3"/>
    </row>
    <row r="248" spans="2:21" ht="15.75" customHeight="1" x14ac:dyDescent="0.3">
      <c r="B248" s="5"/>
      <c r="C248" s="45"/>
      <c r="D248" s="45"/>
      <c r="E248" s="45"/>
      <c r="F248" s="4"/>
      <c r="G248" s="4"/>
      <c r="H248" s="4"/>
      <c r="I248" s="4"/>
      <c r="J248" s="4"/>
      <c r="K248" s="26"/>
      <c r="L248" s="4"/>
      <c r="M248" s="4"/>
      <c r="N248" s="4"/>
      <c r="O248" s="4"/>
      <c r="P248" s="4"/>
      <c r="Q248" s="4"/>
      <c r="R248" s="4"/>
      <c r="S248" s="4"/>
      <c r="T248" s="3"/>
      <c r="U248" s="3"/>
    </row>
    <row r="249" spans="2:21" ht="15.75" customHeight="1" x14ac:dyDescent="0.3">
      <c r="B249" s="5"/>
      <c r="C249" s="45"/>
      <c r="D249" s="45"/>
      <c r="E249" s="45"/>
      <c r="F249" s="4"/>
      <c r="G249" s="4"/>
      <c r="H249" s="4"/>
      <c r="I249" s="4"/>
      <c r="J249" s="4"/>
      <c r="K249" s="26"/>
      <c r="L249" s="4"/>
      <c r="M249" s="4"/>
      <c r="N249" s="4"/>
      <c r="O249" s="4"/>
      <c r="P249" s="4"/>
      <c r="Q249" s="4"/>
      <c r="R249" s="4"/>
      <c r="S249" s="4"/>
      <c r="T249" s="3"/>
      <c r="U249" s="3"/>
    </row>
    <row r="250" spans="2:21" ht="15.75" customHeight="1" x14ac:dyDescent="0.3">
      <c r="B250" s="5"/>
      <c r="C250" s="45"/>
      <c r="D250" s="45"/>
      <c r="E250" s="45"/>
      <c r="F250" s="4"/>
      <c r="G250" s="4"/>
      <c r="H250" s="4"/>
      <c r="I250" s="4"/>
      <c r="J250" s="4"/>
      <c r="K250" s="26"/>
      <c r="L250" s="4"/>
      <c r="M250" s="4"/>
      <c r="N250" s="4"/>
      <c r="O250" s="4"/>
      <c r="P250" s="4"/>
      <c r="Q250" s="4"/>
      <c r="R250" s="4"/>
      <c r="S250" s="4"/>
      <c r="T250" s="3"/>
      <c r="U250" s="3"/>
    </row>
    <row r="251" spans="2:21" ht="15.75" customHeight="1" x14ac:dyDescent="0.3">
      <c r="B251" s="5"/>
      <c r="C251" s="45"/>
      <c r="D251" s="45"/>
      <c r="E251" s="45"/>
      <c r="F251" s="4"/>
      <c r="G251" s="4"/>
      <c r="H251" s="4"/>
      <c r="I251" s="4"/>
      <c r="J251" s="4"/>
      <c r="K251" s="26"/>
      <c r="L251" s="4"/>
      <c r="M251" s="4"/>
      <c r="N251" s="4"/>
      <c r="O251" s="4"/>
      <c r="P251" s="4"/>
      <c r="Q251" s="4"/>
      <c r="R251" s="4"/>
      <c r="S251" s="4"/>
      <c r="T251" s="3"/>
      <c r="U251" s="3"/>
    </row>
    <row r="252" spans="2:21" ht="15.75" customHeight="1" x14ac:dyDescent="0.3">
      <c r="B252" s="5"/>
      <c r="C252" s="45"/>
      <c r="D252" s="45"/>
      <c r="E252" s="45"/>
      <c r="F252" s="4"/>
      <c r="G252" s="4"/>
      <c r="H252" s="4"/>
      <c r="I252" s="4"/>
      <c r="J252" s="4"/>
      <c r="K252" s="26"/>
      <c r="L252" s="4"/>
      <c r="M252" s="4"/>
      <c r="N252" s="4"/>
      <c r="O252" s="4"/>
      <c r="P252" s="4"/>
      <c r="Q252" s="4"/>
      <c r="R252" s="4"/>
      <c r="S252" s="4"/>
      <c r="T252" s="3"/>
      <c r="U252" s="3"/>
    </row>
    <row r="253" spans="2:21" ht="15.75" customHeight="1" x14ac:dyDescent="0.3">
      <c r="B253" s="5"/>
      <c r="C253" s="45"/>
      <c r="D253" s="45"/>
      <c r="E253" s="45"/>
      <c r="F253" s="4"/>
      <c r="G253" s="4"/>
      <c r="H253" s="4"/>
      <c r="I253" s="4"/>
      <c r="J253" s="4"/>
      <c r="K253" s="26"/>
      <c r="L253" s="4"/>
      <c r="M253" s="4"/>
      <c r="N253" s="4"/>
      <c r="O253" s="4"/>
      <c r="P253" s="4"/>
      <c r="Q253" s="4"/>
      <c r="R253" s="4"/>
      <c r="S253" s="4"/>
      <c r="T253" s="3"/>
      <c r="U253" s="3"/>
    </row>
    <row r="254" spans="2:21" ht="15.75" customHeight="1" x14ac:dyDescent="0.3">
      <c r="B254" s="5"/>
      <c r="C254" s="45"/>
      <c r="D254" s="45"/>
      <c r="E254" s="45"/>
      <c r="F254" s="4"/>
      <c r="G254" s="4"/>
      <c r="H254" s="4"/>
      <c r="I254" s="4"/>
      <c r="J254" s="4"/>
      <c r="K254" s="26"/>
      <c r="L254" s="4"/>
      <c r="M254" s="4"/>
      <c r="N254" s="4"/>
      <c r="O254" s="4"/>
      <c r="P254" s="4"/>
      <c r="Q254" s="4"/>
      <c r="R254" s="4"/>
      <c r="S254" s="4"/>
      <c r="T254" s="3"/>
      <c r="U254" s="3"/>
    </row>
    <row r="255" spans="2:21" ht="15.75" customHeight="1" x14ac:dyDescent="0.3">
      <c r="B255" s="5"/>
      <c r="C255" s="45"/>
      <c r="D255" s="45"/>
      <c r="E255" s="45"/>
      <c r="F255" s="4"/>
      <c r="G255" s="4"/>
      <c r="H255" s="4"/>
      <c r="I255" s="4"/>
      <c r="J255" s="4"/>
      <c r="K255" s="26"/>
      <c r="L255" s="4"/>
      <c r="M255" s="4"/>
      <c r="N255" s="4"/>
      <c r="O255" s="4"/>
      <c r="P255" s="4"/>
      <c r="Q255" s="4"/>
      <c r="R255" s="4"/>
      <c r="S255" s="4"/>
      <c r="T255" s="3"/>
      <c r="U255" s="3"/>
    </row>
    <row r="256" spans="2:21" ht="15.75" customHeight="1" x14ac:dyDescent="0.3">
      <c r="B256" s="5"/>
      <c r="C256" s="45"/>
      <c r="D256" s="45"/>
      <c r="E256" s="45"/>
      <c r="F256" s="4"/>
      <c r="G256" s="4"/>
      <c r="H256" s="4"/>
      <c r="I256" s="4"/>
      <c r="J256" s="4"/>
      <c r="K256" s="26"/>
      <c r="L256" s="4"/>
      <c r="M256" s="4"/>
      <c r="N256" s="4"/>
      <c r="O256" s="4"/>
      <c r="P256" s="4"/>
      <c r="Q256" s="4"/>
      <c r="R256" s="4"/>
      <c r="S256" s="4"/>
      <c r="T256" s="3"/>
      <c r="U256" s="3"/>
    </row>
    <row r="257" spans="2:21" ht="15.75" customHeight="1" x14ac:dyDescent="0.3">
      <c r="B257" s="5"/>
      <c r="C257" s="45"/>
      <c r="D257" s="45"/>
      <c r="E257" s="45"/>
      <c r="F257" s="4"/>
      <c r="G257" s="4"/>
      <c r="H257" s="4"/>
      <c r="I257" s="4"/>
      <c r="J257" s="4"/>
      <c r="K257" s="26"/>
      <c r="L257" s="4"/>
      <c r="M257" s="4"/>
      <c r="N257" s="4"/>
      <c r="O257" s="4"/>
      <c r="P257" s="4"/>
      <c r="Q257" s="4"/>
      <c r="R257" s="4"/>
      <c r="S257" s="4"/>
      <c r="T257" s="3"/>
      <c r="U257" s="3"/>
    </row>
    <row r="258" spans="2:21" ht="15.75" customHeight="1" x14ac:dyDescent="0.3">
      <c r="B258" s="5"/>
      <c r="C258" s="45"/>
      <c r="D258" s="45"/>
      <c r="E258" s="45"/>
      <c r="F258" s="4"/>
      <c r="G258" s="4"/>
      <c r="H258" s="4"/>
      <c r="I258" s="4"/>
      <c r="J258" s="4"/>
      <c r="K258" s="26"/>
      <c r="L258" s="4"/>
      <c r="M258" s="4"/>
      <c r="N258" s="4"/>
      <c r="O258" s="4"/>
      <c r="P258" s="4"/>
      <c r="Q258" s="4"/>
      <c r="R258" s="4"/>
      <c r="S258" s="4"/>
      <c r="T258" s="3"/>
      <c r="U258" s="3"/>
    </row>
    <row r="259" spans="2:21" ht="15.75" customHeight="1" x14ac:dyDescent="0.3">
      <c r="B259" s="5"/>
      <c r="C259" s="45"/>
      <c r="D259" s="45"/>
      <c r="E259" s="45"/>
      <c r="F259" s="4"/>
      <c r="G259" s="4"/>
      <c r="H259" s="4"/>
      <c r="I259" s="4"/>
      <c r="J259" s="4"/>
      <c r="K259" s="26"/>
      <c r="L259" s="4"/>
      <c r="M259" s="4"/>
      <c r="N259" s="4"/>
      <c r="O259" s="4"/>
      <c r="P259" s="4"/>
      <c r="Q259" s="4"/>
      <c r="R259" s="4"/>
      <c r="S259" s="4"/>
      <c r="T259" s="3"/>
      <c r="U259" s="3"/>
    </row>
    <row r="260" spans="2:21" ht="15.75" customHeight="1" x14ac:dyDescent="0.3">
      <c r="B260" s="5"/>
      <c r="C260" s="45"/>
      <c r="D260" s="45"/>
      <c r="E260" s="45"/>
      <c r="F260" s="4"/>
      <c r="G260" s="4"/>
      <c r="H260" s="4"/>
      <c r="I260" s="4"/>
      <c r="J260" s="4"/>
      <c r="K260" s="26"/>
      <c r="L260" s="4"/>
      <c r="M260" s="4"/>
      <c r="N260" s="4"/>
      <c r="O260" s="4"/>
      <c r="P260" s="4"/>
      <c r="Q260" s="4"/>
      <c r="R260" s="4"/>
      <c r="S260" s="4"/>
      <c r="T260" s="3"/>
      <c r="U260" s="3"/>
    </row>
    <row r="261" spans="2:21" ht="15.75" customHeight="1" x14ac:dyDescent="0.3">
      <c r="B261" s="5"/>
      <c r="C261" s="45"/>
      <c r="D261" s="45"/>
      <c r="E261" s="45"/>
      <c r="F261" s="4"/>
      <c r="G261" s="4"/>
      <c r="H261" s="4"/>
      <c r="I261" s="4"/>
      <c r="J261" s="4"/>
      <c r="K261" s="26"/>
      <c r="L261" s="4"/>
      <c r="M261" s="4"/>
      <c r="N261" s="4"/>
      <c r="O261" s="4"/>
      <c r="P261" s="4"/>
      <c r="Q261" s="4"/>
      <c r="R261" s="4"/>
      <c r="S261" s="4"/>
      <c r="T261" s="3"/>
      <c r="U261" s="3"/>
    </row>
    <row r="262" spans="2:21" ht="15.75" customHeight="1" x14ac:dyDescent="0.3">
      <c r="B262" s="5"/>
      <c r="C262" s="45"/>
      <c r="D262" s="45"/>
      <c r="E262" s="45"/>
      <c r="F262" s="4"/>
      <c r="G262" s="4"/>
      <c r="H262" s="4"/>
      <c r="I262" s="4"/>
      <c r="J262" s="4"/>
      <c r="K262" s="26"/>
      <c r="L262" s="4"/>
      <c r="M262" s="4"/>
      <c r="N262" s="4"/>
      <c r="O262" s="4"/>
      <c r="P262" s="4"/>
      <c r="Q262" s="4"/>
      <c r="R262" s="4"/>
      <c r="S262" s="4"/>
      <c r="T262" s="3"/>
      <c r="U262" s="3"/>
    </row>
    <row r="263" spans="2:21" ht="15.75" customHeight="1" x14ac:dyDescent="0.3">
      <c r="B263" s="5"/>
      <c r="C263" s="45"/>
      <c r="D263" s="45"/>
      <c r="E263" s="45"/>
      <c r="F263" s="4"/>
      <c r="G263" s="4"/>
      <c r="H263" s="4"/>
      <c r="I263" s="4"/>
      <c r="J263" s="4"/>
      <c r="K263" s="26"/>
      <c r="L263" s="4"/>
      <c r="M263" s="4"/>
      <c r="N263" s="4"/>
      <c r="O263" s="4"/>
      <c r="P263" s="4"/>
      <c r="Q263" s="4"/>
      <c r="R263" s="4"/>
      <c r="S263" s="4"/>
      <c r="T263" s="3"/>
      <c r="U263" s="3"/>
    </row>
    <row r="264" spans="2:21" ht="15.75" customHeight="1" x14ac:dyDescent="0.3">
      <c r="B264" s="5"/>
      <c r="C264" s="45"/>
      <c r="D264" s="45"/>
      <c r="E264" s="45"/>
      <c r="F264" s="4"/>
      <c r="G264" s="4"/>
      <c r="H264" s="4"/>
      <c r="I264" s="4"/>
      <c r="J264" s="4"/>
      <c r="K264" s="26"/>
      <c r="L264" s="4"/>
      <c r="M264" s="4"/>
      <c r="N264" s="4"/>
      <c r="O264" s="4"/>
      <c r="P264" s="4"/>
      <c r="Q264" s="4"/>
      <c r="R264" s="4"/>
      <c r="S264" s="4"/>
      <c r="T264" s="3"/>
      <c r="U264" s="3"/>
    </row>
    <row r="265" spans="2:21" ht="15.75" customHeight="1" x14ac:dyDescent="0.3">
      <c r="B265" s="5"/>
      <c r="C265" s="45"/>
      <c r="D265" s="45"/>
      <c r="E265" s="45"/>
      <c r="F265" s="4"/>
      <c r="G265" s="4"/>
      <c r="H265" s="4"/>
      <c r="I265" s="4"/>
      <c r="J265" s="4"/>
      <c r="K265" s="26"/>
      <c r="L265" s="4"/>
      <c r="M265" s="4"/>
      <c r="N265" s="4"/>
      <c r="O265" s="4"/>
      <c r="P265" s="4"/>
      <c r="Q265" s="4"/>
      <c r="R265" s="4"/>
      <c r="S265" s="4"/>
      <c r="T265" s="3"/>
      <c r="U265" s="3"/>
    </row>
    <row r="266" spans="2:21" ht="15.75" customHeight="1" x14ac:dyDescent="0.3">
      <c r="B266" s="5"/>
      <c r="C266" s="45"/>
      <c r="D266" s="45"/>
      <c r="E266" s="45"/>
      <c r="F266" s="4"/>
      <c r="G266" s="4"/>
      <c r="H266" s="4"/>
      <c r="I266" s="4"/>
      <c r="J266" s="4"/>
      <c r="K266" s="26"/>
      <c r="L266" s="4"/>
      <c r="M266" s="4"/>
      <c r="N266" s="4"/>
      <c r="O266" s="4"/>
      <c r="P266" s="4"/>
      <c r="Q266" s="4"/>
      <c r="R266" s="4"/>
      <c r="S266" s="4"/>
      <c r="T266" s="3"/>
      <c r="U266" s="3"/>
    </row>
    <row r="267" spans="2:21" ht="15.75" customHeight="1" x14ac:dyDescent="0.3">
      <c r="B267" s="5"/>
      <c r="C267" s="45"/>
      <c r="D267" s="45"/>
      <c r="E267" s="45"/>
      <c r="F267" s="4"/>
      <c r="G267" s="4"/>
      <c r="H267" s="4"/>
      <c r="I267" s="4"/>
      <c r="J267" s="4"/>
      <c r="K267" s="26"/>
      <c r="L267" s="4"/>
      <c r="M267" s="4"/>
      <c r="N267" s="4"/>
      <c r="O267" s="4"/>
      <c r="P267" s="4"/>
      <c r="Q267" s="4"/>
      <c r="R267" s="4"/>
      <c r="S267" s="4"/>
      <c r="T267" s="3"/>
      <c r="U267" s="3"/>
    </row>
    <row r="268" spans="2:21" ht="15.75" customHeight="1" x14ac:dyDescent="0.3">
      <c r="B268" s="5"/>
      <c r="C268" s="45"/>
      <c r="D268" s="45"/>
      <c r="E268" s="45"/>
      <c r="F268" s="4"/>
      <c r="G268" s="4"/>
      <c r="H268" s="4"/>
      <c r="I268" s="4"/>
      <c r="J268" s="4"/>
      <c r="K268" s="26"/>
      <c r="L268" s="4"/>
      <c r="M268" s="4"/>
      <c r="N268" s="4"/>
      <c r="O268" s="4"/>
      <c r="P268" s="4"/>
      <c r="Q268" s="4"/>
      <c r="R268" s="4"/>
      <c r="S268" s="4"/>
      <c r="T268" s="3"/>
      <c r="U268" s="3"/>
    </row>
    <row r="269" spans="2:21" ht="15.75" customHeight="1" x14ac:dyDescent="0.3">
      <c r="B269" s="5"/>
      <c r="C269" s="45"/>
      <c r="D269" s="45"/>
      <c r="E269" s="45"/>
      <c r="F269" s="4"/>
      <c r="G269" s="4"/>
      <c r="H269" s="4"/>
      <c r="I269" s="4"/>
      <c r="J269" s="4"/>
      <c r="K269" s="26"/>
      <c r="L269" s="4"/>
      <c r="M269" s="4"/>
      <c r="N269" s="4"/>
      <c r="O269" s="4"/>
      <c r="P269" s="4"/>
      <c r="Q269" s="4"/>
      <c r="R269" s="4"/>
      <c r="S269" s="4"/>
      <c r="T269" s="3"/>
      <c r="U269" s="3"/>
    </row>
    <row r="270" spans="2:21" ht="15.75" customHeight="1" x14ac:dyDescent="0.3">
      <c r="B270" s="5"/>
      <c r="C270" s="45"/>
      <c r="D270" s="45"/>
      <c r="E270" s="45"/>
      <c r="F270" s="4"/>
      <c r="G270" s="4"/>
      <c r="H270" s="4"/>
      <c r="I270" s="4"/>
      <c r="J270" s="4"/>
      <c r="K270" s="26"/>
      <c r="L270" s="4"/>
      <c r="M270" s="4"/>
      <c r="N270" s="4"/>
      <c r="O270" s="4"/>
      <c r="P270" s="4"/>
      <c r="Q270" s="4"/>
      <c r="R270" s="4"/>
      <c r="S270" s="4"/>
      <c r="T270" s="3"/>
      <c r="U270" s="3"/>
    </row>
    <row r="271" spans="2:21" ht="15.75" customHeight="1" x14ac:dyDescent="0.3">
      <c r="B271" s="5"/>
      <c r="C271" s="45"/>
      <c r="D271" s="45"/>
      <c r="E271" s="45"/>
      <c r="F271" s="4"/>
      <c r="G271" s="4"/>
      <c r="H271" s="4"/>
      <c r="I271" s="4"/>
      <c r="J271" s="4"/>
      <c r="K271" s="26"/>
      <c r="L271" s="4"/>
      <c r="M271" s="4"/>
      <c r="N271" s="4"/>
      <c r="O271" s="4"/>
      <c r="P271" s="4"/>
      <c r="Q271" s="4"/>
      <c r="R271" s="4"/>
      <c r="S271" s="4"/>
      <c r="T271" s="3"/>
      <c r="U271" s="3"/>
    </row>
    <row r="272" spans="2:21" ht="15.75" customHeight="1" x14ac:dyDescent="0.3">
      <c r="B272" s="5"/>
      <c r="C272" s="45"/>
      <c r="D272" s="45"/>
      <c r="E272" s="45"/>
      <c r="F272" s="4"/>
      <c r="G272" s="4"/>
      <c r="H272" s="4"/>
      <c r="I272" s="4"/>
      <c r="J272" s="4"/>
      <c r="K272" s="26"/>
      <c r="L272" s="4"/>
      <c r="M272" s="4"/>
      <c r="N272" s="4"/>
      <c r="O272" s="4"/>
      <c r="P272" s="4"/>
      <c r="Q272" s="4"/>
      <c r="R272" s="4"/>
      <c r="S272" s="4"/>
      <c r="T272" s="3"/>
      <c r="U272" s="3"/>
    </row>
    <row r="273" spans="2:21" ht="15.75" customHeight="1" x14ac:dyDescent="0.3">
      <c r="B273" s="5"/>
      <c r="C273" s="45"/>
      <c r="D273" s="45"/>
      <c r="E273" s="45"/>
      <c r="F273" s="4"/>
      <c r="G273" s="4"/>
      <c r="H273" s="4"/>
      <c r="I273" s="4"/>
      <c r="J273" s="4"/>
      <c r="K273" s="26"/>
      <c r="L273" s="4"/>
      <c r="M273" s="4"/>
      <c r="N273" s="4"/>
      <c r="O273" s="4"/>
      <c r="P273" s="4"/>
      <c r="Q273" s="4"/>
      <c r="R273" s="4"/>
      <c r="S273" s="4"/>
      <c r="T273" s="3"/>
      <c r="U273" s="3"/>
    </row>
    <row r="274" spans="2:21" ht="15.75" customHeight="1" x14ac:dyDescent="0.3">
      <c r="B274" s="5"/>
      <c r="C274" s="45"/>
      <c r="D274" s="45"/>
      <c r="E274" s="45"/>
      <c r="F274" s="4"/>
      <c r="G274" s="4"/>
      <c r="H274" s="4"/>
      <c r="I274" s="4"/>
      <c r="J274" s="4"/>
      <c r="K274" s="26"/>
      <c r="L274" s="4"/>
      <c r="M274" s="4"/>
      <c r="N274" s="4"/>
      <c r="O274" s="4"/>
      <c r="P274" s="4"/>
      <c r="Q274" s="4"/>
      <c r="R274" s="4"/>
      <c r="S274" s="4"/>
      <c r="T274" s="3"/>
      <c r="U274" s="3"/>
    </row>
    <row r="275" spans="2:21" ht="15.75" customHeight="1" x14ac:dyDescent="0.3">
      <c r="B275" s="5"/>
      <c r="C275" s="45"/>
      <c r="D275" s="45"/>
      <c r="E275" s="45"/>
      <c r="F275" s="4"/>
      <c r="G275" s="4"/>
      <c r="H275" s="4"/>
      <c r="I275" s="4"/>
      <c r="J275" s="4"/>
      <c r="K275" s="26"/>
      <c r="L275" s="4"/>
      <c r="M275" s="4"/>
      <c r="N275" s="4"/>
      <c r="O275" s="4"/>
      <c r="P275" s="4"/>
      <c r="Q275" s="4"/>
      <c r="R275" s="4"/>
      <c r="S275" s="4"/>
      <c r="T275" s="3"/>
      <c r="U275" s="3"/>
    </row>
    <row r="276" spans="2:21" ht="15.75" customHeight="1" x14ac:dyDescent="0.3">
      <c r="B276" s="5"/>
      <c r="C276" s="45"/>
      <c r="D276" s="45"/>
      <c r="E276" s="45"/>
      <c r="F276" s="4"/>
      <c r="G276" s="4"/>
      <c r="H276" s="4"/>
      <c r="I276" s="4"/>
      <c r="J276" s="4"/>
      <c r="K276" s="26"/>
      <c r="L276" s="4"/>
      <c r="M276" s="4"/>
      <c r="N276" s="4"/>
      <c r="O276" s="4"/>
      <c r="P276" s="4"/>
      <c r="Q276" s="4"/>
      <c r="R276" s="4"/>
      <c r="S276" s="4"/>
      <c r="T276" s="3"/>
      <c r="U276" s="3"/>
    </row>
    <row r="277" spans="2:21" ht="15.75" customHeight="1" x14ac:dyDescent="0.3">
      <c r="B277" s="5"/>
      <c r="C277" s="45"/>
      <c r="D277" s="45"/>
      <c r="E277" s="45"/>
      <c r="F277" s="4"/>
      <c r="G277" s="4"/>
      <c r="H277" s="4"/>
      <c r="I277" s="4"/>
      <c r="J277" s="4"/>
      <c r="K277" s="26"/>
      <c r="L277" s="4"/>
      <c r="M277" s="4"/>
      <c r="N277" s="4"/>
      <c r="O277" s="4"/>
      <c r="P277" s="4"/>
      <c r="Q277" s="4"/>
      <c r="R277" s="4"/>
      <c r="S277" s="4"/>
      <c r="T277" s="3"/>
      <c r="U277" s="3"/>
    </row>
    <row r="278" spans="2:21" ht="15.75" customHeight="1" x14ac:dyDescent="0.3">
      <c r="B278" s="5"/>
      <c r="C278" s="45"/>
      <c r="D278" s="45"/>
      <c r="E278" s="45"/>
      <c r="F278" s="4"/>
      <c r="G278" s="4"/>
      <c r="H278" s="4"/>
      <c r="I278" s="4"/>
      <c r="J278" s="4"/>
      <c r="K278" s="26"/>
      <c r="L278" s="4"/>
      <c r="M278" s="4"/>
      <c r="N278" s="4"/>
      <c r="O278" s="4"/>
      <c r="P278" s="4"/>
      <c r="Q278" s="4"/>
      <c r="R278" s="4"/>
      <c r="S278" s="4"/>
      <c r="T278" s="3"/>
      <c r="U278" s="3"/>
    </row>
    <row r="279" spans="2:21" ht="15.75" customHeight="1" x14ac:dyDescent="0.3">
      <c r="B279" s="5"/>
      <c r="C279" s="45"/>
      <c r="D279" s="45"/>
      <c r="E279" s="45"/>
      <c r="F279" s="4"/>
      <c r="G279" s="4"/>
      <c r="H279" s="4"/>
      <c r="I279" s="4"/>
      <c r="J279" s="4"/>
      <c r="K279" s="26"/>
      <c r="L279" s="4"/>
      <c r="M279" s="4"/>
      <c r="N279" s="4"/>
      <c r="O279" s="4"/>
      <c r="P279" s="4"/>
      <c r="Q279" s="4"/>
      <c r="R279" s="4"/>
      <c r="S279" s="4"/>
      <c r="T279" s="3"/>
      <c r="U279" s="3"/>
    </row>
    <row r="280" spans="2:21" ht="15.75" customHeight="1" x14ac:dyDescent="0.3">
      <c r="B280" s="5"/>
      <c r="C280" s="45"/>
      <c r="D280" s="45"/>
      <c r="E280" s="45"/>
      <c r="F280" s="4"/>
      <c r="G280" s="4"/>
      <c r="H280" s="4"/>
      <c r="I280" s="4"/>
      <c r="J280" s="4"/>
      <c r="K280" s="26"/>
      <c r="L280" s="4"/>
      <c r="M280" s="4"/>
      <c r="N280" s="4"/>
      <c r="O280" s="4"/>
      <c r="P280" s="4"/>
      <c r="Q280" s="4"/>
      <c r="R280" s="4"/>
      <c r="S280" s="4"/>
      <c r="T280" s="3"/>
      <c r="U280" s="3"/>
    </row>
    <row r="281" spans="2:21" ht="15.75" customHeight="1" x14ac:dyDescent="0.3">
      <c r="B281" s="5"/>
      <c r="C281" s="45"/>
      <c r="D281" s="45"/>
      <c r="E281" s="45"/>
      <c r="F281" s="4"/>
      <c r="G281" s="4"/>
      <c r="H281" s="4"/>
      <c r="I281" s="4"/>
      <c r="J281" s="4"/>
      <c r="K281" s="26"/>
      <c r="L281" s="4"/>
      <c r="M281" s="4"/>
      <c r="N281" s="4"/>
      <c r="O281" s="4"/>
      <c r="P281" s="4"/>
      <c r="Q281" s="4"/>
      <c r="R281" s="4"/>
      <c r="S281" s="4"/>
      <c r="T281" s="3"/>
      <c r="U281" s="3"/>
    </row>
    <row r="282" spans="2:21" ht="15.75" customHeight="1" x14ac:dyDescent="0.3">
      <c r="B282" s="5"/>
      <c r="C282" s="45"/>
      <c r="D282" s="45"/>
      <c r="E282" s="45"/>
      <c r="F282" s="4"/>
      <c r="G282" s="4"/>
      <c r="H282" s="4"/>
      <c r="I282" s="4"/>
      <c r="J282" s="4"/>
      <c r="K282" s="26"/>
      <c r="L282" s="4"/>
      <c r="M282" s="4"/>
      <c r="N282" s="4"/>
      <c r="O282" s="4"/>
      <c r="P282" s="4"/>
      <c r="Q282" s="4"/>
      <c r="R282" s="4"/>
      <c r="S282" s="4"/>
      <c r="T282" s="3"/>
      <c r="U282" s="3"/>
    </row>
    <row r="283" spans="2:21" ht="15.75" customHeight="1" x14ac:dyDescent="0.3">
      <c r="B283" s="5"/>
      <c r="C283" s="45"/>
      <c r="D283" s="45"/>
      <c r="E283" s="45"/>
      <c r="F283" s="4"/>
      <c r="G283" s="4"/>
      <c r="H283" s="4"/>
      <c r="I283" s="4"/>
      <c r="J283" s="4"/>
      <c r="K283" s="26"/>
      <c r="L283" s="4"/>
      <c r="M283" s="4"/>
      <c r="N283" s="4"/>
      <c r="O283" s="4"/>
      <c r="P283" s="4"/>
      <c r="Q283" s="4"/>
      <c r="R283" s="4"/>
      <c r="S283" s="4"/>
      <c r="T283" s="3"/>
      <c r="U283" s="3"/>
    </row>
    <row r="284" spans="2:21" ht="15.75" customHeight="1" x14ac:dyDescent="0.3">
      <c r="B284" s="5"/>
      <c r="C284" s="45"/>
      <c r="D284" s="45"/>
      <c r="E284" s="45"/>
      <c r="F284" s="4"/>
      <c r="G284" s="4"/>
      <c r="H284" s="4"/>
      <c r="I284" s="4"/>
      <c r="J284" s="4"/>
      <c r="K284" s="26"/>
      <c r="L284" s="4"/>
      <c r="M284" s="4"/>
      <c r="N284" s="4"/>
      <c r="O284" s="4"/>
      <c r="P284" s="4"/>
      <c r="Q284" s="4"/>
      <c r="R284" s="4"/>
      <c r="S284" s="4"/>
      <c r="T284" s="3"/>
      <c r="U284" s="3"/>
    </row>
    <row r="285" spans="2:21" ht="15.75" customHeight="1" x14ac:dyDescent="0.3">
      <c r="B285" s="5"/>
      <c r="C285" s="45"/>
      <c r="D285" s="45"/>
      <c r="E285" s="45"/>
      <c r="F285" s="4"/>
      <c r="G285" s="4"/>
      <c r="H285" s="4"/>
      <c r="I285" s="4"/>
      <c r="J285" s="4"/>
      <c r="K285" s="26"/>
      <c r="L285" s="4"/>
      <c r="M285" s="4"/>
      <c r="N285" s="4"/>
      <c r="O285" s="4"/>
      <c r="P285" s="4"/>
      <c r="Q285" s="4"/>
      <c r="R285" s="4"/>
      <c r="S285" s="4"/>
      <c r="T285" s="3"/>
      <c r="U285" s="3"/>
    </row>
    <row r="286" spans="2:21" ht="15.75" customHeight="1" x14ac:dyDescent="0.3">
      <c r="B286" s="5"/>
      <c r="C286" s="45"/>
      <c r="D286" s="45"/>
      <c r="E286" s="45"/>
      <c r="F286" s="4"/>
      <c r="G286" s="4"/>
      <c r="H286" s="4"/>
      <c r="I286" s="4"/>
      <c r="J286" s="4"/>
      <c r="K286" s="26"/>
      <c r="L286" s="4"/>
      <c r="M286" s="4"/>
      <c r="N286" s="4"/>
      <c r="O286" s="4"/>
      <c r="P286" s="4"/>
      <c r="Q286" s="4"/>
      <c r="R286" s="4"/>
      <c r="S286" s="4"/>
      <c r="T286" s="3"/>
      <c r="U286" s="3"/>
    </row>
    <row r="287" spans="2:21" ht="15.75" customHeight="1" x14ac:dyDescent="0.3">
      <c r="B287" s="5"/>
      <c r="C287" s="45"/>
      <c r="D287" s="45"/>
      <c r="E287" s="45"/>
      <c r="F287" s="4"/>
      <c r="G287" s="4"/>
      <c r="H287" s="4"/>
      <c r="I287" s="4"/>
      <c r="J287" s="4"/>
      <c r="K287" s="26"/>
      <c r="L287" s="4"/>
      <c r="M287" s="4"/>
      <c r="N287" s="4"/>
      <c r="O287" s="4"/>
      <c r="P287" s="4"/>
      <c r="Q287" s="4"/>
      <c r="R287" s="4"/>
      <c r="S287" s="4"/>
      <c r="T287" s="3"/>
      <c r="U287" s="3"/>
    </row>
    <row r="288" spans="2:21" ht="15.75" customHeight="1" x14ac:dyDescent="0.3">
      <c r="B288" s="5"/>
      <c r="C288" s="45"/>
      <c r="D288" s="45"/>
      <c r="E288" s="45"/>
      <c r="F288" s="4"/>
      <c r="G288" s="4"/>
      <c r="H288" s="4"/>
      <c r="I288" s="4"/>
      <c r="J288" s="4"/>
      <c r="K288" s="26"/>
      <c r="L288" s="4"/>
      <c r="M288" s="4"/>
      <c r="N288" s="4"/>
      <c r="O288" s="4"/>
      <c r="P288" s="4"/>
      <c r="Q288" s="4"/>
      <c r="R288" s="4"/>
      <c r="S288" s="4"/>
      <c r="T288" s="3"/>
      <c r="U288" s="3"/>
    </row>
    <row r="289" spans="2:21" ht="15.75" customHeight="1" x14ac:dyDescent="0.3">
      <c r="B289" s="5"/>
      <c r="C289" s="45"/>
      <c r="D289" s="45"/>
      <c r="E289" s="45"/>
      <c r="F289" s="4"/>
      <c r="G289" s="4"/>
      <c r="H289" s="4"/>
      <c r="I289" s="4"/>
      <c r="J289" s="4"/>
      <c r="K289" s="26"/>
      <c r="L289" s="4"/>
      <c r="M289" s="4"/>
      <c r="N289" s="4"/>
      <c r="O289" s="4"/>
      <c r="P289" s="4"/>
      <c r="Q289" s="4"/>
      <c r="R289" s="4"/>
      <c r="S289" s="4"/>
      <c r="T289" s="3"/>
      <c r="U289" s="3"/>
    </row>
    <row r="290" spans="2:21" ht="15.75" customHeight="1" x14ac:dyDescent="0.3">
      <c r="B290" s="5"/>
      <c r="C290" s="45"/>
      <c r="D290" s="45"/>
      <c r="E290" s="45"/>
      <c r="F290" s="4"/>
      <c r="G290" s="4"/>
      <c r="H290" s="4"/>
      <c r="I290" s="4"/>
      <c r="J290" s="4"/>
      <c r="K290" s="26"/>
      <c r="L290" s="4"/>
      <c r="M290" s="4"/>
      <c r="N290" s="4"/>
      <c r="O290" s="4"/>
      <c r="P290" s="4"/>
      <c r="Q290" s="4"/>
      <c r="R290" s="4"/>
      <c r="S290" s="4"/>
      <c r="T290" s="3"/>
      <c r="U290" s="3"/>
    </row>
    <row r="291" spans="2:21" ht="15.75" customHeight="1" x14ac:dyDescent="0.3">
      <c r="B291" s="5"/>
      <c r="C291" s="45"/>
      <c r="D291" s="45"/>
      <c r="E291" s="45"/>
      <c r="F291" s="4"/>
      <c r="G291" s="4"/>
      <c r="H291" s="4"/>
      <c r="I291" s="4"/>
      <c r="J291" s="4"/>
      <c r="K291" s="26"/>
      <c r="L291" s="4"/>
      <c r="M291" s="4"/>
      <c r="N291" s="4"/>
      <c r="O291" s="4"/>
      <c r="P291" s="4"/>
      <c r="Q291" s="4"/>
      <c r="R291" s="4"/>
      <c r="S291" s="4"/>
      <c r="T291" s="3"/>
      <c r="U291" s="3"/>
    </row>
    <row r="292" spans="2:21" ht="15.75" customHeight="1" x14ac:dyDescent="0.3">
      <c r="B292" s="5"/>
      <c r="C292" s="45"/>
      <c r="D292" s="45"/>
      <c r="E292" s="45"/>
      <c r="F292" s="4"/>
      <c r="G292" s="4"/>
      <c r="H292" s="4"/>
      <c r="I292" s="4"/>
      <c r="J292" s="4"/>
      <c r="K292" s="26"/>
      <c r="L292" s="4"/>
      <c r="M292" s="4"/>
      <c r="N292" s="4"/>
      <c r="O292" s="4"/>
      <c r="P292" s="4"/>
      <c r="Q292" s="4"/>
      <c r="R292" s="4"/>
      <c r="S292" s="4"/>
      <c r="T292" s="3"/>
      <c r="U292" s="3"/>
    </row>
    <row r="293" spans="2:21" ht="15.75" customHeight="1" x14ac:dyDescent="0.3">
      <c r="B293" s="5"/>
      <c r="C293" s="45"/>
      <c r="D293" s="45"/>
      <c r="E293" s="45"/>
      <c r="F293" s="4"/>
      <c r="G293" s="4"/>
      <c r="H293" s="4"/>
      <c r="I293" s="4"/>
      <c r="J293" s="4"/>
      <c r="K293" s="26"/>
      <c r="L293" s="4"/>
      <c r="M293" s="4"/>
      <c r="N293" s="4"/>
      <c r="O293" s="4"/>
      <c r="P293" s="4"/>
      <c r="Q293" s="4"/>
      <c r="R293" s="4"/>
      <c r="S293" s="4"/>
      <c r="T293" s="3"/>
      <c r="U293" s="3"/>
    </row>
    <row r="294" spans="2:21" ht="15.75" customHeight="1" x14ac:dyDescent="0.3">
      <c r="B294" s="5"/>
      <c r="C294" s="38"/>
      <c r="D294" s="38"/>
      <c r="E294" s="38"/>
      <c r="F294" s="3"/>
      <c r="G294" s="3"/>
      <c r="H294" s="3"/>
      <c r="I294" s="3"/>
      <c r="J294" s="3"/>
      <c r="K294" s="30"/>
      <c r="L294" s="3"/>
      <c r="M294" s="3"/>
      <c r="N294" s="3"/>
      <c r="O294" s="3"/>
      <c r="P294" s="3"/>
      <c r="Q294" s="3"/>
      <c r="R294" s="3"/>
      <c r="S294" s="3"/>
      <c r="T294" s="3"/>
      <c r="U294" s="3"/>
    </row>
    <row r="295" spans="2:21" ht="15.75" customHeight="1" x14ac:dyDescent="0.3">
      <c r="B295" s="5"/>
      <c r="C295" s="38"/>
      <c r="D295" s="38"/>
      <c r="E295" s="38"/>
      <c r="F295" s="3"/>
      <c r="G295" s="3"/>
      <c r="H295" s="3"/>
      <c r="I295" s="3"/>
      <c r="J295" s="3"/>
      <c r="K295" s="30"/>
      <c r="L295" s="3"/>
      <c r="M295" s="3"/>
      <c r="N295" s="3"/>
      <c r="O295" s="3"/>
      <c r="P295" s="3"/>
      <c r="Q295" s="3"/>
      <c r="R295" s="3"/>
      <c r="S295" s="3"/>
      <c r="T295" s="3"/>
      <c r="U295" s="3"/>
    </row>
    <row r="296" spans="2:21" ht="15.75" customHeight="1" x14ac:dyDescent="0.3"/>
    <row r="297" spans="2:21" ht="15.75" customHeight="1" x14ac:dyDescent="0.3"/>
    <row r="298" spans="2:21" ht="15.75" customHeight="1" x14ac:dyDescent="0.3"/>
    <row r="299" spans="2:21" ht="15.75" customHeight="1" x14ac:dyDescent="0.3"/>
    <row r="300" spans="2:21" ht="15.75" customHeight="1" x14ac:dyDescent="0.3"/>
    <row r="301" spans="2:21" ht="15.75" customHeight="1" x14ac:dyDescent="0.3"/>
    <row r="302" spans="2:21" ht="15.75" customHeight="1" x14ac:dyDescent="0.3"/>
    <row r="303" spans="2:21" ht="15.75" customHeight="1" x14ac:dyDescent="0.3"/>
    <row r="304" spans="2:21"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autoFilter ref="B2:J97" xr:uid="{00000000-0001-0000-0000-000000000000}"/>
  <mergeCells count="37">
    <mergeCell ref="C69:C72"/>
    <mergeCell ref="C75:C79"/>
    <mergeCell ref="B1:F1"/>
    <mergeCell ref="F9:I9"/>
    <mergeCell ref="F3:I3"/>
    <mergeCell ref="F4:I4"/>
    <mergeCell ref="F5:I5"/>
    <mergeCell ref="F8:I8"/>
    <mergeCell ref="F12:I12"/>
    <mergeCell ref="F15:I15"/>
    <mergeCell ref="F16:I16"/>
    <mergeCell ref="F20:I20"/>
    <mergeCell ref="F53:I53"/>
    <mergeCell ref="F54:I54"/>
    <mergeCell ref="F55:I55"/>
    <mergeCell ref="F27:I27"/>
    <mergeCell ref="F28:I28"/>
    <mergeCell ref="F31:I31"/>
    <mergeCell ref="F23:I23"/>
    <mergeCell ref="F58:I58"/>
    <mergeCell ref="F59:I59"/>
    <mergeCell ref="B69:B72"/>
    <mergeCell ref="A69:A72"/>
    <mergeCell ref="B75:B79"/>
    <mergeCell ref="A75:A79"/>
    <mergeCell ref="F96:I96"/>
    <mergeCell ref="F70:I70"/>
    <mergeCell ref="F80:I80"/>
    <mergeCell ref="F81:I81"/>
    <mergeCell ref="F82:I82"/>
    <mergeCell ref="F89:I89"/>
    <mergeCell ref="F92:I92"/>
    <mergeCell ref="F76:I76"/>
    <mergeCell ref="F77:I77"/>
    <mergeCell ref="F78:I78"/>
    <mergeCell ref="F94:I94"/>
    <mergeCell ref="F95:I95"/>
  </mergeCells>
  <pageMargins left="0.11811023622047245" right="0.11811023622047245" top="0.35433070866141736" bottom="0.35433070866141736" header="0" footer="0"/>
  <pageSetup paperSize="1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F1000"/>
  <sheetViews>
    <sheetView tabSelected="1" zoomScale="115" zoomScaleNormal="115" workbookViewId="0">
      <pane xSplit="5" ySplit="3" topLeftCell="DH4" activePane="bottomRight" state="frozen"/>
      <selection pane="topRight" activeCell="E1" sqref="E1"/>
      <selection pane="bottomLeft" activeCell="A4" sqref="A4"/>
      <selection pane="bottomRight" activeCell="B3" sqref="B3"/>
    </sheetView>
  </sheetViews>
  <sheetFormatPr baseColWidth="10" defaultColWidth="12.5546875" defaultRowHeight="15" customHeight="1" x14ac:dyDescent="0.3"/>
  <cols>
    <col min="1" max="1" width="5.21875" style="113" customWidth="1"/>
    <col min="2" max="2" width="5.21875" customWidth="1"/>
    <col min="6" max="14" width="1.77734375" bestFit="1" customWidth="1"/>
    <col min="15" max="35" width="2.109375" bestFit="1" customWidth="1"/>
    <col min="36" max="36" width="1.33203125" bestFit="1" customWidth="1"/>
    <col min="37" max="38" width="1.44140625" bestFit="1" customWidth="1"/>
    <col min="39" max="39" width="1.5546875" bestFit="1" customWidth="1"/>
    <col min="40" max="40" width="1.33203125" bestFit="1" customWidth="1"/>
    <col min="41" max="42" width="1.77734375" bestFit="1" customWidth="1"/>
    <col min="43" max="43" width="1.33203125" bestFit="1" customWidth="1"/>
    <col min="44" max="44" width="1.44140625" bestFit="1" customWidth="1"/>
    <col min="45" max="66" width="2.109375" bestFit="1" customWidth="1"/>
    <col min="67" max="67" width="1.5546875" bestFit="1" customWidth="1"/>
    <col min="68" max="68" width="1.33203125" bestFit="1" customWidth="1"/>
    <col min="69" max="70" width="1.77734375" bestFit="1" customWidth="1"/>
    <col min="71" max="71" width="1.33203125" bestFit="1" customWidth="1"/>
    <col min="72" max="73" width="1.44140625" bestFit="1" customWidth="1"/>
    <col min="74" max="75" width="1.33203125" bestFit="1" customWidth="1"/>
    <col min="76" max="96" width="2.109375" bestFit="1" customWidth="1"/>
    <col min="97" max="97" width="1.5546875" bestFit="1" customWidth="1"/>
    <col min="98" max="98" width="1.33203125" bestFit="1" customWidth="1"/>
    <col min="99" max="100" width="1.77734375" bestFit="1" customWidth="1"/>
    <col min="101" max="101" width="1.33203125" bestFit="1" customWidth="1"/>
    <col min="102" max="103" width="1.44140625" bestFit="1" customWidth="1"/>
    <col min="104" max="104" width="1.5546875" bestFit="1" customWidth="1"/>
    <col min="105" max="105" width="1.33203125" bestFit="1" customWidth="1"/>
    <col min="106" max="127" width="2.109375" bestFit="1" customWidth="1"/>
    <col min="128" max="128" width="4.33203125" bestFit="1" customWidth="1"/>
    <col min="129" max="129" width="6.88671875" style="115" customWidth="1"/>
    <col min="130" max="130" width="14.33203125" style="116" customWidth="1"/>
    <col min="131" max="131" width="5" style="147" bestFit="1" customWidth="1"/>
    <col min="132" max="132" width="2.21875" style="147" customWidth="1"/>
    <col min="133" max="133" width="6" style="113" bestFit="1" customWidth="1"/>
    <col min="134" max="134" width="4.33203125" style="138" customWidth="1"/>
    <col min="135" max="135" width="3" bestFit="1" customWidth="1"/>
    <col min="136" max="136" width="60.21875" style="114" bestFit="1" customWidth="1"/>
  </cols>
  <sheetData>
    <row r="1" spans="1:136" ht="15" customHeight="1" x14ac:dyDescent="0.3">
      <c r="A1" s="169" t="s">
        <v>379</v>
      </c>
      <c r="B1" s="169"/>
      <c r="C1" s="169"/>
      <c r="D1" s="169"/>
      <c r="E1" s="170"/>
      <c r="F1" s="162">
        <v>46266</v>
      </c>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4">
        <v>46296</v>
      </c>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c r="BO1" s="166">
        <v>46327</v>
      </c>
      <c r="BP1" s="167"/>
      <c r="BQ1" s="167"/>
      <c r="BR1" s="167"/>
      <c r="BS1" s="167"/>
      <c r="BT1" s="167"/>
      <c r="BU1" s="167"/>
      <c r="BV1" s="167"/>
      <c r="BW1" s="167"/>
      <c r="BX1" s="167"/>
      <c r="BY1" s="167"/>
      <c r="BZ1" s="167"/>
      <c r="CA1" s="167"/>
      <c r="CB1" s="167"/>
      <c r="CC1" s="167"/>
      <c r="CD1" s="167"/>
      <c r="CE1" s="167"/>
      <c r="CF1" s="167"/>
      <c r="CG1" s="167"/>
      <c r="CH1" s="167"/>
      <c r="CI1" s="167"/>
      <c r="CJ1" s="167"/>
      <c r="CK1" s="167"/>
      <c r="CL1" s="167"/>
      <c r="CM1" s="167"/>
      <c r="CN1" s="167"/>
      <c r="CO1" s="167"/>
      <c r="CP1" s="167"/>
      <c r="CQ1" s="167"/>
      <c r="CR1" s="167"/>
      <c r="CS1" s="168">
        <v>46357</v>
      </c>
      <c r="CT1" s="168"/>
      <c r="CU1" s="168"/>
      <c r="CV1" s="168"/>
      <c r="CW1" s="168"/>
      <c r="CX1" s="168"/>
      <c r="CY1" s="168"/>
      <c r="CZ1" s="168"/>
      <c r="DA1" s="168"/>
      <c r="DB1" s="168"/>
      <c r="DC1" s="168"/>
      <c r="DD1" s="168"/>
      <c r="DE1" s="168"/>
      <c r="DF1" s="168"/>
      <c r="DG1" s="168"/>
      <c r="DH1" s="168"/>
      <c r="DI1" s="168"/>
      <c r="DJ1" s="168"/>
      <c r="DK1" s="168"/>
      <c r="DL1" s="168"/>
      <c r="DM1" s="168"/>
      <c r="DN1" s="168"/>
      <c r="DO1" s="168"/>
      <c r="DP1" s="168"/>
      <c r="DQ1" s="168"/>
      <c r="DR1" s="168"/>
      <c r="DS1" s="168"/>
      <c r="DT1" s="168"/>
      <c r="DU1" s="168"/>
      <c r="DV1" s="168"/>
      <c r="DW1" s="168"/>
      <c r="DX1" s="148" t="s">
        <v>387</v>
      </c>
      <c r="DY1" s="149"/>
      <c r="DZ1" s="149"/>
      <c r="EA1" s="149"/>
      <c r="EB1" s="149"/>
      <c r="EC1" s="150"/>
    </row>
    <row r="2" spans="1:136" ht="15" customHeight="1" x14ac:dyDescent="0.3">
      <c r="A2" s="169"/>
      <c r="B2" s="169"/>
      <c r="C2" s="169"/>
      <c r="D2" s="169"/>
      <c r="E2" s="170"/>
      <c r="F2" s="49" t="s">
        <v>327</v>
      </c>
      <c r="G2" s="50" t="s">
        <v>327</v>
      </c>
      <c r="H2" s="50" t="s">
        <v>328</v>
      </c>
      <c r="I2" s="50" t="s">
        <v>329</v>
      </c>
      <c r="J2" s="50" t="s">
        <v>330</v>
      </c>
      <c r="K2" s="50" t="s">
        <v>331</v>
      </c>
      <c r="L2" s="50" t="s">
        <v>332</v>
      </c>
      <c r="M2" s="50" t="s">
        <v>327</v>
      </c>
      <c r="N2" s="50" t="s">
        <v>327</v>
      </c>
      <c r="O2" s="50" t="s">
        <v>328</v>
      </c>
      <c r="P2" s="50" t="s">
        <v>329</v>
      </c>
      <c r="Q2" s="50" t="s">
        <v>330</v>
      </c>
      <c r="R2" s="50" t="s">
        <v>331</v>
      </c>
      <c r="S2" s="50" t="s">
        <v>332</v>
      </c>
      <c r="T2" s="50" t="s">
        <v>327</v>
      </c>
      <c r="U2" s="50" t="s">
        <v>327</v>
      </c>
      <c r="V2" s="50" t="s">
        <v>328</v>
      </c>
      <c r="W2" s="50" t="s">
        <v>329</v>
      </c>
      <c r="X2" s="50" t="s">
        <v>330</v>
      </c>
      <c r="Y2" s="50" t="s">
        <v>331</v>
      </c>
      <c r="Z2" s="50" t="s">
        <v>332</v>
      </c>
      <c r="AA2" s="50" t="s">
        <v>327</v>
      </c>
      <c r="AB2" s="50" t="s">
        <v>327</v>
      </c>
      <c r="AC2" s="50" t="s">
        <v>328</v>
      </c>
      <c r="AD2" s="50" t="s">
        <v>329</v>
      </c>
      <c r="AE2" s="50" t="s">
        <v>330</v>
      </c>
      <c r="AF2" s="50" t="s">
        <v>331</v>
      </c>
      <c r="AG2" s="50" t="s">
        <v>332</v>
      </c>
      <c r="AH2" s="50" t="s">
        <v>327</v>
      </c>
      <c r="AI2" s="50" t="s">
        <v>327</v>
      </c>
      <c r="AJ2" s="52" t="s">
        <v>328</v>
      </c>
      <c r="AK2" s="52" t="s">
        <v>329</v>
      </c>
      <c r="AL2" s="52" t="s">
        <v>330</v>
      </c>
      <c r="AM2" s="52" t="s">
        <v>331</v>
      </c>
      <c r="AN2" s="52" t="s">
        <v>332</v>
      </c>
      <c r="AO2" s="52" t="s">
        <v>327</v>
      </c>
      <c r="AP2" s="52" t="s">
        <v>327</v>
      </c>
      <c r="AQ2" s="52" t="s">
        <v>328</v>
      </c>
      <c r="AR2" s="52" t="s">
        <v>329</v>
      </c>
      <c r="AS2" s="52" t="s">
        <v>330</v>
      </c>
      <c r="AT2" s="52" t="s">
        <v>331</v>
      </c>
      <c r="AU2" s="52" t="s">
        <v>332</v>
      </c>
      <c r="AV2" s="52" t="s">
        <v>327</v>
      </c>
      <c r="AW2" s="52" t="s">
        <v>327</v>
      </c>
      <c r="AX2" s="52" t="s">
        <v>328</v>
      </c>
      <c r="AY2" s="52" t="s">
        <v>329</v>
      </c>
      <c r="AZ2" s="52" t="s">
        <v>330</v>
      </c>
      <c r="BA2" s="52" t="s">
        <v>331</v>
      </c>
      <c r="BB2" s="52" t="s">
        <v>332</v>
      </c>
      <c r="BC2" s="52" t="s">
        <v>327</v>
      </c>
      <c r="BD2" s="52" t="s">
        <v>327</v>
      </c>
      <c r="BE2" s="52" t="s">
        <v>328</v>
      </c>
      <c r="BF2" s="52" t="s">
        <v>329</v>
      </c>
      <c r="BG2" s="52" t="s">
        <v>330</v>
      </c>
      <c r="BH2" s="52" t="s">
        <v>331</v>
      </c>
      <c r="BI2" s="52" t="s">
        <v>332</v>
      </c>
      <c r="BJ2" s="52" t="s">
        <v>327</v>
      </c>
      <c r="BK2" s="52" t="s">
        <v>327</v>
      </c>
      <c r="BL2" s="52" t="s">
        <v>328</v>
      </c>
      <c r="BM2" s="52" t="s">
        <v>329</v>
      </c>
      <c r="BN2" s="52" t="s">
        <v>330</v>
      </c>
      <c r="BO2" s="50" t="s">
        <v>331</v>
      </c>
      <c r="BP2" s="50" t="s">
        <v>332</v>
      </c>
      <c r="BQ2" s="50" t="s">
        <v>327</v>
      </c>
      <c r="BR2" s="50" t="s">
        <v>327</v>
      </c>
      <c r="BS2" s="50" t="s">
        <v>328</v>
      </c>
      <c r="BT2" s="50" t="s">
        <v>329</v>
      </c>
      <c r="BU2" s="50" t="s">
        <v>330</v>
      </c>
      <c r="BV2" s="50" t="s">
        <v>331</v>
      </c>
      <c r="BW2" s="50" t="s">
        <v>332</v>
      </c>
      <c r="BX2" s="50" t="s">
        <v>327</v>
      </c>
      <c r="BY2" s="50" t="s">
        <v>327</v>
      </c>
      <c r="BZ2" s="50" t="s">
        <v>328</v>
      </c>
      <c r="CA2" s="50" t="s">
        <v>329</v>
      </c>
      <c r="CB2" s="50" t="s">
        <v>330</v>
      </c>
      <c r="CC2" s="50" t="s">
        <v>331</v>
      </c>
      <c r="CD2" s="50" t="s">
        <v>332</v>
      </c>
      <c r="CE2" s="50" t="s">
        <v>327</v>
      </c>
      <c r="CF2" s="50" t="s">
        <v>327</v>
      </c>
      <c r="CG2" s="50" t="s">
        <v>328</v>
      </c>
      <c r="CH2" s="50" t="s">
        <v>329</v>
      </c>
      <c r="CI2" s="50" t="s">
        <v>330</v>
      </c>
      <c r="CJ2" s="50" t="s">
        <v>331</v>
      </c>
      <c r="CK2" s="50" t="s">
        <v>332</v>
      </c>
      <c r="CL2" s="50" t="s">
        <v>327</v>
      </c>
      <c r="CM2" s="50" t="s">
        <v>327</v>
      </c>
      <c r="CN2" s="50" t="s">
        <v>328</v>
      </c>
      <c r="CO2" s="50" t="s">
        <v>329</v>
      </c>
      <c r="CP2" s="50" t="s">
        <v>330</v>
      </c>
      <c r="CQ2" s="50" t="s">
        <v>331</v>
      </c>
      <c r="CR2" s="50" t="s">
        <v>332</v>
      </c>
      <c r="CS2" s="52" t="s">
        <v>331</v>
      </c>
      <c r="CT2" s="52" t="s">
        <v>332</v>
      </c>
      <c r="CU2" s="52" t="s">
        <v>327</v>
      </c>
      <c r="CV2" s="52" t="s">
        <v>327</v>
      </c>
      <c r="CW2" s="52" t="s">
        <v>328</v>
      </c>
      <c r="CX2" s="52" t="s">
        <v>329</v>
      </c>
      <c r="CY2" s="52" t="s">
        <v>330</v>
      </c>
      <c r="CZ2" s="52" t="s">
        <v>331</v>
      </c>
      <c r="DA2" s="52" t="s">
        <v>332</v>
      </c>
      <c r="DB2" s="52" t="s">
        <v>327</v>
      </c>
      <c r="DC2" s="52" t="s">
        <v>327</v>
      </c>
      <c r="DD2" s="52" t="s">
        <v>328</v>
      </c>
      <c r="DE2" s="52" t="s">
        <v>329</v>
      </c>
      <c r="DF2" s="52" t="s">
        <v>330</v>
      </c>
      <c r="DG2" s="52" t="s">
        <v>331</v>
      </c>
      <c r="DH2" s="52" t="s">
        <v>332</v>
      </c>
      <c r="DI2" s="52" t="s">
        <v>327</v>
      </c>
      <c r="DJ2" s="52" t="s">
        <v>327</v>
      </c>
      <c r="DK2" s="52" t="s">
        <v>328</v>
      </c>
      <c r="DL2" s="52" t="s">
        <v>329</v>
      </c>
      <c r="DM2" s="52" t="s">
        <v>330</v>
      </c>
      <c r="DN2" s="52" t="s">
        <v>331</v>
      </c>
      <c r="DO2" s="52" t="s">
        <v>332</v>
      </c>
      <c r="DP2" s="52" t="s">
        <v>327</v>
      </c>
      <c r="DQ2" s="52" t="s">
        <v>327</v>
      </c>
      <c r="DR2" s="52" t="s">
        <v>328</v>
      </c>
      <c r="DS2" s="52" t="s">
        <v>329</v>
      </c>
      <c r="DT2" s="52" t="s">
        <v>330</v>
      </c>
      <c r="DU2" s="52" t="s">
        <v>331</v>
      </c>
      <c r="DV2" s="52" t="s">
        <v>332</v>
      </c>
      <c r="DW2" s="52" t="s">
        <v>327</v>
      </c>
      <c r="DX2" s="151" t="s">
        <v>388</v>
      </c>
      <c r="DY2" s="152"/>
      <c r="DZ2" s="49" t="s">
        <v>389</v>
      </c>
      <c r="EA2" s="151" t="s">
        <v>390</v>
      </c>
      <c r="EB2" s="152"/>
      <c r="EC2" s="137">
        <v>0.67</v>
      </c>
    </row>
    <row r="3" spans="1:136" ht="40.950000000000003" customHeight="1" x14ac:dyDescent="0.3">
      <c r="A3" s="108" t="s">
        <v>340</v>
      </c>
      <c r="B3" s="105" t="s">
        <v>394</v>
      </c>
      <c r="C3" s="98" t="s">
        <v>2</v>
      </c>
      <c r="D3" s="77" t="s">
        <v>3</v>
      </c>
      <c r="E3" s="97" t="s">
        <v>4</v>
      </c>
      <c r="F3" s="51">
        <v>1</v>
      </c>
      <c r="G3" s="51">
        <v>2</v>
      </c>
      <c r="H3" s="51">
        <v>3</v>
      </c>
      <c r="I3" s="51">
        <v>4</v>
      </c>
      <c r="J3" s="51">
        <v>5</v>
      </c>
      <c r="K3" s="51">
        <v>6</v>
      </c>
      <c r="L3" s="51">
        <v>7</v>
      </c>
      <c r="M3" s="51">
        <v>8</v>
      </c>
      <c r="N3" s="51">
        <v>9</v>
      </c>
      <c r="O3" s="51">
        <v>10</v>
      </c>
      <c r="P3" s="51">
        <v>11</v>
      </c>
      <c r="Q3" s="51">
        <v>12</v>
      </c>
      <c r="R3" s="51">
        <v>13</v>
      </c>
      <c r="S3" s="51">
        <v>14</v>
      </c>
      <c r="T3" s="51">
        <v>15</v>
      </c>
      <c r="U3" s="51">
        <v>16</v>
      </c>
      <c r="V3" s="51">
        <v>17</v>
      </c>
      <c r="W3" s="51">
        <v>18</v>
      </c>
      <c r="X3" s="51">
        <v>19</v>
      </c>
      <c r="Y3" s="51">
        <v>20</v>
      </c>
      <c r="Z3" s="51">
        <v>21</v>
      </c>
      <c r="AA3" s="51">
        <v>22</v>
      </c>
      <c r="AB3" s="51">
        <v>23</v>
      </c>
      <c r="AC3" s="51">
        <v>24</v>
      </c>
      <c r="AD3" s="51">
        <v>25</v>
      </c>
      <c r="AE3" s="51">
        <v>26</v>
      </c>
      <c r="AF3" s="51">
        <v>27</v>
      </c>
      <c r="AG3" s="51">
        <v>28</v>
      </c>
      <c r="AH3" s="51">
        <v>29</v>
      </c>
      <c r="AI3" s="51">
        <v>30</v>
      </c>
      <c r="AJ3" s="53">
        <v>1</v>
      </c>
      <c r="AK3" s="53">
        <v>2</v>
      </c>
      <c r="AL3" s="53">
        <v>3</v>
      </c>
      <c r="AM3" s="53">
        <v>4</v>
      </c>
      <c r="AN3" s="53">
        <v>5</v>
      </c>
      <c r="AO3" s="53">
        <v>6</v>
      </c>
      <c r="AP3" s="53">
        <v>7</v>
      </c>
      <c r="AQ3" s="53">
        <v>8</v>
      </c>
      <c r="AR3" s="53">
        <v>9</v>
      </c>
      <c r="AS3" s="53">
        <v>10</v>
      </c>
      <c r="AT3" s="53">
        <v>11</v>
      </c>
      <c r="AU3" s="53">
        <v>12</v>
      </c>
      <c r="AV3" s="53">
        <v>13</v>
      </c>
      <c r="AW3" s="53">
        <v>14</v>
      </c>
      <c r="AX3" s="53">
        <v>15</v>
      </c>
      <c r="AY3" s="53">
        <v>16</v>
      </c>
      <c r="AZ3" s="53">
        <v>17</v>
      </c>
      <c r="BA3" s="53">
        <v>18</v>
      </c>
      <c r="BB3" s="53">
        <v>19</v>
      </c>
      <c r="BC3" s="53">
        <v>20</v>
      </c>
      <c r="BD3" s="53">
        <v>21</v>
      </c>
      <c r="BE3" s="53">
        <v>22</v>
      </c>
      <c r="BF3" s="53">
        <v>23</v>
      </c>
      <c r="BG3" s="53">
        <v>24</v>
      </c>
      <c r="BH3" s="53">
        <v>25</v>
      </c>
      <c r="BI3" s="53">
        <v>26</v>
      </c>
      <c r="BJ3" s="53">
        <v>27</v>
      </c>
      <c r="BK3" s="53">
        <v>28</v>
      </c>
      <c r="BL3" s="53">
        <v>29</v>
      </c>
      <c r="BM3" s="53">
        <v>30</v>
      </c>
      <c r="BN3" s="53">
        <v>31</v>
      </c>
      <c r="BO3" s="51">
        <v>1</v>
      </c>
      <c r="BP3" s="51">
        <v>2</v>
      </c>
      <c r="BQ3" s="51">
        <v>3</v>
      </c>
      <c r="BR3" s="51">
        <v>4</v>
      </c>
      <c r="BS3" s="51">
        <v>5</v>
      </c>
      <c r="BT3" s="51">
        <v>6</v>
      </c>
      <c r="BU3" s="51">
        <v>7</v>
      </c>
      <c r="BV3" s="51">
        <v>8</v>
      </c>
      <c r="BW3" s="51">
        <v>9</v>
      </c>
      <c r="BX3" s="51">
        <v>10</v>
      </c>
      <c r="BY3" s="51">
        <v>11</v>
      </c>
      <c r="BZ3" s="51">
        <v>12</v>
      </c>
      <c r="CA3" s="51">
        <v>13</v>
      </c>
      <c r="CB3" s="51">
        <v>14</v>
      </c>
      <c r="CC3" s="51">
        <v>15</v>
      </c>
      <c r="CD3" s="51">
        <v>16</v>
      </c>
      <c r="CE3" s="51">
        <v>17</v>
      </c>
      <c r="CF3" s="51">
        <v>18</v>
      </c>
      <c r="CG3" s="51">
        <v>19</v>
      </c>
      <c r="CH3" s="51">
        <v>20</v>
      </c>
      <c r="CI3" s="51">
        <v>21</v>
      </c>
      <c r="CJ3" s="51">
        <v>22</v>
      </c>
      <c r="CK3" s="51">
        <v>23</v>
      </c>
      <c r="CL3" s="51">
        <v>24</v>
      </c>
      <c r="CM3" s="51">
        <v>25</v>
      </c>
      <c r="CN3" s="51">
        <v>26</v>
      </c>
      <c r="CO3" s="51">
        <v>27</v>
      </c>
      <c r="CP3" s="51">
        <v>28</v>
      </c>
      <c r="CQ3" s="51">
        <v>29</v>
      </c>
      <c r="CR3" s="51">
        <v>30</v>
      </c>
      <c r="CS3" s="53">
        <v>1</v>
      </c>
      <c r="CT3" s="53">
        <v>2</v>
      </c>
      <c r="CU3" s="53">
        <v>3</v>
      </c>
      <c r="CV3" s="53">
        <v>4</v>
      </c>
      <c r="CW3" s="53">
        <v>5</v>
      </c>
      <c r="CX3" s="53">
        <v>6</v>
      </c>
      <c r="CY3" s="53">
        <v>7</v>
      </c>
      <c r="CZ3" s="53">
        <v>8</v>
      </c>
      <c r="DA3" s="53">
        <v>9</v>
      </c>
      <c r="DB3" s="53">
        <v>10</v>
      </c>
      <c r="DC3" s="53">
        <v>11</v>
      </c>
      <c r="DD3" s="53">
        <v>12</v>
      </c>
      <c r="DE3" s="53">
        <v>13</v>
      </c>
      <c r="DF3" s="53">
        <v>14</v>
      </c>
      <c r="DG3" s="53">
        <v>15</v>
      </c>
      <c r="DH3" s="53">
        <v>16</v>
      </c>
      <c r="DI3" s="53">
        <v>17</v>
      </c>
      <c r="DJ3" s="53">
        <v>18</v>
      </c>
      <c r="DK3" s="53">
        <v>19</v>
      </c>
      <c r="DL3" s="53">
        <v>20</v>
      </c>
      <c r="DM3" s="53">
        <v>21</v>
      </c>
      <c r="DN3" s="53">
        <v>22</v>
      </c>
      <c r="DO3" s="53">
        <v>23</v>
      </c>
      <c r="DP3" s="53">
        <v>24</v>
      </c>
      <c r="DQ3" s="53">
        <v>25</v>
      </c>
      <c r="DR3" s="53">
        <v>26</v>
      </c>
      <c r="DS3" s="53">
        <v>27</v>
      </c>
      <c r="DT3" s="53">
        <v>28</v>
      </c>
      <c r="DU3" s="53">
        <v>29</v>
      </c>
      <c r="DV3" s="53">
        <v>30</v>
      </c>
      <c r="DW3" s="53">
        <v>31</v>
      </c>
      <c r="DX3" s="50" t="s">
        <v>349</v>
      </c>
      <c r="DY3" s="50" t="s">
        <v>348</v>
      </c>
      <c r="DZ3" s="136" t="s">
        <v>382</v>
      </c>
      <c r="EA3" s="127" t="s">
        <v>364</v>
      </c>
      <c r="EB3" s="127" t="s">
        <v>363</v>
      </c>
      <c r="EC3" s="127" t="s">
        <v>365</v>
      </c>
    </row>
    <row r="4" spans="1:136" ht="15" customHeight="1" x14ac:dyDescent="0.3">
      <c r="A4" s="109">
        <v>1</v>
      </c>
      <c r="B4" s="106">
        <v>3</v>
      </c>
      <c r="C4" s="99" t="s">
        <v>10</v>
      </c>
      <c r="D4" s="78" t="s">
        <v>11</v>
      </c>
      <c r="E4" s="92" t="s">
        <v>12</v>
      </c>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8"/>
      <c r="BY4" s="118"/>
      <c r="BZ4" s="118"/>
      <c r="CA4" s="118"/>
      <c r="CB4" s="118"/>
      <c r="CC4" s="118"/>
      <c r="CD4" s="118"/>
      <c r="CE4" s="118"/>
      <c r="CF4" s="118"/>
      <c r="CG4" s="118"/>
      <c r="CH4" s="118"/>
      <c r="CI4" s="118"/>
      <c r="CJ4" s="118"/>
      <c r="CK4" s="118"/>
      <c r="CL4" s="118"/>
      <c r="CM4" s="118"/>
      <c r="CN4" s="118"/>
      <c r="CO4" s="118"/>
      <c r="CP4" s="118"/>
      <c r="CQ4" s="118"/>
      <c r="CR4" s="118"/>
      <c r="CS4" s="118"/>
      <c r="CT4" s="118"/>
      <c r="CU4" s="118"/>
      <c r="CV4" s="118"/>
      <c r="CW4" s="118"/>
      <c r="CX4" s="118"/>
      <c r="CY4" s="118"/>
      <c r="CZ4" s="118"/>
      <c r="DA4" s="118"/>
      <c r="DB4" s="118"/>
      <c r="DC4" s="118"/>
      <c r="DD4" s="118"/>
      <c r="DE4" s="118"/>
      <c r="DF4" s="118"/>
      <c r="DG4" s="118"/>
      <c r="DH4" s="118"/>
      <c r="DI4" s="118"/>
      <c r="DJ4" s="118"/>
      <c r="DK4" s="118"/>
      <c r="DL4" s="118"/>
      <c r="DM4" s="118"/>
      <c r="DN4" s="118"/>
      <c r="DO4" s="118"/>
      <c r="DP4" s="118"/>
      <c r="DQ4" s="118"/>
      <c r="DR4" s="118"/>
      <c r="DS4" s="118"/>
      <c r="DT4" s="118"/>
      <c r="DU4" s="118"/>
      <c r="DV4" s="118"/>
      <c r="DW4" s="118"/>
      <c r="DX4" s="126">
        <f>SUM(F4:DW4)</f>
        <v>0</v>
      </c>
      <c r="DY4" s="128" t="s">
        <v>343</v>
      </c>
      <c r="DZ4" s="129" t="s">
        <v>380</v>
      </c>
      <c r="EA4" s="118">
        <v>1</v>
      </c>
      <c r="EB4" s="118">
        <v>1</v>
      </c>
      <c r="EC4" s="135">
        <f>+EB4/EA4</f>
        <v>1</v>
      </c>
      <c r="EE4" s="139">
        <v>2</v>
      </c>
      <c r="EF4" s="140" t="s">
        <v>253</v>
      </c>
    </row>
    <row r="5" spans="1:136" ht="15" customHeight="1" x14ac:dyDescent="0.3">
      <c r="A5" s="109">
        <v>2</v>
      </c>
      <c r="B5" s="106">
        <v>4</v>
      </c>
      <c r="C5" s="99" t="s">
        <v>13</v>
      </c>
      <c r="D5" s="78" t="s">
        <v>14</v>
      </c>
      <c r="E5" s="92" t="s">
        <v>12</v>
      </c>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c r="BU5" s="118"/>
      <c r="BV5" s="118"/>
      <c r="BW5" s="118"/>
      <c r="BX5" s="118"/>
      <c r="BY5" s="118"/>
      <c r="BZ5" s="118"/>
      <c r="CA5" s="118"/>
      <c r="CB5" s="118"/>
      <c r="CC5" s="118"/>
      <c r="CD5" s="118"/>
      <c r="CE5" s="118"/>
      <c r="CF5" s="118"/>
      <c r="CG5" s="118"/>
      <c r="CH5" s="118"/>
      <c r="CI5" s="118"/>
      <c r="CJ5" s="118"/>
      <c r="CK5" s="118"/>
      <c r="CL5" s="118"/>
      <c r="CM5" s="118"/>
      <c r="CN5" s="118"/>
      <c r="CO5" s="118"/>
      <c r="CP5" s="118"/>
      <c r="CQ5" s="118"/>
      <c r="CR5" s="118"/>
      <c r="CS5" s="118"/>
      <c r="CT5" s="118"/>
      <c r="CU5" s="118"/>
      <c r="CV5" s="118"/>
      <c r="CW5" s="118"/>
      <c r="CX5" s="118"/>
      <c r="CY5" s="118"/>
      <c r="CZ5" s="118"/>
      <c r="DA5" s="118"/>
      <c r="DB5" s="118"/>
      <c r="DC5" s="118"/>
      <c r="DD5" s="118"/>
      <c r="DE5" s="118"/>
      <c r="DF5" s="118"/>
      <c r="DG5" s="118"/>
      <c r="DH5" s="118"/>
      <c r="DI5" s="118"/>
      <c r="DJ5" s="118"/>
      <c r="DK5" s="118"/>
      <c r="DL5" s="118"/>
      <c r="DM5" s="118"/>
      <c r="DN5" s="118"/>
      <c r="DO5" s="118"/>
      <c r="DP5" s="118"/>
      <c r="DQ5" s="118"/>
      <c r="DR5" s="118"/>
      <c r="DS5" s="118"/>
      <c r="DT5" s="118"/>
      <c r="DU5" s="118"/>
      <c r="DV5" s="118"/>
      <c r="DW5" s="118"/>
      <c r="DX5" s="119">
        <f t="shared" ref="DX5:DX68" si="0">SUM(F5:DW5)</f>
        <v>0</v>
      </c>
      <c r="DY5" s="128" t="s">
        <v>343</v>
      </c>
      <c r="DZ5" s="129" t="s">
        <v>380</v>
      </c>
      <c r="EA5" s="118">
        <v>1</v>
      </c>
      <c r="EB5" s="118">
        <v>1</v>
      </c>
      <c r="EC5" s="135">
        <f t="shared" ref="EC5:EC68" si="1">+EB5/EA5</f>
        <v>1</v>
      </c>
      <c r="EE5" s="141">
        <v>3</v>
      </c>
      <c r="EF5" s="140" t="s">
        <v>253</v>
      </c>
    </row>
    <row r="6" spans="1:136" ht="15" customHeight="1" x14ac:dyDescent="0.3">
      <c r="A6" s="109">
        <v>3</v>
      </c>
      <c r="B6" s="106">
        <v>5</v>
      </c>
      <c r="C6" s="99" t="s">
        <v>15</v>
      </c>
      <c r="D6" s="78" t="s">
        <v>16</v>
      </c>
      <c r="E6" s="92" t="s">
        <v>12</v>
      </c>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c r="BQ6" s="118"/>
      <c r="BR6" s="118"/>
      <c r="BS6" s="118"/>
      <c r="BT6" s="118"/>
      <c r="BU6" s="118"/>
      <c r="BV6" s="118"/>
      <c r="BW6" s="118"/>
      <c r="BX6" s="118"/>
      <c r="BY6" s="118"/>
      <c r="BZ6" s="118"/>
      <c r="CA6" s="118"/>
      <c r="CB6" s="118"/>
      <c r="CC6" s="118"/>
      <c r="CD6" s="118"/>
      <c r="CE6" s="118"/>
      <c r="CF6" s="118"/>
      <c r="CG6" s="118"/>
      <c r="CH6" s="118"/>
      <c r="CI6" s="118"/>
      <c r="CJ6" s="118"/>
      <c r="CK6" s="118"/>
      <c r="CL6" s="118"/>
      <c r="CM6" s="118"/>
      <c r="CN6" s="118"/>
      <c r="CO6" s="118"/>
      <c r="CP6" s="118"/>
      <c r="CQ6" s="118"/>
      <c r="CR6" s="118"/>
      <c r="CS6" s="118"/>
      <c r="CT6" s="118"/>
      <c r="CU6" s="118"/>
      <c r="CV6" s="118"/>
      <c r="CW6" s="118"/>
      <c r="CX6" s="118"/>
      <c r="CY6" s="118"/>
      <c r="CZ6" s="118"/>
      <c r="DA6" s="118"/>
      <c r="DB6" s="118"/>
      <c r="DC6" s="118"/>
      <c r="DD6" s="118"/>
      <c r="DE6" s="118"/>
      <c r="DF6" s="118"/>
      <c r="DG6" s="118"/>
      <c r="DH6" s="118"/>
      <c r="DI6" s="118"/>
      <c r="DJ6" s="118"/>
      <c r="DK6" s="118"/>
      <c r="DL6" s="118"/>
      <c r="DM6" s="118"/>
      <c r="DN6" s="118"/>
      <c r="DO6" s="118"/>
      <c r="DP6" s="118"/>
      <c r="DQ6" s="118"/>
      <c r="DR6" s="118"/>
      <c r="DS6" s="118"/>
      <c r="DT6" s="118"/>
      <c r="DU6" s="118"/>
      <c r="DV6" s="118"/>
      <c r="DW6" s="118"/>
      <c r="DX6" s="119">
        <f t="shared" si="0"/>
        <v>0</v>
      </c>
      <c r="DY6" s="128" t="s">
        <v>343</v>
      </c>
      <c r="DZ6" s="129" t="s">
        <v>381</v>
      </c>
      <c r="EA6" s="118">
        <v>1</v>
      </c>
      <c r="EB6" s="118">
        <v>1</v>
      </c>
      <c r="EC6" s="135">
        <f t="shared" si="1"/>
        <v>1</v>
      </c>
      <c r="EE6" s="139">
        <v>4</v>
      </c>
      <c r="EF6" s="140" t="s">
        <v>253</v>
      </c>
    </row>
    <row r="7" spans="1:136" ht="15" customHeight="1" x14ac:dyDescent="0.3">
      <c r="A7" s="109">
        <v>4</v>
      </c>
      <c r="B7" s="106">
        <v>7</v>
      </c>
      <c r="C7" s="99" t="s">
        <v>17</v>
      </c>
      <c r="D7" s="78" t="s">
        <v>18</v>
      </c>
      <c r="E7" s="92" t="s">
        <v>19</v>
      </c>
      <c r="F7" s="118"/>
      <c r="G7" s="118"/>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c r="AS7" s="118"/>
      <c r="AT7" s="118"/>
      <c r="AU7" s="118"/>
      <c r="AV7" s="118"/>
      <c r="AW7" s="118"/>
      <c r="AX7" s="118"/>
      <c r="AY7" s="118"/>
      <c r="AZ7" s="118"/>
      <c r="BA7" s="118"/>
      <c r="BB7" s="118"/>
      <c r="BC7" s="118"/>
      <c r="BD7" s="118"/>
      <c r="BE7" s="118"/>
      <c r="BF7" s="118"/>
      <c r="BG7" s="118"/>
      <c r="BH7" s="118"/>
      <c r="BI7" s="118"/>
      <c r="BJ7" s="118"/>
      <c r="BK7" s="118"/>
      <c r="BL7" s="118"/>
      <c r="BM7" s="118"/>
      <c r="BN7" s="118"/>
      <c r="BO7" s="118"/>
      <c r="BP7" s="118"/>
      <c r="BQ7" s="118"/>
      <c r="BR7" s="118"/>
      <c r="BS7" s="118"/>
      <c r="BT7" s="118"/>
      <c r="BU7" s="118"/>
      <c r="BV7" s="118"/>
      <c r="BW7" s="118"/>
      <c r="BX7" s="118"/>
      <c r="BY7" s="118"/>
      <c r="BZ7" s="118"/>
      <c r="CA7" s="118"/>
      <c r="CB7" s="118"/>
      <c r="CC7" s="118"/>
      <c r="CD7" s="118"/>
      <c r="CE7" s="118"/>
      <c r="CF7" s="118"/>
      <c r="CG7" s="118"/>
      <c r="CH7" s="118"/>
      <c r="CI7" s="118"/>
      <c r="CJ7" s="118"/>
      <c r="CK7" s="118"/>
      <c r="CL7" s="118"/>
      <c r="CM7" s="118"/>
      <c r="CN7" s="118"/>
      <c r="CO7" s="118"/>
      <c r="CP7" s="118"/>
      <c r="CQ7" s="118"/>
      <c r="CR7" s="118"/>
      <c r="CS7" s="118"/>
      <c r="CT7" s="118"/>
      <c r="CU7" s="118"/>
      <c r="CV7" s="118"/>
      <c r="CW7" s="118"/>
      <c r="CX7" s="118"/>
      <c r="CY7" s="118"/>
      <c r="CZ7" s="118"/>
      <c r="DA7" s="118"/>
      <c r="DB7" s="118"/>
      <c r="DC7" s="118"/>
      <c r="DD7" s="118"/>
      <c r="DE7" s="118"/>
      <c r="DF7" s="118"/>
      <c r="DG7" s="118"/>
      <c r="DH7" s="118"/>
      <c r="DI7" s="118"/>
      <c r="DJ7" s="118"/>
      <c r="DK7" s="118"/>
      <c r="DL7" s="118"/>
      <c r="DM7" s="118"/>
      <c r="DN7" s="118"/>
      <c r="DO7" s="118"/>
      <c r="DP7" s="118"/>
      <c r="DQ7" s="118"/>
      <c r="DR7" s="118"/>
      <c r="DS7" s="118"/>
      <c r="DT7" s="118"/>
      <c r="DU7" s="118"/>
      <c r="DV7" s="118"/>
      <c r="DW7" s="118"/>
      <c r="DX7" s="119">
        <f t="shared" si="0"/>
        <v>0</v>
      </c>
      <c r="DY7" s="128" t="s">
        <v>342</v>
      </c>
      <c r="DZ7" s="129" t="s">
        <v>383</v>
      </c>
      <c r="EA7" s="118">
        <v>30</v>
      </c>
      <c r="EB7" s="118"/>
      <c r="EC7" s="135">
        <f t="shared" si="1"/>
        <v>0</v>
      </c>
      <c r="EE7" s="141">
        <v>5</v>
      </c>
      <c r="EF7" s="142" t="s">
        <v>296</v>
      </c>
    </row>
    <row r="8" spans="1:136" ht="15" customHeight="1" x14ac:dyDescent="0.3">
      <c r="A8" s="109">
        <v>5</v>
      </c>
      <c r="B8" s="106">
        <v>8</v>
      </c>
      <c r="C8" s="99" t="s">
        <v>20</v>
      </c>
      <c r="D8" s="78" t="s">
        <v>21</v>
      </c>
      <c r="E8" s="92" t="s">
        <v>22</v>
      </c>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v>1</v>
      </c>
      <c r="CS8" s="118"/>
      <c r="CT8" s="118"/>
      <c r="CU8" s="118"/>
      <c r="CV8" s="118"/>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c r="DU8" s="118"/>
      <c r="DV8" s="118"/>
      <c r="DW8" s="118"/>
      <c r="DX8" s="119">
        <f t="shared" si="0"/>
        <v>1</v>
      </c>
      <c r="DY8" s="128" t="s">
        <v>342</v>
      </c>
      <c r="DZ8" s="129" t="s">
        <v>384</v>
      </c>
      <c r="EA8" s="118">
        <f>1000+800+400</f>
        <v>2200</v>
      </c>
      <c r="EB8" s="118"/>
      <c r="EC8" s="135">
        <f t="shared" si="1"/>
        <v>0</v>
      </c>
      <c r="EE8" s="139">
        <v>6</v>
      </c>
      <c r="EF8" s="142" t="s">
        <v>298</v>
      </c>
    </row>
    <row r="9" spans="1:136" ht="15" customHeight="1" x14ac:dyDescent="0.3">
      <c r="A9" s="109">
        <v>6</v>
      </c>
      <c r="B9" s="106">
        <v>184</v>
      </c>
      <c r="C9" s="99" t="s">
        <v>23</v>
      </c>
      <c r="D9" s="79" t="s">
        <v>24</v>
      </c>
      <c r="E9" s="92" t="s">
        <v>25</v>
      </c>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c r="CR9" s="118"/>
      <c r="CS9" s="118"/>
      <c r="CT9" s="118"/>
      <c r="CU9" s="118"/>
      <c r="CV9" s="118"/>
      <c r="CW9" s="118"/>
      <c r="CX9" s="118"/>
      <c r="CY9" s="118"/>
      <c r="CZ9" s="118"/>
      <c r="DA9" s="118"/>
      <c r="DB9" s="118"/>
      <c r="DC9" s="118"/>
      <c r="DD9" s="118"/>
      <c r="DE9" s="118"/>
      <c r="DF9" s="118"/>
      <c r="DG9" s="118"/>
      <c r="DH9" s="118"/>
      <c r="DI9" s="118"/>
      <c r="DJ9" s="118"/>
      <c r="DK9" s="118"/>
      <c r="DL9" s="118"/>
      <c r="DM9" s="118"/>
      <c r="DN9" s="118"/>
      <c r="DO9" s="118"/>
      <c r="DP9" s="118"/>
      <c r="DQ9" s="118"/>
      <c r="DR9" s="118"/>
      <c r="DS9" s="118"/>
      <c r="DT9" s="118"/>
      <c r="DU9" s="118"/>
      <c r="DV9" s="118"/>
      <c r="DW9" s="118"/>
      <c r="DX9" s="119">
        <f t="shared" si="0"/>
        <v>0</v>
      </c>
      <c r="DY9" s="128" t="s">
        <v>343</v>
      </c>
      <c r="DZ9" s="129" t="s">
        <v>393</v>
      </c>
      <c r="EA9" s="118">
        <v>2</v>
      </c>
      <c r="EB9" s="118">
        <v>2</v>
      </c>
      <c r="EC9" s="135">
        <f t="shared" si="1"/>
        <v>1</v>
      </c>
      <c r="EE9" s="141">
        <v>7</v>
      </c>
      <c r="EF9" s="140" t="s">
        <v>253</v>
      </c>
    </row>
    <row r="10" spans="1:136" ht="15" customHeight="1" x14ac:dyDescent="0.3">
      <c r="A10" s="109">
        <v>7</v>
      </c>
      <c r="B10" s="106">
        <v>11</v>
      </c>
      <c r="C10" s="99" t="s">
        <v>26</v>
      </c>
      <c r="D10" s="78" t="s">
        <v>27</v>
      </c>
      <c r="E10" s="92" t="s">
        <v>28</v>
      </c>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v>1</v>
      </c>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v>1</v>
      </c>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v>1</v>
      </c>
      <c r="CS10" s="118"/>
      <c r="CT10" s="118"/>
      <c r="CU10" s="118"/>
      <c r="CV10" s="118"/>
      <c r="CW10" s="118"/>
      <c r="CX10" s="118"/>
      <c r="CY10" s="118"/>
      <c r="CZ10" s="118"/>
      <c r="DA10" s="118"/>
      <c r="DB10" s="118"/>
      <c r="DC10" s="118"/>
      <c r="DD10" s="118"/>
      <c r="DE10" s="118"/>
      <c r="DF10" s="118"/>
      <c r="DG10" s="118"/>
      <c r="DH10" s="118"/>
      <c r="DI10" s="118"/>
      <c r="DJ10" s="118"/>
      <c r="DK10" s="118"/>
      <c r="DL10" s="118"/>
      <c r="DM10" s="118"/>
      <c r="DN10" s="118"/>
      <c r="DO10" s="118"/>
      <c r="DP10" s="118"/>
      <c r="DQ10" s="118"/>
      <c r="DR10" s="118"/>
      <c r="DS10" s="118"/>
      <c r="DT10" s="118"/>
      <c r="DU10" s="118"/>
      <c r="DV10" s="118"/>
      <c r="DW10" s="118">
        <v>1</v>
      </c>
      <c r="DX10" s="119">
        <f t="shared" si="0"/>
        <v>4</v>
      </c>
      <c r="DY10" s="128" t="s">
        <v>378</v>
      </c>
      <c r="DZ10" s="129" t="s">
        <v>341</v>
      </c>
      <c r="EA10" s="118">
        <v>2</v>
      </c>
      <c r="EB10" s="118">
        <v>2</v>
      </c>
      <c r="EC10" s="135">
        <f t="shared" si="1"/>
        <v>1</v>
      </c>
      <c r="EE10" s="139">
        <v>8</v>
      </c>
      <c r="EF10" s="142" t="s">
        <v>300</v>
      </c>
    </row>
    <row r="11" spans="1:136" ht="15" customHeight="1" x14ac:dyDescent="0.3">
      <c r="A11" s="109">
        <v>8</v>
      </c>
      <c r="B11" s="106">
        <v>15</v>
      </c>
      <c r="C11" s="99" t="s">
        <v>29</v>
      </c>
      <c r="D11" s="78" t="s">
        <v>30</v>
      </c>
      <c r="E11" s="92" t="s">
        <v>31</v>
      </c>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v>1</v>
      </c>
      <c r="BE11" s="118">
        <v>1</v>
      </c>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c r="CZ11" s="118"/>
      <c r="DA11" s="118"/>
      <c r="DB11" s="118"/>
      <c r="DC11" s="118"/>
      <c r="DD11" s="118"/>
      <c r="DE11" s="118"/>
      <c r="DF11" s="118"/>
      <c r="DG11" s="118"/>
      <c r="DH11" s="118"/>
      <c r="DI11" s="118"/>
      <c r="DJ11" s="118"/>
      <c r="DK11" s="118"/>
      <c r="DL11" s="118"/>
      <c r="DM11" s="118"/>
      <c r="DN11" s="118"/>
      <c r="DO11" s="118"/>
      <c r="DP11" s="118"/>
      <c r="DQ11" s="118"/>
      <c r="DR11" s="118"/>
      <c r="DS11" s="118"/>
      <c r="DT11" s="118"/>
      <c r="DU11" s="118"/>
      <c r="DV11" s="118"/>
      <c r="DW11" s="118"/>
      <c r="DX11" s="119">
        <f t="shared" si="0"/>
        <v>2</v>
      </c>
      <c r="DY11" s="128" t="s">
        <v>342</v>
      </c>
      <c r="DZ11" s="129" t="s">
        <v>385</v>
      </c>
      <c r="EA11" s="118">
        <v>1</v>
      </c>
      <c r="EB11" s="118"/>
      <c r="EC11" s="135">
        <f t="shared" si="1"/>
        <v>0</v>
      </c>
      <c r="EE11" s="141">
        <v>9</v>
      </c>
      <c r="EF11" s="142" t="s">
        <v>298</v>
      </c>
    </row>
    <row r="12" spans="1:136" ht="15" customHeight="1" x14ac:dyDescent="0.3">
      <c r="A12" s="109">
        <v>9</v>
      </c>
      <c r="B12" s="106">
        <v>16</v>
      </c>
      <c r="C12" s="99" t="s">
        <v>32</v>
      </c>
      <c r="D12" s="78" t="s">
        <v>33</v>
      </c>
      <c r="E12" s="92" t="s">
        <v>34</v>
      </c>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v>1</v>
      </c>
      <c r="CN12" s="118">
        <v>1</v>
      </c>
      <c r="CO12" s="118"/>
      <c r="CP12" s="118"/>
      <c r="CQ12" s="118"/>
      <c r="CR12" s="118"/>
      <c r="CS12" s="118"/>
      <c r="CT12" s="118"/>
      <c r="CU12" s="118"/>
      <c r="CV12" s="118"/>
      <c r="CW12" s="118"/>
      <c r="CX12" s="118"/>
      <c r="CY12" s="118"/>
      <c r="CZ12" s="118"/>
      <c r="DA12" s="118"/>
      <c r="DB12" s="118"/>
      <c r="DC12" s="118"/>
      <c r="DD12" s="118"/>
      <c r="DE12" s="118"/>
      <c r="DF12" s="118"/>
      <c r="DG12" s="118"/>
      <c r="DH12" s="118"/>
      <c r="DI12" s="118"/>
      <c r="DJ12" s="118"/>
      <c r="DK12" s="118"/>
      <c r="DL12" s="118"/>
      <c r="DM12" s="118"/>
      <c r="DN12" s="118"/>
      <c r="DO12" s="118"/>
      <c r="DP12" s="118"/>
      <c r="DQ12" s="118"/>
      <c r="DR12" s="118"/>
      <c r="DS12" s="118"/>
      <c r="DT12" s="118"/>
      <c r="DU12" s="118"/>
      <c r="DV12" s="118"/>
      <c r="DW12" s="118"/>
      <c r="DX12" s="119">
        <f t="shared" si="0"/>
        <v>2</v>
      </c>
      <c r="DY12" s="128" t="s">
        <v>342</v>
      </c>
      <c r="DZ12" s="129" t="s">
        <v>385</v>
      </c>
      <c r="EA12" s="118">
        <v>1</v>
      </c>
      <c r="EB12" s="118"/>
      <c r="EC12" s="135">
        <f t="shared" si="1"/>
        <v>0</v>
      </c>
      <c r="EE12" s="139">
        <v>10</v>
      </c>
      <c r="EF12" s="142" t="s">
        <v>298</v>
      </c>
    </row>
    <row r="13" spans="1:136" ht="15" customHeight="1" x14ac:dyDescent="0.3">
      <c r="A13" s="109">
        <v>10</v>
      </c>
      <c r="B13" s="106">
        <v>17</v>
      </c>
      <c r="C13" s="99" t="s">
        <v>35</v>
      </c>
      <c r="D13" s="79" t="s">
        <v>36</v>
      </c>
      <c r="E13" s="92" t="s">
        <v>37</v>
      </c>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c r="CZ13" s="118"/>
      <c r="DA13" s="118"/>
      <c r="DB13" s="118"/>
      <c r="DC13" s="118"/>
      <c r="DD13" s="118"/>
      <c r="DE13" s="118"/>
      <c r="DF13" s="118"/>
      <c r="DG13" s="118"/>
      <c r="DH13" s="118"/>
      <c r="DI13" s="118"/>
      <c r="DJ13" s="118"/>
      <c r="DK13" s="118"/>
      <c r="DL13" s="118"/>
      <c r="DM13" s="118"/>
      <c r="DN13" s="118"/>
      <c r="DO13" s="118"/>
      <c r="DP13" s="118"/>
      <c r="DQ13" s="118"/>
      <c r="DR13" s="118"/>
      <c r="DS13" s="118"/>
      <c r="DT13" s="118"/>
      <c r="DU13" s="118"/>
      <c r="DV13" s="118"/>
      <c r="DW13" s="118"/>
      <c r="DX13" s="119">
        <f t="shared" si="0"/>
        <v>0</v>
      </c>
      <c r="DY13" s="128" t="s">
        <v>343</v>
      </c>
      <c r="DZ13" s="129" t="s">
        <v>386</v>
      </c>
      <c r="EA13" s="118">
        <v>1</v>
      </c>
      <c r="EB13" s="118">
        <v>1</v>
      </c>
      <c r="EC13" s="135">
        <f t="shared" si="1"/>
        <v>1</v>
      </c>
      <c r="EE13" s="141">
        <v>11</v>
      </c>
      <c r="EF13" s="140" t="s">
        <v>253</v>
      </c>
    </row>
    <row r="14" spans="1:136" ht="15" customHeight="1" x14ac:dyDescent="0.3">
      <c r="A14" s="109">
        <v>11</v>
      </c>
      <c r="B14" s="106">
        <v>20</v>
      </c>
      <c r="C14" s="99" t="s">
        <v>38</v>
      </c>
      <c r="D14" s="78" t="s">
        <v>39</v>
      </c>
      <c r="E14" s="92" t="s">
        <v>22</v>
      </c>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c r="CZ14" s="118"/>
      <c r="DA14" s="118"/>
      <c r="DB14" s="118"/>
      <c r="DC14" s="118"/>
      <c r="DD14" s="118"/>
      <c r="DE14" s="118"/>
      <c r="DF14" s="118"/>
      <c r="DG14" s="118"/>
      <c r="DH14" s="118"/>
      <c r="DI14" s="118"/>
      <c r="DJ14" s="118"/>
      <c r="DK14" s="118"/>
      <c r="DL14" s="118"/>
      <c r="DM14" s="118"/>
      <c r="DN14" s="118"/>
      <c r="DO14" s="118"/>
      <c r="DP14" s="118"/>
      <c r="DQ14" s="118"/>
      <c r="DR14" s="118"/>
      <c r="DS14" s="118"/>
      <c r="DT14" s="118"/>
      <c r="DU14" s="118"/>
      <c r="DV14" s="118"/>
      <c r="DW14" s="118"/>
      <c r="DX14" s="119">
        <f t="shared" si="0"/>
        <v>0</v>
      </c>
      <c r="DY14" s="130" t="s">
        <v>342</v>
      </c>
      <c r="DZ14" s="131" t="s">
        <v>346</v>
      </c>
      <c r="EA14" s="118">
        <v>20</v>
      </c>
      <c r="EB14" s="118"/>
      <c r="EC14" s="135">
        <f t="shared" si="1"/>
        <v>0</v>
      </c>
      <c r="EE14" s="139">
        <v>12</v>
      </c>
      <c r="EF14" s="142" t="s">
        <v>298</v>
      </c>
    </row>
    <row r="15" spans="1:136" ht="15" customHeight="1" x14ac:dyDescent="0.3">
      <c r="A15" s="109">
        <v>12</v>
      </c>
      <c r="B15" s="106">
        <v>23</v>
      </c>
      <c r="C15" s="99" t="s">
        <v>40</v>
      </c>
      <c r="D15" s="78" t="s">
        <v>41</v>
      </c>
      <c r="E15" s="92" t="s">
        <v>22</v>
      </c>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c r="CZ15" s="118"/>
      <c r="DA15" s="118"/>
      <c r="DB15" s="118"/>
      <c r="DC15" s="118"/>
      <c r="DD15" s="118"/>
      <c r="DE15" s="118"/>
      <c r="DF15" s="118"/>
      <c r="DG15" s="118"/>
      <c r="DH15" s="118"/>
      <c r="DI15" s="118"/>
      <c r="DJ15" s="118"/>
      <c r="DK15" s="118"/>
      <c r="DL15" s="118"/>
      <c r="DM15" s="118"/>
      <c r="DN15" s="118"/>
      <c r="DO15" s="118"/>
      <c r="DP15" s="118"/>
      <c r="DQ15" s="118"/>
      <c r="DR15" s="118"/>
      <c r="DS15" s="118"/>
      <c r="DT15" s="118"/>
      <c r="DU15" s="118"/>
      <c r="DV15" s="118"/>
      <c r="DW15" s="118"/>
      <c r="DX15" s="119">
        <f t="shared" si="0"/>
        <v>0</v>
      </c>
      <c r="DY15" s="130" t="s">
        <v>342</v>
      </c>
      <c r="DZ15" s="131" t="s">
        <v>346</v>
      </c>
      <c r="EA15" s="118">
        <f>240000+100000+3+6+10+1000+15+10+1+9+15</f>
        <v>341069</v>
      </c>
      <c r="EB15" s="118"/>
      <c r="EC15" s="135">
        <f t="shared" si="1"/>
        <v>0</v>
      </c>
      <c r="EE15" s="141">
        <v>13</v>
      </c>
      <c r="EF15" s="142" t="s">
        <v>298</v>
      </c>
    </row>
    <row r="16" spans="1:136" ht="15" customHeight="1" x14ac:dyDescent="0.3">
      <c r="A16" s="109">
        <v>13</v>
      </c>
      <c r="B16" s="106">
        <v>29</v>
      </c>
      <c r="C16" s="99" t="s">
        <v>42</v>
      </c>
      <c r="D16" s="79" t="s">
        <v>43</v>
      </c>
      <c r="E16" s="92"/>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c r="CZ16" s="118"/>
      <c r="DA16" s="118"/>
      <c r="DB16" s="118"/>
      <c r="DC16" s="118"/>
      <c r="DD16" s="118"/>
      <c r="DE16" s="118"/>
      <c r="DF16" s="118"/>
      <c r="DG16" s="118"/>
      <c r="DH16" s="118"/>
      <c r="DI16" s="118"/>
      <c r="DJ16" s="118"/>
      <c r="DK16" s="118"/>
      <c r="DL16" s="118"/>
      <c r="DM16" s="118"/>
      <c r="DN16" s="118"/>
      <c r="DO16" s="118"/>
      <c r="DP16" s="118"/>
      <c r="DQ16" s="118"/>
      <c r="DR16" s="118"/>
      <c r="DS16" s="118"/>
      <c r="DT16" s="118"/>
      <c r="DU16" s="118"/>
      <c r="DV16" s="118"/>
      <c r="DW16" s="118"/>
      <c r="DX16" s="119">
        <f t="shared" si="0"/>
        <v>0</v>
      </c>
      <c r="DY16" s="128" t="s">
        <v>343</v>
      </c>
      <c r="DZ16" s="129" t="s">
        <v>391</v>
      </c>
      <c r="EA16" s="118">
        <v>2</v>
      </c>
      <c r="EB16" s="118">
        <v>2</v>
      </c>
      <c r="EC16" s="135">
        <f t="shared" si="1"/>
        <v>1</v>
      </c>
      <c r="EE16" s="139">
        <v>14</v>
      </c>
      <c r="EF16" s="140" t="s">
        <v>253</v>
      </c>
    </row>
    <row r="17" spans="1:136" ht="15" customHeight="1" x14ac:dyDescent="0.3">
      <c r="A17" s="109">
        <v>14</v>
      </c>
      <c r="B17" s="106">
        <v>30</v>
      </c>
      <c r="C17" s="99" t="s">
        <v>44</v>
      </c>
      <c r="D17" s="79" t="s">
        <v>45</v>
      </c>
      <c r="E17" s="92"/>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c r="CZ17" s="118"/>
      <c r="DA17" s="118"/>
      <c r="DB17" s="118"/>
      <c r="DC17" s="118"/>
      <c r="DD17" s="118"/>
      <c r="DE17" s="118"/>
      <c r="DF17" s="118"/>
      <c r="DG17" s="118"/>
      <c r="DH17" s="118"/>
      <c r="DI17" s="118"/>
      <c r="DJ17" s="118"/>
      <c r="DK17" s="118"/>
      <c r="DL17" s="118"/>
      <c r="DM17" s="118"/>
      <c r="DN17" s="118"/>
      <c r="DO17" s="118"/>
      <c r="DP17" s="118"/>
      <c r="DQ17" s="118"/>
      <c r="DR17" s="118"/>
      <c r="DS17" s="118"/>
      <c r="DT17" s="118"/>
      <c r="DU17" s="118"/>
      <c r="DV17" s="118"/>
      <c r="DW17" s="118"/>
      <c r="DX17" s="119">
        <f t="shared" si="0"/>
        <v>0</v>
      </c>
      <c r="DY17" s="128" t="s">
        <v>343</v>
      </c>
      <c r="DZ17" s="129" t="s">
        <v>392</v>
      </c>
      <c r="EA17" s="118">
        <v>1</v>
      </c>
      <c r="EB17" s="118">
        <v>1</v>
      </c>
      <c r="EC17" s="135">
        <f t="shared" si="1"/>
        <v>1</v>
      </c>
      <c r="EE17" s="141">
        <v>15</v>
      </c>
      <c r="EF17" s="140" t="s">
        <v>253</v>
      </c>
    </row>
    <row r="18" spans="1:136" ht="15" customHeight="1" x14ac:dyDescent="0.3">
      <c r="A18" s="109">
        <v>15</v>
      </c>
      <c r="B18" s="106">
        <v>34</v>
      </c>
      <c r="C18" s="99" t="s">
        <v>46</v>
      </c>
      <c r="D18" s="80" t="s">
        <v>333</v>
      </c>
      <c r="E18" s="92" t="s">
        <v>47</v>
      </c>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v>1</v>
      </c>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c r="CZ18" s="118"/>
      <c r="DA18" s="118"/>
      <c r="DB18" s="118"/>
      <c r="DC18" s="118"/>
      <c r="DD18" s="118"/>
      <c r="DE18" s="118"/>
      <c r="DF18" s="118"/>
      <c r="DG18" s="118"/>
      <c r="DH18" s="118"/>
      <c r="DI18" s="118"/>
      <c r="DJ18" s="118"/>
      <c r="DK18" s="118"/>
      <c r="DL18" s="118"/>
      <c r="DM18" s="118"/>
      <c r="DN18" s="118"/>
      <c r="DO18" s="118"/>
      <c r="DP18" s="118"/>
      <c r="DQ18" s="118"/>
      <c r="DR18" s="118"/>
      <c r="DS18" s="118"/>
      <c r="DT18" s="118"/>
      <c r="DU18" s="118"/>
      <c r="DV18" s="118"/>
      <c r="DW18" s="118"/>
      <c r="DX18" s="119">
        <f t="shared" si="0"/>
        <v>1</v>
      </c>
      <c r="DY18" s="128" t="s">
        <v>345</v>
      </c>
      <c r="DZ18" s="129" t="s">
        <v>347</v>
      </c>
      <c r="EA18" s="118">
        <v>3</v>
      </c>
      <c r="EB18" s="118">
        <v>2</v>
      </c>
      <c r="EC18" s="135">
        <f t="shared" si="1"/>
        <v>0.66666666666666663</v>
      </c>
      <c r="EE18" s="139">
        <v>16</v>
      </c>
      <c r="EF18" s="142" t="s">
        <v>301</v>
      </c>
    </row>
    <row r="19" spans="1:136" ht="14.55" customHeight="1" x14ac:dyDescent="0.3">
      <c r="A19" s="109">
        <v>16</v>
      </c>
      <c r="B19" s="106">
        <v>36</v>
      </c>
      <c r="C19" s="120" t="s">
        <v>48</v>
      </c>
      <c r="D19" s="78" t="s">
        <v>334</v>
      </c>
      <c r="E19" s="92" t="s">
        <v>49</v>
      </c>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v>1</v>
      </c>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v>1</v>
      </c>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c r="DU19" s="118"/>
      <c r="DV19" s="118"/>
      <c r="DW19" s="118"/>
      <c r="DX19" s="119">
        <f t="shared" si="0"/>
        <v>2</v>
      </c>
      <c r="DY19" s="128" t="s">
        <v>342</v>
      </c>
      <c r="DZ19" s="129" t="s">
        <v>350</v>
      </c>
      <c r="EA19" s="118"/>
      <c r="EB19" s="118"/>
      <c r="EC19" s="135" t="e">
        <f t="shared" si="1"/>
        <v>#DIV/0!</v>
      </c>
      <c r="EE19" s="141">
        <v>17</v>
      </c>
      <c r="EF19" s="143" t="s">
        <v>298</v>
      </c>
    </row>
    <row r="20" spans="1:136" ht="15" customHeight="1" x14ac:dyDescent="0.3">
      <c r="A20" s="109">
        <v>17</v>
      </c>
      <c r="B20" s="106">
        <v>37</v>
      </c>
      <c r="C20" s="99" t="s">
        <v>50</v>
      </c>
      <c r="D20" s="78" t="s">
        <v>335</v>
      </c>
      <c r="E20" s="92" t="s">
        <v>51</v>
      </c>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v>1</v>
      </c>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c r="DU20" s="118"/>
      <c r="DV20" s="118"/>
      <c r="DW20" s="118"/>
      <c r="DX20" s="119">
        <f t="shared" si="0"/>
        <v>1</v>
      </c>
      <c r="DY20" s="128" t="s">
        <v>342</v>
      </c>
      <c r="DZ20" s="129" t="s">
        <v>351</v>
      </c>
      <c r="EA20" s="118"/>
      <c r="EB20" s="118"/>
      <c r="EC20" s="135" t="e">
        <f t="shared" si="1"/>
        <v>#DIV/0!</v>
      </c>
      <c r="EE20" s="139">
        <v>18</v>
      </c>
      <c r="EF20" s="142" t="s">
        <v>298</v>
      </c>
    </row>
    <row r="21" spans="1:136" ht="15.75" customHeight="1" x14ac:dyDescent="0.3">
      <c r="A21" s="109">
        <v>18</v>
      </c>
      <c r="B21" s="106">
        <v>38</v>
      </c>
      <c r="C21" s="99" t="s">
        <v>52</v>
      </c>
      <c r="D21" s="78" t="s">
        <v>336</v>
      </c>
      <c r="E21" s="92" t="s">
        <v>53</v>
      </c>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c r="CZ21" s="118"/>
      <c r="DA21" s="118"/>
      <c r="DB21" s="118"/>
      <c r="DC21" s="118"/>
      <c r="DD21" s="118"/>
      <c r="DE21" s="118"/>
      <c r="DF21" s="118"/>
      <c r="DG21" s="118"/>
      <c r="DH21" s="118"/>
      <c r="DI21" s="118"/>
      <c r="DJ21" s="118"/>
      <c r="DK21" s="118"/>
      <c r="DL21" s="118"/>
      <c r="DM21" s="118"/>
      <c r="DN21" s="118"/>
      <c r="DO21" s="118"/>
      <c r="DP21" s="118"/>
      <c r="DQ21" s="118"/>
      <c r="DR21" s="118"/>
      <c r="DS21" s="118"/>
      <c r="DT21" s="118"/>
      <c r="DU21" s="118"/>
      <c r="DV21" s="118"/>
      <c r="DW21" s="118"/>
      <c r="DX21" s="119">
        <f t="shared" si="0"/>
        <v>0</v>
      </c>
      <c r="DY21" s="128" t="s">
        <v>343</v>
      </c>
      <c r="DZ21" s="129"/>
      <c r="EA21" s="118"/>
      <c r="EB21" s="118"/>
      <c r="EC21" s="135" t="e">
        <f t="shared" si="1"/>
        <v>#DIV/0!</v>
      </c>
      <c r="EE21" s="141">
        <v>19</v>
      </c>
      <c r="EF21" s="140" t="s">
        <v>253</v>
      </c>
    </row>
    <row r="22" spans="1:136" ht="15.75" customHeight="1" x14ac:dyDescent="0.3">
      <c r="A22" s="110">
        <v>19</v>
      </c>
      <c r="B22" s="106">
        <v>42</v>
      </c>
      <c r="C22" s="100" t="s">
        <v>54</v>
      </c>
      <c r="D22" s="81" t="s">
        <v>55</v>
      </c>
      <c r="E22" s="93" t="s">
        <v>56</v>
      </c>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v>1</v>
      </c>
      <c r="BC22" s="118"/>
      <c r="BD22" s="118"/>
      <c r="BE22" s="118"/>
      <c r="BF22" s="118">
        <v>1</v>
      </c>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c r="CZ22" s="118"/>
      <c r="DA22" s="118"/>
      <c r="DB22" s="118"/>
      <c r="DC22" s="118"/>
      <c r="DD22" s="118"/>
      <c r="DE22" s="118"/>
      <c r="DF22" s="118"/>
      <c r="DG22" s="118"/>
      <c r="DH22" s="118"/>
      <c r="DI22" s="118"/>
      <c r="DJ22" s="118"/>
      <c r="DK22" s="118"/>
      <c r="DL22" s="118"/>
      <c r="DM22" s="118"/>
      <c r="DN22" s="118"/>
      <c r="DO22" s="118"/>
      <c r="DP22" s="118"/>
      <c r="DQ22" s="118"/>
      <c r="DR22" s="118"/>
      <c r="DS22" s="118"/>
      <c r="DT22" s="118"/>
      <c r="DU22" s="118"/>
      <c r="DV22" s="118"/>
      <c r="DW22" s="118"/>
      <c r="DX22" s="119">
        <f t="shared" si="0"/>
        <v>2</v>
      </c>
      <c r="DY22" s="128" t="s">
        <v>342</v>
      </c>
      <c r="DZ22" s="129"/>
      <c r="EA22" s="118"/>
      <c r="EB22" s="118"/>
      <c r="EC22" s="135" t="e">
        <f t="shared" si="1"/>
        <v>#DIV/0!</v>
      </c>
      <c r="EE22" s="139">
        <v>20</v>
      </c>
      <c r="EF22" s="142" t="s">
        <v>298</v>
      </c>
    </row>
    <row r="23" spans="1:136" ht="15.75" customHeight="1" x14ac:dyDescent="0.3">
      <c r="A23" s="109">
        <v>20</v>
      </c>
      <c r="B23" s="106">
        <v>43</v>
      </c>
      <c r="C23" s="99" t="s">
        <v>57</v>
      </c>
      <c r="D23" s="78" t="s">
        <v>58</v>
      </c>
      <c r="E23" s="93" t="s">
        <v>59</v>
      </c>
      <c r="F23" s="118"/>
      <c r="G23" s="118"/>
      <c r="H23" s="118"/>
      <c r="I23" s="118"/>
      <c r="J23" s="118"/>
      <c r="K23" s="118"/>
      <c r="L23" s="118"/>
      <c r="M23" s="118"/>
      <c r="N23" s="118"/>
      <c r="O23" s="118"/>
      <c r="P23" s="118"/>
      <c r="Q23" s="118"/>
      <c r="R23" s="118"/>
      <c r="S23" s="118">
        <v>1</v>
      </c>
      <c r="T23" s="118"/>
      <c r="U23" s="118"/>
      <c r="V23" s="118"/>
      <c r="W23" s="118">
        <v>1</v>
      </c>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c r="DU23" s="118"/>
      <c r="DV23" s="118"/>
      <c r="DW23" s="118"/>
      <c r="DX23" s="119">
        <f t="shared" si="0"/>
        <v>2</v>
      </c>
      <c r="DY23" s="128" t="s">
        <v>342</v>
      </c>
      <c r="DZ23" s="129" t="s">
        <v>352</v>
      </c>
      <c r="EA23" s="118"/>
      <c r="EB23" s="118"/>
      <c r="EC23" s="135" t="e">
        <f t="shared" si="1"/>
        <v>#DIV/0!</v>
      </c>
      <c r="EE23" s="141">
        <v>21</v>
      </c>
      <c r="EF23" s="142" t="s">
        <v>304</v>
      </c>
    </row>
    <row r="24" spans="1:136" ht="15.75" customHeight="1" x14ac:dyDescent="0.3">
      <c r="A24" s="109">
        <v>21</v>
      </c>
      <c r="B24" s="106">
        <v>44</v>
      </c>
      <c r="C24" s="99" t="s">
        <v>60</v>
      </c>
      <c r="D24" s="78" t="s">
        <v>61</v>
      </c>
      <c r="E24" s="92" t="s">
        <v>59</v>
      </c>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c r="DU24" s="118"/>
      <c r="DV24" s="118"/>
      <c r="DW24" s="118"/>
      <c r="DX24" s="119">
        <f t="shared" si="0"/>
        <v>0</v>
      </c>
      <c r="DY24" s="128" t="s">
        <v>343</v>
      </c>
      <c r="DZ24" s="129"/>
      <c r="EA24" s="118"/>
      <c r="EB24" s="118"/>
      <c r="EC24" s="135" t="e">
        <f t="shared" si="1"/>
        <v>#DIV/0!</v>
      </c>
      <c r="EE24" s="139">
        <v>22</v>
      </c>
      <c r="EF24" s="144" t="s">
        <v>289</v>
      </c>
    </row>
    <row r="25" spans="1:136" ht="15.75" customHeight="1" x14ac:dyDescent="0.3">
      <c r="A25" s="109">
        <v>23</v>
      </c>
      <c r="B25" s="106">
        <v>45</v>
      </c>
      <c r="C25" s="99" t="s">
        <v>62</v>
      </c>
      <c r="D25" s="78" t="s">
        <v>63</v>
      </c>
      <c r="E25" s="92" t="s">
        <v>64</v>
      </c>
      <c r="F25" s="118"/>
      <c r="G25" s="118"/>
      <c r="H25" s="118"/>
      <c r="I25" s="118"/>
      <c r="J25" s="118"/>
      <c r="K25" s="118"/>
      <c r="L25" s="118"/>
      <c r="M25" s="118"/>
      <c r="N25" s="118"/>
      <c r="O25" s="118">
        <v>1</v>
      </c>
      <c r="P25" s="118">
        <v>1</v>
      </c>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c r="DU25" s="118"/>
      <c r="DV25" s="118"/>
      <c r="DW25" s="118"/>
      <c r="DX25" s="119">
        <f t="shared" si="0"/>
        <v>2</v>
      </c>
      <c r="DY25" s="128" t="s">
        <v>342</v>
      </c>
      <c r="DZ25" s="129"/>
      <c r="EA25" s="118"/>
      <c r="EB25" s="118"/>
      <c r="EC25" s="135" t="e">
        <f t="shared" si="1"/>
        <v>#DIV/0!</v>
      </c>
      <c r="EE25" s="141">
        <v>23</v>
      </c>
      <c r="EF25" s="142" t="s">
        <v>298</v>
      </c>
    </row>
    <row r="26" spans="1:136" ht="15.75" customHeight="1" x14ac:dyDescent="0.3">
      <c r="A26" s="110">
        <v>24</v>
      </c>
      <c r="B26" s="106">
        <v>46</v>
      </c>
      <c r="C26" s="100" t="s">
        <v>65</v>
      </c>
      <c r="D26" s="78" t="s">
        <v>66</v>
      </c>
      <c r="E26" s="92" t="s">
        <v>67</v>
      </c>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v>1</v>
      </c>
      <c r="AQ26" s="118">
        <v>1</v>
      </c>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c r="DU26" s="118"/>
      <c r="DV26" s="118"/>
      <c r="DW26" s="118"/>
      <c r="DX26" s="119">
        <f t="shared" si="0"/>
        <v>2</v>
      </c>
      <c r="DY26" s="128" t="s">
        <v>342</v>
      </c>
      <c r="DZ26" s="129"/>
      <c r="EA26" s="118"/>
      <c r="EB26" s="118"/>
      <c r="EC26" s="135" t="e">
        <f t="shared" si="1"/>
        <v>#DIV/0!</v>
      </c>
      <c r="EE26" s="139">
        <v>24</v>
      </c>
      <c r="EF26" s="142" t="s">
        <v>298</v>
      </c>
    </row>
    <row r="27" spans="1:136" ht="15.75" customHeight="1" x14ac:dyDescent="0.3">
      <c r="A27" s="110">
        <v>25</v>
      </c>
      <c r="B27" s="106">
        <v>47</v>
      </c>
      <c r="C27" s="100" t="s">
        <v>69</v>
      </c>
      <c r="D27" s="78" t="s">
        <v>70</v>
      </c>
      <c r="E27" s="92" t="s">
        <v>71</v>
      </c>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v>1</v>
      </c>
      <c r="CB27" s="118"/>
      <c r="CC27" s="118"/>
      <c r="CD27" s="118"/>
      <c r="CE27" s="118"/>
      <c r="CF27" s="118"/>
      <c r="CG27" s="118">
        <v>2</v>
      </c>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c r="DU27" s="118"/>
      <c r="DV27" s="118"/>
      <c r="DW27" s="118"/>
      <c r="DX27" s="119">
        <f t="shared" si="0"/>
        <v>3</v>
      </c>
      <c r="DY27" s="130" t="s">
        <v>342</v>
      </c>
      <c r="DZ27" s="131" t="s">
        <v>353</v>
      </c>
      <c r="EA27" s="146">
        <v>8</v>
      </c>
      <c r="EB27" s="146">
        <v>4</v>
      </c>
      <c r="EC27" s="135">
        <f t="shared" si="1"/>
        <v>0.5</v>
      </c>
      <c r="EE27" s="141">
        <v>25</v>
      </c>
      <c r="EF27" s="142" t="s">
        <v>283</v>
      </c>
    </row>
    <row r="28" spans="1:136" ht="15.75" customHeight="1" x14ac:dyDescent="0.3">
      <c r="A28" s="109">
        <v>26</v>
      </c>
      <c r="B28" s="106">
        <v>51</v>
      </c>
      <c r="C28" s="99" t="s">
        <v>72</v>
      </c>
      <c r="D28" s="78" t="s">
        <v>73</v>
      </c>
      <c r="E28" s="92" t="s">
        <v>74</v>
      </c>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c r="CZ28" s="118"/>
      <c r="DA28" s="118"/>
      <c r="DB28" s="118"/>
      <c r="DC28" s="118"/>
      <c r="DD28" s="118"/>
      <c r="DE28" s="118"/>
      <c r="DF28" s="118"/>
      <c r="DG28" s="118"/>
      <c r="DH28" s="118"/>
      <c r="DI28" s="118"/>
      <c r="DJ28" s="118"/>
      <c r="DK28" s="118"/>
      <c r="DL28" s="118"/>
      <c r="DM28" s="118"/>
      <c r="DN28" s="118"/>
      <c r="DO28" s="118"/>
      <c r="DP28" s="118"/>
      <c r="DQ28" s="118"/>
      <c r="DR28" s="118"/>
      <c r="DS28" s="118"/>
      <c r="DT28" s="118"/>
      <c r="DU28" s="118"/>
      <c r="DV28" s="118"/>
      <c r="DW28" s="118"/>
      <c r="DX28" s="119">
        <f t="shared" si="0"/>
        <v>0</v>
      </c>
      <c r="DY28" s="128" t="s">
        <v>343</v>
      </c>
      <c r="DZ28" s="129"/>
      <c r="EA28" s="118"/>
      <c r="EB28" s="118"/>
      <c r="EC28" s="135" t="e">
        <f t="shared" si="1"/>
        <v>#DIV/0!</v>
      </c>
      <c r="EE28" s="139">
        <v>26</v>
      </c>
      <c r="EF28" s="144" t="s">
        <v>285</v>
      </c>
    </row>
    <row r="29" spans="1:136" ht="15.75" customHeight="1" x14ac:dyDescent="0.3">
      <c r="A29" s="109">
        <v>27</v>
      </c>
      <c r="B29" s="106">
        <v>53</v>
      </c>
      <c r="C29" s="99" t="s">
        <v>75</v>
      </c>
      <c r="D29" s="78" t="s">
        <v>76</v>
      </c>
      <c r="E29" s="92" t="s">
        <v>77</v>
      </c>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c r="CZ29" s="118"/>
      <c r="DA29" s="118"/>
      <c r="DB29" s="118"/>
      <c r="DC29" s="118"/>
      <c r="DD29" s="118"/>
      <c r="DE29" s="118"/>
      <c r="DF29" s="118"/>
      <c r="DG29" s="118"/>
      <c r="DH29" s="118"/>
      <c r="DI29" s="118"/>
      <c r="DJ29" s="118"/>
      <c r="DK29" s="118"/>
      <c r="DL29" s="118"/>
      <c r="DM29" s="118"/>
      <c r="DN29" s="118"/>
      <c r="DO29" s="118"/>
      <c r="DP29" s="118"/>
      <c r="DQ29" s="118"/>
      <c r="DR29" s="118"/>
      <c r="DS29" s="118"/>
      <c r="DT29" s="118"/>
      <c r="DU29" s="118"/>
      <c r="DV29" s="118"/>
      <c r="DW29" s="118"/>
      <c r="DX29" s="119">
        <f t="shared" si="0"/>
        <v>0</v>
      </c>
      <c r="DY29" s="128" t="s">
        <v>343</v>
      </c>
      <c r="DZ29" s="129"/>
      <c r="EA29" s="118"/>
      <c r="EB29" s="118"/>
      <c r="EC29" s="135" t="e">
        <f t="shared" si="1"/>
        <v>#DIV/0!</v>
      </c>
      <c r="EE29" s="141">
        <v>27</v>
      </c>
      <c r="EF29" s="144" t="s">
        <v>285</v>
      </c>
    </row>
    <row r="30" spans="1:136" ht="15.75" customHeight="1" x14ac:dyDescent="0.3">
      <c r="A30" s="109">
        <v>28</v>
      </c>
      <c r="B30" s="106">
        <v>55</v>
      </c>
      <c r="C30" s="99" t="s">
        <v>78</v>
      </c>
      <c r="D30" s="78" t="s">
        <v>79</v>
      </c>
      <c r="E30" s="92" t="s">
        <v>80</v>
      </c>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v>1</v>
      </c>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v>1</v>
      </c>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v>1</v>
      </c>
      <c r="CR30" s="118"/>
      <c r="CS30" s="118"/>
      <c r="CT30" s="118"/>
      <c r="CU30" s="118"/>
      <c r="CV30" s="118"/>
      <c r="CW30" s="118"/>
      <c r="CX30" s="118"/>
      <c r="CY30" s="118"/>
      <c r="CZ30" s="118"/>
      <c r="DA30" s="118"/>
      <c r="DB30" s="118"/>
      <c r="DC30" s="118"/>
      <c r="DD30" s="118"/>
      <c r="DE30" s="118"/>
      <c r="DF30" s="118"/>
      <c r="DG30" s="118"/>
      <c r="DH30" s="118"/>
      <c r="DI30" s="118"/>
      <c r="DJ30" s="118"/>
      <c r="DK30" s="118"/>
      <c r="DL30" s="118"/>
      <c r="DM30" s="118"/>
      <c r="DN30" s="118"/>
      <c r="DO30" s="118"/>
      <c r="DP30" s="118"/>
      <c r="DQ30" s="118"/>
      <c r="DR30" s="118"/>
      <c r="DS30" s="118"/>
      <c r="DT30" s="118"/>
      <c r="DU30" s="118"/>
      <c r="DV30" s="118"/>
      <c r="DW30" s="118"/>
      <c r="DX30" s="119">
        <f t="shared" si="0"/>
        <v>3</v>
      </c>
      <c r="DY30" s="128" t="s">
        <v>342</v>
      </c>
      <c r="DZ30" s="129" t="s">
        <v>354</v>
      </c>
      <c r="EA30" s="118"/>
      <c r="EB30" s="118"/>
      <c r="EC30" s="135" t="e">
        <f t="shared" si="1"/>
        <v>#DIV/0!</v>
      </c>
      <c r="EE30" s="139">
        <v>28</v>
      </c>
      <c r="EF30" s="142" t="s">
        <v>293</v>
      </c>
    </row>
    <row r="31" spans="1:136" ht="15.75" customHeight="1" x14ac:dyDescent="0.3">
      <c r="A31" s="110">
        <v>29</v>
      </c>
      <c r="B31" s="106">
        <v>56</v>
      </c>
      <c r="C31" s="99" t="s">
        <v>81</v>
      </c>
      <c r="D31" s="78" t="s">
        <v>337</v>
      </c>
      <c r="E31" s="92" t="s">
        <v>82</v>
      </c>
      <c r="F31" s="118"/>
      <c r="G31" s="118"/>
      <c r="H31" s="118"/>
      <c r="I31" s="118"/>
      <c r="J31" s="118"/>
      <c r="K31" s="118"/>
      <c r="L31" s="118"/>
      <c r="M31" s="118"/>
      <c r="N31" s="118"/>
      <c r="O31" s="118"/>
      <c r="P31" s="118"/>
      <c r="Q31" s="118"/>
      <c r="R31" s="118"/>
      <c r="S31" s="118">
        <v>1</v>
      </c>
      <c r="T31" s="118">
        <v>1</v>
      </c>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c r="DU31" s="118"/>
      <c r="DV31" s="118"/>
      <c r="DW31" s="118"/>
      <c r="DX31" s="119">
        <f t="shared" si="0"/>
        <v>2</v>
      </c>
      <c r="DY31" s="128" t="s">
        <v>342</v>
      </c>
      <c r="DZ31" s="129"/>
      <c r="EA31" s="118"/>
      <c r="EB31" s="118"/>
      <c r="EC31" s="135" t="e">
        <f t="shared" si="1"/>
        <v>#DIV/0!</v>
      </c>
      <c r="EE31" s="141">
        <v>29</v>
      </c>
      <c r="EF31" s="142" t="s">
        <v>294</v>
      </c>
    </row>
    <row r="32" spans="1:136" ht="15.75" customHeight="1" x14ac:dyDescent="0.3">
      <c r="A32" s="110">
        <v>30</v>
      </c>
      <c r="B32" s="106">
        <v>57</v>
      </c>
      <c r="C32" s="99" t="s">
        <v>83</v>
      </c>
      <c r="D32" s="78" t="s">
        <v>84</v>
      </c>
      <c r="E32" s="92" t="s">
        <v>85</v>
      </c>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c r="CZ32" s="118"/>
      <c r="DA32" s="118"/>
      <c r="DB32" s="118"/>
      <c r="DC32" s="118"/>
      <c r="DD32" s="118"/>
      <c r="DE32" s="118"/>
      <c r="DF32" s="118"/>
      <c r="DG32" s="118"/>
      <c r="DH32" s="118"/>
      <c r="DI32" s="118"/>
      <c r="DJ32" s="118"/>
      <c r="DK32" s="118"/>
      <c r="DL32" s="118"/>
      <c r="DM32" s="118"/>
      <c r="DN32" s="118"/>
      <c r="DO32" s="118"/>
      <c r="DP32" s="118"/>
      <c r="DQ32" s="118"/>
      <c r="DR32" s="118"/>
      <c r="DS32" s="118"/>
      <c r="DT32" s="118"/>
      <c r="DU32" s="118"/>
      <c r="DV32" s="118"/>
      <c r="DW32" s="118"/>
      <c r="DX32" s="119">
        <f t="shared" si="0"/>
        <v>0</v>
      </c>
      <c r="DY32" s="128" t="s">
        <v>343</v>
      </c>
      <c r="DZ32" s="129"/>
      <c r="EA32" s="118"/>
      <c r="EB32" s="118"/>
      <c r="EC32" s="135" t="e">
        <f t="shared" si="1"/>
        <v>#DIV/0!</v>
      </c>
      <c r="EE32" s="139">
        <v>30</v>
      </c>
      <c r="EF32" s="144" t="s">
        <v>286</v>
      </c>
    </row>
    <row r="33" spans="1:136" ht="15.75" customHeight="1" x14ac:dyDescent="0.3">
      <c r="A33" s="109">
        <v>31</v>
      </c>
      <c r="B33" s="106">
        <v>58</v>
      </c>
      <c r="C33" s="99" t="s">
        <v>86</v>
      </c>
      <c r="D33" s="78" t="s">
        <v>87</v>
      </c>
      <c r="E33" s="92" t="s">
        <v>88</v>
      </c>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v>1</v>
      </c>
      <c r="AP33" s="118">
        <v>1</v>
      </c>
      <c r="AQ33" s="118">
        <v>1</v>
      </c>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c r="CZ33" s="118"/>
      <c r="DA33" s="118"/>
      <c r="DB33" s="118"/>
      <c r="DC33" s="118"/>
      <c r="DD33" s="118"/>
      <c r="DE33" s="118"/>
      <c r="DF33" s="118"/>
      <c r="DG33" s="118"/>
      <c r="DH33" s="118"/>
      <c r="DI33" s="118"/>
      <c r="DJ33" s="118"/>
      <c r="DK33" s="118"/>
      <c r="DL33" s="118"/>
      <c r="DM33" s="118"/>
      <c r="DN33" s="118"/>
      <c r="DO33" s="118"/>
      <c r="DP33" s="118"/>
      <c r="DQ33" s="118"/>
      <c r="DR33" s="118"/>
      <c r="DS33" s="118"/>
      <c r="DT33" s="118"/>
      <c r="DU33" s="118"/>
      <c r="DV33" s="118"/>
      <c r="DW33" s="118"/>
      <c r="DX33" s="119">
        <f t="shared" si="0"/>
        <v>3</v>
      </c>
      <c r="DY33" s="128" t="s">
        <v>342</v>
      </c>
      <c r="DZ33" s="129" t="s">
        <v>355</v>
      </c>
      <c r="EA33" s="118"/>
      <c r="EB33" s="118"/>
      <c r="EC33" s="135" t="e">
        <f t="shared" si="1"/>
        <v>#DIV/0!</v>
      </c>
      <c r="EE33" s="141">
        <v>31</v>
      </c>
      <c r="EF33" s="142" t="s">
        <v>298</v>
      </c>
    </row>
    <row r="34" spans="1:136" ht="15.75" customHeight="1" x14ac:dyDescent="0.3">
      <c r="A34" s="109">
        <v>32</v>
      </c>
      <c r="B34" s="106">
        <v>65</v>
      </c>
      <c r="C34" s="99" t="s">
        <v>89</v>
      </c>
      <c r="D34" s="78" t="s">
        <v>90</v>
      </c>
      <c r="E34" s="92" t="s">
        <v>91</v>
      </c>
      <c r="F34" s="118"/>
      <c r="G34" s="118"/>
      <c r="H34" s="118"/>
      <c r="I34" s="118"/>
      <c r="J34" s="118"/>
      <c r="K34" s="118"/>
      <c r="L34" s="118"/>
      <c r="M34" s="118"/>
      <c r="N34" s="118">
        <v>1</v>
      </c>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v>1</v>
      </c>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c r="CZ34" s="118"/>
      <c r="DA34" s="118"/>
      <c r="DB34" s="118"/>
      <c r="DC34" s="118"/>
      <c r="DD34" s="118"/>
      <c r="DE34" s="118"/>
      <c r="DF34" s="118"/>
      <c r="DG34" s="118"/>
      <c r="DH34" s="118"/>
      <c r="DI34" s="118"/>
      <c r="DJ34" s="118"/>
      <c r="DK34" s="118"/>
      <c r="DL34" s="118"/>
      <c r="DM34" s="118"/>
      <c r="DN34" s="118"/>
      <c r="DO34" s="118"/>
      <c r="DP34" s="118"/>
      <c r="DQ34" s="118"/>
      <c r="DR34" s="118"/>
      <c r="DS34" s="118"/>
      <c r="DT34" s="118"/>
      <c r="DU34" s="118"/>
      <c r="DV34" s="118"/>
      <c r="DW34" s="118"/>
      <c r="DX34" s="119">
        <f t="shared" si="0"/>
        <v>2</v>
      </c>
      <c r="DY34" s="128" t="s">
        <v>342</v>
      </c>
      <c r="DZ34" s="129" t="s">
        <v>356</v>
      </c>
      <c r="EA34" s="118"/>
      <c r="EB34" s="118"/>
      <c r="EC34" s="135" t="e">
        <f t="shared" si="1"/>
        <v>#DIV/0!</v>
      </c>
      <c r="EE34" s="139">
        <v>32</v>
      </c>
      <c r="EF34" s="142" t="s">
        <v>298</v>
      </c>
    </row>
    <row r="35" spans="1:136" ht="15.75" customHeight="1" x14ac:dyDescent="0.3">
      <c r="A35" s="109">
        <v>33</v>
      </c>
      <c r="B35" s="106">
        <v>66</v>
      </c>
      <c r="C35" s="99" t="s">
        <v>94</v>
      </c>
      <c r="D35" s="81" t="s">
        <v>95</v>
      </c>
      <c r="E35" s="92" t="s">
        <v>96</v>
      </c>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v>1</v>
      </c>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c r="CZ35" s="118"/>
      <c r="DA35" s="118"/>
      <c r="DB35" s="118"/>
      <c r="DC35" s="118"/>
      <c r="DD35" s="118"/>
      <c r="DE35" s="118"/>
      <c r="DF35" s="118"/>
      <c r="DG35" s="118"/>
      <c r="DH35" s="118"/>
      <c r="DI35" s="118"/>
      <c r="DJ35" s="118"/>
      <c r="DK35" s="118"/>
      <c r="DL35" s="118"/>
      <c r="DM35" s="118"/>
      <c r="DN35" s="118"/>
      <c r="DO35" s="118"/>
      <c r="DP35" s="118"/>
      <c r="DQ35" s="118"/>
      <c r="DR35" s="118"/>
      <c r="DS35" s="118"/>
      <c r="DT35" s="118"/>
      <c r="DU35" s="118"/>
      <c r="DV35" s="118"/>
      <c r="DW35" s="118"/>
      <c r="DX35" s="119">
        <f t="shared" si="0"/>
        <v>1</v>
      </c>
      <c r="DY35" s="128" t="s">
        <v>342</v>
      </c>
      <c r="DZ35" s="129" t="s">
        <v>357</v>
      </c>
      <c r="EA35" s="118"/>
      <c r="EB35" s="118"/>
      <c r="EC35" s="135" t="e">
        <f t="shared" si="1"/>
        <v>#DIV/0!</v>
      </c>
      <c r="EE35" s="141">
        <v>33</v>
      </c>
      <c r="EF35" s="142" t="s">
        <v>298</v>
      </c>
    </row>
    <row r="36" spans="1:136" ht="15.75" customHeight="1" thickBot="1" x14ac:dyDescent="0.35">
      <c r="A36" s="110">
        <v>34</v>
      </c>
      <c r="B36" s="106">
        <v>70</v>
      </c>
      <c r="C36" s="99" t="s">
        <v>98</v>
      </c>
      <c r="D36" s="78" t="s">
        <v>99</v>
      </c>
      <c r="E36" s="92" t="s">
        <v>100</v>
      </c>
      <c r="F36" s="118"/>
      <c r="G36" s="118"/>
      <c r="H36" s="118"/>
      <c r="I36" s="118"/>
      <c r="J36" s="118"/>
      <c r="K36" s="118"/>
      <c r="L36" s="118"/>
      <c r="M36" s="118"/>
      <c r="N36" s="118"/>
      <c r="O36" s="118"/>
      <c r="P36" s="118"/>
      <c r="Q36" s="118"/>
      <c r="R36" s="118"/>
      <c r="S36" s="118"/>
      <c r="T36" s="118"/>
      <c r="U36" s="118"/>
      <c r="V36" s="118"/>
      <c r="W36" s="118"/>
      <c r="X36" s="118"/>
      <c r="Y36" s="118"/>
      <c r="Z36" s="118">
        <v>1</v>
      </c>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c r="CZ36" s="118"/>
      <c r="DA36" s="118"/>
      <c r="DB36" s="118"/>
      <c r="DC36" s="118"/>
      <c r="DD36" s="118"/>
      <c r="DE36" s="118"/>
      <c r="DF36" s="118"/>
      <c r="DG36" s="118"/>
      <c r="DH36" s="118"/>
      <c r="DI36" s="118"/>
      <c r="DJ36" s="118"/>
      <c r="DK36" s="118"/>
      <c r="DL36" s="118"/>
      <c r="DM36" s="118"/>
      <c r="DN36" s="118"/>
      <c r="DO36" s="118"/>
      <c r="DP36" s="118"/>
      <c r="DQ36" s="118"/>
      <c r="DR36" s="118"/>
      <c r="DS36" s="118"/>
      <c r="DT36" s="118"/>
      <c r="DU36" s="118"/>
      <c r="DV36" s="118"/>
      <c r="DW36" s="118"/>
      <c r="DX36" s="119">
        <f t="shared" si="0"/>
        <v>1</v>
      </c>
      <c r="DY36" s="128" t="s">
        <v>342</v>
      </c>
      <c r="DZ36" s="129" t="s">
        <v>358</v>
      </c>
      <c r="EA36" s="118"/>
      <c r="EB36" s="118"/>
      <c r="EC36" s="135" t="e">
        <f t="shared" si="1"/>
        <v>#DIV/0!</v>
      </c>
      <c r="EE36" s="139">
        <v>34</v>
      </c>
      <c r="EF36" s="142" t="s">
        <v>298</v>
      </c>
    </row>
    <row r="37" spans="1:136" ht="15.75" customHeight="1" thickBot="1" x14ac:dyDescent="0.35">
      <c r="A37" s="110">
        <v>35</v>
      </c>
      <c r="B37" s="106">
        <v>71</v>
      </c>
      <c r="C37" s="99" t="s">
        <v>102</v>
      </c>
      <c r="D37" s="82" t="s">
        <v>103</v>
      </c>
      <c r="E37" s="92" t="s">
        <v>104</v>
      </c>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c r="CZ37" s="118"/>
      <c r="DA37" s="118"/>
      <c r="DB37" s="118"/>
      <c r="DC37" s="118"/>
      <c r="DD37" s="118"/>
      <c r="DE37" s="118"/>
      <c r="DF37" s="118"/>
      <c r="DG37" s="118"/>
      <c r="DH37" s="118"/>
      <c r="DI37" s="118"/>
      <c r="DJ37" s="118"/>
      <c r="DK37" s="118"/>
      <c r="DL37" s="118"/>
      <c r="DM37" s="118"/>
      <c r="DN37" s="118"/>
      <c r="DO37" s="118"/>
      <c r="DP37" s="118"/>
      <c r="DQ37" s="118"/>
      <c r="DR37" s="118"/>
      <c r="DS37" s="118"/>
      <c r="DT37" s="118"/>
      <c r="DU37" s="118"/>
      <c r="DV37" s="118"/>
      <c r="DW37" s="118"/>
      <c r="DX37" s="119">
        <f t="shared" si="0"/>
        <v>0</v>
      </c>
      <c r="DY37" s="128" t="s">
        <v>378</v>
      </c>
      <c r="DZ37" s="131" t="s">
        <v>344</v>
      </c>
      <c r="EA37" s="146"/>
      <c r="EB37" s="146"/>
      <c r="EC37" s="135"/>
      <c r="EE37" s="141">
        <v>35</v>
      </c>
      <c r="EF37" s="142" t="s">
        <v>105</v>
      </c>
    </row>
    <row r="38" spans="1:136" ht="15.75" customHeight="1" thickBot="1" x14ac:dyDescent="0.35">
      <c r="A38" s="110">
        <v>36</v>
      </c>
      <c r="B38" s="106">
        <v>74</v>
      </c>
      <c r="C38" s="99" t="s">
        <v>106</v>
      </c>
      <c r="D38" s="83" t="s">
        <v>107</v>
      </c>
      <c r="E38" s="92" t="s">
        <v>108</v>
      </c>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c r="CZ38" s="118"/>
      <c r="DA38" s="118"/>
      <c r="DB38" s="118"/>
      <c r="DC38" s="118"/>
      <c r="DD38" s="118"/>
      <c r="DE38" s="118"/>
      <c r="DF38" s="118"/>
      <c r="DG38" s="118"/>
      <c r="DH38" s="118"/>
      <c r="DI38" s="118"/>
      <c r="DJ38" s="118"/>
      <c r="DK38" s="118"/>
      <c r="DL38" s="118"/>
      <c r="DM38" s="118"/>
      <c r="DN38" s="118"/>
      <c r="DO38" s="118"/>
      <c r="DP38" s="118"/>
      <c r="DQ38" s="118"/>
      <c r="DR38" s="118"/>
      <c r="DS38" s="118"/>
      <c r="DT38" s="118"/>
      <c r="DU38" s="118"/>
      <c r="DV38" s="118"/>
      <c r="DW38" s="118"/>
      <c r="DX38" s="119">
        <f t="shared" si="0"/>
        <v>0</v>
      </c>
      <c r="DY38" s="128" t="s">
        <v>378</v>
      </c>
      <c r="DZ38" s="131" t="s">
        <v>344</v>
      </c>
      <c r="EA38" s="146"/>
      <c r="EB38" s="146"/>
      <c r="EC38" s="135"/>
      <c r="EE38" s="139">
        <v>36</v>
      </c>
      <c r="EF38" s="142" t="s">
        <v>109</v>
      </c>
    </row>
    <row r="39" spans="1:136" ht="15.75" customHeight="1" thickBot="1" x14ac:dyDescent="0.35">
      <c r="A39" s="110">
        <v>37</v>
      </c>
      <c r="B39" s="106">
        <v>75</v>
      </c>
      <c r="C39" s="99" t="s">
        <v>110</v>
      </c>
      <c r="D39" s="83" t="s">
        <v>111</v>
      </c>
      <c r="E39" s="92" t="s">
        <v>112</v>
      </c>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c r="DU39" s="118"/>
      <c r="DV39" s="118"/>
      <c r="DW39" s="118"/>
      <c r="DX39" s="119">
        <f t="shared" si="0"/>
        <v>0</v>
      </c>
      <c r="DY39" s="128" t="s">
        <v>378</v>
      </c>
      <c r="DZ39" s="131" t="s">
        <v>344</v>
      </c>
      <c r="EA39" s="146"/>
      <c r="EB39" s="146"/>
      <c r="EC39" s="135"/>
      <c r="EE39" s="141">
        <v>37</v>
      </c>
      <c r="EF39" s="142" t="s">
        <v>109</v>
      </c>
    </row>
    <row r="40" spans="1:136" ht="15.75" customHeight="1" thickBot="1" x14ac:dyDescent="0.35">
      <c r="A40" s="109">
        <v>38</v>
      </c>
      <c r="B40" s="107"/>
      <c r="C40" s="99" t="s">
        <v>113</v>
      </c>
      <c r="D40" s="83" t="s">
        <v>114</v>
      </c>
      <c r="E40" s="92" t="s">
        <v>115</v>
      </c>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9"/>
      <c r="BB40" s="119"/>
      <c r="BC40" s="119"/>
      <c r="BD40" s="119"/>
      <c r="BE40" s="119"/>
      <c r="BF40" s="119">
        <v>1</v>
      </c>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c r="CZ40" s="118"/>
      <c r="DA40" s="118"/>
      <c r="DB40" s="118"/>
      <c r="DC40" s="118"/>
      <c r="DD40" s="118"/>
      <c r="DE40" s="118"/>
      <c r="DF40" s="118"/>
      <c r="DG40" s="118"/>
      <c r="DH40" s="118"/>
      <c r="DI40" s="118"/>
      <c r="DJ40" s="118"/>
      <c r="DK40" s="118"/>
      <c r="DL40" s="118"/>
      <c r="DM40" s="118"/>
      <c r="DN40" s="118"/>
      <c r="DO40" s="118"/>
      <c r="DP40" s="118"/>
      <c r="DQ40" s="118"/>
      <c r="DR40" s="118"/>
      <c r="DS40" s="118"/>
      <c r="DT40" s="118"/>
      <c r="DU40" s="118"/>
      <c r="DV40" s="118"/>
      <c r="DW40" s="118"/>
      <c r="DX40" s="119">
        <f t="shared" si="0"/>
        <v>1</v>
      </c>
      <c r="DY40" s="128" t="s">
        <v>342</v>
      </c>
      <c r="DZ40" s="129" t="s">
        <v>359</v>
      </c>
      <c r="EA40" s="118"/>
      <c r="EB40" s="118"/>
      <c r="EC40" s="135" t="e">
        <f t="shared" si="1"/>
        <v>#DIV/0!</v>
      </c>
      <c r="EE40" s="139">
        <v>38</v>
      </c>
      <c r="EF40" s="142" t="s">
        <v>298</v>
      </c>
    </row>
    <row r="41" spans="1:136" ht="15.75" customHeight="1" thickBot="1" x14ac:dyDescent="0.35">
      <c r="A41" s="109">
        <v>39</v>
      </c>
      <c r="B41" s="106">
        <v>77</v>
      </c>
      <c r="C41" s="99" t="s">
        <v>117</v>
      </c>
      <c r="D41" s="83" t="s">
        <v>118</v>
      </c>
      <c r="E41" s="92" t="s">
        <v>115</v>
      </c>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9"/>
      <c r="BB41" s="119"/>
      <c r="BC41" s="119"/>
      <c r="BD41" s="119"/>
      <c r="BE41" s="119"/>
      <c r="BF41" s="119">
        <v>1</v>
      </c>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c r="CZ41" s="118"/>
      <c r="DA41" s="118"/>
      <c r="DB41" s="118"/>
      <c r="DC41" s="118"/>
      <c r="DD41" s="118"/>
      <c r="DE41" s="118"/>
      <c r="DF41" s="118"/>
      <c r="DG41" s="118"/>
      <c r="DH41" s="118"/>
      <c r="DI41" s="118"/>
      <c r="DJ41" s="118"/>
      <c r="DK41" s="118"/>
      <c r="DL41" s="118"/>
      <c r="DM41" s="118"/>
      <c r="DN41" s="118"/>
      <c r="DO41" s="118"/>
      <c r="DP41" s="118"/>
      <c r="DQ41" s="118"/>
      <c r="DR41" s="118"/>
      <c r="DS41" s="118"/>
      <c r="DT41" s="118"/>
      <c r="DU41" s="118"/>
      <c r="DV41" s="118"/>
      <c r="DW41" s="118"/>
      <c r="DX41" s="119">
        <f t="shared" si="0"/>
        <v>1</v>
      </c>
      <c r="DY41" s="128" t="s">
        <v>342</v>
      </c>
      <c r="DZ41" s="129" t="s">
        <v>359</v>
      </c>
      <c r="EA41" s="118"/>
      <c r="EB41" s="118"/>
      <c r="EC41" s="135" t="e">
        <f t="shared" si="1"/>
        <v>#DIV/0!</v>
      </c>
      <c r="EE41" s="141">
        <v>39</v>
      </c>
      <c r="EF41" s="142" t="s">
        <v>298</v>
      </c>
    </row>
    <row r="42" spans="1:136" ht="15.75" customHeight="1" thickBot="1" x14ac:dyDescent="0.35">
      <c r="A42" s="109">
        <v>40</v>
      </c>
      <c r="B42" s="106">
        <v>86</v>
      </c>
      <c r="C42" s="99" t="s">
        <v>119</v>
      </c>
      <c r="D42" s="83" t="s">
        <v>120</v>
      </c>
      <c r="E42" s="92" t="s">
        <v>115</v>
      </c>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9"/>
      <c r="BB42" s="119"/>
      <c r="BC42" s="119"/>
      <c r="BD42" s="119"/>
      <c r="BE42" s="119"/>
      <c r="BF42" s="119">
        <v>1</v>
      </c>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c r="CZ42" s="118"/>
      <c r="DA42" s="118"/>
      <c r="DB42" s="118"/>
      <c r="DC42" s="118"/>
      <c r="DD42" s="118"/>
      <c r="DE42" s="118"/>
      <c r="DF42" s="118"/>
      <c r="DG42" s="118"/>
      <c r="DH42" s="118"/>
      <c r="DI42" s="118"/>
      <c r="DJ42" s="118"/>
      <c r="DK42" s="118"/>
      <c r="DL42" s="118"/>
      <c r="DM42" s="118"/>
      <c r="DN42" s="118"/>
      <c r="DO42" s="118"/>
      <c r="DP42" s="118"/>
      <c r="DQ42" s="118"/>
      <c r="DR42" s="118"/>
      <c r="DS42" s="118"/>
      <c r="DT42" s="118"/>
      <c r="DU42" s="118"/>
      <c r="DV42" s="118"/>
      <c r="DW42" s="118"/>
      <c r="DX42" s="119">
        <f t="shared" si="0"/>
        <v>1</v>
      </c>
      <c r="DY42" s="128" t="s">
        <v>342</v>
      </c>
      <c r="DZ42" s="129" t="s">
        <v>359</v>
      </c>
      <c r="EA42" s="118"/>
      <c r="EB42" s="118"/>
      <c r="EC42" s="135" t="e">
        <f t="shared" si="1"/>
        <v>#DIV/0!</v>
      </c>
      <c r="EE42" s="139">
        <v>40</v>
      </c>
      <c r="EF42" s="142" t="s">
        <v>298</v>
      </c>
    </row>
    <row r="43" spans="1:136" ht="15.75" customHeight="1" x14ac:dyDescent="0.3">
      <c r="A43" s="110">
        <v>41</v>
      </c>
      <c r="B43" s="106">
        <v>92</v>
      </c>
      <c r="C43" s="99" t="s">
        <v>121</v>
      </c>
      <c r="D43" s="78" t="s">
        <v>122</v>
      </c>
      <c r="E43" s="92" t="s">
        <v>123</v>
      </c>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v>1</v>
      </c>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c r="CZ43" s="118"/>
      <c r="DA43" s="118"/>
      <c r="DB43" s="118"/>
      <c r="DC43" s="118"/>
      <c r="DD43" s="118"/>
      <c r="DE43" s="118"/>
      <c r="DF43" s="118"/>
      <c r="DG43" s="118"/>
      <c r="DH43" s="118"/>
      <c r="DI43" s="118"/>
      <c r="DJ43" s="118"/>
      <c r="DK43" s="118"/>
      <c r="DL43" s="118"/>
      <c r="DM43" s="118"/>
      <c r="DN43" s="118"/>
      <c r="DO43" s="118"/>
      <c r="DP43" s="118"/>
      <c r="DQ43" s="118"/>
      <c r="DR43" s="118"/>
      <c r="DS43" s="118"/>
      <c r="DT43" s="118"/>
      <c r="DU43" s="118"/>
      <c r="DV43" s="118"/>
      <c r="DW43" s="118"/>
      <c r="DX43" s="119">
        <f t="shared" si="0"/>
        <v>1</v>
      </c>
      <c r="DY43" s="128" t="s">
        <v>342</v>
      </c>
      <c r="DZ43" s="129"/>
      <c r="EA43" s="118"/>
      <c r="EB43" s="118"/>
      <c r="EC43" s="135" t="e">
        <f t="shared" si="1"/>
        <v>#DIV/0!</v>
      </c>
      <c r="EE43" s="141">
        <v>41</v>
      </c>
      <c r="EF43" s="142" t="s">
        <v>298</v>
      </c>
    </row>
    <row r="44" spans="1:136" ht="15.75" customHeight="1" x14ac:dyDescent="0.3">
      <c r="A44" s="110">
        <v>42</v>
      </c>
      <c r="B44" s="106">
        <v>93</v>
      </c>
      <c r="C44" s="99" t="s">
        <v>124</v>
      </c>
      <c r="D44" s="78" t="s">
        <v>125</v>
      </c>
      <c r="E44" s="92" t="s">
        <v>126</v>
      </c>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v>1</v>
      </c>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c r="CZ44" s="118"/>
      <c r="DA44" s="118"/>
      <c r="DB44" s="118"/>
      <c r="DC44" s="118"/>
      <c r="DD44" s="118"/>
      <c r="DE44" s="118"/>
      <c r="DF44" s="118"/>
      <c r="DG44" s="118"/>
      <c r="DH44" s="118"/>
      <c r="DI44" s="118"/>
      <c r="DJ44" s="118"/>
      <c r="DK44" s="118"/>
      <c r="DL44" s="118"/>
      <c r="DM44" s="118"/>
      <c r="DN44" s="118"/>
      <c r="DO44" s="118"/>
      <c r="DP44" s="118"/>
      <c r="DQ44" s="118"/>
      <c r="DR44" s="118"/>
      <c r="DS44" s="118"/>
      <c r="DT44" s="118"/>
      <c r="DU44" s="118"/>
      <c r="DV44" s="118"/>
      <c r="DW44" s="118"/>
      <c r="DX44" s="119">
        <f t="shared" si="0"/>
        <v>1</v>
      </c>
      <c r="DY44" s="128" t="s">
        <v>342</v>
      </c>
      <c r="DZ44" s="129"/>
      <c r="EA44" s="118"/>
      <c r="EB44" s="118"/>
      <c r="EC44" s="135" t="e">
        <f t="shared" si="1"/>
        <v>#DIV/0!</v>
      </c>
      <c r="EE44" s="139">
        <v>42</v>
      </c>
      <c r="EF44" s="142" t="s">
        <v>298</v>
      </c>
    </row>
    <row r="45" spans="1:136" ht="15.75" customHeight="1" x14ac:dyDescent="0.3">
      <c r="A45" s="110">
        <v>43</v>
      </c>
      <c r="B45" s="106">
        <v>95</v>
      </c>
      <c r="C45" s="101" t="s">
        <v>127</v>
      </c>
      <c r="D45" s="84" t="s">
        <v>128</v>
      </c>
      <c r="E45" s="92" t="s">
        <v>129</v>
      </c>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c r="CZ45" s="118"/>
      <c r="DA45" s="118"/>
      <c r="DB45" s="118"/>
      <c r="DC45" s="118"/>
      <c r="DD45" s="118"/>
      <c r="DE45" s="118"/>
      <c r="DF45" s="118"/>
      <c r="DG45" s="118"/>
      <c r="DH45" s="118"/>
      <c r="DI45" s="118"/>
      <c r="DJ45" s="118"/>
      <c r="DK45" s="118"/>
      <c r="DL45" s="118"/>
      <c r="DM45" s="118"/>
      <c r="DN45" s="118"/>
      <c r="DO45" s="118"/>
      <c r="DP45" s="118"/>
      <c r="DQ45" s="118"/>
      <c r="DR45" s="118"/>
      <c r="DS45" s="118"/>
      <c r="DT45" s="118"/>
      <c r="DU45" s="118"/>
      <c r="DV45" s="118"/>
      <c r="DW45" s="118"/>
      <c r="DX45" s="119">
        <f t="shared" si="0"/>
        <v>0</v>
      </c>
      <c r="DY45" s="128" t="s">
        <v>345</v>
      </c>
      <c r="DZ45" s="131" t="s">
        <v>344</v>
      </c>
      <c r="EA45" s="146"/>
      <c r="EB45" s="146"/>
      <c r="EC45" s="135" t="e">
        <f t="shared" si="1"/>
        <v>#DIV/0!</v>
      </c>
      <c r="EE45" s="141">
        <v>43</v>
      </c>
      <c r="EF45" s="142" t="s">
        <v>105</v>
      </c>
    </row>
    <row r="46" spans="1:136" ht="15.75" customHeight="1" x14ac:dyDescent="0.3">
      <c r="A46" s="109">
        <v>44</v>
      </c>
      <c r="B46" s="106">
        <v>99</v>
      </c>
      <c r="C46" s="99" t="s">
        <v>130</v>
      </c>
      <c r="D46" s="84" t="s">
        <v>131</v>
      </c>
      <c r="E46" s="92" t="s">
        <v>132</v>
      </c>
      <c r="F46" s="118"/>
      <c r="G46" s="118"/>
      <c r="H46" s="118"/>
      <c r="I46" s="118"/>
      <c r="J46" s="118"/>
      <c r="K46" s="118"/>
      <c r="L46" s="118"/>
      <c r="M46" s="118"/>
      <c r="N46" s="118"/>
      <c r="O46" s="118"/>
      <c r="P46" s="118"/>
      <c r="Q46" s="118"/>
      <c r="R46" s="118"/>
      <c r="S46" s="118"/>
      <c r="T46" s="118"/>
      <c r="U46" s="118"/>
      <c r="V46" s="118"/>
      <c r="W46" s="118"/>
      <c r="X46" s="118"/>
      <c r="Y46" s="118"/>
      <c r="Z46" s="118"/>
      <c r="AA46" s="118">
        <v>1</v>
      </c>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c r="CZ46" s="118"/>
      <c r="DA46" s="118"/>
      <c r="DB46" s="118"/>
      <c r="DC46" s="118"/>
      <c r="DD46" s="118"/>
      <c r="DE46" s="118"/>
      <c r="DF46" s="118"/>
      <c r="DG46" s="118"/>
      <c r="DH46" s="118"/>
      <c r="DI46" s="118"/>
      <c r="DJ46" s="118"/>
      <c r="DK46" s="118"/>
      <c r="DL46" s="118"/>
      <c r="DM46" s="118"/>
      <c r="DN46" s="118"/>
      <c r="DO46" s="118"/>
      <c r="DP46" s="118"/>
      <c r="DQ46" s="118"/>
      <c r="DR46" s="118"/>
      <c r="DS46" s="118"/>
      <c r="DT46" s="118"/>
      <c r="DU46" s="118"/>
      <c r="DV46" s="118"/>
      <c r="DW46" s="118"/>
      <c r="DX46" s="119">
        <f t="shared" si="0"/>
        <v>1</v>
      </c>
      <c r="DY46" s="128" t="s">
        <v>342</v>
      </c>
      <c r="DZ46" s="129"/>
      <c r="EA46" s="118"/>
      <c r="EB46" s="118"/>
      <c r="EC46" s="135" t="e">
        <f t="shared" si="1"/>
        <v>#DIV/0!</v>
      </c>
      <c r="EE46" s="139">
        <v>44</v>
      </c>
      <c r="EF46" s="142" t="s">
        <v>298</v>
      </c>
    </row>
    <row r="47" spans="1:136" ht="15.75" customHeight="1" x14ac:dyDescent="0.3">
      <c r="A47" s="109">
        <v>45</v>
      </c>
      <c r="B47" s="106">
        <v>105</v>
      </c>
      <c r="C47" s="100" t="s">
        <v>133</v>
      </c>
      <c r="D47" s="78" t="s">
        <v>134</v>
      </c>
      <c r="E47" s="92" t="s">
        <v>135</v>
      </c>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9"/>
      <c r="AJ47" s="119"/>
      <c r="AK47" s="119">
        <v>1</v>
      </c>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c r="CZ47" s="118"/>
      <c r="DA47" s="118"/>
      <c r="DB47" s="118"/>
      <c r="DC47" s="118"/>
      <c r="DD47" s="118"/>
      <c r="DE47" s="118"/>
      <c r="DF47" s="118"/>
      <c r="DG47" s="118"/>
      <c r="DH47" s="118"/>
      <c r="DI47" s="118"/>
      <c r="DJ47" s="118"/>
      <c r="DK47" s="118"/>
      <c r="DL47" s="118"/>
      <c r="DM47" s="118"/>
      <c r="DN47" s="118"/>
      <c r="DO47" s="118"/>
      <c r="DP47" s="118"/>
      <c r="DQ47" s="118"/>
      <c r="DR47" s="118"/>
      <c r="DS47" s="118"/>
      <c r="DT47" s="118"/>
      <c r="DU47" s="118"/>
      <c r="DV47" s="118"/>
      <c r="DW47" s="118"/>
      <c r="DX47" s="119">
        <f t="shared" si="0"/>
        <v>1</v>
      </c>
      <c r="DY47" s="128" t="s">
        <v>342</v>
      </c>
      <c r="DZ47" s="129" t="s">
        <v>360</v>
      </c>
      <c r="EA47" s="118"/>
      <c r="EB47" s="118"/>
      <c r="EC47" s="135" t="e">
        <f t="shared" si="1"/>
        <v>#DIV/0!</v>
      </c>
      <c r="EE47" s="141">
        <v>45</v>
      </c>
      <c r="EF47" s="142" t="s">
        <v>298</v>
      </c>
    </row>
    <row r="48" spans="1:136" ht="15.75" customHeight="1" x14ac:dyDescent="0.3">
      <c r="A48" s="109">
        <v>46</v>
      </c>
      <c r="B48" s="106" t="s">
        <v>324</v>
      </c>
      <c r="C48" s="102" t="s">
        <v>136</v>
      </c>
      <c r="D48" s="85" t="s">
        <v>137</v>
      </c>
      <c r="E48" s="92" t="s">
        <v>138</v>
      </c>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v>1</v>
      </c>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c r="CZ48" s="118"/>
      <c r="DA48" s="118"/>
      <c r="DB48" s="118"/>
      <c r="DC48" s="118"/>
      <c r="DD48" s="118"/>
      <c r="DE48" s="118"/>
      <c r="DF48" s="118"/>
      <c r="DG48" s="118"/>
      <c r="DH48" s="118"/>
      <c r="DI48" s="118"/>
      <c r="DJ48" s="118"/>
      <c r="DK48" s="118"/>
      <c r="DL48" s="118"/>
      <c r="DM48" s="118"/>
      <c r="DN48" s="118"/>
      <c r="DO48" s="118"/>
      <c r="DP48" s="118"/>
      <c r="DQ48" s="118"/>
      <c r="DR48" s="118"/>
      <c r="DS48" s="118"/>
      <c r="DT48" s="118"/>
      <c r="DU48" s="118"/>
      <c r="DV48" s="118"/>
      <c r="DW48" s="118"/>
      <c r="DX48" s="119">
        <f t="shared" si="0"/>
        <v>1</v>
      </c>
      <c r="DY48" s="128" t="s">
        <v>342</v>
      </c>
      <c r="DZ48" s="129"/>
      <c r="EA48" s="118"/>
      <c r="EB48" s="118"/>
      <c r="EC48" s="135" t="e">
        <f t="shared" si="1"/>
        <v>#DIV/0!</v>
      </c>
      <c r="EE48" s="139">
        <v>46</v>
      </c>
      <c r="EF48" s="142" t="s">
        <v>298</v>
      </c>
    </row>
    <row r="49" spans="1:136" ht="15.75" customHeight="1" x14ac:dyDescent="0.3">
      <c r="A49" s="110">
        <v>47</v>
      </c>
      <c r="B49" s="106">
        <v>109</v>
      </c>
      <c r="C49" s="99" t="s">
        <v>139</v>
      </c>
      <c r="D49" s="86" t="s">
        <v>140</v>
      </c>
      <c r="E49" s="94"/>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c r="CZ49" s="118"/>
      <c r="DA49" s="118"/>
      <c r="DB49" s="118"/>
      <c r="DC49" s="118"/>
      <c r="DD49" s="118"/>
      <c r="DE49" s="118"/>
      <c r="DF49" s="118"/>
      <c r="DG49" s="118"/>
      <c r="DH49" s="118"/>
      <c r="DI49" s="118"/>
      <c r="DJ49" s="118"/>
      <c r="DK49" s="118"/>
      <c r="DL49" s="118"/>
      <c r="DM49" s="118"/>
      <c r="DN49" s="118"/>
      <c r="DO49" s="118"/>
      <c r="DP49" s="118"/>
      <c r="DQ49" s="118"/>
      <c r="DR49" s="118"/>
      <c r="DS49" s="118"/>
      <c r="DT49" s="118"/>
      <c r="DU49" s="118"/>
      <c r="DV49" s="118"/>
      <c r="DW49" s="118"/>
      <c r="DX49" s="119">
        <f t="shared" si="0"/>
        <v>0</v>
      </c>
      <c r="DY49" s="128" t="s">
        <v>342</v>
      </c>
      <c r="DZ49" s="131" t="s">
        <v>361</v>
      </c>
      <c r="EA49" s="146"/>
      <c r="EB49" s="146"/>
      <c r="EC49" s="135" t="e">
        <f t="shared" si="1"/>
        <v>#DIV/0!</v>
      </c>
      <c r="EE49" s="139">
        <v>48</v>
      </c>
      <c r="EF49" s="142" t="s">
        <v>105</v>
      </c>
    </row>
    <row r="50" spans="1:136" ht="15.75" customHeight="1" x14ac:dyDescent="0.3">
      <c r="A50" s="110">
        <v>48</v>
      </c>
      <c r="B50" s="106">
        <v>115</v>
      </c>
      <c r="C50" s="99" t="s">
        <v>141</v>
      </c>
      <c r="D50" s="78" t="s">
        <v>142</v>
      </c>
      <c r="E50" s="92" t="s">
        <v>143</v>
      </c>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9"/>
      <c r="AR50" s="119">
        <v>1</v>
      </c>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c r="DU50" s="118"/>
      <c r="DV50" s="118"/>
      <c r="DW50" s="118"/>
      <c r="DX50" s="119">
        <f t="shared" si="0"/>
        <v>1</v>
      </c>
      <c r="DY50" s="128" t="s">
        <v>342</v>
      </c>
      <c r="DZ50" s="129" t="s">
        <v>362</v>
      </c>
      <c r="EA50" s="118">
        <v>1</v>
      </c>
      <c r="EB50" s="118">
        <v>0</v>
      </c>
      <c r="EC50" s="135">
        <f t="shared" si="1"/>
        <v>0</v>
      </c>
      <c r="EE50" s="141">
        <v>49</v>
      </c>
      <c r="EF50" s="142" t="s">
        <v>298</v>
      </c>
    </row>
    <row r="51" spans="1:136" ht="15.75" customHeight="1" x14ac:dyDescent="0.3">
      <c r="A51" s="109">
        <v>49</v>
      </c>
      <c r="B51" s="106">
        <v>116</v>
      </c>
      <c r="C51" s="99" t="s">
        <v>144</v>
      </c>
      <c r="D51" s="78" t="s">
        <v>145</v>
      </c>
      <c r="E51" s="92" t="s">
        <v>143</v>
      </c>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c r="CZ51" s="118"/>
      <c r="DA51" s="118"/>
      <c r="DB51" s="118"/>
      <c r="DC51" s="118"/>
      <c r="DD51" s="118"/>
      <c r="DE51" s="118"/>
      <c r="DF51" s="118"/>
      <c r="DG51" s="118"/>
      <c r="DH51" s="118"/>
      <c r="DI51" s="118"/>
      <c r="DJ51" s="118"/>
      <c r="DK51" s="118"/>
      <c r="DL51" s="118"/>
      <c r="DM51" s="118"/>
      <c r="DN51" s="118"/>
      <c r="DO51" s="118"/>
      <c r="DP51" s="118"/>
      <c r="DQ51" s="118"/>
      <c r="DR51" s="118"/>
      <c r="DS51" s="118"/>
      <c r="DT51" s="118"/>
      <c r="DU51" s="118"/>
      <c r="DV51" s="118"/>
      <c r="DW51" s="118"/>
      <c r="DX51" s="119">
        <f t="shared" si="0"/>
        <v>0</v>
      </c>
      <c r="DY51" s="128"/>
      <c r="DZ51" s="129"/>
      <c r="EA51" s="118"/>
      <c r="EB51" s="118"/>
      <c r="EC51" s="135" t="e">
        <f t="shared" si="1"/>
        <v>#DIV/0!</v>
      </c>
      <c r="EE51" s="139">
        <v>50</v>
      </c>
      <c r="EF51" s="142" t="s">
        <v>298</v>
      </c>
    </row>
    <row r="52" spans="1:136" ht="15.75" customHeight="1" x14ac:dyDescent="0.3">
      <c r="A52" s="109">
        <v>50</v>
      </c>
      <c r="B52" s="106">
        <v>118</v>
      </c>
      <c r="C52" s="99" t="s">
        <v>146</v>
      </c>
      <c r="D52" s="78" t="s">
        <v>147</v>
      </c>
      <c r="E52" s="92" t="s">
        <v>143</v>
      </c>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c r="DU52" s="118"/>
      <c r="DV52" s="118"/>
      <c r="DW52" s="118"/>
      <c r="DX52" s="119">
        <f t="shared" si="0"/>
        <v>0</v>
      </c>
      <c r="DY52" s="128"/>
      <c r="DZ52" s="129"/>
      <c r="EA52" s="118"/>
      <c r="EB52" s="118"/>
      <c r="EC52" s="135" t="e">
        <f t="shared" si="1"/>
        <v>#DIV/0!</v>
      </c>
      <c r="EE52" s="141">
        <v>51</v>
      </c>
      <c r="EF52" s="142" t="s">
        <v>298</v>
      </c>
    </row>
    <row r="53" spans="1:136" ht="15.75" customHeight="1" thickBot="1" x14ac:dyDescent="0.35">
      <c r="A53" s="109">
        <v>51</v>
      </c>
      <c r="B53" s="106" t="s">
        <v>325</v>
      </c>
      <c r="C53" s="102" t="s">
        <v>148</v>
      </c>
      <c r="D53" s="85" t="s">
        <v>149</v>
      </c>
      <c r="E53" s="92" t="s">
        <v>150</v>
      </c>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c r="CZ53" s="118"/>
      <c r="DA53" s="118"/>
      <c r="DB53" s="118"/>
      <c r="DC53" s="118"/>
      <c r="DD53" s="118"/>
      <c r="DE53" s="118"/>
      <c r="DF53" s="118"/>
      <c r="DG53" s="118"/>
      <c r="DH53" s="118"/>
      <c r="DI53" s="118"/>
      <c r="DJ53" s="118"/>
      <c r="DK53" s="118"/>
      <c r="DL53" s="118"/>
      <c r="DM53" s="118"/>
      <c r="DN53" s="118"/>
      <c r="DO53" s="118"/>
      <c r="DP53" s="118"/>
      <c r="DQ53" s="118"/>
      <c r="DR53" s="118"/>
      <c r="DS53" s="118"/>
      <c r="DT53" s="118"/>
      <c r="DU53" s="118"/>
      <c r="DV53" s="118"/>
      <c r="DW53" s="118"/>
      <c r="DX53" s="119">
        <f t="shared" si="0"/>
        <v>0</v>
      </c>
      <c r="DY53" s="128"/>
      <c r="DZ53" s="129"/>
      <c r="EA53" s="118"/>
      <c r="EB53" s="118"/>
      <c r="EC53" s="135" t="e">
        <f t="shared" si="1"/>
        <v>#DIV/0!</v>
      </c>
      <c r="EE53" s="139">
        <v>52</v>
      </c>
      <c r="EF53" s="142" t="s">
        <v>298</v>
      </c>
    </row>
    <row r="54" spans="1:136" ht="15.75" customHeight="1" thickBot="1" x14ac:dyDescent="0.35">
      <c r="A54" s="110">
        <v>52</v>
      </c>
      <c r="B54" s="106">
        <v>128</v>
      </c>
      <c r="C54" s="99" t="s">
        <v>151</v>
      </c>
      <c r="D54" s="82" t="s">
        <v>152</v>
      </c>
      <c r="E54" s="92" t="s">
        <v>153</v>
      </c>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c r="CZ54" s="118"/>
      <c r="DA54" s="118"/>
      <c r="DB54" s="118"/>
      <c r="DC54" s="118"/>
      <c r="DD54" s="118"/>
      <c r="DE54" s="118"/>
      <c r="DF54" s="118"/>
      <c r="DG54" s="118"/>
      <c r="DH54" s="118"/>
      <c r="DI54" s="118"/>
      <c r="DJ54" s="118"/>
      <c r="DK54" s="118"/>
      <c r="DL54" s="118"/>
      <c r="DM54" s="118"/>
      <c r="DN54" s="118"/>
      <c r="DO54" s="118"/>
      <c r="DP54" s="118"/>
      <c r="DQ54" s="118"/>
      <c r="DR54" s="118"/>
      <c r="DS54" s="118"/>
      <c r="DT54" s="118"/>
      <c r="DU54" s="118"/>
      <c r="DV54" s="118"/>
      <c r="DW54" s="118"/>
      <c r="DX54" s="119">
        <f t="shared" si="0"/>
        <v>0</v>
      </c>
      <c r="DY54" s="128"/>
      <c r="DZ54" s="129"/>
      <c r="EA54" s="118"/>
      <c r="EB54" s="118"/>
      <c r="EC54" s="135" t="e">
        <f t="shared" si="1"/>
        <v>#DIV/0!</v>
      </c>
      <c r="EE54" s="139">
        <v>54</v>
      </c>
      <c r="EF54" s="140" t="s">
        <v>253</v>
      </c>
    </row>
    <row r="55" spans="1:136" ht="15.75" customHeight="1" thickBot="1" x14ac:dyDescent="0.35">
      <c r="A55" s="110">
        <v>53</v>
      </c>
      <c r="B55" s="106">
        <v>130</v>
      </c>
      <c r="C55" s="99" t="s">
        <v>154</v>
      </c>
      <c r="D55" s="82" t="s">
        <v>155</v>
      </c>
      <c r="E55" s="92" t="s">
        <v>156</v>
      </c>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c r="CZ55" s="118"/>
      <c r="DA55" s="118"/>
      <c r="DB55" s="118"/>
      <c r="DC55" s="118"/>
      <c r="DD55" s="118"/>
      <c r="DE55" s="118"/>
      <c r="DF55" s="118"/>
      <c r="DG55" s="118"/>
      <c r="DH55" s="118"/>
      <c r="DI55" s="118"/>
      <c r="DJ55" s="118"/>
      <c r="DK55" s="118"/>
      <c r="DL55" s="118"/>
      <c r="DM55" s="118"/>
      <c r="DN55" s="118"/>
      <c r="DO55" s="118"/>
      <c r="DP55" s="118"/>
      <c r="DQ55" s="118"/>
      <c r="DR55" s="118"/>
      <c r="DS55" s="118"/>
      <c r="DT55" s="118"/>
      <c r="DU55" s="118"/>
      <c r="DV55" s="118"/>
      <c r="DW55" s="118"/>
      <c r="DX55" s="119">
        <f t="shared" si="0"/>
        <v>0</v>
      </c>
      <c r="DY55" s="128"/>
      <c r="DZ55" s="129"/>
      <c r="EA55" s="118"/>
      <c r="EB55" s="118"/>
      <c r="EC55" s="135" t="e">
        <f t="shared" si="1"/>
        <v>#DIV/0!</v>
      </c>
      <c r="EE55" s="141">
        <v>55</v>
      </c>
      <c r="EF55" s="140" t="s">
        <v>253</v>
      </c>
    </row>
    <row r="56" spans="1:136" ht="15.75" customHeight="1" thickBot="1" x14ac:dyDescent="0.35">
      <c r="A56" s="109">
        <v>54</v>
      </c>
      <c r="B56" s="106">
        <v>134</v>
      </c>
      <c r="C56" s="100" t="s">
        <v>157</v>
      </c>
      <c r="D56" s="87" t="s">
        <v>158</v>
      </c>
      <c r="E56" s="92" t="s">
        <v>159</v>
      </c>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c r="CZ56" s="118"/>
      <c r="DA56" s="118"/>
      <c r="DB56" s="118"/>
      <c r="DC56" s="118"/>
      <c r="DD56" s="118"/>
      <c r="DE56" s="118"/>
      <c r="DF56" s="118"/>
      <c r="DG56" s="118"/>
      <c r="DH56" s="118"/>
      <c r="DI56" s="118"/>
      <c r="DJ56" s="118"/>
      <c r="DK56" s="118"/>
      <c r="DL56" s="118"/>
      <c r="DM56" s="118"/>
      <c r="DN56" s="118"/>
      <c r="DO56" s="118"/>
      <c r="DP56" s="118"/>
      <c r="DQ56" s="118"/>
      <c r="DR56" s="118"/>
      <c r="DS56" s="118"/>
      <c r="DT56" s="118"/>
      <c r="DU56" s="118"/>
      <c r="DV56" s="118"/>
      <c r="DW56" s="118"/>
      <c r="DX56" s="119">
        <f t="shared" si="0"/>
        <v>0</v>
      </c>
      <c r="DY56" s="128"/>
      <c r="DZ56" s="129"/>
      <c r="EA56" s="118"/>
      <c r="EB56" s="118"/>
      <c r="EC56" s="135" t="e">
        <f t="shared" si="1"/>
        <v>#DIV/0!</v>
      </c>
      <c r="EE56" s="139">
        <v>56</v>
      </c>
      <c r="EF56" s="140" t="s">
        <v>253</v>
      </c>
    </row>
    <row r="57" spans="1:136" ht="15.75" customHeight="1" thickBot="1" x14ac:dyDescent="0.35">
      <c r="A57" s="109">
        <v>55</v>
      </c>
      <c r="B57" s="106">
        <v>139</v>
      </c>
      <c r="C57" s="100" t="s">
        <v>160</v>
      </c>
      <c r="D57" s="87" t="s">
        <v>161</v>
      </c>
      <c r="E57" s="92" t="s">
        <v>162</v>
      </c>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c r="CZ57" s="118"/>
      <c r="DA57" s="118"/>
      <c r="DB57" s="118"/>
      <c r="DC57" s="118"/>
      <c r="DD57" s="118"/>
      <c r="DE57" s="118"/>
      <c r="DF57" s="118"/>
      <c r="DG57" s="118"/>
      <c r="DH57" s="118"/>
      <c r="DI57" s="118"/>
      <c r="DJ57" s="118"/>
      <c r="DK57" s="118"/>
      <c r="DL57" s="118"/>
      <c r="DM57" s="118"/>
      <c r="DN57" s="118"/>
      <c r="DO57" s="118"/>
      <c r="DP57" s="118"/>
      <c r="DQ57" s="118"/>
      <c r="DR57" s="118"/>
      <c r="DS57" s="118"/>
      <c r="DT57" s="118"/>
      <c r="DU57" s="118"/>
      <c r="DV57" s="118"/>
      <c r="DW57" s="118"/>
      <c r="DX57" s="119">
        <f t="shared" si="0"/>
        <v>0</v>
      </c>
      <c r="DY57" s="128"/>
      <c r="DZ57" s="129"/>
      <c r="EA57" s="118"/>
      <c r="EB57" s="118"/>
      <c r="EC57" s="135" t="e">
        <f t="shared" si="1"/>
        <v>#DIV/0!</v>
      </c>
      <c r="EE57" s="141">
        <v>57</v>
      </c>
      <c r="EF57" s="142" t="s">
        <v>298</v>
      </c>
    </row>
    <row r="58" spans="1:136" ht="15.75" customHeight="1" thickBot="1" x14ac:dyDescent="0.35">
      <c r="A58" s="109">
        <v>56</v>
      </c>
      <c r="B58" s="106">
        <v>140</v>
      </c>
      <c r="C58" s="100" t="s">
        <v>163</v>
      </c>
      <c r="D58" s="88" t="s">
        <v>164</v>
      </c>
      <c r="E58" s="92" t="s">
        <v>165</v>
      </c>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c r="CZ58" s="118"/>
      <c r="DA58" s="118"/>
      <c r="DB58" s="118"/>
      <c r="DC58" s="118"/>
      <c r="DD58" s="118"/>
      <c r="DE58" s="118"/>
      <c r="DF58" s="118"/>
      <c r="DG58" s="118"/>
      <c r="DH58" s="118"/>
      <c r="DI58" s="118"/>
      <c r="DJ58" s="118"/>
      <c r="DK58" s="118"/>
      <c r="DL58" s="118"/>
      <c r="DM58" s="118"/>
      <c r="DN58" s="118"/>
      <c r="DO58" s="118"/>
      <c r="DP58" s="118"/>
      <c r="DQ58" s="118"/>
      <c r="DR58" s="118"/>
      <c r="DS58" s="118"/>
      <c r="DT58" s="118"/>
      <c r="DU58" s="118"/>
      <c r="DV58" s="118"/>
      <c r="DW58" s="118"/>
      <c r="DX58" s="119">
        <f t="shared" si="0"/>
        <v>0</v>
      </c>
      <c r="DY58" s="128"/>
      <c r="DZ58" s="129"/>
      <c r="EA58" s="118"/>
      <c r="EB58" s="118"/>
      <c r="EC58" s="135" t="e">
        <f t="shared" si="1"/>
        <v>#DIV/0!</v>
      </c>
      <c r="EE58" s="139">
        <v>58</v>
      </c>
      <c r="EF58" s="142" t="s">
        <v>298</v>
      </c>
    </row>
    <row r="59" spans="1:136" ht="15.75" customHeight="1" thickBot="1" x14ac:dyDescent="0.35">
      <c r="A59" s="110">
        <v>57</v>
      </c>
      <c r="B59" s="106">
        <v>144</v>
      </c>
      <c r="C59" s="100" t="s">
        <v>166</v>
      </c>
      <c r="D59" s="83" t="s">
        <v>167</v>
      </c>
      <c r="E59" s="92" t="s">
        <v>168</v>
      </c>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c r="CZ59" s="118"/>
      <c r="DA59" s="118"/>
      <c r="DB59" s="118"/>
      <c r="DC59" s="118"/>
      <c r="DD59" s="118"/>
      <c r="DE59" s="118"/>
      <c r="DF59" s="118"/>
      <c r="DG59" s="118"/>
      <c r="DH59" s="118"/>
      <c r="DI59" s="118"/>
      <c r="DJ59" s="118"/>
      <c r="DK59" s="118"/>
      <c r="DL59" s="118"/>
      <c r="DM59" s="118"/>
      <c r="DN59" s="118"/>
      <c r="DO59" s="118"/>
      <c r="DP59" s="118"/>
      <c r="DQ59" s="118"/>
      <c r="DR59" s="118"/>
      <c r="DS59" s="118"/>
      <c r="DT59" s="118"/>
      <c r="DU59" s="118"/>
      <c r="DV59" s="118"/>
      <c r="DW59" s="118"/>
      <c r="DX59" s="119">
        <f t="shared" si="0"/>
        <v>0</v>
      </c>
      <c r="DY59" s="128"/>
      <c r="DZ59" s="129"/>
      <c r="EA59" s="118"/>
      <c r="EB59" s="118"/>
      <c r="EC59" s="135" t="e">
        <f t="shared" si="1"/>
        <v>#DIV/0!</v>
      </c>
      <c r="EE59" s="141">
        <v>59</v>
      </c>
      <c r="EF59" s="140" t="s">
        <v>253</v>
      </c>
    </row>
    <row r="60" spans="1:136" ht="15.75" customHeight="1" thickBot="1" x14ac:dyDescent="0.35">
      <c r="A60" s="110">
        <v>58</v>
      </c>
      <c r="B60" s="106">
        <v>152</v>
      </c>
      <c r="C60" s="100" t="s">
        <v>169</v>
      </c>
      <c r="D60" s="83" t="s">
        <v>170</v>
      </c>
      <c r="E60" s="92" t="s">
        <v>171</v>
      </c>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c r="CZ60" s="118"/>
      <c r="DA60" s="118"/>
      <c r="DB60" s="118"/>
      <c r="DC60" s="118"/>
      <c r="DD60" s="118"/>
      <c r="DE60" s="118"/>
      <c r="DF60" s="118"/>
      <c r="DG60" s="118"/>
      <c r="DH60" s="118"/>
      <c r="DI60" s="118"/>
      <c r="DJ60" s="118"/>
      <c r="DK60" s="118"/>
      <c r="DL60" s="118"/>
      <c r="DM60" s="118"/>
      <c r="DN60" s="118"/>
      <c r="DO60" s="118"/>
      <c r="DP60" s="118"/>
      <c r="DQ60" s="118"/>
      <c r="DR60" s="118"/>
      <c r="DS60" s="118"/>
      <c r="DT60" s="118"/>
      <c r="DU60" s="118"/>
      <c r="DV60" s="118"/>
      <c r="DW60" s="118"/>
      <c r="DX60" s="119">
        <f t="shared" si="0"/>
        <v>0</v>
      </c>
      <c r="DY60" s="128"/>
      <c r="DZ60" s="129"/>
      <c r="EA60" s="118"/>
      <c r="EB60" s="118"/>
      <c r="EC60" s="135" t="e">
        <f t="shared" si="1"/>
        <v>#DIV/0!</v>
      </c>
      <c r="EE60" s="139">
        <v>60</v>
      </c>
      <c r="EF60" s="140" t="s">
        <v>253</v>
      </c>
    </row>
    <row r="61" spans="1:136" ht="15.75" customHeight="1" thickBot="1" x14ac:dyDescent="0.35">
      <c r="A61" s="110">
        <v>59</v>
      </c>
      <c r="B61" s="106">
        <v>159</v>
      </c>
      <c r="C61" s="100" t="s">
        <v>172</v>
      </c>
      <c r="D61" s="83" t="s">
        <v>173</v>
      </c>
      <c r="E61" s="92" t="s">
        <v>174</v>
      </c>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c r="CZ61" s="118"/>
      <c r="DA61" s="118"/>
      <c r="DB61" s="118"/>
      <c r="DC61" s="118"/>
      <c r="DD61" s="118"/>
      <c r="DE61" s="118"/>
      <c r="DF61" s="118"/>
      <c r="DG61" s="118"/>
      <c r="DH61" s="118"/>
      <c r="DI61" s="118"/>
      <c r="DJ61" s="118"/>
      <c r="DK61" s="118"/>
      <c r="DL61" s="118"/>
      <c r="DM61" s="118"/>
      <c r="DN61" s="118"/>
      <c r="DO61" s="118"/>
      <c r="DP61" s="118"/>
      <c r="DQ61" s="118"/>
      <c r="DR61" s="118"/>
      <c r="DS61" s="118"/>
      <c r="DT61" s="118"/>
      <c r="DU61" s="118"/>
      <c r="DV61" s="118"/>
      <c r="DW61" s="118"/>
      <c r="DX61" s="119">
        <f t="shared" si="0"/>
        <v>0</v>
      </c>
      <c r="DY61" s="128"/>
      <c r="DZ61" s="129"/>
      <c r="EA61" s="118"/>
      <c r="EB61" s="118"/>
      <c r="EC61" s="135" t="e">
        <f t="shared" si="1"/>
        <v>#DIV/0!</v>
      </c>
      <c r="EE61" s="141">
        <v>61</v>
      </c>
      <c r="EF61" s="142" t="s">
        <v>298</v>
      </c>
    </row>
    <row r="62" spans="1:136" ht="15.75" customHeight="1" thickBot="1" x14ac:dyDescent="0.35">
      <c r="A62" s="110">
        <v>60</v>
      </c>
      <c r="B62" s="106">
        <v>160</v>
      </c>
      <c r="C62" s="99" t="s">
        <v>175</v>
      </c>
      <c r="D62" s="88" t="s">
        <v>338</v>
      </c>
      <c r="E62" s="92" t="s">
        <v>176</v>
      </c>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c r="CZ62" s="118"/>
      <c r="DA62" s="118"/>
      <c r="DB62" s="118"/>
      <c r="DC62" s="118"/>
      <c r="DD62" s="118"/>
      <c r="DE62" s="118"/>
      <c r="DF62" s="118"/>
      <c r="DG62" s="118"/>
      <c r="DH62" s="118"/>
      <c r="DI62" s="118"/>
      <c r="DJ62" s="118"/>
      <c r="DK62" s="118"/>
      <c r="DL62" s="118"/>
      <c r="DM62" s="118"/>
      <c r="DN62" s="118"/>
      <c r="DO62" s="118"/>
      <c r="DP62" s="118"/>
      <c r="DQ62" s="118"/>
      <c r="DR62" s="118"/>
      <c r="DS62" s="118"/>
      <c r="DT62" s="118"/>
      <c r="DU62" s="118"/>
      <c r="DV62" s="118"/>
      <c r="DW62" s="118"/>
      <c r="DX62" s="119">
        <f t="shared" si="0"/>
        <v>0</v>
      </c>
      <c r="DY62" s="128"/>
      <c r="DZ62" s="129"/>
      <c r="EA62" s="118"/>
      <c r="EB62" s="118"/>
      <c r="EC62" s="135" t="e">
        <f t="shared" si="1"/>
        <v>#DIV/0!</v>
      </c>
      <c r="EE62" s="139">
        <v>62</v>
      </c>
      <c r="EF62" s="142" t="s">
        <v>298</v>
      </c>
    </row>
    <row r="63" spans="1:136" ht="15.75" customHeight="1" thickBot="1" x14ac:dyDescent="0.35">
      <c r="A63" s="109">
        <v>61</v>
      </c>
      <c r="B63" s="106">
        <v>161</v>
      </c>
      <c r="C63" s="99" t="s">
        <v>177</v>
      </c>
      <c r="D63" s="88" t="s">
        <v>339</v>
      </c>
      <c r="E63" s="92" t="s">
        <v>176</v>
      </c>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c r="CZ63" s="118"/>
      <c r="DA63" s="118"/>
      <c r="DB63" s="118"/>
      <c r="DC63" s="118"/>
      <c r="DD63" s="118"/>
      <c r="DE63" s="118"/>
      <c r="DF63" s="118"/>
      <c r="DG63" s="118"/>
      <c r="DH63" s="118"/>
      <c r="DI63" s="118"/>
      <c r="DJ63" s="118"/>
      <c r="DK63" s="118"/>
      <c r="DL63" s="118"/>
      <c r="DM63" s="118"/>
      <c r="DN63" s="118"/>
      <c r="DO63" s="118"/>
      <c r="DP63" s="118"/>
      <c r="DQ63" s="118"/>
      <c r="DR63" s="118"/>
      <c r="DS63" s="118"/>
      <c r="DT63" s="118"/>
      <c r="DU63" s="118"/>
      <c r="DV63" s="118"/>
      <c r="DW63" s="118"/>
      <c r="DX63" s="119">
        <f t="shared" si="0"/>
        <v>0</v>
      </c>
      <c r="DY63" s="128"/>
      <c r="DZ63" s="129"/>
      <c r="EA63" s="118"/>
      <c r="EB63" s="118"/>
      <c r="EC63" s="135" t="e">
        <f t="shared" si="1"/>
        <v>#DIV/0!</v>
      </c>
      <c r="EE63" s="141">
        <v>63</v>
      </c>
      <c r="EF63" s="142" t="s">
        <v>298</v>
      </c>
    </row>
    <row r="64" spans="1:136" ht="15.75" customHeight="1" thickBot="1" x14ac:dyDescent="0.35">
      <c r="A64" s="109">
        <v>62</v>
      </c>
      <c r="B64" s="106">
        <v>162</v>
      </c>
      <c r="C64" s="100" t="s">
        <v>179</v>
      </c>
      <c r="D64" s="82" t="s">
        <v>180</v>
      </c>
      <c r="E64" s="92" t="s">
        <v>181</v>
      </c>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c r="CZ64" s="118"/>
      <c r="DA64" s="118"/>
      <c r="DB64" s="118"/>
      <c r="DC64" s="118"/>
      <c r="DD64" s="118"/>
      <c r="DE64" s="118"/>
      <c r="DF64" s="118"/>
      <c r="DG64" s="118"/>
      <c r="DH64" s="118"/>
      <c r="DI64" s="118"/>
      <c r="DJ64" s="118"/>
      <c r="DK64" s="118"/>
      <c r="DL64" s="118"/>
      <c r="DM64" s="118"/>
      <c r="DN64" s="118"/>
      <c r="DO64" s="118"/>
      <c r="DP64" s="118"/>
      <c r="DQ64" s="118"/>
      <c r="DR64" s="118"/>
      <c r="DS64" s="118"/>
      <c r="DT64" s="118"/>
      <c r="DU64" s="118"/>
      <c r="DV64" s="118"/>
      <c r="DW64" s="118"/>
      <c r="DX64" s="119">
        <f t="shared" si="0"/>
        <v>0</v>
      </c>
      <c r="DY64" s="128"/>
      <c r="DZ64" s="129"/>
      <c r="EA64" s="118"/>
      <c r="EB64" s="118"/>
      <c r="EC64" s="135" t="e">
        <f t="shared" si="1"/>
        <v>#DIV/0!</v>
      </c>
      <c r="EE64" s="139">
        <v>64</v>
      </c>
      <c r="EF64" s="142" t="s">
        <v>298</v>
      </c>
    </row>
    <row r="65" spans="1:136" ht="15.75" customHeight="1" thickBot="1" x14ac:dyDescent="0.35">
      <c r="A65" s="109">
        <v>63</v>
      </c>
      <c r="B65" s="106">
        <v>170</v>
      </c>
      <c r="C65" s="99" t="s">
        <v>183</v>
      </c>
      <c r="D65" s="83" t="s">
        <v>184</v>
      </c>
      <c r="E65" s="92" t="s">
        <v>176</v>
      </c>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c r="CZ65" s="118"/>
      <c r="DA65" s="118"/>
      <c r="DB65" s="118"/>
      <c r="DC65" s="118"/>
      <c r="DD65" s="118"/>
      <c r="DE65" s="118"/>
      <c r="DF65" s="118"/>
      <c r="DG65" s="118"/>
      <c r="DH65" s="118"/>
      <c r="DI65" s="118"/>
      <c r="DJ65" s="118"/>
      <c r="DK65" s="118"/>
      <c r="DL65" s="118"/>
      <c r="DM65" s="118"/>
      <c r="DN65" s="118"/>
      <c r="DO65" s="118"/>
      <c r="DP65" s="118"/>
      <c r="DQ65" s="118"/>
      <c r="DR65" s="118"/>
      <c r="DS65" s="118"/>
      <c r="DT65" s="118"/>
      <c r="DU65" s="118"/>
      <c r="DV65" s="118"/>
      <c r="DW65" s="118"/>
      <c r="DX65" s="119">
        <f t="shared" si="0"/>
        <v>0</v>
      </c>
      <c r="DY65" s="128"/>
      <c r="DZ65" s="129"/>
      <c r="EA65" s="118"/>
      <c r="EB65" s="118"/>
      <c r="EC65" s="135" t="e">
        <f t="shared" si="1"/>
        <v>#DIV/0!</v>
      </c>
      <c r="EE65" s="141">
        <v>65</v>
      </c>
      <c r="EF65" s="142" t="s">
        <v>298</v>
      </c>
    </row>
    <row r="66" spans="1:136" ht="15.75" customHeight="1" x14ac:dyDescent="0.3">
      <c r="A66" s="110">
        <v>64</v>
      </c>
      <c r="B66" s="106">
        <v>171</v>
      </c>
      <c r="C66" s="100" t="s">
        <v>186</v>
      </c>
      <c r="D66" s="81" t="s">
        <v>187</v>
      </c>
      <c r="E66" s="92" t="s">
        <v>188</v>
      </c>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c r="CZ66" s="118"/>
      <c r="DA66" s="118"/>
      <c r="DB66" s="118"/>
      <c r="DC66" s="118"/>
      <c r="DD66" s="118"/>
      <c r="DE66" s="118"/>
      <c r="DF66" s="118"/>
      <c r="DG66" s="118"/>
      <c r="DH66" s="118"/>
      <c r="DI66" s="118"/>
      <c r="DJ66" s="118"/>
      <c r="DK66" s="118"/>
      <c r="DL66" s="118"/>
      <c r="DM66" s="118"/>
      <c r="DN66" s="118"/>
      <c r="DO66" s="118"/>
      <c r="DP66" s="118"/>
      <c r="DQ66" s="118"/>
      <c r="DR66" s="118"/>
      <c r="DS66" s="118"/>
      <c r="DT66" s="118"/>
      <c r="DU66" s="118"/>
      <c r="DV66" s="118"/>
      <c r="DW66" s="118"/>
      <c r="DX66" s="119">
        <f t="shared" si="0"/>
        <v>0</v>
      </c>
      <c r="DY66" s="128"/>
      <c r="DZ66" s="129"/>
      <c r="EA66" s="118"/>
      <c r="EB66" s="118"/>
      <c r="EC66" s="135" t="e">
        <f t="shared" si="1"/>
        <v>#DIV/0!</v>
      </c>
      <c r="EE66" s="139">
        <v>66</v>
      </c>
      <c r="EF66" s="142" t="s">
        <v>298</v>
      </c>
    </row>
    <row r="67" spans="1:136" ht="15.75" customHeight="1" x14ac:dyDescent="0.3">
      <c r="A67" s="110">
        <v>65</v>
      </c>
      <c r="B67" s="106">
        <v>172</v>
      </c>
      <c r="C67" s="99" t="s">
        <v>189</v>
      </c>
      <c r="D67" s="78" t="s">
        <v>190</v>
      </c>
      <c r="E67" s="92" t="s">
        <v>191</v>
      </c>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c r="CZ67" s="118"/>
      <c r="DA67" s="118"/>
      <c r="DB67" s="118"/>
      <c r="DC67" s="118"/>
      <c r="DD67" s="118"/>
      <c r="DE67" s="118"/>
      <c r="DF67" s="118"/>
      <c r="DG67" s="118"/>
      <c r="DH67" s="118"/>
      <c r="DI67" s="118"/>
      <c r="DJ67" s="118"/>
      <c r="DK67" s="118"/>
      <c r="DL67" s="118"/>
      <c r="DM67" s="118"/>
      <c r="DN67" s="118"/>
      <c r="DO67" s="118"/>
      <c r="DP67" s="118"/>
      <c r="DQ67" s="118"/>
      <c r="DR67" s="118"/>
      <c r="DS67" s="118"/>
      <c r="DT67" s="118"/>
      <c r="DU67" s="118"/>
      <c r="DV67" s="118"/>
      <c r="DW67" s="118"/>
      <c r="DX67" s="119">
        <f t="shared" si="0"/>
        <v>0</v>
      </c>
      <c r="DY67" s="128"/>
      <c r="DZ67" s="129"/>
      <c r="EA67" s="118"/>
      <c r="EB67" s="118"/>
      <c r="EC67" s="135" t="e">
        <f t="shared" si="1"/>
        <v>#DIV/0!</v>
      </c>
      <c r="EE67" s="141">
        <v>67</v>
      </c>
      <c r="EF67" s="142" t="s">
        <v>298</v>
      </c>
    </row>
    <row r="68" spans="1:136" ht="15.75" customHeight="1" x14ac:dyDescent="0.3">
      <c r="A68" s="110">
        <v>66</v>
      </c>
      <c r="B68" s="106">
        <v>173</v>
      </c>
      <c r="C68" s="99" t="s">
        <v>192</v>
      </c>
      <c r="D68" s="78" t="s">
        <v>193</v>
      </c>
      <c r="E68" s="92" t="s">
        <v>194</v>
      </c>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c r="CZ68" s="118"/>
      <c r="DA68" s="118"/>
      <c r="DB68" s="118"/>
      <c r="DC68" s="118"/>
      <c r="DD68" s="118"/>
      <c r="DE68" s="118"/>
      <c r="DF68" s="118"/>
      <c r="DG68" s="118"/>
      <c r="DH68" s="118"/>
      <c r="DI68" s="118"/>
      <c r="DJ68" s="118"/>
      <c r="DK68" s="118"/>
      <c r="DL68" s="118"/>
      <c r="DM68" s="118"/>
      <c r="DN68" s="118"/>
      <c r="DO68" s="118"/>
      <c r="DP68" s="118"/>
      <c r="DQ68" s="118"/>
      <c r="DR68" s="118"/>
      <c r="DS68" s="118"/>
      <c r="DT68" s="118"/>
      <c r="DU68" s="118"/>
      <c r="DV68" s="118"/>
      <c r="DW68" s="118"/>
      <c r="DX68" s="119">
        <f t="shared" si="0"/>
        <v>0</v>
      </c>
      <c r="DY68" s="128"/>
      <c r="DZ68" s="129"/>
      <c r="EA68" s="118"/>
      <c r="EB68" s="118"/>
      <c r="EC68" s="135" t="e">
        <f t="shared" si="1"/>
        <v>#DIV/0!</v>
      </c>
      <c r="EE68" s="139">
        <v>68</v>
      </c>
      <c r="EF68" s="142" t="s">
        <v>298</v>
      </c>
    </row>
    <row r="69" spans="1:136" ht="15.75" customHeight="1" x14ac:dyDescent="0.3">
      <c r="A69" s="109">
        <v>67</v>
      </c>
      <c r="B69" s="106">
        <v>177</v>
      </c>
      <c r="C69" s="99" t="s">
        <v>195</v>
      </c>
      <c r="D69" s="78" t="s">
        <v>196</v>
      </c>
      <c r="E69" s="92" t="s">
        <v>197</v>
      </c>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c r="CZ69" s="118"/>
      <c r="DA69" s="118"/>
      <c r="DB69" s="118"/>
      <c r="DC69" s="118"/>
      <c r="DD69" s="118"/>
      <c r="DE69" s="118"/>
      <c r="DF69" s="118"/>
      <c r="DG69" s="118"/>
      <c r="DH69" s="118"/>
      <c r="DI69" s="118"/>
      <c r="DJ69" s="118"/>
      <c r="DK69" s="118"/>
      <c r="DL69" s="118"/>
      <c r="DM69" s="118"/>
      <c r="DN69" s="118"/>
      <c r="DO69" s="118"/>
      <c r="DP69" s="118"/>
      <c r="DQ69" s="118"/>
      <c r="DR69" s="118"/>
      <c r="DS69" s="118"/>
      <c r="DT69" s="118"/>
      <c r="DU69" s="118"/>
      <c r="DV69" s="118"/>
      <c r="DW69" s="118"/>
      <c r="DX69" s="119">
        <f t="shared" ref="DX69:DX98" si="2">SUM(F69:DW69)</f>
        <v>0</v>
      </c>
      <c r="DY69" s="128"/>
      <c r="DZ69" s="129"/>
      <c r="EA69" s="118"/>
      <c r="EB69" s="118"/>
      <c r="EC69" s="135" t="e">
        <f t="shared" ref="EC69:EC98" si="3">+EB69/EA69</f>
        <v>#DIV/0!</v>
      </c>
      <c r="EE69" s="141">
        <v>69</v>
      </c>
      <c r="EF69" s="142" t="s">
        <v>298</v>
      </c>
    </row>
    <row r="70" spans="1:136" ht="15.75" customHeight="1" x14ac:dyDescent="0.3">
      <c r="A70" s="157">
        <v>68</v>
      </c>
      <c r="B70" s="153">
        <v>178</v>
      </c>
      <c r="C70" s="154" t="s">
        <v>202</v>
      </c>
      <c r="D70" s="78" t="s">
        <v>203</v>
      </c>
      <c r="E70" s="92" t="s">
        <v>204</v>
      </c>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c r="CZ70" s="118"/>
      <c r="DA70" s="118"/>
      <c r="DB70" s="118"/>
      <c r="DC70" s="118"/>
      <c r="DD70" s="118"/>
      <c r="DE70" s="118"/>
      <c r="DF70" s="118"/>
      <c r="DG70" s="118"/>
      <c r="DH70" s="118"/>
      <c r="DI70" s="118"/>
      <c r="DJ70" s="118"/>
      <c r="DK70" s="118"/>
      <c r="DL70" s="118"/>
      <c r="DM70" s="118"/>
      <c r="DN70" s="118"/>
      <c r="DO70" s="118"/>
      <c r="DP70" s="118"/>
      <c r="DQ70" s="118"/>
      <c r="DR70" s="118"/>
      <c r="DS70" s="118"/>
      <c r="DT70" s="118"/>
      <c r="DU70" s="118"/>
      <c r="DV70" s="118"/>
      <c r="DW70" s="118"/>
      <c r="DX70" s="119">
        <f t="shared" si="2"/>
        <v>0</v>
      </c>
      <c r="DY70" s="128"/>
      <c r="DZ70" s="129"/>
      <c r="EA70" s="118"/>
      <c r="EB70" s="118"/>
      <c r="EC70" s="135" t="e">
        <f t="shared" si="3"/>
        <v>#DIV/0!</v>
      </c>
      <c r="EE70" s="160">
        <v>70</v>
      </c>
      <c r="EF70" s="142" t="s">
        <v>298</v>
      </c>
    </row>
    <row r="71" spans="1:136" ht="15.75" customHeight="1" x14ac:dyDescent="0.3">
      <c r="A71" s="158"/>
      <c r="B71" s="153"/>
      <c r="C71" s="155"/>
      <c r="D71" s="78" t="s">
        <v>206</v>
      </c>
      <c r="E71" s="92" t="s">
        <v>207</v>
      </c>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c r="CZ71" s="118"/>
      <c r="DA71" s="118"/>
      <c r="DB71" s="118"/>
      <c r="DC71" s="118"/>
      <c r="DD71" s="118"/>
      <c r="DE71" s="118"/>
      <c r="DF71" s="118"/>
      <c r="DG71" s="118"/>
      <c r="DH71" s="118"/>
      <c r="DI71" s="118"/>
      <c r="DJ71" s="118"/>
      <c r="DK71" s="118"/>
      <c r="DL71" s="118"/>
      <c r="DM71" s="118"/>
      <c r="DN71" s="118"/>
      <c r="DO71" s="118"/>
      <c r="DP71" s="118"/>
      <c r="DQ71" s="118"/>
      <c r="DR71" s="118"/>
      <c r="DS71" s="118"/>
      <c r="DT71" s="118"/>
      <c r="DU71" s="118"/>
      <c r="DV71" s="118"/>
      <c r="DW71" s="118"/>
      <c r="DX71" s="119">
        <f t="shared" si="2"/>
        <v>0</v>
      </c>
      <c r="DY71" s="128"/>
      <c r="DZ71" s="129"/>
      <c r="EA71" s="118"/>
      <c r="EB71" s="118"/>
      <c r="EC71" s="135" t="e">
        <f t="shared" si="3"/>
        <v>#DIV/0!</v>
      </c>
      <c r="EE71" s="160"/>
      <c r="EF71" s="140" t="s">
        <v>253</v>
      </c>
    </row>
    <row r="72" spans="1:136" ht="15.75" customHeight="1" x14ac:dyDescent="0.3">
      <c r="A72" s="158"/>
      <c r="B72" s="153"/>
      <c r="C72" s="155"/>
      <c r="D72" s="78" t="s">
        <v>208</v>
      </c>
      <c r="E72" s="92" t="s">
        <v>207</v>
      </c>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c r="CZ72" s="118"/>
      <c r="DA72" s="118"/>
      <c r="DB72" s="118"/>
      <c r="DC72" s="118"/>
      <c r="DD72" s="118"/>
      <c r="DE72" s="118"/>
      <c r="DF72" s="118"/>
      <c r="DG72" s="118"/>
      <c r="DH72" s="118"/>
      <c r="DI72" s="118"/>
      <c r="DJ72" s="118"/>
      <c r="DK72" s="118"/>
      <c r="DL72" s="118"/>
      <c r="DM72" s="118"/>
      <c r="DN72" s="118"/>
      <c r="DO72" s="118"/>
      <c r="DP72" s="118"/>
      <c r="DQ72" s="118"/>
      <c r="DR72" s="118"/>
      <c r="DS72" s="118"/>
      <c r="DT72" s="118"/>
      <c r="DU72" s="118"/>
      <c r="DV72" s="118"/>
      <c r="DW72" s="118"/>
      <c r="DX72" s="119">
        <f t="shared" si="2"/>
        <v>0</v>
      </c>
      <c r="DY72" s="128"/>
      <c r="DZ72" s="129"/>
      <c r="EA72" s="118"/>
      <c r="EB72" s="118"/>
      <c r="EC72" s="135" t="e">
        <f t="shared" si="3"/>
        <v>#DIV/0!</v>
      </c>
      <c r="EE72" s="160"/>
      <c r="EF72" s="142" t="s">
        <v>298</v>
      </c>
    </row>
    <row r="73" spans="1:136" ht="15.75" customHeight="1" x14ac:dyDescent="0.3">
      <c r="A73" s="159"/>
      <c r="B73" s="153"/>
      <c r="C73" s="156"/>
      <c r="D73" s="78" t="s">
        <v>209</v>
      </c>
      <c r="E73" s="92" t="s">
        <v>207</v>
      </c>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c r="CZ73" s="118"/>
      <c r="DA73" s="118"/>
      <c r="DB73" s="118"/>
      <c r="DC73" s="118"/>
      <c r="DD73" s="118"/>
      <c r="DE73" s="118"/>
      <c r="DF73" s="118"/>
      <c r="DG73" s="118"/>
      <c r="DH73" s="118"/>
      <c r="DI73" s="118"/>
      <c r="DJ73" s="118"/>
      <c r="DK73" s="118"/>
      <c r="DL73" s="118"/>
      <c r="DM73" s="118"/>
      <c r="DN73" s="118"/>
      <c r="DO73" s="118"/>
      <c r="DP73" s="118"/>
      <c r="DQ73" s="118"/>
      <c r="DR73" s="118"/>
      <c r="DS73" s="118"/>
      <c r="DT73" s="118"/>
      <c r="DU73" s="118"/>
      <c r="DV73" s="118"/>
      <c r="DW73" s="118"/>
      <c r="DX73" s="119">
        <f t="shared" si="2"/>
        <v>0</v>
      </c>
      <c r="DY73" s="128"/>
      <c r="DZ73" s="129"/>
      <c r="EA73" s="118"/>
      <c r="EB73" s="118"/>
      <c r="EC73" s="135" t="e">
        <f t="shared" si="3"/>
        <v>#DIV/0!</v>
      </c>
      <c r="EE73" s="160"/>
      <c r="EF73" s="142" t="s">
        <v>298</v>
      </c>
    </row>
    <row r="74" spans="1:136" ht="15.75" customHeight="1" x14ac:dyDescent="0.3">
      <c r="A74" s="109">
        <v>69</v>
      </c>
      <c r="B74" s="106">
        <v>179</v>
      </c>
      <c r="C74" s="99" t="s">
        <v>210</v>
      </c>
      <c r="D74" s="78" t="s">
        <v>211</v>
      </c>
      <c r="E74" s="92" t="s">
        <v>212</v>
      </c>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c r="CZ74" s="118"/>
      <c r="DA74" s="118"/>
      <c r="DB74" s="118"/>
      <c r="DC74" s="118"/>
      <c r="DD74" s="118"/>
      <c r="DE74" s="118"/>
      <c r="DF74" s="118"/>
      <c r="DG74" s="118"/>
      <c r="DH74" s="118"/>
      <c r="DI74" s="118"/>
      <c r="DJ74" s="118"/>
      <c r="DK74" s="118"/>
      <c r="DL74" s="118"/>
      <c r="DM74" s="118"/>
      <c r="DN74" s="118"/>
      <c r="DO74" s="118"/>
      <c r="DP74" s="118"/>
      <c r="DQ74" s="118"/>
      <c r="DR74" s="118"/>
      <c r="DS74" s="118"/>
      <c r="DT74" s="118"/>
      <c r="DU74" s="118"/>
      <c r="DV74" s="118"/>
      <c r="DW74" s="118"/>
      <c r="DX74" s="119">
        <f t="shared" si="2"/>
        <v>0</v>
      </c>
      <c r="DY74" s="128"/>
      <c r="DZ74" s="129"/>
      <c r="EA74" s="118"/>
      <c r="EB74" s="118"/>
      <c r="EC74" s="135" t="e">
        <f t="shared" si="3"/>
        <v>#DIV/0!</v>
      </c>
      <c r="EE74" s="141">
        <v>71</v>
      </c>
      <c r="EF74" s="142" t="s">
        <v>298</v>
      </c>
    </row>
    <row r="75" spans="1:136" ht="15.75" customHeight="1" x14ac:dyDescent="0.3">
      <c r="A75" s="109">
        <v>70</v>
      </c>
      <c r="B75" s="106">
        <v>181</v>
      </c>
      <c r="C75" s="99" t="s">
        <v>213</v>
      </c>
      <c r="D75" s="78" t="s">
        <v>214</v>
      </c>
      <c r="E75" s="92" t="s">
        <v>215</v>
      </c>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c r="CZ75" s="118"/>
      <c r="DA75" s="118"/>
      <c r="DB75" s="118"/>
      <c r="DC75" s="118"/>
      <c r="DD75" s="118"/>
      <c r="DE75" s="118"/>
      <c r="DF75" s="118"/>
      <c r="DG75" s="118"/>
      <c r="DH75" s="118"/>
      <c r="DI75" s="118"/>
      <c r="DJ75" s="118"/>
      <c r="DK75" s="118"/>
      <c r="DL75" s="118"/>
      <c r="DM75" s="118"/>
      <c r="DN75" s="118"/>
      <c r="DO75" s="118"/>
      <c r="DP75" s="118"/>
      <c r="DQ75" s="118"/>
      <c r="DR75" s="118"/>
      <c r="DS75" s="118"/>
      <c r="DT75" s="118"/>
      <c r="DU75" s="118"/>
      <c r="DV75" s="118"/>
      <c r="DW75" s="118"/>
      <c r="DX75" s="119">
        <f t="shared" si="2"/>
        <v>0</v>
      </c>
      <c r="DY75" s="128"/>
      <c r="DZ75" s="129"/>
      <c r="EA75" s="118"/>
      <c r="EB75" s="118"/>
      <c r="EC75" s="135" t="e">
        <f t="shared" si="3"/>
        <v>#DIV/0!</v>
      </c>
      <c r="EE75" s="139">
        <v>72</v>
      </c>
      <c r="EF75" s="142" t="s">
        <v>298</v>
      </c>
    </row>
    <row r="76" spans="1:136" ht="15.75" customHeight="1" x14ac:dyDescent="0.3">
      <c r="A76" s="157">
        <v>71</v>
      </c>
      <c r="B76" s="153">
        <v>183</v>
      </c>
      <c r="C76" s="154" t="s">
        <v>216</v>
      </c>
      <c r="D76" s="78" t="s">
        <v>217</v>
      </c>
      <c r="E76" s="92" t="s">
        <v>218</v>
      </c>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c r="CZ76" s="118"/>
      <c r="DA76" s="118"/>
      <c r="DB76" s="118"/>
      <c r="DC76" s="118"/>
      <c r="DD76" s="118"/>
      <c r="DE76" s="118"/>
      <c r="DF76" s="118"/>
      <c r="DG76" s="118"/>
      <c r="DH76" s="118"/>
      <c r="DI76" s="118"/>
      <c r="DJ76" s="118"/>
      <c r="DK76" s="118"/>
      <c r="DL76" s="118"/>
      <c r="DM76" s="118"/>
      <c r="DN76" s="118"/>
      <c r="DO76" s="118"/>
      <c r="DP76" s="118"/>
      <c r="DQ76" s="118"/>
      <c r="DR76" s="118"/>
      <c r="DS76" s="118"/>
      <c r="DT76" s="118"/>
      <c r="DU76" s="118"/>
      <c r="DV76" s="118"/>
      <c r="DW76" s="118"/>
      <c r="DX76" s="119">
        <f t="shared" si="2"/>
        <v>0</v>
      </c>
      <c r="DY76" s="128"/>
      <c r="DZ76" s="129"/>
      <c r="EA76" s="118"/>
      <c r="EB76" s="118"/>
      <c r="EC76" s="135" t="e">
        <f t="shared" si="3"/>
        <v>#DIV/0!</v>
      </c>
      <c r="EE76" s="161">
        <v>73</v>
      </c>
      <c r="EF76" s="142" t="s">
        <v>298</v>
      </c>
    </row>
    <row r="77" spans="1:136" ht="15.75" customHeight="1" x14ac:dyDescent="0.3">
      <c r="A77" s="158"/>
      <c r="B77" s="153"/>
      <c r="C77" s="155"/>
      <c r="D77" s="78" t="s">
        <v>219</v>
      </c>
      <c r="E77" s="92" t="s">
        <v>218</v>
      </c>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c r="CZ77" s="118"/>
      <c r="DA77" s="118"/>
      <c r="DB77" s="118"/>
      <c r="DC77" s="118"/>
      <c r="DD77" s="118"/>
      <c r="DE77" s="118"/>
      <c r="DF77" s="118"/>
      <c r="DG77" s="118"/>
      <c r="DH77" s="118"/>
      <c r="DI77" s="118"/>
      <c r="DJ77" s="118"/>
      <c r="DK77" s="118"/>
      <c r="DL77" s="118"/>
      <c r="DM77" s="118"/>
      <c r="DN77" s="118"/>
      <c r="DO77" s="118"/>
      <c r="DP77" s="118"/>
      <c r="DQ77" s="118"/>
      <c r="DR77" s="118"/>
      <c r="DS77" s="118"/>
      <c r="DT77" s="118"/>
      <c r="DU77" s="118"/>
      <c r="DV77" s="118"/>
      <c r="DW77" s="118"/>
      <c r="DX77" s="119">
        <f t="shared" si="2"/>
        <v>0</v>
      </c>
      <c r="DY77" s="128"/>
      <c r="DZ77" s="129"/>
      <c r="EA77" s="118"/>
      <c r="EB77" s="118"/>
      <c r="EC77" s="135" t="e">
        <f t="shared" si="3"/>
        <v>#DIV/0!</v>
      </c>
      <c r="EE77" s="161"/>
      <c r="EF77" s="140" t="s">
        <v>253</v>
      </c>
    </row>
    <row r="78" spans="1:136" ht="15.75" customHeight="1" x14ac:dyDescent="0.3">
      <c r="A78" s="158"/>
      <c r="B78" s="153"/>
      <c r="C78" s="155"/>
      <c r="D78" s="78" t="s">
        <v>220</v>
      </c>
      <c r="E78" s="92" t="s">
        <v>218</v>
      </c>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c r="CZ78" s="118"/>
      <c r="DA78" s="118"/>
      <c r="DB78" s="118"/>
      <c r="DC78" s="118"/>
      <c r="DD78" s="118"/>
      <c r="DE78" s="118"/>
      <c r="DF78" s="118"/>
      <c r="DG78" s="118"/>
      <c r="DH78" s="118"/>
      <c r="DI78" s="118"/>
      <c r="DJ78" s="118"/>
      <c r="DK78" s="118"/>
      <c r="DL78" s="118"/>
      <c r="DM78" s="118"/>
      <c r="DN78" s="118"/>
      <c r="DO78" s="118"/>
      <c r="DP78" s="118"/>
      <c r="DQ78" s="118"/>
      <c r="DR78" s="118"/>
      <c r="DS78" s="118"/>
      <c r="DT78" s="118"/>
      <c r="DU78" s="118"/>
      <c r="DV78" s="118"/>
      <c r="DW78" s="118"/>
      <c r="DX78" s="119">
        <f t="shared" si="2"/>
        <v>0</v>
      </c>
      <c r="DY78" s="128"/>
      <c r="DZ78" s="129"/>
      <c r="EA78" s="118"/>
      <c r="EB78" s="118"/>
      <c r="EC78" s="135" t="e">
        <f t="shared" si="3"/>
        <v>#DIV/0!</v>
      </c>
      <c r="EE78" s="161"/>
      <c r="EF78" s="140" t="s">
        <v>253</v>
      </c>
    </row>
    <row r="79" spans="1:136" ht="15.75" customHeight="1" x14ac:dyDescent="0.3">
      <c r="A79" s="158"/>
      <c r="B79" s="153"/>
      <c r="C79" s="155"/>
      <c r="D79" s="78" t="s">
        <v>221</v>
      </c>
      <c r="E79" s="92" t="s">
        <v>218</v>
      </c>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c r="CZ79" s="118"/>
      <c r="DA79" s="118"/>
      <c r="DB79" s="118"/>
      <c r="DC79" s="118"/>
      <c r="DD79" s="118"/>
      <c r="DE79" s="118"/>
      <c r="DF79" s="118"/>
      <c r="DG79" s="118"/>
      <c r="DH79" s="118"/>
      <c r="DI79" s="118"/>
      <c r="DJ79" s="118"/>
      <c r="DK79" s="118"/>
      <c r="DL79" s="118"/>
      <c r="DM79" s="118"/>
      <c r="DN79" s="118"/>
      <c r="DO79" s="118"/>
      <c r="DP79" s="118"/>
      <c r="DQ79" s="118"/>
      <c r="DR79" s="118"/>
      <c r="DS79" s="118"/>
      <c r="DT79" s="118"/>
      <c r="DU79" s="118"/>
      <c r="DV79" s="118"/>
      <c r="DW79" s="118"/>
      <c r="DX79" s="119">
        <f t="shared" si="2"/>
        <v>0</v>
      </c>
      <c r="DY79" s="128"/>
      <c r="DZ79" s="129"/>
      <c r="EA79" s="118"/>
      <c r="EB79" s="118"/>
      <c r="EC79" s="135" t="e">
        <f t="shared" si="3"/>
        <v>#DIV/0!</v>
      </c>
      <c r="EE79" s="161"/>
      <c r="EF79" s="140" t="s">
        <v>253</v>
      </c>
    </row>
    <row r="80" spans="1:136" ht="15.75" customHeight="1" x14ac:dyDescent="0.3">
      <c r="A80" s="159"/>
      <c r="B80" s="153"/>
      <c r="C80" s="156"/>
      <c r="D80" s="78" t="s">
        <v>222</v>
      </c>
      <c r="E80" s="92" t="s">
        <v>223</v>
      </c>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c r="CZ80" s="118"/>
      <c r="DA80" s="118"/>
      <c r="DB80" s="118"/>
      <c r="DC80" s="118"/>
      <c r="DD80" s="118"/>
      <c r="DE80" s="118"/>
      <c r="DF80" s="118"/>
      <c r="DG80" s="118"/>
      <c r="DH80" s="118"/>
      <c r="DI80" s="118"/>
      <c r="DJ80" s="118"/>
      <c r="DK80" s="118"/>
      <c r="DL80" s="118"/>
      <c r="DM80" s="118"/>
      <c r="DN80" s="118"/>
      <c r="DO80" s="118"/>
      <c r="DP80" s="118"/>
      <c r="DQ80" s="118"/>
      <c r="DR80" s="118"/>
      <c r="DS80" s="118"/>
      <c r="DT80" s="118"/>
      <c r="DU80" s="118"/>
      <c r="DV80" s="118"/>
      <c r="DW80" s="118"/>
      <c r="DX80" s="119">
        <f t="shared" si="2"/>
        <v>0</v>
      </c>
      <c r="DY80" s="128"/>
      <c r="DZ80" s="129"/>
      <c r="EA80" s="118"/>
      <c r="EB80" s="118"/>
      <c r="EC80" s="135" t="e">
        <f t="shared" si="3"/>
        <v>#DIV/0!</v>
      </c>
      <c r="EE80" s="161"/>
      <c r="EF80" s="142" t="s">
        <v>298</v>
      </c>
    </row>
    <row r="81" spans="1:136" ht="15.75" customHeight="1" x14ac:dyDescent="0.3">
      <c r="A81" s="109">
        <v>72</v>
      </c>
      <c r="B81" s="106">
        <v>184</v>
      </c>
      <c r="C81" s="99" t="s">
        <v>224</v>
      </c>
      <c r="D81" s="78" t="s">
        <v>225</v>
      </c>
      <c r="E81" s="92" t="s">
        <v>197</v>
      </c>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c r="CZ81" s="118"/>
      <c r="DA81" s="118"/>
      <c r="DB81" s="118"/>
      <c r="DC81" s="118"/>
      <c r="DD81" s="118"/>
      <c r="DE81" s="118"/>
      <c r="DF81" s="118"/>
      <c r="DG81" s="118"/>
      <c r="DH81" s="118"/>
      <c r="DI81" s="118"/>
      <c r="DJ81" s="118"/>
      <c r="DK81" s="118"/>
      <c r="DL81" s="118"/>
      <c r="DM81" s="118"/>
      <c r="DN81" s="118"/>
      <c r="DO81" s="118"/>
      <c r="DP81" s="118"/>
      <c r="DQ81" s="118"/>
      <c r="DR81" s="118"/>
      <c r="DS81" s="118"/>
      <c r="DT81" s="118"/>
      <c r="DU81" s="118"/>
      <c r="DV81" s="118"/>
      <c r="DW81" s="118"/>
      <c r="DX81" s="119">
        <f t="shared" si="2"/>
        <v>0</v>
      </c>
      <c r="DY81" s="128"/>
      <c r="DZ81" s="129"/>
      <c r="EA81" s="118"/>
      <c r="EB81" s="118"/>
      <c r="EC81" s="135" t="e">
        <f t="shared" si="3"/>
        <v>#DIV/0!</v>
      </c>
      <c r="EE81" s="139">
        <v>74</v>
      </c>
      <c r="EF81" s="140" t="s">
        <v>253</v>
      </c>
    </row>
    <row r="82" spans="1:136" ht="15.75" customHeight="1" x14ac:dyDescent="0.3">
      <c r="A82" s="109">
        <v>73</v>
      </c>
      <c r="B82" s="106">
        <v>189</v>
      </c>
      <c r="C82" s="99" t="s">
        <v>226</v>
      </c>
      <c r="D82" s="89" t="s">
        <v>227</v>
      </c>
      <c r="E82" s="93" t="s">
        <v>228</v>
      </c>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c r="CZ82" s="118"/>
      <c r="DA82" s="118"/>
      <c r="DB82" s="118"/>
      <c r="DC82" s="118"/>
      <c r="DD82" s="118"/>
      <c r="DE82" s="118"/>
      <c r="DF82" s="118"/>
      <c r="DG82" s="118"/>
      <c r="DH82" s="118"/>
      <c r="DI82" s="118"/>
      <c r="DJ82" s="118"/>
      <c r="DK82" s="118"/>
      <c r="DL82" s="118"/>
      <c r="DM82" s="118"/>
      <c r="DN82" s="118"/>
      <c r="DO82" s="118"/>
      <c r="DP82" s="118"/>
      <c r="DQ82" s="118"/>
      <c r="DR82" s="118"/>
      <c r="DS82" s="118"/>
      <c r="DT82" s="118"/>
      <c r="DU82" s="118"/>
      <c r="DV82" s="118"/>
      <c r="DW82" s="118"/>
      <c r="DX82" s="119">
        <f t="shared" si="2"/>
        <v>0</v>
      </c>
      <c r="DY82" s="128"/>
      <c r="DZ82" s="129"/>
      <c r="EA82" s="118"/>
      <c r="EB82" s="118"/>
      <c r="EC82" s="135" t="e">
        <f t="shared" si="3"/>
        <v>#DIV/0!</v>
      </c>
      <c r="EE82" s="141">
        <v>75</v>
      </c>
      <c r="EF82" s="140" t="s">
        <v>253</v>
      </c>
    </row>
    <row r="83" spans="1:136" ht="15.75" customHeight="1" x14ac:dyDescent="0.3">
      <c r="A83" s="109">
        <v>74</v>
      </c>
      <c r="B83" s="106">
        <v>190</v>
      </c>
      <c r="C83" s="99" t="s">
        <v>229</v>
      </c>
      <c r="D83" s="89" t="s">
        <v>230</v>
      </c>
      <c r="E83" s="93" t="s">
        <v>231</v>
      </c>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c r="CZ83" s="118"/>
      <c r="DA83" s="118"/>
      <c r="DB83" s="118"/>
      <c r="DC83" s="118"/>
      <c r="DD83" s="118"/>
      <c r="DE83" s="118"/>
      <c r="DF83" s="118"/>
      <c r="DG83" s="118"/>
      <c r="DH83" s="118"/>
      <c r="DI83" s="118"/>
      <c r="DJ83" s="118"/>
      <c r="DK83" s="118"/>
      <c r="DL83" s="118"/>
      <c r="DM83" s="118"/>
      <c r="DN83" s="118"/>
      <c r="DO83" s="118"/>
      <c r="DP83" s="118"/>
      <c r="DQ83" s="118"/>
      <c r="DR83" s="118"/>
      <c r="DS83" s="118"/>
      <c r="DT83" s="118"/>
      <c r="DU83" s="118"/>
      <c r="DV83" s="118"/>
      <c r="DW83" s="118"/>
      <c r="DX83" s="119">
        <f t="shared" si="2"/>
        <v>0</v>
      </c>
      <c r="DY83" s="128"/>
      <c r="DZ83" s="129"/>
      <c r="EA83" s="118"/>
      <c r="EB83" s="118"/>
      <c r="EC83" s="135" t="e">
        <f t="shared" si="3"/>
        <v>#DIV/0!</v>
      </c>
      <c r="EE83" s="139">
        <v>76</v>
      </c>
      <c r="EF83" s="140" t="s">
        <v>253</v>
      </c>
    </row>
    <row r="84" spans="1:136" ht="15.75" customHeight="1" x14ac:dyDescent="0.3">
      <c r="A84" s="109">
        <v>75</v>
      </c>
      <c r="B84" s="106">
        <v>191</v>
      </c>
      <c r="C84" s="99" t="s">
        <v>232</v>
      </c>
      <c r="D84" s="89" t="s">
        <v>233</v>
      </c>
      <c r="E84" s="93" t="s">
        <v>234</v>
      </c>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c r="CZ84" s="118"/>
      <c r="DA84" s="118"/>
      <c r="DB84" s="118"/>
      <c r="DC84" s="118"/>
      <c r="DD84" s="118"/>
      <c r="DE84" s="118"/>
      <c r="DF84" s="118"/>
      <c r="DG84" s="118"/>
      <c r="DH84" s="118"/>
      <c r="DI84" s="118"/>
      <c r="DJ84" s="118"/>
      <c r="DK84" s="118"/>
      <c r="DL84" s="118"/>
      <c r="DM84" s="118"/>
      <c r="DN84" s="118"/>
      <c r="DO84" s="118"/>
      <c r="DP84" s="118"/>
      <c r="DQ84" s="118"/>
      <c r="DR84" s="118"/>
      <c r="DS84" s="118"/>
      <c r="DT84" s="118"/>
      <c r="DU84" s="118"/>
      <c r="DV84" s="118"/>
      <c r="DW84" s="118"/>
      <c r="DX84" s="119">
        <f t="shared" si="2"/>
        <v>0</v>
      </c>
      <c r="DY84" s="128"/>
      <c r="DZ84" s="129"/>
      <c r="EA84" s="118"/>
      <c r="EB84" s="118"/>
      <c r="EC84" s="135" t="e">
        <f t="shared" si="3"/>
        <v>#DIV/0!</v>
      </c>
      <c r="EE84" s="141">
        <v>77</v>
      </c>
      <c r="EF84" s="143" t="s">
        <v>282</v>
      </c>
    </row>
    <row r="85" spans="1:136" ht="15.75" customHeight="1" x14ac:dyDescent="0.3">
      <c r="A85" s="109">
        <v>76</v>
      </c>
      <c r="B85" s="106">
        <v>193</v>
      </c>
      <c r="C85" s="99" t="s">
        <v>235</v>
      </c>
      <c r="D85" s="89" t="s">
        <v>236</v>
      </c>
      <c r="E85" s="93" t="s">
        <v>237</v>
      </c>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c r="CZ85" s="118"/>
      <c r="DA85" s="118"/>
      <c r="DB85" s="118"/>
      <c r="DC85" s="118"/>
      <c r="DD85" s="118"/>
      <c r="DE85" s="118"/>
      <c r="DF85" s="118"/>
      <c r="DG85" s="118"/>
      <c r="DH85" s="118"/>
      <c r="DI85" s="118"/>
      <c r="DJ85" s="118"/>
      <c r="DK85" s="118"/>
      <c r="DL85" s="118"/>
      <c r="DM85" s="118"/>
      <c r="DN85" s="118"/>
      <c r="DO85" s="118"/>
      <c r="DP85" s="118"/>
      <c r="DQ85" s="118"/>
      <c r="DR85" s="118"/>
      <c r="DS85" s="118"/>
      <c r="DT85" s="118"/>
      <c r="DU85" s="118"/>
      <c r="DV85" s="118"/>
      <c r="DW85" s="118"/>
      <c r="DX85" s="119">
        <f t="shared" si="2"/>
        <v>0</v>
      </c>
      <c r="DY85" s="128"/>
      <c r="DZ85" s="129"/>
      <c r="EA85" s="118"/>
      <c r="EB85" s="118"/>
      <c r="EC85" s="135" t="e">
        <f t="shared" si="3"/>
        <v>#DIV/0!</v>
      </c>
      <c r="EE85" s="141">
        <v>79</v>
      </c>
      <c r="EF85" s="143" t="s">
        <v>282</v>
      </c>
    </row>
    <row r="86" spans="1:136" ht="15.75" customHeight="1" x14ac:dyDescent="0.3">
      <c r="A86" s="109">
        <v>77</v>
      </c>
      <c r="B86" s="106">
        <v>194</v>
      </c>
      <c r="C86" s="99" t="s">
        <v>238</v>
      </c>
      <c r="D86" s="89" t="s">
        <v>239</v>
      </c>
      <c r="E86" s="93" t="s">
        <v>240</v>
      </c>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c r="CZ86" s="118"/>
      <c r="DA86" s="118"/>
      <c r="DB86" s="118"/>
      <c r="DC86" s="118"/>
      <c r="DD86" s="118"/>
      <c r="DE86" s="118"/>
      <c r="DF86" s="118"/>
      <c r="DG86" s="118"/>
      <c r="DH86" s="118"/>
      <c r="DI86" s="118"/>
      <c r="DJ86" s="118"/>
      <c r="DK86" s="118"/>
      <c r="DL86" s="118"/>
      <c r="DM86" s="118"/>
      <c r="DN86" s="118"/>
      <c r="DO86" s="118"/>
      <c r="DP86" s="118"/>
      <c r="DQ86" s="118"/>
      <c r="DR86" s="118"/>
      <c r="DS86" s="118"/>
      <c r="DT86" s="118"/>
      <c r="DU86" s="118"/>
      <c r="DV86" s="118"/>
      <c r="DW86" s="118"/>
      <c r="DX86" s="119">
        <f t="shared" si="2"/>
        <v>0</v>
      </c>
      <c r="DY86" s="128"/>
      <c r="DZ86" s="129"/>
      <c r="EA86" s="118"/>
      <c r="EB86" s="118"/>
      <c r="EC86" s="135" t="e">
        <f t="shared" si="3"/>
        <v>#DIV/0!</v>
      </c>
      <c r="EE86" s="139">
        <v>80</v>
      </c>
      <c r="EF86" s="143" t="s">
        <v>282</v>
      </c>
    </row>
    <row r="87" spans="1:136" ht="15.75" customHeight="1" x14ac:dyDescent="0.3">
      <c r="A87" s="109">
        <v>78</v>
      </c>
      <c r="B87" s="106">
        <v>195</v>
      </c>
      <c r="C87" s="99" t="s">
        <v>241</v>
      </c>
      <c r="D87" s="89" t="s">
        <v>242</v>
      </c>
      <c r="E87" s="93" t="s">
        <v>243</v>
      </c>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c r="CZ87" s="118"/>
      <c r="DA87" s="118"/>
      <c r="DB87" s="118"/>
      <c r="DC87" s="118"/>
      <c r="DD87" s="118"/>
      <c r="DE87" s="118"/>
      <c r="DF87" s="118"/>
      <c r="DG87" s="118"/>
      <c r="DH87" s="118"/>
      <c r="DI87" s="118"/>
      <c r="DJ87" s="118"/>
      <c r="DK87" s="118"/>
      <c r="DL87" s="118"/>
      <c r="DM87" s="118"/>
      <c r="DN87" s="118"/>
      <c r="DO87" s="118"/>
      <c r="DP87" s="118"/>
      <c r="DQ87" s="118"/>
      <c r="DR87" s="118"/>
      <c r="DS87" s="118"/>
      <c r="DT87" s="118"/>
      <c r="DU87" s="118"/>
      <c r="DV87" s="118"/>
      <c r="DW87" s="118"/>
      <c r="DX87" s="119">
        <f t="shared" si="2"/>
        <v>0</v>
      </c>
      <c r="DY87" s="128"/>
      <c r="DZ87" s="129"/>
      <c r="EA87" s="118"/>
      <c r="EB87" s="118"/>
      <c r="EC87" s="135" t="e">
        <f t="shared" si="3"/>
        <v>#DIV/0!</v>
      </c>
      <c r="EE87" s="141">
        <v>81</v>
      </c>
      <c r="EF87" s="142" t="s">
        <v>298</v>
      </c>
    </row>
    <row r="88" spans="1:136" ht="15.75" customHeight="1" x14ac:dyDescent="0.3">
      <c r="A88" s="109">
        <v>79</v>
      </c>
      <c r="B88" s="106">
        <v>196</v>
      </c>
      <c r="C88" s="99" t="s">
        <v>244</v>
      </c>
      <c r="D88" s="89" t="s">
        <v>245</v>
      </c>
      <c r="E88" s="93" t="s">
        <v>246</v>
      </c>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c r="CZ88" s="118"/>
      <c r="DA88" s="118"/>
      <c r="DB88" s="118"/>
      <c r="DC88" s="118"/>
      <c r="DD88" s="118"/>
      <c r="DE88" s="118"/>
      <c r="DF88" s="118"/>
      <c r="DG88" s="118"/>
      <c r="DH88" s="118"/>
      <c r="DI88" s="118"/>
      <c r="DJ88" s="118"/>
      <c r="DK88" s="118"/>
      <c r="DL88" s="118"/>
      <c r="DM88" s="118"/>
      <c r="DN88" s="118"/>
      <c r="DO88" s="118"/>
      <c r="DP88" s="118"/>
      <c r="DQ88" s="118"/>
      <c r="DR88" s="118"/>
      <c r="DS88" s="118"/>
      <c r="DT88" s="118"/>
      <c r="DU88" s="118"/>
      <c r="DV88" s="118"/>
      <c r="DW88" s="118"/>
      <c r="DX88" s="119">
        <f t="shared" si="2"/>
        <v>0</v>
      </c>
      <c r="DY88" s="128"/>
      <c r="DZ88" s="129"/>
      <c r="EA88" s="118"/>
      <c r="EB88" s="118"/>
      <c r="EC88" s="135" t="e">
        <f t="shared" si="3"/>
        <v>#DIV/0!</v>
      </c>
      <c r="EE88" s="139">
        <v>82</v>
      </c>
      <c r="EF88" s="143" t="s">
        <v>282</v>
      </c>
    </row>
    <row r="89" spans="1:136" ht="15.75" customHeight="1" x14ac:dyDescent="0.3">
      <c r="A89" s="109">
        <v>80</v>
      </c>
      <c r="B89" s="106">
        <v>197</v>
      </c>
      <c r="C89" s="99" t="s">
        <v>247</v>
      </c>
      <c r="D89" s="89" t="s">
        <v>248</v>
      </c>
      <c r="E89" s="93" t="s">
        <v>249</v>
      </c>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c r="CZ89" s="118"/>
      <c r="DA89" s="118"/>
      <c r="DB89" s="118"/>
      <c r="DC89" s="118"/>
      <c r="DD89" s="118"/>
      <c r="DE89" s="118"/>
      <c r="DF89" s="118"/>
      <c r="DG89" s="118"/>
      <c r="DH89" s="118"/>
      <c r="DI89" s="118"/>
      <c r="DJ89" s="118"/>
      <c r="DK89" s="118"/>
      <c r="DL89" s="118"/>
      <c r="DM89" s="118"/>
      <c r="DN89" s="118"/>
      <c r="DO89" s="118"/>
      <c r="DP89" s="118"/>
      <c r="DQ89" s="118"/>
      <c r="DR89" s="118"/>
      <c r="DS89" s="118"/>
      <c r="DT89" s="118"/>
      <c r="DU89" s="118"/>
      <c r="DV89" s="118"/>
      <c r="DW89" s="118"/>
      <c r="DX89" s="119">
        <f t="shared" si="2"/>
        <v>0</v>
      </c>
      <c r="DY89" s="128"/>
      <c r="DZ89" s="129"/>
      <c r="EA89" s="118"/>
      <c r="EB89" s="118"/>
      <c r="EC89" s="135" t="e">
        <f t="shared" si="3"/>
        <v>#DIV/0!</v>
      </c>
      <c r="EE89" s="141">
        <v>83</v>
      </c>
      <c r="EF89" s="143" t="s">
        <v>282</v>
      </c>
    </row>
    <row r="90" spans="1:136" ht="15.75" customHeight="1" x14ac:dyDescent="0.3">
      <c r="A90" s="109">
        <v>81</v>
      </c>
      <c r="B90" s="106">
        <v>198</v>
      </c>
      <c r="C90" s="99" t="s">
        <v>250</v>
      </c>
      <c r="D90" s="89" t="s">
        <v>251</v>
      </c>
      <c r="E90" s="93" t="s">
        <v>252</v>
      </c>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c r="CZ90" s="118"/>
      <c r="DA90" s="118"/>
      <c r="DB90" s="118"/>
      <c r="DC90" s="118"/>
      <c r="DD90" s="118"/>
      <c r="DE90" s="118"/>
      <c r="DF90" s="118"/>
      <c r="DG90" s="118"/>
      <c r="DH90" s="118"/>
      <c r="DI90" s="118"/>
      <c r="DJ90" s="118"/>
      <c r="DK90" s="118"/>
      <c r="DL90" s="118"/>
      <c r="DM90" s="118"/>
      <c r="DN90" s="118"/>
      <c r="DO90" s="118"/>
      <c r="DP90" s="118"/>
      <c r="DQ90" s="118"/>
      <c r="DR90" s="118"/>
      <c r="DS90" s="118"/>
      <c r="DT90" s="118"/>
      <c r="DU90" s="118"/>
      <c r="DV90" s="118"/>
      <c r="DW90" s="118"/>
      <c r="DX90" s="119">
        <f t="shared" si="2"/>
        <v>0</v>
      </c>
      <c r="DY90" s="128"/>
      <c r="DZ90" s="129"/>
      <c r="EA90" s="118"/>
      <c r="EB90" s="118"/>
      <c r="EC90" s="135" t="e">
        <f t="shared" si="3"/>
        <v>#DIV/0!</v>
      </c>
      <c r="EE90" s="139">
        <v>84</v>
      </c>
      <c r="EF90" s="140" t="s">
        <v>253</v>
      </c>
    </row>
    <row r="91" spans="1:136" ht="15.75" customHeight="1" x14ac:dyDescent="0.3">
      <c r="A91" s="109">
        <v>82</v>
      </c>
      <c r="B91" s="106">
        <v>199</v>
      </c>
      <c r="C91" s="99" t="s">
        <v>254</v>
      </c>
      <c r="D91" s="89" t="s">
        <v>255</v>
      </c>
      <c r="E91" s="93" t="s">
        <v>256</v>
      </c>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c r="CZ91" s="118"/>
      <c r="DA91" s="118"/>
      <c r="DB91" s="118"/>
      <c r="DC91" s="118"/>
      <c r="DD91" s="118"/>
      <c r="DE91" s="118"/>
      <c r="DF91" s="118"/>
      <c r="DG91" s="118"/>
      <c r="DH91" s="118"/>
      <c r="DI91" s="118"/>
      <c r="DJ91" s="118"/>
      <c r="DK91" s="118"/>
      <c r="DL91" s="118"/>
      <c r="DM91" s="118"/>
      <c r="DN91" s="118"/>
      <c r="DO91" s="118"/>
      <c r="DP91" s="118"/>
      <c r="DQ91" s="118"/>
      <c r="DR91" s="118"/>
      <c r="DS91" s="118"/>
      <c r="DT91" s="118"/>
      <c r="DU91" s="118"/>
      <c r="DV91" s="118"/>
      <c r="DW91" s="118"/>
      <c r="DX91" s="119">
        <f t="shared" si="2"/>
        <v>0</v>
      </c>
      <c r="DY91" s="128"/>
      <c r="DZ91" s="129"/>
      <c r="EA91" s="118"/>
      <c r="EB91" s="118"/>
      <c r="EC91" s="135" t="e">
        <f t="shared" si="3"/>
        <v>#DIV/0!</v>
      </c>
      <c r="EE91" s="141">
        <v>85</v>
      </c>
      <c r="EF91" s="143" t="s">
        <v>282</v>
      </c>
    </row>
    <row r="92" spans="1:136" ht="15.75" customHeight="1" x14ac:dyDescent="0.3">
      <c r="A92" s="109">
        <v>83</v>
      </c>
      <c r="B92" s="106">
        <v>200</v>
      </c>
      <c r="C92" s="99" t="s">
        <v>257</v>
      </c>
      <c r="D92" s="89" t="s">
        <v>258</v>
      </c>
      <c r="E92" s="93" t="s">
        <v>259</v>
      </c>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c r="CZ92" s="118"/>
      <c r="DA92" s="118"/>
      <c r="DB92" s="118"/>
      <c r="DC92" s="118"/>
      <c r="DD92" s="118"/>
      <c r="DE92" s="118"/>
      <c r="DF92" s="118"/>
      <c r="DG92" s="118"/>
      <c r="DH92" s="118"/>
      <c r="DI92" s="118"/>
      <c r="DJ92" s="118"/>
      <c r="DK92" s="118"/>
      <c r="DL92" s="118"/>
      <c r="DM92" s="118"/>
      <c r="DN92" s="118"/>
      <c r="DO92" s="118"/>
      <c r="DP92" s="118"/>
      <c r="DQ92" s="118"/>
      <c r="DR92" s="118"/>
      <c r="DS92" s="118"/>
      <c r="DT92" s="118"/>
      <c r="DU92" s="118"/>
      <c r="DV92" s="118"/>
      <c r="DW92" s="118"/>
      <c r="DX92" s="119">
        <f t="shared" si="2"/>
        <v>0</v>
      </c>
      <c r="DY92" s="128"/>
      <c r="DZ92" s="129"/>
      <c r="EA92" s="118"/>
      <c r="EB92" s="118"/>
      <c r="EC92" s="135" t="e">
        <f t="shared" si="3"/>
        <v>#DIV/0!</v>
      </c>
      <c r="EE92" s="139">
        <v>86</v>
      </c>
      <c r="EF92" s="145" t="s">
        <v>321</v>
      </c>
    </row>
    <row r="93" spans="1:136" ht="15.75" customHeight="1" x14ac:dyDescent="0.3">
      <c r="A93" s="109">
        <v>84</v>
      </c>
      <c r="B93" s="106">
        <v>201</v>
      </c>
      <c r="C93" s="99" t="s">
        <v>260</v>
      </c>
      <c r="D93" s="89" t="s">
        <v>261</v>
      </c>
      <c r="E93" s="93" t="s">
        <v>262</v>
      </c>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c r="CZ93" s="118"/>
      <c r="DA93" s="118"/>
      <c r="DB93" s="118"/>
      <c r="DC93" s="118"/>
      <c r="DD93" s="118"/>
      <c r="DE93" s="118"/>
      <c r="DF93" s="118"/>
      <c r="DG93" s="118"/>
      <c r="DH93" s="118"/>
      <c r="DI93" s="118"/>
      <c r="DJ93" s="118"/>
      <c r="DK93" s="118"/>
      <c r="DL93" s="118"/>
      <c r="DM93" s="118"/>
      <c r="DN93" s="118"/>
      <c r="DO93" s="118"/>
      <c r="DP93" s="118"/>
      <c r="DQ93" s="118"/>
      <c r="DR93" s="118"/>
      <c r="DS93" s="118"/>
      <c r="DT93" s="118"/>
      <c r="DU93" s="118"/>
      <c r="DV93" s="118"/>
      <c r="DW93" s="118"/>
      <c r="DX93" s="119">
        <f t="shared" si="2"/>
        <v>0</v>
      </c>
      <c r="DY93" s="128"/>
      <c r="DZ93" s="129"/>
      <c r="EA93" s="118"/>
      <c r="EB93" s="118"/>
      <c r="EC93" s="135" t="e">
        <f t="shared" si="3"/>
        <v>#DIV/0!</v>
      </c>
      <c r="EE93" s="141">
        <v>87</v>
      </c>
      <c r="EF93" s="140" t="s">
        <v>253</v>
      </c>
    </row>
    <row r="94" spans="1:136" ht="15.75" customHeight="1" x14ac:dyDescent="0.3">
      <c r="A94" s="110">
        <v>85</v>
      </c>
      <c r="B94" s="106">
        <v>209</v>
      </c>
      <c r="C94" s="100" t="s">
        <v>263</v>
      </c>
      <c r="D94" s="85" t="s">
        <v>264</v>
      </c>
      <c r="E94" s="92" t="s">
        <v>265</v>
      </c>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c r="CZ94" s="118"/>
      <c r="DA94" s="118"/>
      <c r="DB94" s="118"/>
      <c r="DC94" s="118"/>
      <c r="DD94" s="118"/>
      <c r="DE94" s="118"/>
      <c r="DF94" s="118"/>
      <c r="DG94" s="118"/>
      <c r="DH94" s="118"/>
      <c r="DI94" s="118"/>
      <c r="DJ94" s="118"/>
      <c r="DK94" s="118"/>
      <c r="DL94" s="118"/>
      <c r="DM94" s="118"/>
      <c r="DN94" s="118"/>
      <c r="DO94" s="118"/>
      <c r="DP94" s="118"/>
      <c r="DQ94" s="118"/>
      <c r="DR94" s="118"/>
      <c r="DS94" s="118"/>
      <c r="DT94" s="118"/>
      <c r="DU94" s="118"/>
      <c r="DV94" s="118"/>
      <c r="DW94" s="118"/>
      <c r="DX94" s="119">
        <f t="shared" si="2"/>
        <v>0</v>
      </c>
      <c r="DY94" s="128"/>
      <c r="DZ94" s="129"/>
      <c r="EA94" s="118"/>
      <c r="EB94" s="118"/>
      <c r="EC94" s="135" t="e">
        <f t="shared" si="3"/>
        <v>#DIV/0!</v>
      </c>
      <c r="EE94" s="139">
        <v>88</v>
      </c>
      <c r="EF94" s="142" t="s">
        <v>298</v>
      </c>
    </row>
    <row r="95" spans="1:136" ht="15.75" customHeight="1" x14ac:dyDescent="0.3">
      <c r="A95" s="110">
        <v>86</v>
      </c>
      <c r="B95" s="106">
        <v>210</v>
      </c>
      <c r="C95" s="100" t="s">
        <v>267</v>
      </c>
      <c r="D95" s="78" t="s">
        <v>268</v>
      </c>
      <c r="E95" s="92" t="s">
        <v>265</v>
      </c>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c r="CZ95" s="118"/>
      <c r="DA95" s="118"/>
      <c r="DB95" s="118"/>
      <c r="DC95" s="118"/>
      <c r="DD95" s="118"/>
      <c r="DE95" s="118"/>
      <c r="DF95" s="118"/>
      <c r="DG95" s="118"/>
      <c r="DH95" s="118"/>
      <c r="DI95" s="118"/>
      <c r="DJ95" s="118"/>
      <c r="DK95" s="118"/>
      <c r="DL95" s="118"/>
      <c r="DM95" s="118"/>
      <c r="DN95" s="118"/>
      <c r="DO95" s="118"/>
      <c r="DP95" s="118"/>
      <c r="DQ95" s="118"/>
      <c r="DR95" s="118"/>
      <c r="DS95" s="118"/>
      <c r="DT95" s="118"/>
      <c r="DU95" s="118"/>
      <c r="DV95" s="118"/>
      <c r="DW95" s="118"/>
      <c r="DX95" s="119">
        <f t="shared" si="2"/>
        <v>0</v>
      </c>
      <c r="DY95" s="128"/>
      <c r="DZ95" s="129"/>
      <c r="EA95" s="118"/>
      <c r="EB95" s="118"/>
      <c r="EC95" s="135" t="e">
        <f t="shared" si="3"/>
        <v>#DIV/0!</v>
      </c>
      <c r="EE95" s="141">
        <v>89</v>
      </c>
      <c r="EF95" s="140" t="s">
        <v>253</v>
      </c>
    </row>
    <row r="96" spans="1:136" ht="15.75" customHeight="1" x14ac:dyDescent="0.3">
      <c r="A96" s="109">
        <v>87</v>
      </c>
      <c r="B96" s="106">
        <v>211</v>
      </c>
      <c r="C96" s="99" t="s">
        <v>269</v>
      </c>
      <c r="D96" s="78" t="s">
        <v>270</v>
      </c>
      <c r="E96" s="92" t="s">
        <v>265</v>
      </c>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c r="CZ96" s="118"/>
      <c r="DA96" s="118"/>
      <c r="DB96" s="118"/>
      <c r="DC96" s="118"/>
      <c r="DD96" s="118"/>
      <c r="DE96" s="118"/>
      <c r="DF96" s="118"/>
      <c r="DG96" s="118"/>
      <c r="DH96" s="118"/>
      <c r="DI96" s="118"/>
      <c r="DJ96" s="118"/>
      <c r="DK96" s="118"/>
      <c r="DL96" s="118"/>
      <c r="DM96" s="118"/>
      <c r="DN96" s="118"/>
      <c r="DO96" s="118"/>
      <c r="DP96" s="118"/>
      <c r="DQ96" s="118"/>
      <c r="DR96" s="118"/>
      <c r="DS96" s="118"/>
      <c r="DT96" s="118"/>
      <c r="DU96" s="118"/>
      <c r="DV96" s="118"/>
      <c r="DW96" s="118"/>
      <c r="DX96" s="119">
        <f t="shared" si="2"/>
        <v>0</v>
      </c>
      <c r="DY96" s="128"/>
      <c r="DZ96" s="129"/>
      <c r="EA96" s="118"/>
      <c r="EB96" s="118"/>
      <c r="EC96" s="135" t="e">
        <f t="shared" si="3"/>
        <v>#DIV/0!</v>
      </c>
      <c r="EE96" s="139">
        <v>90</v>
      </c>
      <c r="EF96" s="140" t="s">
        <v>253</v>
      </c>
    </row>
    <row r="97" spans="1:136" ht="15.75" customHeight="1" x14ac:dyDescent="0.3">
      <c r="A97" s="111">
        <v>88</v>
      </c>
      <c r="B97" s="106">
        <v>176</v>
      </c>
      <c r="C97" s="103" t="s">
        <v>271</v>
      </c>
      <c r="D97" s="90" t="s">
        <v>272</v>
      </c>
      <c r="E97" s="95"/>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c r="CZ97" s="118"/>
      <c r="DA97" s="118"/>
      <c r="DB97" s="118"/>
      <c r="DC97" s="118"/>
      <c r="DD97" s="118"/>
      <c r="DE97" s="118"/>
      <c r="DF97" s="118"/>
      <c r="DG97" s="118"/>
      <c r="DH97" s="118"/>
      <c r="DI97" s="118"/>
      <c r="DJ97" s="118"/>
      <c r="DK97" s="118"/>
      <c r="DL97" s="118"/>
      <c r="DM97" s="118"/>
      <c r="DN97" s="118"/>
      <c r="DO97" s="118"/>
      <c r="DP97" s="118"/>
      <c r="DQ97" s="118"/>
      <c r="DR97" s="118"/>
      <c r="DS97" s="118"/>
      <c r="DT97" s="118"/>
      <c r="DU97" s="118"/>
      <c r="DV97" s="118"/>
      <c r="DW97" s="118"/>
      <c r="DX97" s="119">
        <f t="shared" si="2"/>
        <v>0</v>
      </c>
      <c r="DY97" s="128"/>
      <c r="DZ97" s="129"/>
      <c r="EA97" s="118"/>
      <c r="EB97" s="118"/>
      <c r="EC97" s="135" t="e">
        <f t="shared" si="3"/>
        <v>#DIV/0!</v>
      </c>
      <c r="EE97" s="139">
        <v>92</v>
      </c>
      <c r="EF97" s="140" t="s">
        <v>253</v>
      </c>
    </row>
    <row r="98" spans="1:136" ht="15.75" customHeight="1" x14ac:dyDescent="0.3">
      <c r="A98" s="112">
        <v>89</v>
      </c>
      <c r="B98" s="106">
        <v>274</v>
      </c>
      <c r="C98" s="104" t="s">
        <v>273</v>
      </c>
      <c r="D98" s="91" t="s">
        <v>274</v>
      </c>
      <c r="E98" s="96"/>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c r="CZ98" s="118"/>
      <c r="DA98" s="118"/>
      <c r="DB98" s="118"/>
      <c r="DC98" s="118"/>
      <c r="DD98" s="118"/>
      <c r="DE98" s="118"/>
      <c r="DF98" s="118"/>
      <c r="DG98" s="118"/>
      <c r="DH98" s="118"/>
      <c r="DI98" s="118"/>
      <c r="DJ98" s="118"/>
      <c r="DK98" s="118"/>
      <c r="DL98" s="118"/>
      <c r="DM98" s="118"/>
      <c r="DN98" s="118"/>
      <c r="DO98" s="118"/>
      <c r="DP98" s="118"/>
      <c r="DQ98" s="118"/>
      <c r="DR98" s="118"/>
      <c r="DS98" s="118"/>
      <c r="DT98" s="118"/>
      <c r="DU98" s="118"/>
      <c r="DV98" s="118"/>
      <c r="DW98" s="118"/>
      <c r="DX98" s="119">
        <f t="shared" si="2"/>
        <v>0</v>
      </c>
      <c r="DY98" s="128"/>
      <c r="DZ98" s="129"/>
      <c r="EA98" s="118"/>
      <c r="EB98" s="118"/>
      <c r="EC98" s="135" t="e">
        <f t="shared" si="3"/>
        <v>#DIV/0!</v>
      </c>
      <c r="EE98" s="139"/>
      <c r="EF98" s="142" t="s">
        <v>298</v>
      </c>
    </row>
    <row r="99" spans="1:136" ht="15.75" customHeight="1" x14ac:dyDescent="0.3"/>
    <row r="100" spans="1:136" ht="15.75" customHeight="1" x14ac:dyDescent="0.3">
      <c r="DX100" s="117">
        <v>1</v>
      </c>
      <c r="DY100" s="133">
        <f>+DX100/$DX$111</f>
        <v>8.3333333333333329E-2</v>
      </c>
      <c r="DZ100" s="117" t="s">
        <v>366</v>
      </c>
    </row>
    <row r="101" spans="1:136" ht="15.75" customHeight="1" x14ac:dyDescent="0.3">
      <c r="DX101" s="117">
        <v>2</v>
      </c>
      <c r="DY101" s="133">
        <f t="shared" ref="DY101:DY111" si="4">+DX101/$DX$111</f>
        <v>0.16666666666666666</v>
      </c>
      <c r="DZ101" s="117" t="s">
        <v>367</v>
      </c>
    </row>
    <row r="102" spans="1:136" ht="15.75" customHeight="1" x14ac:dyDescent="0.3">
      <c r="DX102" s="117">
        <v>3</v>
      </c>
      <c r="DY102" s="133">
        <f t="shared" si="4"/>
        <v>0.25</v>
      </c>
      <c r="DZ102" s="117" t="s">
        <v>368</v>
      </c>
    </row>
    <row r="103" spans="1:136" ht="15.75" customHeight="1" x14ac:dyDescent="0.3">
      <c r="DX103" s="117">
        <v>4</v>
      </c>
      <c r="DY103" s="133">
        <f t="shared" si="4"/>
        <v>0.33333333333333331</v>
      </c>
      <c r="DZ103" s="117" t="s">
        <v>369</v>
      </c>
    </row>
    <row r="104" spans="1:136" ht="15.75" customHeight="1" x14ac:dyDescent="0.3">
      <c r="DX104" s="117">
        <v>5</v>
      </c>
      <c r="DY104" s="133">
        <f t="shared" si="4"/>
        <v>0.41666666666666669</v>
      </c>
      <c r="DZ104" s="117" t="s">
        <v>370</v>
      </c>
    </row>
    <row r="105" spans="1:136" ht="15.75" customHeight="1" x14ac:dyDescent="0.3">
      <c r="DX105" s="117">
        <v>6</v>
      </c>
      <c r="DY105" s="133">
        <f t="shared" si="4"/>
        <v>0.5</v>
      </c>
      <c r="DZ105" s="117" t="s">
        <v>371</v>
      </c>
    </row>
    <row r="106" spans="1:136" ht="15.75" customHeight="1" x14ac:dyDescent="0.3">
      <c r="DX106" s="117">
        <v>7</v>
      </c>
      <c r="DY106" s="133">
        <f t="shared" si="4"/>
        <v>0.58333333333333337</v>
      </c>
      <c r="DZ106" s="117" t="s">
        <v>372</v>
      </c>
    </row>
    <row r="107" spans="1:136" ht="15.75" customHeight="1" x14ac:dyDescent="0.3">
      <c r="DX107" s="132">
        <v>8</v>
      </c>
      <c r="DY107" s="134">
        <f t="shared" si="4"/>
        <v>0.66666666666666663</v>
      </c>
      <c r="DZ107" s="132" t="s">
        <v>373</v>
      </c>
    </row>
    <row r="108" spans="1:136" ht="15.75" customHeight="1" x14ac:dyDescent="0.3">
      <c r="DX108" s="117">
        <v>9</v>
      </c>
      <c r="DY108" s="133">
        <f t="shared" si="4"/>
        <v>0.75</v>
      </c>
      <c r="DZ108" s="117" t="s">
        <v>374</v>
      </c>
    </row>
    <row r="109" spans="1:136" ht="15.75" customHeight="1" x14ac:dyDescent="0.3">
      <c r="DX109" s="117">
        <v>10</v>
      </c>
      <c r="DY109" s="133">
        <f t="shared" si="4"/>
        <v>0.83333333333333337</v>
      </c>
      <c r="DZ109" s="117" t="s">
        <v>375</v>
      </c>
    </row>
    <row r="110" spans="1:136" ht="15.75" customHeight="1" x14ac:dyDescent="0.3">
      <c r="DX110" s="117">
        <v>11</v>
      </c>
      <c r="DY110" s="133">
        <f t="shared" si="4"/>
        <v>0.91666666666666663</v>
      </c>
      <c r="DZ110" s="117" t="s">
        <v>376</v>
      </c>
    </row>
    <row r="111" spans="1:136" ht="15.75" customHeight="1" x14ac:dyDescent="0.3">
      <c r="DX111" s="117">
        <v>12</v>
      </c>
      <c r="DY111" s="133">
        <f t="shared" si="4"/>
        <v>1</v>
      </c>
      <c r="DZ111" s="117" t="s">
        <v>377</v>
      </c>
    </row>
    <row r="112" spans="1:136"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6">
    <mergeCell ref="A70:A73"/>
    <mergeCell ref="A76:A80"/>
    <mergeCell ref="EE70:EE73"/>
    <mergeCell ref="EE76:EE80"/>
    <mergeCell ref="F1:AI1"/>
    <mergeCell ref="AJ1:BN1"/>
    <mergeCell ref="BO1:CR1"/>
    <mergeCell ref="CS1:DW1"/>
    <mergeCell ref="B70:B73"/>
    <mergeCell ref="A1:E2"/>
    <mergeCell ref="DX1:EC1"/>
    <mergeCell ref="DX2:DY2"/>
    <mergeCell ref="EA2:EB2"/>
    <mergeCell ref="B76:B80"/>
    <mergeCell ref="C70:C73"/>
    <mergeCell ref="C76:C80"/>
  </mergeCells>
  <conditionalFormatting sqref="EC4:EC98">
    <cfRule type="cellIs" dxfId="0" priority="1" operator="lessThan">
      <formula>0.67</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GSP</vt:lpstr>
      <vt:lpstr>Operador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Nain Zuñiga Porto</cp:lastModifiedBy>
  <dcterms:created xsi:type="dcterms:W3CDTF">2025-11-11T20:57:32Z</dcterms:created>
  <dcterms:modified xsi:type="dcterms:W3CDTF">2026-09-21T02:49:27Z</dcterms:modified>
</cp:coreProperties>
</file>
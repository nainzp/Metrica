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dria\Desktop\SALUD MAGD 2026\GENERALES\"/>
    </mc:Choice>
  </mc:AlternateContent>
  <xr:revisionPtr revIDLastSave="0" documentId="13_ncr:1_{9BFCE9D5-8DFF-40E6-866A-744AF1649A71}" xr6:coauthVersionLast="47" xr6:coauthVersionMax="47" xr10:uidLastSave="{00000000-0000-0000-0000-000000000000}"/>
  <bookViews>
    <workbookView xWindow="-110" yWindow="-110" windowWidth="19420" windowHeight="10300" firstSheet="1" activeTab="3" xr2:uid="{00000000-000D-0000-FFFF-FFFF00000000}"/>
  </bookViews>
  <sheets>
    <sheet name="INSTRUCTIVO" sheetId="1" r:id="rId1"/>
    <sheet name="Resultado seguimiento" sheetId="2" r:id="rId2"/>
    <sheet name="PLAN DE ACCION EN SALUD" sheetId="3" r:id="rId3"/>
    <sheet name="TH" sheetId="11" r:id="rId4"/>
    <sheet name="DATOS EJEC" sheetId="10" r:id="rId5"/>
    <sheet name="EJEC x componente" sheetId="13" r:id="rId6"/>
    <sheet name="pendientes" sheetId="12" r:id="rId7"/>
    <sheet name="TD" sheetId="9" r:id="rId8"/>
    <sheet name="Graficos" sheetId="4" state="hidden" r:id="rId9"/>
    <sheet name="ResultadoValidacion" sheetId="5" r:id="rId10"/>
    <sheet name="Data" sheetId="6" state="hidden" r:id="rId11"/>
    <sheet name="ValoresListasDesplegables" sheetId="7" r:id="rId12"/>
  </sheets>
  <definedNames>
    <definedName name="_xlnm._FilterDatabase" localSheetId="4" hidden="1">'DATOS EJEC'!$A$1:$E$39</definedName>
    <definedName name="_xlnm._FilterDatabase" localSheetId="2" hidden="1">'PLAN DE ACCION EN SALUD'!$A$4:$AY$281</definedName>
    <definedName name="_xlnm._FilterDatabase" localSheetId="3" hidden="1">TH!$A$1:$G$34</definedName>
  </definedNames>
  <calcPr calcId="191029"/>
  <pivotCaches>
    <pivotCache cacheId="0" r:id="rId13"/>
    <pivotCache cacheId="4" r:id="rId1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ibWj1jdrqES0sZDHZdubNcuYEfqmlibzun4tdcoHIIc="/>
    </ext>
  </extLst>
</workbook>
</file>

<file path=xl/calcChain.xml><?xml version="1.0" encoding="utf-8"?>
<calcChain xmlns="http://schemas.openxmlformats.org/spreadsheetml/2006/main">
  <c r="DE282" i="3" l="1"/>
  <c r="DB282" i="3"/>
  <c r="CY282" i="3"/>
  <c r="CV282" i="3"/>
  <c r="R282" i="3"/>
  <c r="DH6" i="3"/>
  <c r="DH7" i="3"/>
  <c r="DH8" i="3"/>
  <c r="DH9" i="3"/>
  <c r="DH10" i="3"/>
  <c r="DH11" i="3"/>
  <c r="DH12" i="3"/>
  <c r="DH13" i="3"/>
  <c r="DH14" i="3"/>
  <c r="DH15" i="3"/>
  <c r="DH16" i="3"/>
  <c r="DH17" i="3"/>
  <c r="DH18" i="3"/>
  <c r="DH19" i="3"/>
  <c r="DH20" i="3"/>
  <c r="DH21" i="3"/>
  <c r="DH22" i="3"/>
  <c r="DH23" i="3"/>
  <c r="DH24" i="3"/>
  <c r="DH25" i="3"/>
  <c r="DH26" i="3"/>
  <c r="DH27" i="3"/>
  <c r="DH28" i="3"/>
  <c r="DH29" i="3"/>
  <c r="DH30" i="3"/>
  <c r="DH31" i="3"/>
  <c r="DH32" i="3"/>
  <c r="DH33" i="3"/>
  <c r="DH34" i="3"/>
  <c r="DH35" i="3"/>
  <c r="DH36" i="3"/>
  <c r="DH37" i="3"/>
  <c r="DH38" i="3"/>
  <c r="DH39" i="3"/>
  <c r="DH40" i="3"/>
  <c r="DH41" i="3"/>
  <c r="DH42" i="3"/>
  <c r="DH43" i="3"/>
  <c r="DH44" i="3"/>
  <c r="DH45" i="3"/>
  <c r="DH46" i="3"/>
  <c r="DH47" i="3"/>
  <c r="DH48" i="3"/>
  <c r="DH49" i="3"/>
  <c r="DH50" i="3"/>
  <c r="DH51" i="3"/>
  <c r="DH52" i="3"/>
  <c r="DH53" i="3"/>
  <c r="DH54" i="3"/>
  <c r="DH55" i="3"/>
  <c r="DH56" i="3"/>
  <c r="DH57" i="3"/>
  <c r="DH58" i="3"/>
  <c r="DH59" i="3"/>
  <c r="DH60" i="3"/>
  <c r="DH61" i="3"/>
  <c r="DH62" i="3"/>
  <c r="DH63" i="3"/>
  <c r="DH64" i="3"/>
  <c r="DH65" i="3"/>
  <c r="DH66" i="3"/>
  <c r="DH67" i="3"/>
  <c r="DH68" i="3"/>
  <c r="DH69" i="3"/>
  <c r="DH70" i="3"/>
  <c r="DH71" i="3"/>
  <c r="DH72" i="3"/>
  <c r="DH73" i="3"/>
  <c r="DH74" i="3"/>
  <c r="DH75" i="3"/>
  <c r="DH76" i="3"/>
  <c r="DH77" i="3"/>
  <c r="DH78" i="3"/>
  <c r="DH79" i="3"/>
  <c r="DH80" i="3"/>
  <c r="DH81" i="3"/>
  <c r="DH82" i="3"/>
  <c r="DH83" i="3"/>
  <c r="DH84" i="3"/>
  <c r="DH85" i="3"/>
  <c r="DH86" i="3"/>
  <c r="DH87" i="3"/>
  <c r="DH88" i="3"/>
  <c r="DH89" i="3"/>
  <c r="DH90" i="3"/>
  <c r="DH91" i="3"/>
  <c r="DH92" i="3"/>
  <c r="DH93" i="3"/>
  <c r="DH94" i="3"/>
  <c r="DH95" i="3"/>
  <c r="DH96" i="3"/>
  <c r="DH97" i="3"/>
  <c r="DH98" i="3"/>
  <c r="DH99" i="3"/>
  <c r="DH100" i="3"/>
  <c r="DH101" i="3"/>
  <c r="DH102" i="3"/>
  <c r="DH103" i="3"/>
  <c r="DH104" i="3"/>
  <c r="DH105" i="3"/>
  <c r="DH106" i="3"/>
  <c r="DH107" i="3"/>
  <c r="DH108" i="3"/>
  <c r="DH109" i="3"/>
  <c r="DH110" i="3"/>
  <c r="DH111" i="3"/>
  <c r="DH112" i="3"/>
  <c r="DH113" i="3"/>
  <c r="DH114" i="3"/>
  <c r="DH115" i="3"/>
  <c r="DH116" i="3"/>
  <c r="DH117" i="3"/>
  <c r="DH118" i="3"/>
  <c r="DH119" i="3"/>
  <c r="DH120" i="3"/>
  <c r="DH121" i="3"/>
  <c r="DH122" i="3"/>
  <c r="DH123" i="3"/>
  <c r="DH124" i="3"/>
  <c r="DH125" i="3"/>
  <c r="DH126" i="3"/>
  <c r="DH127" i="3"/>
  <c r="DH128" i="3"/>
  <c r="DH129" i="3"/>
  <c r="DH130" i="3"/>
  <c r="DH131" i="3"/>
  <c r="DH132" i="3"/>
  <c r="DH133" i="3"/>
  <c r="DH134" i="3"/>
  <c r="DH135" i="3"/>
  <c r="DH136" i="3"/>
  <c r="DH137" i="3"/>
  <c r="DH138" i="3"/>
  <c r="DH139" i="3"/>
  <c r="DH140" i="3"/>
  <c r="DH141" i="3"/>
  <c r="DH142" i="3"/>
  <c r="DH143" i="3"/>
  <c r="DH144" i="3"/>
  <c r="DH145" i="3"/>
  <c r="DH146" i="3"/>
  <c r="DH147" i="3"/>
  <c r="DH148" i="3"/>
  <c r="DH149" i="3"/>
  <c r="DH150" i="3"/>
  <c r="DH151" i="3"/>
  <c r="DH152" i="3"/>
  <c r="DH153" i="3"/>
  <c r="DH154" i="3"/>
  <c r="DH155" i="3"/>
  <c r="DH156" i="3"/>
  <c r="DH157" i="3"/>
  <c r="DH158" i="3"/>
  <c r="DH159" i="3"/>
  <c r="DH160" i="3"/>
  <c r="DH161" i="3"/>
  <c r="DH162" i="3"/>
  <c r="DH163" i="3"/>
  <c r="DH164" i="3"/>
  <c r="DH165" i="3"/>
  <c r="DH166" i="3"/>
  <c r="DH167" i="3"/>
  <c r="DH168" i="3"/>
  <c r="DH169" i="3"/>
  <c r="DH170" i="3"/>
  <c r="DH171" i="3"/>
  <c r="DH172" i="3"/>
  <c r="DH173" i="3"/>
  <c r="DH174" i="3"/>
  <c r="DH175" i="3"/>
  <c r="DH176" i="3"/>
  <c r="DH177" i="3"/>
  <c r="DH178" i="3"/>
  <c r="DH179" i="3"/>
  <c r="DH180" i="3"/>
  <c r="DH181" i="3"/>
  <c r="DH182" i="3"/>
  <c r="DH183" i="3"/>
  <c r="DH184" i="3"/>
  <c r="DH185" i="3"/>
  <c r="DH186" i="3"/>
  <c r="DH187" i="3"/>
  <c r="DH188" i="3"/>
  <c r="DH189" i="3"/>
  <c r="DH190" i="3"/>
  <c r="DH191" i="3"/>
  <c r="DH192" i="3"/>
  <c r="DH193" i="3"/>
  <c r="DH194" i="3"/>
  <c r="DH195" i="3"/>
  <c r="DH196" i="3"/>
  <c r="DH197" i="3"/>
  <c r="DH198" i="3"/>
  <c r="DH199" i="3"/>
  <c r="DH200" i="3"/>
  <c r="DH201" i="3"/>
  <c r="DH202" i="3"/>
  <c r="DH203" i="3"/>
  <c r="DH204" i="3"/>
  <c r="DH205" i="3"/>
  <c r="DH206" i="3"/>
  <c r="DH207" i="3"/>
  <c r="DH208" i="3"/>
  <c r="DH209" i="3"/>
  <c r="DH210" i="3"/>
  <c r="DH211" i="3"/>
  <c r="DH212" i="3"/>
  <c r="DH213" i="3"/>
  <c r="DH214" i="3"/>
  <c r="DH215" i="3"/>
  <c r="DH216" i="3"/>
  <c r="DH217" i="3"/>
  <c r="DH218" i="3"/>
  <c r="DH219" i="3"/>
  <c r="DH220" i="3"/>
  <c r="DH221" i="3"/>
  <c r="DH222" i="3"/>
  <c r="DH223" i="3"/>
  <c r="DH224" i="3"/>
  <c r="DH225" i="3"/>
  <c r="DH226" i="3"/>
  <c r="DH227" i="3"/>
  <c r="DH228" i="3"/>
  <c r="DH229" i="3"/>
  <c r="DH230" i="3"/>
  <c r="DH231" i="3"/>
  <c r="DH232" i="3"/>
  <c r="DH233" i="3"/>
  <c r="DH234" i="3"/>
  <c r="DH235" i="3"/>
  <c r="DH236" i="3"/>
  <c r="DH237" i="3"/>
  <c r="DH238" i="3"/>
  <c r="DH239" i="3"/>
  <c r="DH240" i="3"/>
  <c r="DH241" i="3"/>
  <c r="DH242" i="3"/>
  <c r="DH243" i="3"/>
  <c r="DH244" i="3"/>
  <c r="DH245" i="3"/>
  <c r="DH246" i="3"/>
  <c r="DH247" i="3"/>
  <c r="DH248" i="3"/>
  <c r="DH249" i="3"/>
  <c r="DH250" i="3"/>
  <c r="DH251" i="3"/>
  <c r="DH252" i="3"/>
  <c r="DH253" i="3"/>
  <c r="DH254" i="3"/>
  <c r="DH255" i="3"/>
  <c r="DH256" i="3"/>
  <c r="DH257" i="3"/>
  <c r="DH258" i="3"/>
  <c r="DH259" i="3"/>
  <c r="DH260" i="3"/>
  <c r="DH261" i="3"/>
  <c r="DH262" i="3"/>
  <c r="DH263" i="3"/>
  <c r="DH264" i="3"/>
  <c r="DH265" i="3"/>
  <c r="DH266" i="3"/>
  <c r="DH267" i="3"/>
  <c r="DH268" i="3"/>
  <c r="DH269" i="3"/>
  <c r="DH270" i="3"/>
  <c r="DH271" i="3"/>
  <c r="DH272" i="3"/>
  <c r="DH273" i="3"/>
  <c r="DH274" i="3"/>
  <c r="DH275" i="3"/>
  <c r="DH276" i="3"/>
  <c r="DH277" i="3"/>
  <c r="DH278" i="3"/>
  <c r="DH279" i="3"/>
  <c r="DH280" i="3"/>
  <c r="DH281" i="3"/>
  <c r="DH5" i="3"/>
  <c r="CM5" i="3"/>
  <c r="CL5" i="3"/>
  <c r="CK5" i="3"/>
  <c r="CH5" i="3"/>
  <c r="CE5" i="3"/>
  <c r="BV6" i="3"/>
  <c r="BW6" i="3"/>
  <c r="BV7" i="3"/>
  <c r="BW7" i="3"/>
  <c r="BV8" i="3"/>
  <c r="BW8" i="3"/>
  <c r="BV9" i="3"/>
  <c r="BW9" i="3"/>
  <c r="BV10" i="3"/>
  <c r="BW10" i="3"/>
  <c r="BV11" i="3"/>
  <c r="BW11" i="3"/>
  <c r="BV12" i="3"/>
  <c r="BW12" i="3"/>
  <c r="BV13" i="3"/>
  <c r="BW13" i="3"/>
  <c r="BV14" i="3"/>
  <c r="BW14" i="3"/>
  <c r="BV15" i="3"/>
  <c r="BW15" i="3"/>
  <c r="BV16" i="3"/>
  <c r="BW16" i="3"/>
  <c r="BV17" i="3"/>
  <c r="BW17" i="3"/>
  <c r="BV18" i="3"/>
  <c r="BW18" i="3"/>
  <c r="BV19" i="3"/>
  <c r="BW19" i="3"/>
  <c r="BV20" i="3"/>
  <c r="BW20" i="3"/>
  <c r="BV21" i="3"/>
  <c r="BW21" i="3"/>
  <c r="BV22" i="3"/>
  <c r="BW22" i="3"/>
  <c r="BV23" i="3"/>
  <c r="BW23" i="3"/>
  <c r="BV24" i="3"/>
  <c r="BW24" i="3"/>
  <c r="BV25" i="3"/>
  <c r="BW25" i="3"/>
  <c r="BV26" i="3"/>
  <c r="BW26" i="3"/>
  <c r="BV27" i="3"/>
  <c r="BW27" i="3"/>
  <c r="BV28" i="3"/>
  <c r="BW28" i="3"/>
  <c r="BV29" i="3"/>
  <c r="BW29" i="3"/>
  <c r="BV30" i="3"/>
  <c r="BW30" i="3"/>
  <c r="BV31" i="3"/>
  <c r="BW31" i="3"/>
  <c r="BV32" i="3"/>
  <c r="BW32" i="3"/>
  <c r="BV33" i="3"/>
  <c r="BW33" i="3"/>
  <c r="BV34" i="3"/>
  <c r="BW34" i="3"/>
  <c r="BV35" i="3"/>
  <c r="BW35" i="3"/>
  <c r="BV36" i="3"/>
  <c r="BW36" i="3"/>
  <c r="BV37" i="3"/>
  <c r="BW37" i="3"/>
  <c r="BV38" i="3"/>
  <c r="BW38" i="3"/>
  <c r="BV39" i="3"/>
  <c r="BW39" i="3"/>
  <c r="BV40" i="3"/>
  <c r="BW40" i="3"/>
  <c r="BV41" i="3"/>
  <c r="BW41" i="3"/>
  <c r="BV42" i="3"/>
  <c r="BW42" i="3"/>
  <c r="BV43" i="3"/>
  <c r="BW43" i="3"/>
  <c r="BV44" i="3"/>
  <c r="BW44" i="3"/>
  <c r="BV45" i="3"/>
  <c r="BW45" i="3"/>
  <c r="BV46" i="3"/>
  <c r="BW46" i="3"/>
  <c r="BV47" i="3"/>
  <c r="BW47" i="3"/>
  <c r="BV48" i="3"/>
  <c r="BW48" i="3"/>
  <c r="BV49" i="3"/>
  <c r="BW49" i="3"/>
  <c r="BV50" i="3"/>
  <c r="BW50" i="3"/>
  <c r="BV51" i="3"/>
  <c r="BW51" i="3"/>
  <c r="BV52" i="3"/>
  <c r="BW52" i="3"/>
  <c r="BV53" i="3"/>
  <c r="BW53" i="3"/>
  <c r="BV54" i="3"/>
  <c r="BW54" i="3"/>
  <c r="BV55" i="3"/>
  <c r="BW55" i="3"/>
  <c r="BV56" i="3"/>
  <c r="BW56" i="3"/>
  <c r="BV57" i="3"/>
  <c r="BW57" i="3"/>
  <c r="BV58" i="3"/>
  <c r="BW58" i="3"/>
  <c r="BV59" i="3"/>
  <c r="BW59" i="3"/>
  <c r="BV60" i="3"/>
  <c r="BW60" i="3"/>
  <c r="BV61" i="3"/>
  <c r="BW61" i="3"/>
  <c r="BV62" i="3"/>
  <c r="BW62" i="3"/>
  <c r="BV63" i="3"/>
  <c r="BW63" i="3"/>
  <c r="BV64" i="3"/>
  <c r="BW64" i="3"/>
  <c r="BV65" i="3"/>
  <c r="BW65" i="3"/>
  <c r="BV66" i="3"/>
  <c r="BW66" i="3"/>
  <c r="BV67" i="3"/>
  <c r="BW67" i="3"/>
  <c r="BV68" i="3"/>
  <c r="BW68" i="3"/>
  <c r="BV69" i="3"/>
  <c r="BW69" i="3"/>
  <c r="BV70" i="3"/>
  <c r="BW70" i="3"/>
  <c r="BV71" i="3"/>
  <c r="BW71" i="3"/>
  <c r="BV72" i="3"/>
  <c r="BW72" i="3"/>
  <c r="BV73" i="3"/>
  <c r="BW73" i="3"/>
  <c r="BV74" i="3"/>
  <c r="BW74" i="3"/>
  <c r="BV75" i="3"/>
  <c r="BW75" i="3"/>
  <c r="BV76" i="3"/>
  <c r="BW76" i="3"/>
  <c r="BV77" i="3"/>
  <c r="BW77" i="3"/>
  <c r="BV78" i="3"/>
  <c r="BW78" i="3"/>
  <c r="BV79" i="3"/>
  <c r="BW79" i="3"/>
  <c r="BV80" i="3"/>
  <c r="BW80" i="3"/>
  <c r="BV81" i="3"/>
  <c r="BW81" i="3"/>
  <c r="BV82" i="3"/>
  <c r="BW82" i="3"/>
  <c r="BV83" i="3"/>
  <c r="BW83" i="3"/>
  <c r="BV84" i="3"/>
  <c r="BW84" i="3"/>
  <c r="BV85" i="3"/>
  <c r="BW85" i="3"/>
  <c r="BV86" i="3"/>
  <c r="BW86" i="3"/>
  <c r="BV87" i="3"/>
  <c r="BW87" i="3"/>
  <c r="BV88" i="3"/>
  <c r="BW88" i="3"/>
  <c r="BV89" i="3"/>
  <c r="BW89" i="3"/>
  <c r="BV90" i="3"/>
  <c r="BW90" i="3"/>
  <c r="BV91" i="3"/>
  <c r="BW91" i="3"/>
  <c r="BV92" i="3"/>
  <c r="BW92" i="3"/>
  <c r="BV93" i="3"/>
  <c r="BW93" i="3"/>
  <c r="BV94" i="3"/>
  <c r="BW94" i="3"/>
  <c r="BV95" i="3"/>
  <c r="BW95" i="3"/>
  <c r="BV96" i="3"/>
  <c r="BW96" i="3"/>
  <c r="BV97" i="3"/>
  <c r="BW97" i="3"/>
  <c r="BV98" i="3"/>
  <c r="BW98" i="3"/>
  <c r="BV99" i="3"/>
  <c r="BW99" i="3"/>
  <c r="BV100" i="3"/>
  <c r="BW100" i="3"/>
  <c r="BV101" i="3"/>
  <c r="BW101" i="3"/>
  <c r="BV102" i="3"/>
  <c r="BW102" i="3"/>
  <c r="BV103" i="3"/>
  <c r="BW103" i="3"/>
  <c r="BV104" i="3"/>
  <c r="BW104" i="3"/>
  <c r="BV105" i="3"/>
  <c r="BW105" i="3"/>
  <c r="BV106" i="3"/>
  <c r="BW106" i="3"/>
  <c r="BV107" i="3"/>
  <c r="BW107" i="3"/>
  <c r="BV108" i="3"/>
  <c r="BW108" i="3"/>
  <c r="BV109" i="3"/>
  <c r="BW109" i="3"/>
  <c r="BV110" i="3"/>
  <c r="BW110" i="3"/>
  <c r="BV111" i="3"/>
  <c r="BW111" i="3"/>
  <c r="BV112" i="3"/>
  <c r="BW112" i="3"/>
  <c r="BV113" i="3"/>
  <c r="BW113" i="3"/>
  <c r="BV114" i="3"/>
  <c r="BW114" i="3"/>
  <c r="BV115" i="3"/>
  <c r="BW115" i="3"/>
  <c r="BV116" i="3"/>
  <c r="BW116" i="3"/>
  <c r="BV117" i="3"/>
  <c r="BW117" i="3"/>
  <c r="BV118" i="3"/>
  <c r="BW118" i="3"/>
  <c r="BV119" i="3"/>
  <c r="BW119" i="3"/>
  <c r="BV120" i="3"/>
  <c r="BW120" i="3"/>
  <c r="BV121" i="3"/>
  <c r="BW121" i="3"/>
  <c r="BV122" i="3"/>
  <c r="BW122" i="3"/>
  <c r="BV123" i="3"/>
  <c r="BW123" i="3"/>
  <c r="BV124" i="3"/>
  <c r="BW124" i="3"/>
  <c r="BV125" i="3"/>
  <c r="BW125" i="3"/>
  <c r="BV126" i="3"/>
  <c r="BW126" i="3"/>
  <c r="BV127" i="3"/>
  <c r="BW127" i="3"/>
  <c r="BV128" i="3"/>
  <c r="BW128" i="3"/>
  <c r="BV129" i="3"/>
  <c r="BW129" i="3"/>
  <c r="BV130" i="3"/>
  <c r="BW130" i="3"/>
  <c r="BV131" i="3"/>
  <c r="BW131" i="3"/>
  <c r="BV132" i="3"/>
  <c r="BW132" i="3"/>
  <c r="BV133" i="3"/>
  <c r="BW133" i="3"/>
  <c r="BV134" i="3"/>
  <c r="BW134" i="3"/>
  <c r="BV135" i="3"/>
  <c r="BW135" i="3"/>
  <c r="BV136" i="3"/>
  <c r="BW136" i="3"/>
  <c r="BV137" i="3"/>
  <c r="BW137" i="3"/>
  <c r="BV138" i="3"/>
  <c r="BW138" i="3"/>
  <c r="BV139" i="3"/>
  <c r="BW139" i="3"/>
  <c r="BV140" i="3"/>
  <c r="BW140" i="3"/>
  <c r="BV141" i="3"/>
  <c r="BW141" i="3"/>
  <c r="BV142" i="3"/>
  <c r="BW142" i="3"/>
  <c r="BV143" i="3"/>
  <c r="BW143" i="3"/>
  <c r="BV144" i="3"/>
  <c r="BW144" i="3"/>
  <c r="BV145" i="3"/>
  <c r="BW145" i="3"/>
  <c r="BV146" i="3"/>
  <c r="BW146" i="3"/>
  <c r="BV147" i="3"/>
  <c r="BW147" i="3"/>
  <c r="BV148" i="3"/>
  <c r="BW148" i="3"/>
  <c r="BV149" i="3"/>
  <c r="BW149" i="3"/>
  <c r="BV150" i="3"/>
  <c r="BW150" i="3"/>
  <c r="BV151" i="3"/>
  <c r="BW151" i="3"/>
  <c r="BV152" i="3"/>
  <c r="BW152" i="3"/>
  <c r="BV153" i="3"/>
  <c r="BW153" i="3"/>
  <c r="BV154" i="3"/>
  <c r="BW154" i="3"/>
  <c r="BV155" i="3"/>
  <c r="BW155" i="3"/>
  <c r="BV156" i="3"/>
  <c r="BW156" i="3"/>
  <c r="BV157" i="3"/>
  <c r="BW157" i="3"/>
  <c r="BV158" i="3"/>
  <c r="BW158" i="3"/>
  <c r="BV159" i="3"/>
  <c r="BW159" i="3"/>
  <c r="BV160" i="3"/>
  <c r="BW160" i="3"/>
  <c r="BV161" i="3"/>
  <c r="BW161" i="3"/>
  <c r="BV162" i="3"/>
  <c r="BW162" i="3"/>
  <c r="BV163" i="3"/>
  <c r="BW163" i="3"/>
  <c r="BV164" i="3"/>
  <c r="BW164" i="3"/>
  <c r="BV165" i="3"/>
  <c r="BW165" i="3"/>
  <c r="BV166" i="3"/>
  <c r="BW166" i="3"/>
  <c r="BV167" i="3"/>
  <c r="BW167" i="3"/>
  <c r="BV168" i="3"/>
  <c r="BW168" i="3"/>
  <c r="BV169" i="3"/>
  <c r="BW169" i="3"/>
  <c r="BV170" i="3"/>
  <c r="BW170" i="3"/>
  <c r="BV171" i="3"/>
  <c r="BW171" i="3"/>
  <c r="BV172" i="3"/>
  <c r="BW172" i="3"/>
  <c r="BV173" i="3"/>
  <c r="BW173" i="3"/>
  <c r="BV174" i="3"/>
  <c r="BW174" i="3"/>
  <c r="BV175" i="3"/>
  <c r="BW175" i="3"/>
  <c r="BV176" i="3"/>
  <c r="BW176" i="3"/>
  <c r="BV177" i="3"/>
  <c r="BW177" i="3"/>
  <c r="BV178" i="3"/>
  <c r="BW178" i="3"/>
  <c r="BV179" i="3"/>
  <c r="BW179" i="3"/>
  <c r="BV180" i="3"/>
  <c r="BW180" i="3"/>
  <c r="BV181" i="3"/>
  <c r="BW181" i="3"/>
  <c r="BV182" i="3"/>
  <c r="BW182" i="3"/>
  <c r="BV183" i="3"/>
  <c r="BW183" i="3"/>
  <c r="BV184" i="3"/>
  <c r="BW184" i="3"/>
  <c r="BV185" i="3"/>
  <c r="BW185" i="3"/>
  <c r="BV186" i="3"/>
  <c r="BW186" i="3"/>
  <c r="BV187" i="3"/>
  <c r="BW187" i="3"/>
  <c r="BV188" i="3"/>
  <c r="BW188" i="3"/>
  <c r="BV189" i="3"/>
  <c r="BW189" i="3"/>
  <c r="BV190" i="3"/>
  <c r="BW190" i="3"/>
  <c r="BV191" i="3"/>
  <c r="BW191" i="3"/>
  <c r="BV192" i="3"/>
  <c r="BW192" i="3"/>
  <c r="BV193" i="3"/>
  <c r="BW193" i="3"/>
  <c r="BV194" i="3"/>
  <c r="BW194" i="3"/>
  <c r="BV195" i="3"/>
  <c r="BW195" i="3"/>
  <c r="BV196" i="3"/>
  <c r="BW196" i="3"/>
  <c r="BV197" i="3"/>
  <c r="BW197" i="3"/>
  <c r="BV198" i="3"/>
  <c r="BW198" i="3"/>
  <c r="BV199" i="3"/>
  <c r="BW199" i="3"/>
  <c r="BV200" i="3"/>
  <c r="BW200" i="3"/>
  <c r="BV201" i="3"/>
  <c r="BW201" i="3"/>
  <c r="BV202" i="3"/>
  <c r="BW202" i="3"/>
  <c r="BV203" i="3"/>
  <c r="BW203" i="3"/>
  <c r="BV204" i="3"/>
  <c r="BW204" i="3"/>
  <c r="BV205" i="3"/>
  <c r="BW205" i="3"/>
  <c r="BV206" i="3"/>
  <c r="BW206" i="3"/>
  <c r="BV207" i="3"/>
  <c r="BW207" i="3"/>
  <c r="BV208" i="3"/>
  <c r="BW208" i="3"/>
  <c r="BV209" i="3"/>
  <c r="BW209" i="3"/>
  <c r="BV210" i="3"/>
  <c r="BW210" i="3"/>
  <c r="BV211" i="3"/>
  <c r="BW211" i="3"/>
  <c r="BV212" i="3"/>
  <c r="BW212" i="3"/>
  <c r="BV213" i="3"/>
  <c r="BW213" i="3"/>
  <c r="BV214" i="3"/>
  <c r="BW214" i="3"/>
  <c r="BV215" i="3"/>
  <c r="BW215" i="3"/>
  <c r="BV216" i="3"/>
  <c r="BW216" i="3"/>
  <c r="BV217" i="3"/>
  <c r="BW217" i="3"/>
  <c r="BV218" i="3"/>
  <c r="BW218" i="3"/>
  <c r="BV219" i="3"/>
  <c r="BW219" i="3"/>
  <c r="BV220" i="3"/>
  <c r="BW220" i="3"/>
  <c r="BV221" i="3"/>
  <c r="BW221" i="3"/>
  <c r="BV222" i="3"/>
  <c r="BW222" i="3"/>
  <c r="BV223" i="3"/>
  <c r="BW223" i="3"/>
  <c r="BV224" i="3"/>
  <c r="BW224" i="3"/>
  <c r="BV225" i="3"/>
  <c r="BW225" i="3"/>
  <c r="BV226" i="3"/>
  <c r="BW226" i="3"/>
  <c r="BV227" i="3"/>
  <c r="BW227" i="3"/>
  <c r="BV228" i="3"/>
  <c r="BW228" i="3"/>
  <c r="BV229" i="3"/>
  <c r="BW229" i="3"/>
  <c r="BV230" i="3"/>
  <c r="BW230" i="3"/>
  <c r="BV231" i="3"/>
  <c r="BW231" i="3"/>
  <c r="BV232" i="3"/>
  <c r="BW232" i="3"/>
  <c r="BV233" i="3"/>
  <c r="BW233" i="3"/>
  <c r="BV234" i="3"/>
  <c r="BW234" i="3"/>
  <c r="BV235" i="3"/>
  <c r="BW235" i="3"/>
  <c r="BV236" i="3"/>
  <c r="BW236" i="3"/>
  <c r="BV237" i="3"/>
  <c r="BW237" i="3"/>
  <c r="BV238" i="3"/>
  <c r="BW238" i="3"/>
  <c r="BV239" i="3"/>
  <c r="BW239" i="3"/>
  <c r="BV240" i="3"/>
  <c r="BW240" i="3"/>
  <c r="BV241" i="3"/>
  <c r="BW241" i="3"/>
  <c r="BV242" i="3"/>
  <c r="BW242" i="3"/>
  <c r="BV243" i="3"/>
  <c r="BW243" i="3"/>
  <c r="BV244" i="3"/>
  <c r="BW244" i="3"/>
  <c r="BV245" i="3"/>
  <c r="BW245" i="3"/>
  <c r="BV246" i="3"/>
  <c r="BW246" i="3"/>
  <c r="BV247" i="3"/>
  <c r="BW247" i="3"/>
  <c r="BV248" i="3"/>
  <c r="BW248" i="3"/>
  <c r="BV249" i="3"/>
  <c r="BW249" i="3"/>
  <c r="BV250" i="3"/>
  <c r="BW250" i="3"/>
  <c r="BV251" i="3"/>
  <c r="BW251" i="3"/>
  <c r="BV252" i="3"/>
  <c r="BW252" i="3"/>
  <c r="BV253" i="3"/>
  <c r="BW253" i="3"/>
  <c r="BV254" i="3"/>
  <c r="BW254" i="3"/>
  <c r="BV255" i="3"/>
  <c r="BW255" i="3"/>
  <c r="BV256" i="3"/>
  <c r="BW256" i="3"/>
  <c r="BV257" i="3"/>
  <c r="BW257" i="3"/>
  <c r="BV258" i="3"/>
  <c r="BW258" i="3"/>
  <c r="BV259" i="3"/>
  <c r="BW259" i="3"/>
  <c r="BV260" i="3"/>
  <c r="BW260" i="3"/>
  <c r="BV261" i="3"/>
  <c r="BW261" i="3"/>
  <c r="BV262" i="3"/>
  <c r="BW262" i="3"/>
  <c r="BV263" i="3"/>
  <c r="BW263" i="3"/>
  <c r="BV264" i="3"/>
  <c r="BW264" i="3"/>
  <c r="BV265" i="3"/>
  <c r="BW265" i="3"/>
  <c r="BV266" i="3"/>
  <c r="BW266" i="3"/>
  <c r="BV267" i="3"/>
  <c r="BW267" i="3"/>
  <c r="BV268" i="3"/>
  <c r="BW268" i="3"/>
  <c r="BV269" i="3"/>
  <c r="BW269" i="3"/>
  <c r="BV270" i="3"/>
  <c r="BW270" i="3"/>
  <c r="BV271" i="3"/>
  <c r="BW271" i="3"/>
  <c r="BV272" i="3"/>
  <c r="BW272" i="3"/>
  <c r="BV273" i="3"/>
  <c r="BW273" i="3"/>
  <c r="BV274" i="3"/>
  <c r="BW274" i="3"/>
  <c r="BV275" i="3"/>
  <c r="BW275" i="3"/>
  <c r="BV276" i="3"/>
  <c r="BW276" i="3"/>
  <c r="BV277" i="3"/>
  <c r="BW277" i="3"/>
  <c r="BV278" i="3"/>
  <c r="BW278" i="3"/>
  <c r="BV279" i="3"/>
  <c r="BW279" i="3"/>
  <c r="BV280" i="3"/>
  <c r="BW280" i="3"/>
  <c r="BV281" i="3"/>
  <c r="BW281" i="3"/>
  <c r="BW5" i="3"/>
  <c r="BV5" i="3"/>
  <c r="BU5" i="3"/>
  <c r="BR5" i="3"/>
  <c r="BO5" i="3"/>
  <c r="BJ6" i="3"/>
  <c r="BK6" i="3"/>
  <c r="BJ7" i="3"/>
  <c r="BK7" i="3"/>
  <c r="BJ8" i="3"/>
  <c r="BK8" i="3"/>
  <c r="BJ9" i="3"/>
  <c r="BK9" i="3"/>
  <c r="BJ10" i="3"/>
  <c r="BK10" i="3"/>
  <c r="BJ11" i="3"/>
  <c r="BK11" i="3"/>
  <c r="BJ12" i="3"/>
  <c r="BK12" i="3"/>
  <c r="BJ13" i="3"/>
  <c r="BK13" i="3"/>
  <c r="BJ14" i="3"/>
  <c r="BK14" i="3"/>
  <c r="BJ15" i="3"/>
  <c r="BK15" i="3"/>
  <c r="BJ16" i="3"/>
  <c r="BK16" i="3"/>
  <c r="BJ17" i="3"/>
  <c r="BK17" i="3"/>
  <c r="BJ18" i="3"/>
  <c r="BK18" i="3"/>
  <c r="BJ19" i="3"/>
  <c r="BK19" i="3"/>
  <c r="BJ20" i="3"/>
  <c r="BK20" i="3"/>
  <c r="BJ21" i="3"/>
  <c r="BK21" i="3"/>
  <c r="BJ22" i="3"/>
  <c r="BK22" i="3"/>
  <c r="BJ23" i="3"/>
  <c r="BK23" i="3"/>
  <c r="BJ24" i="3"/>
  <c r="BK24" i="3"/>
  <c r="BJ25" i="3"/>
  <c r="BK25" i="3"/>
  <c r="BJ26" i="3"/>
  <c r="BK26" i="3"/>
  <c r="BJ27" i="3"/>
  <c r="BK27" i="3"/>
  <c r="BJ28" i="3"/>
  <c r="BK28" i="3"/>
  <c r="BJ29" i="3"/>
  <c r="BK29" i="3"/>
  <c r="BJ30" i="3"/>
  <c r="BK30" i="3"/>
  <c r="BJ31" i="3"/>
  <c r="BK31" i="3"/>
  <c r="BJ32" i="3"/>
  <c r="BK32" i="3"/>
  <c r="BJ33" i="3"/>
  <c r="BK33" i="3"/>
  <c r="BJ34" i="3"/>
  <c r="BK34" i="3"/>
  <c r="BJ35" i="3"/>
  <c r="BK35" i="3"/>
  <c r="BJ36" i="3"/>
  <c r="BK36" i="3"/>
  <c r="BJ37" i="3"/>
  <c r="BK37" i="3"/>
  <c r="BJ38" i="3"/>
  <c r="BK38" i="3"/>
  <c r="BJ39" i="3"/>
  <c r="BK39" i="3"/>
  <c r="BJ40" i="3"/>
  <c r="BK40" i="3"/>
  <c r="BJ41" i="3"/>
  <c r="BK41" i="3"/>
  <c r="BJ42" i="3"/>
  <c r="BK42" i="3"/>
  <c r="BJ43" i="3"/>
  <c r="BK43" i="3"/>
  <c r="BJ44" i="3"/>
  <c r="BK44" i="3"/>
  <c r="BJ45" i="3"/>
  <c r="BK45" i="3"/>
  <c r="BJ46" i="3"/>
  <c r="BK46" i="3"/>
  <c r="BJ47" i="3"/>
  <c r="BK47" i="3"/>
  <c r="BJ48" i="3"/>
  <c r="BK48" i="3"/>
  <c r="BJ49" i="3"/>
  <c r="BK49" i="3"/>
  <c r="BJ50" i="3"/>
  <c r="BK50" i="3"/>
  <c r="BJ51" i="3"/>
  <c r="BK51" i="3"/>
  <c r="BJ52" i="3"/>
  <c r="BK52" i="3"/>
  <c r="BJ53" i="3"/>
  <c r="BK53" i="3"/>
  <c r="BJ54" i="3"/>
  <c r="BK54" i="3"/>
  <c r="BJ55" i="3"/>
  <c r="BK55" i="3"/>
  <c r="BJ56" i="3"/>
  <c r="BK56" i="3"/>
  <c r="BJ57" i="3"/>
  <c r="BK57" i="3"/>
  <c r="BJ58" i="3"/>
  <c r="BK58" i="3"/>
  <c r="BJ59" i="3"/>
  <c r="BK59" i="3"/>
  <c r="BJ60" i="3"/>
  <c r="BK60" i="3"/>
  <c r="BJ61" i="3"/>
  <c r="BK61" i="3"/>
  <c r="BJ62" i="3"/>
  <c r="BK62" i="3"/>
  <c r="BJ63" i="3"/>
  <c r="BK63" i="3"/>
  <c r="BJ64" i="3"/>
  <c r="BK64" i="3"/>
  <c r="BJ65" i="3"/>
  <c r="BK65" i="3"/>
  <c r="BJ66" i="3"/>
  <c r="BK66" i="3"/>
  <c r="BJ67" i="3"/>
  <c r="BK67" i="3"/>
  <c r="BJ68" i="3"/>
  <c r="BK68" i="3"/>
  <c r="BJ69" i="3"/>
  <c r="BK69" i="3"/>
  <c r="BJ70" i="3"/>
  <c r="BK70" i="3"/>
  <c r="BJ71" i="3"/>
  <c r="BK71" i="3"/>
  <c r="BJ72" i="3"/>
  <c r="BK72" i="3"/>
  <c r="BJ73" i="3"/>
  <c r="BK73" i="3"/>
  <c r="BJ74" i="3"/>
  <c r="BK74" i="3"/>
  <c r="BJ75" i="3"/>
  <c r="BK75" i="3"/>
  <c r="BJ76" i="3"/>
  <c r="BK76" i="3"/>
  <c r="BJ77" i="3"/>
  <c r="BK77" i="3"/>
  <c r="BJ78" i="3"/>
  <c r="BK78" i="3"/>
  <c r="BJ79" i="3"/>
  <c r="BK79" i="3"/>
  <c r="BJ80" i="3"/>
  <c r="BK80" i="3"/>
  <c r="BJ81" i="3"/>
  <c r="BK81" i="3"/>
  <c r="BJ82" i="3"/>
  <c r="BK82" i="3"/>
  <c r="BJ83" i="3"/>
  <c r="BK83" i="3"/>
  <c r="BJ84" i="3"/>
  <c r="BK84" i="3"/>
  <c r="BJ85" i="3"/>
  <c r="BK85" i="3"/>
  <c r="BJ86" i="3"/>
  <c r="BK86" i="3"/>
  <c r="BJ87" i="3"/>
  <c r="BK87" i="3"/>
  <c r="BJ88" i="3"/>
  <c r="BK88" i="3"/>
  <c r="BJ89" i="3"/>
  <c r="BK89" i="3"/>
  <c r="BJ90" i="3"/>
  <c r="BK90" i="3"/>
  <c r="BJ91" i="3"/>
  <c r="BK91" i="3"/>
  <c r="BJ92" i="3"/>
  <c r="BK92" i="3"/>
  <c r="BJ93" i="3"/>
  <c r="BK93" i="3"/>
  <c r="BJ94" i="3"/>
  <c r="BK94" i="3"/>
  <c r="BJ95" i="3"/>
  <c r="BK95" i="3"/>
  <c r="BJ96" i="3"/>
  <c r="BK96" i="3"/>
  <c r="BJ97" i="3"/>
  <c r="BK97" i="3"/>
  <c r="BJ98" i="3"/>
  <c r="BK98" i="3"/>
  <c r="BJ99" i="3"/>
  <c r="BK99" i="3"/>
  <c r="BJ100" i="3"/>
  <c r="BK100" i="3"/>
  <c r="BJ101" i="3"/>
  <c r="BK101" i="3"/>
  <c r="BJ102" i="3"/>
  <c r="BK102" i="3"/>
  <c r="BJ103" i="3"/>
  <c r="BK103" i="3"/>
  <c r="BJ104" i="3"/>
  <c r="BK104" i="3"/>
  <c r="BJ105" i="3"/>
  <c r="BK105" i="3"/>
  <c r="BJ106" i="3"/>
  <c r="BK106" i="3"/>
  <c r="BJ107" i="3"/>
  <c r="BK107" i="3"/>
  <c r="BJ108" i="3"/>
  <c r="BK108" i="3"/>
  <c r="BJ109" i="3"/>
  <c r="BK109" i="3"/>
  <c r="BJ110" i="3"/>
  <c r="BK110" i="3"/>
  <c r="BJ111" i="3"/>
  <c r="BK111" i="3"/>
  <c r="BJ112" i="3"/>
  <c r="BK112" i="3"/>
  <c r="BJ113" i="3"/>
  <c r="BK113" i="3"/>
  <c r="BJ114" i="3"/>
  <c r="BK114" i="3"/>
  <c r="BJ115" i="3"/>
  <c r="BK115" i="3"/>
  <c r="BJ116" i="3"/>
  <c r="BK116" i="3"/>
  <c r="BJ117" i="3"/>
  <c r="BK117" i="3"/>
  <c r="BJ118" i="3"/>
  <c r="BK118" i="3"/>
  <c r="BJ119" i="3"/>
  <c r="BK119" i="3"/>
  <c r="BJ120" i="3"/>
  <c r="BK120" i="3"/>
  <c r="BJ121" i="3"/>
  <c r="BK121" i="3"/>
  <c r="BJ122" i="3"/>
  <c r="BK122" i="3"/>
  <c r="BJ123" i="3"/>
  <c r="BK123" i="3"/>
  <c r="BJ124" i="3"/>
  <c r="BK124" i="3"/>
  <c r="BJ125" i="3"/>
  <c r="BK125" i="3"/>
  <c r="BJ126" i="3"/>
  <c r="BK126" i="3"/>
  <c r="BJ127" i="3"/>
  <c r="BK127" i="3"/>
  <c r="BJ128" i="3"/>
  <c r="BK128" i="3"/>
  <c r="BJ129" i="3"/>
  <c r="BK129" i="3"/>
  <c r="BJ130" i="3"/>
  <c r="BK130" i="3"/>
  <c r="BJ131" i="3"/>
  <c r="BK131" i="3"/>
  <c r="BJ132" i="3"/>
  <c r="BK132" i="3"/>
  <c r="BJ133" i="3"/>
  <c r="BK133" i="3"/>
  <c r="BJ134" i="3"/>
  <c r="BK134" i="3"/>
  <c r="BJ135" i="3"/>
  <c r="BK135" i="3"/>
  <c r="BJ136" i="3"/>
  <c r="BK136" i="3"/>
  <c r="BJ137" i="3"/>
  <c r="BK137" i="3"/>
  <c r="BJ138" i="3"/>
  <c r="BK138" i="3"/>
  <c r="BJ139" i="3"/>
  <c r="BK139" i="3"/>
  <c r="BJ140" i="3"/>
  <c r="BK140" i="3"/>
  <c r="BJ141" i="3"/>
  <c r="BK141" i="3"/>
  <c r="BJ142" i="3"/>
  <c r="BK142" i="3"/>
  <c r="BJ143" i="3"/>
  <c r="BK143" i="3"/>
  <c r="BJ144" i="3"/>
  <c r="BK144" i="3"/>
  <c r="BJ145" i="3"/>
  <c r="BK145" i="3"/>
  <c r="BJ146" i="3"/>
  <c r="BK146" i="3"/>
  <c r="BJ147" i="3"/>
  <c r="BK147" i="3"/>
  <c r="BJ148" i="3"/>
  <c r="BK148" i="3"/>
  <c r="BJ149" i="3"/>
  <c r="BK149" i="3"/>
  <c r="BJ150" i="3"/>
  <c r="BK150" i="3"/>
  <c r="BJ151" i="3"/>
  <c r="BK151" i="3"/>
  <c r="BJ152" i="3"/>
  <c r="BK152" i="3"/>
  <c r="BJ153" i="3"/>
  <c r="BK153" i="3"/>
  <c r="BJ154" i="3"/>
  <c r="BK154" i="3"/>
  <c r="BJ155" i="3"/>
  <c r="BK155" i="3"/>
  <c r="BJ156" i="3"/>
  <c r="BK156" i="3"/>
  <c r="BJ157" i="3"/>
  <c r="BK157" i="3"/>
  <c r="BJ158" i="3"/>
  <c r="BK158" i="3"/>
  <c r="BJ159" i="3"/>
  <c r="BK159" i="3"/>
  <c r="BJ160" i="3"/>
  <c r="BK160" i="3"/>
  <c r="BJ161" i="3"/>
  <c r="BK161" i="3"/>
  <c r="BJ162" i="3"/>
  <c r="BK162" i="3"/>
  <c r="BJ163" i="3"/>
  <c r="BK163" i="3"/>
  <c r="BJ164" i="3"/>
  <c r="BK164" i="3"/>
  <c r="BJ165" i="3"/>
  <c r="BK165" i="3"/>
  <c r="BJ166" i="3"/>
  <c r="BK166" i="3"/>
  <c r="BJ167" i="3"/>
  <c r="BK167" i="3"/>
  <c r="BJ168" i="3"/>
  <c r="BK168" i="3"/>
  <c r="BJ169" i="3"/>
  <c r="BK169" i="3"/>
  <c r="BJ170" i="3"/>
  <c r="BK170" i="3"/>
  <c r="BJ171" i="3"/>
  <c r="BK171" i="3"/>
  <c r="BJ172" i="3"/>
  <c r="BK172" i="3"/>
  <c r="BJ173" i="3"/>
  <c r="BK173" i="3"/>
  <c r="BJ174" i="3"/>
  <c r="BK174" i="3"/>
  <c r="BJ175" i="3"/>
  <c r="BK175" i="3"/>
  <c r="BJ176" i="3"/>
  <c r="BK176" i="3"/>
  <c r="BJ177" i="3"/>
  <c r="BK177" i="3"/>
  <c r="BJ178" i="3"/>
  <c r="BK178" i="3"/>
  <c r="BJ179" i="3"/>
  <c r="BK179" i="3"/>
  <c r="BJ180" i="3"/>
  <c r="BK180" i="3"/>
  <c r="BJ181" i="3"/>
  <c r="BK181" i="3"/>
  <c r="BJ182" i="3"/>
  <c r="BK182" i="3"/>
  <c r="BJ183" i="3"/>
  <c r="BK183" i="3"/>
  <c r="BJ184" i="3"/>
  <c r="BK184" i="3"/>
  <c r="BJ185" i="3"/>
  <c r="BK185" i="3"/>
  <c r="BJ186" i="3"/>
  <c r="BK186" i="3"/>
  <c r="BJ187" i="3"/>
  <c r="BK187" i="3"/>
  <c r="BJ188" i="3"/>
  <c r="BK188" i="3"/>
  <c r="BJ189" i="3"/>
  <c r="BK189" i="3"/>
  <c r="BJ190" i="3"/>
  <c r="BK190" i="3"/>
  <c r="BJ191" i="3"/>
  <c r="BK191" i="3"/>
  <c r="BJ192" i="3"/>
  <c r="BK192" i="3"/>
  <c r="BJ193" i="3"/>
  <c r="BK193" i="3"/>
  <c r="BJ194" i="3"/>
  <c r="BK194" i="3"/>
  <c r="BJ195" i="3"/>
  <c r="BK195" i="3"/>
  <c r="BJ196" i="3"/>
  <c r="BK196" i="3"/>
  <c r="BJ197" i="3"/>
  <c r="BK197" i="3"/>
  <c r="BJ198" i="3"/>
  <c r="BK198" i="3"/>
  <c r="BJ199" i="3"/>
  <c r="BK199" i="3"/>
  <c r="BJ200" i="3"/>
  <c r="BK200" i="3"/>
  <c r="BJ201" i="3"/>
  <c r="BK201" i="3"/>
  <c r="BJ202" i="3"/>
  <c r="BK202" i="3"/>
  <c r="BJ203" i="3"/>
  <c r="BK203" i="3"/>
  <c r="BJ204" i="3"/>
  <c r="BK204" i="3"/>
  <c r="BJ205" i="3"/>
  <c r="BK205" i="3"/>
  <c r="BJ206" i="3"/>
  <c r="BK206" i="3"/>
  <c r="BJ207" i="3"/>
  <c r="BK207" i="3"/>
  <c r="BJ208" i="3"/>
  <c r="BK208" i="3"/>
  <c r="BJ209" i="3"/>
  <c r="BK209" i="3"/>
  <c r="BJ210" i="3"/>
  <c r="BK210" i="3"/>
  <c r="BJ211" i="3"/>
  <c r="BK211" i="3"/>
  <c r="BJ212" i="3"/>
  <c r="BK212" i="3"/>
  <c r="BJ213" i="3"/>
  <c r="BK213" i="3"/>
  <c r="BJ214" i="3"/>
  <c r="BK214" i="3"/>
  <c r="BJ215" i="3"/>
  <c r="BK215" i="3"/>
  <c r="BJ216" i="3"/>
  <c r="BK216" i="3"/>
  <c r="BJ217" i="3"/>
  <c r="BK217" i="3"/>
  <c r="BJ218" i="3"/>
  <c r="BK218" i="3"/>
  <c r="BJ219" i="3"/>
  <c r="BK219" i="3"/>
  <c r="BJ220" i="3"/>
  <c r="BK220" i="3"/>
  <c r="BJ221" i="3"/>
  <c r="BK221" i="3"/>
  <c r="BJ222" i="3"/>
  <c r="BK222" i="3"/>
  <c r="BJ223" i="3"/>
  <c r="BK223" i="3"/>
  <c r="BJ224" i="3"/>
  <c r="BK224" i="3"/>
  <c r="BJ225" i="3"/>
  <c r="BK225" i="3"/>
  <c r="BJ226" i="3"/>
  <c r="BK226" i="3"/>
  <c r="BJ227" i="3"/>
  <c r="BK227" i="3"/>
  <c r="BJ228" i="3"/>
  <c r="BK228" i="3"/>
  <c r="BJ229" i="3"/>
  <c r="BK229" i="3"/>
  <c r="BJ230" i="3"/>
  <c r="BK230" i="3"/>
  <c r="BJ231" i="3"/>
  <c r="BK231" i="3"/>
  <c r="BJ232" i="3"/>
  <c r="BK232" i="3"/>
  <c r="BJ233" i="3"/>
  <c r="BK233" i="3"/>
  <c r="BJ234" i="3"/>
  <c r="BK234" i="3"/>
  <c r="BJ235" i="3"/>
  <c r="BK235" i="3"/>
  <c r="BJ236" i="3"/>
  <c r="BK236" i="3"/>
  <c r="BJ237" i="3"/>
  <c r="BK237" i="3"/>
  <c r="BJ238" i="3"/>
  <c r="BK238" i="3"/>
  <c r="BJ239" i="3"/>
  <c r="BK239" i="3"/>
  <c r="BJ240" i="3"/>
  <c r="BK240" i="3"/>
  <c r="BJ241" i="3"/>
  <c r="BK241" i="3"/>
  <c r="BJ242" i="3"/>
  <c r="BK242" i="3"/>
  <c r="BJ243" i="3"/>
  <c r="BK243" i="3"/>
  <c r="BJ244" i="3"/>
  <c r="BK244" i="3"/>
  <c r="BJ245" i="3"/>
  <c r="BK245" i="3"/>
  <c r="BJ246" i="3"/>
  <c r="BK246" i="3"/>
  <c r="BJ247" i="3"/>
  <c r="BK247" i="3"/>
  <c r="BJ248" i="3"/>
  <c r="BK248" i="3"/>
  <c r="BJ249" i="3"/>
  <c r="BK249" i="3"/>
  <c r="BJ250" i="3"/>
  <c r="BK250" i="3"/>
  <c r="BJ251" i="3"/>
  <c r="BK251" i="3"/>
  <c r="BJ252" i="3"/>
  <c r="BK252" i="3"/>
  <c r="BJ253" i="3"/>
  <c r="BK253" i="3"/>
  <c r="BJ254" i="3"/>
  <c r="BK254" i="3"/>
  <c r="BJ255" i="3"/>
  <c r="BK255" i="3"/>
  <c r="BJ256" i="3"/>
  <c r="BK256" i="3"/>
  <c r="BJ257" i="3"/>
  <c r="BK257" i="3"/>
  <c r="BJ258" i="3"/>
  <c r="BK258" i="3"/>
  <c r="BJ259" i="3"/>
  <c r="BK259" i="3"/>
  <c r="BJ260" i="3"/>
  <c r="BK260" i="3"/>
  <c r="BJ261" i="3"/>
  <c r="BK261" i="3"/>
  <c r="BJ262" i="3"/>
  <c r="BK262" i="3"/>
  <c r="BJ263" i="3"/>
  <c r="BK263" i="3"/>
  <c r="BJ264" i="3"/>
  <c r="BK264" i="3"/>
  <c r="BJ265" i="3"/>
  <c r="BK265" i="3"/>
  <c r="BJ266" i="3"/>
  <c r="BK266" i="3"/>
  <c r="BJ267" i="3"/>
  <c r="BK267" i="3"/>
  <c r="BJ268" i="3"/>
  <c r="BK268" i="3"/>
  <c r="BJ269" i="3"/>
  <c r="BK269" i="3"/>
  <c r="BJ270" i="3"/>
  <c r="BK270" i="3"/>
  <c r="BJ271" i="3"/>
  <c r="BK271" i="3"/>
  <c r="BJ272" i="3"/>
  <c r="BK272" i="3"/>
  <c r="BJ273" i="3"/>
  <c r="BK273" i="3"/>
  <c r="BJ274" i="3"/>
  <c r="BK274" i="3"/>
  <c r="BJ275" i="3"/>
  <c r="BK275" i="3"/>
  <c r="BJ276" i="3"/>
  <c r="BK276" i="3"/>
  <c r="BJ277" i="3"/>
  <c r="BK277" i="3"/>
  <c r="BJ278" i="3"/>
  <c r="BK278" i="3"/>
  <c r="BJ279" i="3"/>
  <c r="BK279" i="3"/>
  <c r="BJ280" i="3"/>
  <c r="BK280" i="3"/>
  <c r="BJ281" i="3"/>
  <c r="BK281" i="3"/>
  <c r="BI6" i="3"/>
  <c r="BI7" i="3"/>
  <c r="BI8" i="3"/>
  <c r="BI9" i="3"/>
  <c r="BI10" i="3"/>
  <c r="BI11" i="3"/>
  <c r="BI12" i="3"/>
  <c r="BI13" i="3"/>
  <c r="BI14" i="3"/>
  <c r="BI15" i="3"/>
  <c r="BI16" i="3"/>
  <c r="BI17" i="3"/>
  <c r="BI18" i="3"/>
  <c r="BI19" i="3"/>
  <c r="BI20" i="3"/>
  <c r="BI21" i="3"/>
  <c r="BI22" i="3"/>
  <c r="BI23" i="3"/>
  <c r="BI24" i="3"/>
  <c r="BI25" i="3"/>
  <c r="BI26" i="3"/>
  <c r="BI27" i="3"/>
  <c r="BI28" i="3"/>
  <c r="BI29" i="3"/>
  <c r="BI30" i="3"/>
  <c r="BI31" i="3"/>
  <c r="BI32" i="3"/>
  <c r="BI33" i="3"/>
  <c r="BI34" i="3"/>
  <c r="BI35" i="3"/>
  <c r="BI36" i="3"/>
  <c r="BI37" i="3"/>
  <c r="BI38" i="3"/>
  <c r="BI39" i="3"/>
  <c r="BI40" i="3"/>
  <c r="BI41" i="3"/>
  <c r="BI42" i="3"/>
  <c r="BI43" i="3"/>
  <c r="BI44" i="3"/>
  <c r="BI45" i="3"/>
  <c r="BI46" i="3"/>
  <c r="BI47" i="3"/>
  <c r="BI48" i="3"/>
  <c r="BI49" i="3"/>
  <c r="BI50" i="3"/>
  <c r="BI51" i="3"/>
  <c r="BI52" i="3"/>
  <c r="BI53" i="3"/>
  <c r="BI54" i="3"/>
  <c r="BI55" i="3"/>
  <c r="BI56" i="3"/>
  <c r="BI57" i="3"/>
  <c r="BI58" i="3"/>
  <c r="BI59" i="3"/>
  <c r="BI60" i="3"/>
  <c r="BI61" i="3"/>
  <c r="BI62" i="3"/>
  <c r="BI63" i="3"/>
  <c r="BI64" i="3"/>
  <c r="BI65" i="3"/>
  <c r="BI66" i="3"/>
  <c r="BI67" i="3"/>
  <c r="BI68" i="3"/>
  <c r="BI69" i="3"/>
  <c r="BI70" i="3"/>
  <c r="BI71" i="3"/>
  <c r="BI72" i="3"/>
  <c r="BI73" i="3"/>
  <c r="BI74" i="3"/>
  <c r="BI75" i="3"/>
  <c r="BI76" i="3"/>
  <c r="BI77" i="3"/>
  <c r="BI78" i="3"/>
  <c r="BI79" i="3"/>
  <c r="BI80" i="3"/>
  <c r="BI81" i="3"/>
  <c r="BI82" i="3"/>
  <c r="BI83" i="3"/>
  <c r="BI84" i="3"/>
  <c r="BI85" i="3"/>
  <c r="BI86" i="3"/>
  <c r="BI87" i="3"/>
  <c r="BI88" i="3"/>
  <c r="BI89" i="3"/>
  <c r="BI90" i="3"/>
  <c r="BI91" i="3"/>
  <c r="BI92" i="3"/>
  <c r="BI93" i="3"/>
  <c r="BI94" i="3"/>
  <c r="BI95" i="3"/>
  <c r="BI96" i="3"/>
  <c r="BI97" i="3"/>
  <c r="BI98" i="3"/>
  <c r="BI99" i="3"/>
  <c r="BI100" i="3"/>
  <c r="BI101" i="3"/>
  <c r="BI102" i="3"/>
  <c r="BI103" i="3"/>
  <c r="BI104" i="3"/>
  <c r="BI105" i="3"/>
  <c r="BI106" i="3"/>
  <c r="BI107" i="3"/>
  <c r="BI108" i="3"/>
  <c r="BI109" i="3"/>
  <c r="BI110" i="3"/>
  <c r="BI111" i="3"/>
  <c r="BI112" i="3"/>
  <c r="BI113" i="3"/>
  <c r="BI114" i="3"/>
  <c r="BI115" i="3"/>
  <c r="BI116" i="3"/>
  <c r="BI117" i="3"/>
  <c r="BI118" i="3"/>
  <c r="BI119" i="3"/>
  <c r="BI120" i="3"/>
  <c r="BI121" i="3"/>
  <c r="BI122" i="3"/>
  <c r="BI123" i="3"/>
  <c r="BI124" i="3"/>
  <c r="BI125" i="3"/>
  <c r="BI126" i="3"/>
  <c r="BI127" i="3"/>
  <c r="BI128" i="3"/>
  <c r="BI129" i="3"/>
  <c r="BI130" i="3"/>
  <c r="BI131" i="3"/>
  <c r="BI132" i="3"/>
  <c r="BI133" i="3"/>
  <c r="BI134" i="3"/>
  <c r="BI135" i="3"/>
  <c r="BI136" i="3"/>
  <c r="BI137" i="3"/>
  <c r="BI138" i="3"/>
  <c r="BI139" i="3"/>
  <c r="BI140" i="3"/>
  <c r="BI141" i="3"/>
  <c r="BI142" i="3"/>
  <c r="BI143" i="3"/>
  <c r="BI144" i="3"/>
  <c r="BI145" i="3"/>
  <c r="BI146" i="3"/>
  <c r="BI147" i="3"/>
  <c r="BI148" i="3"/>
  <c r="BI149" i="3"/>
  <c r="BI150" i="3"/>
  <c r="BI151" i="3"/>
  <c r="BI152" i="3"/>
  <c r="BI153" i="3"/>
  <c r="BI154" i="3"/>
  <c r="BI155" i="3"/>
  <c r="BI156" i="3"/>
  <c r="BI157" i="3"/>
  <c r="BI158" i="3"/>
  <c r="BI159" i="3"/>
  <c r="BI160" i="3"/>
  <c r="BI161" i="3"/>
  <c r="BI162" i="3"/>
  <c r="BI163" i="3"/>
  <c r="BI164" i="3"/>
  <c r="BI165" i="3"/>
  <c r="BI166" i="3"/>
  <c r="BI167" i="3"/>
  <c r="BI168" i="3"/>
  <c r="BI169" i="3"/>
  <c r="BI170" i="3"/>
  <c r="BI171" i="3"/>
  <c r="BI172" i="3"/>
  <c r="BI173" i="3"/>
  <c r="BI174" i="3"/>
  <c r="BI175" i="3"/>
  <c r="BI176" i="3"/>
  <c r="BI177" i="3"/>
  <c r="BI178" i="3"/>
  <c r="BI179" i="3"/>
  <c r="BI180" i="3"/>
  <c r="BI181" i="3"/>
  <c r="BI182" i="3"/>
  <c r="BI183" i="3"/>
  <c r="BI184" i="3"/>
  <c r="BI185" i="3"/>
  <c r="BI186" i="3"/>
  <c r="BI187" i="3"/>
  <c r="BI188" i="3"/>
  <c r="BI189" i="3"/>
  <c r="BI190" i="3"/>
  <c r="BI191" i="3"/>
  <c r="BI192" i="3"/>
  <c r="BI193" i="3"/>
  <c r="BI194" i="3"/>
  <c r="BI195" i="3"/>
  <c r="BI196" i="3"/>
  <c r="BI197" i="3"/>
  <c r="BI198" i="3"/>
  <c r="BI199" i="3"/>
  <c r="BI200" i="3"/>
  <c r="BI201" i="3"/>
  <c r="BI202" i="3"/>
  <c r="BI203" i="3"/>
  <c r="BI204" i="3"/>
  <c r="BI205" i="3"/>
  <c r="BI206" i="3"/>
  <c r="BI207" i="3"/>
  <c r="BI208" i="3"/>
  <c r="BI209" i="3"/>
  <c r="BI210" i="3"/>
  <c r="BI211" i="3"/>
  <c r="BI212" i="3"/>
  <c r="BI213" i="3"/>
  <c r="BI214" i="3"/>
  <c r="BI215" i="3"/>
  <c r="BI216" i="3"/>
  <c r="BI217" i="3"/>
  <c r="BI218" i="3"/>
  <c r="BI219" i="3"/>
  <c r="BI220" i="3"/>
  <c r="BI221" i="3"/>
  <c r="BI222" i="3"/>
  <c r="BI223" i="3"/>
  <c r="BI224" i="3"/>
  <c r="BI225" i="3"/>
  <c r="BI226" i="3"/>
  <c r="BI227" i="3"/>
  <c r="BI228" i="3"/>
  <c r="BI229" i="3"/>
  <c r="BI230" i="3"/>
  <c r="BI231" i="3"/>
  <c r="BI232" i="3"/>
  <c r="BI233" i="3"/>
  <c r="BI234" i="3"/>
  <c r="BI235" i="3"/>
  <c r="BI236" i="3"/>
  <c r="BI237" i="3"/>
  <c r="BI238" i="3"/>
  <c r="BI239" i="3"/>
  <c r="BI240" i="3"/>
  <c r="BI241" i="3"/>
  <c r="BI242" i="3"/>
  <c r="BI243" i="3"/>
  <c r="BI244" i="3"/>
  <c r="BI245" i="3"/>
  <c r="BI246" i="3"/>
  <c r="BI247" i="3"/>
  <c r="BI248" i="3"/>
  <c r="BI249" i="3"/>
  <c r="BI250" i="3"/>
  <c r="BI251" i="3"/>
  <c r="BI252" i="3"/>
  <c r="BI253" i="3"/>
  <c r="BI254" i="3"/>
  <c r="BI255" i="3"/>
  <c r="BI256" i="3"/>
  <c r="BI257" i="3"/>
  <c r="BI258" i="3"/>
  <c r="BI259" i="3"/>
  <c r="BI260" i="3"/>
  <c r="BI261" i="3"/>
  <c r="BI262" i="3"/>
  <c r="BI263" i="3"/>
  <c r="BI264" i="3"/>
  <c r="BI265" i="3"/>
  <c r="BI266" i="3"/>
  <c r="BI267" i="3"/>
  <c r="BI268" i="3"/>
  <c r="BI269" i="3"/>
  <c r="BI270" i="3"/>
  <c r="BI271" i="3"/>
  <c r="BI272" i="3"/>
  <c r="BI273" i="3"/>
  <c r="BI274" i="3"/>
  <c r="BI275" i="3"/>
  <c r="BI276" i="3"/>
  <c r="BI277" i="3"/>
  <c r="BI278" i="3"/>
  <c r="BI279" i="3"/>
  <c r="BI280" i="3"/>
  <c r="BI281" i="3"/>
  <c r="BF6" i="3"/>
  <c r="BF7" i="3"/>
  <c r="BF8" i="3"/>
  <c r="BF9" i="3"/>
  <c r="BF10" i="3"/>
  <c r="BF11" i="3"/>
  <c r="BF12" i="3"/>
  <c r="BF13" i="3"/>
  <c r="BF14" i="3"/>
  <c r="BF15" i="3"/>
  <c r="BF16" i="3"/>
  <c r="BF17" i="3"/>
  <c r="BF18" i="3"/>
  <c r="BF19" i="3"/>
  <c r="BF20" i="3"/>
  <c r="BF21" i="3"/>
  <c r="BF22" i="3"/>
  <c r="BF23" i="3"/>
  <c r="BF24" i="3"/>
  <c r="BF25" i="3"/>
  <c r="BF26" i="3"/>
  <c r="BF27" i="3"/>
  <c r="BF28" i="3"/>
  <c r="BF29" i="3"/>
  <c r="BF30" i="3"/>
  <c r="BF31" i="3"/>
  <c r="BF32" i="3"/>
  <c r="BF33" i="3"/>
  <c r="BF34" i="3"/>
  <c r="BF35" i="3"/>
  <c r="BF36" i="3"/>
  <c r="BF37" i="3"/>
  <c r="BF38" i="3"/>
  <c r="BF39" i="3"/>
  <c r="BF40" i="3"/>
  <c r="BF41" i="3"/>
  <c r="BF42" i="3"/>
  <c r="BF43" i="3"/>
  <c r="BF44" i="3"/>
  <c r="BF45" i="3"/>
  <c r="BF46" i="3"/>
  <c r="BF47" i="3"/>
  <c r="BF48" i="3"/>
  <c r="BF49" i="3"/>
  <c r="BF50" i="3"/>
  <c r="BF51" i="3"/>
  <c r="BF52" i="3"/>
  <c r="BF53" i="3"/>
  <c r="BF54" i="3"/>
  <c r="BF55" i="3"/>
  <c r="BF56" i="3"/>
  <c r="BF57" i="3"/>
  <c r="BF58" i="3"/>
  <c r="BF59" i="3"/>
  <c r="BF60" i="3"/>
  <c r="BF61" i="3"/>
  <c r="BF62" i="3"/>
  <c r="BF63" i="3"/>
  <c r="BF64" i="3"/>
  <c r="BF65" i="3"/>
  <c r="BF66" i="3"/>
  <c r="BF67" i="3"/>
  <c r="BF68" i="3"/>
  <c r="BF69" i="3"/>
  <c r="BF70" i="3"/>
  <c r="BF71" i="3"/>
  <c r="BF72" i="3"/>
  <c r="BF73" i="3"/>
  <c r="BF74" i="3"/>
  <c r="BF75" i="3"/>
  <c r="BF76" i="3"/>
  <c r="BF77" i="3"/>
  <c r="BF78" i="3"/>
  <c r="BF79" i="3"/>
  <c r="BF80" i="3"/>
  <c r="BF81" i="3"/>
  <c r="BF82" i="3"/>
  <c r="BF83" i="3"/>
  <c r="BF84" i="3"/>
  <c r="BF85" i="3"/>
  <c r="BF86" i="3"/>
  <c r="BF87" i="3"/>
  <c r="BF88" i="3"/>
  <c r="BF89" i="3"/>
  <c r="BF90" i="3"/>
  <c r="BF91" i="3"/>
  <c r="BF92" i="3"/>
  <c r="BF93" i="3"/>
  <c r="BF94" i="3"/>
  <c r="BF95" i="3"/>
  <c r="BF96" i="3"/>
  <c r="BF97" i="3"/>
  <c r="BF98" i="3"/>
  <c r="BF99" i="3"/>
  <c r="BF100" i="3"/>
  <c r="BF101" i="3"/>
  <c r="BF102" i="3"/>
  <c r="BF103" i="3"/>
  <c r="BF104" i="3"/>
  <c r="BF105" i="3"/>
  <c r="BF106" i="3"/>
  <c r="BF107" i="3"/>
  <c r="BF108" i="3"/>
  <c r="BF109" i="3"/>
  <c r="BF110" i="3"/>
  <c r="BF111" i="3"/>
  <c r="BF112" i="3"/>
  <c r="BF113" i="3"/>
  <c r="BF114" i="3"/>
  <c r="BF115" i="3"/>
  <c r="BF116" i="3"/>
  <c r="BF117" i="3"/>
  <c r="BF118" i="3"/>
  <c r="BF119" i="3"/>
  <c r="BF120" i="3"/>
  <c r="BF121" i="3"/>
  <c r="BF122" i="3"/>
  <c r="BF123" i="3"/>
  <c r="BF124" i="3"/>
  <c r="BF125" i="3"/>
  <c r="BF126" i="3"/>
  <c r="BF127" i="3"/>
  <c r="BF128" i="3"/>
  <c r="BF129" i="3"/>
  <c r="BF130" i="3"/>
  <c r="BF131" i="3"/>
  <c r="BF132" i="3"/>
  <c r="BF133" i="3"/>
  <c r="BF134" i="3"/>
  <c r="BF135" i="3"/>
  <c r="BF136" i="3"/>
  <c r="BF137" i="3"/>
  <c r="BF138" i="3"/>
  <c r="BF139" i="3"/>
  <c r="BF140" i="3"/>
  <c r="BF141" i="3"/>
  <c r="BF142" i="3"/>
  <c r="BF143" i="3"/>
  <c r="BF144" i="3"/>
  <c r="BF145" i="3"/>
  <c r="BF146" i="3"/>
  <c r="BF147" i="3"/>
  <c r="BF148" i="3"/>
  <c r="BF149" i="3"/>
  <c r="BF150" i="3"/>
  <c r="BF151" i="3"/>
  <c r="BF152" i="3"/>
  <c r="BF153" i="3"/>
  <c r="BF154" i="3"/>
  <c r="BF155" i="3"/>
  <c r="BF156" i="3"/>
  <c r="BF157" i="3"/>
  <c r="BF158" i="3"/>
  <c r="BF159" i="3"/>
  <c r="BF160" i="3"/>
  <c r="BF161" i="3"/>
  <c r="BF162" i="3"/>
  <c r="BF163" i="3"/>
  <c r="BF164" i="3"/>
  <c r="BF165" i="3"/>
  <c r="BF166" i="3"/>
  <c r="BF167" i="3"/>
  <c r="BF168" i="3"/>
  <c r="BF169" i="3"/>
  <c r="BF170" i="3"/>
  <c r="BF171" i="3"/>
  <c r="BF172" i="3"/>
  <c r="BF173" i="3"/>
  <c r="BF174" i="3"/>
  <c r="BF175" i="3"/>
  <c r="BF176" i="3"/>
  <c r="BF177" i="3"/>
  <c r="BF178" i="3"/>
  <c r="BF179" i="3"/>
  <c r="BF180" i="3"/>
  <c r="BF181" i="3"/>
  <c r="BF182" i="3"/>
  <c r="BF183" i="3"/>
  <c r="BF184" i="3"/>
  <c r="BF185" i="3"/>
  <c r="BF186" i="3"/>
  <c r="BF187" i="3"/>
  <c r="BF188" i="3"/>
  <c r="BF189" i="3"/>
  <c r="BF190" i="3"/>
  <c r="BF191" i="3"/>
  <c r="BF192" i="3"/>
  <c r="BF193" i="3"/>
  <c r="BF194" i="3"/>
  <c r="BF195" i="3"/>
  <c r="BF196" i="3"/>
  <c r="BF197" i="3"/>
  <c r="BF198" i="3"/>
  <c r="BF199" i="3"/>
  <c r="BF200" i="3"/>
  <c r="BF201" i="3"/>
  <c r="BF202" i="3"/>
  <c r="BF203" i="3"/>
  <c r="BF204" i="3"/>
  <c r="BF205" i="3"/>
  <c r="BF206" i="3"/>
  <c r="BF207" i="3"/>
  <c r="BF208" i="3"/>
  <c r="BF209" i="3"/>
  <c r="BF210" i="3"/>
  <c r="BF211" i="3"/>
  <c r="BF212" i="3"/>
  <c r="BF213" i="3"/>
  <c r="BF214" i="3"/>
  <c r="BF215" i="3"/>
  <c r="BF216" i="3"/>
  <c r="BF217" i="3"/>
  <c r="BF218" i="3"/>
  <c r="BF219" i="3"/>
  <c r="BF220" i="3"/>
  <c r="BF221" i="3"/>
  <c r="BF222" i="3"/>
  <c r="BF223" i="3"/>
  <c r="BF224" i="3"/>
  <c r="BF225" i="3"/>
  <c r="BF226" i="3"/>
  <c r="BF227" i="3"/>
  <c r="BF228" i="3"/>
  <c r="BF229" i="3"/>
  <c r="BF230" i="3"/>
  <c r="BF231" i="3"/>
  <c r="BF232" i="3"/>
  <c r="BF233" i="3"/>
  <c r="BF234" i="3"/>
  <c r="BF235" i="3"/>
  <c r="BF236" i="3"/>
  <c r="BF237" i="3"/>
  <c r="BF238" i="3"/>
  <c r="BF239" i="3"/>
  <c r="BF240" i="3"/>
  <c r="BF241" i="3"/>
  <c r="BF242" i="3"/>
  <c r="BF243" i="3"/>
  <c r="BF244" i="3"/>
  <c r="BF245" i="3"/>
  <c r="BF246" i="3"/>
  <c r="BF247" i="3"/>
  <c r="BF248" i="3"/>
  <c r="BF249" i="3"/>
  <c r="BF250" i="3"/>
  <c r="BF251" i="3"/>
  <c r="BF252" i="3"/>
  <c r="BF253" i="3"/>
  <c r="BF254" i="3"/>
  <c r="BF255" i="3"/>
  <c r="BF256" i="3"/>
  <c r="BF257" i="3"/>
  <c r="BF258" i="3"/>
  <c r="BF259" i="3"/>
  <c r="BF260" i="3"/>
  <c r="BF261" i="3"/>
  <c r="BF262" i="3"/>
  <c r="BF263" i="3"/>
  <c r="BF264" i="3"/>
  <c r="BF265" i="3"/>
  <c r="BF266" i="3"/>
  <c r="BF267" i="3"/>
  <c r="BF268" i="3"/>
  <c r="BF269" i="3"/>
  <c r="BF270" i="3"/>
  <c r="BF271" i="3"/>
  <c r="BF272" i="3"/>
  <c r="BF273" i="3"/>
  <c r="BF274" i="3"/>
  <c r="BF275" i="3"/>
  <c r="BF276" i="3"/>
  <c r="BF277" i="3"/>
  <c r="BF278" i="3"/>
  <c r="BF279" i="3"/>
  <c r="BF280" i="3"/>
  <c r="BF281" i="3"/>
  <c r="BC6" i="3"/>
  <c r="BC7" i="3"/>
  <c r="BC8" i="3"/>
  <c r="BC9" i="3"/>
  <c r="BC10" i="3"/>
  <c r="BC11" i="3"/>
  <c r="BC12" i="3"/>
  <c r="BC13" i="3"/>
  <c r="BC14" i="3"/>
  <c r="BC15" i="3"/>
  <c r="BC16" i="3"/>
  <c r="BC17" i="3"/>
  <c r="BC18" i="3"/>
  <c r="BC19" i="3"/>
  <c r="BC20" i="3"/>
  <c r="BC21" i="3"/>
  <c r="BC22" i="3"/>
  <c r="BC23" i="3"/>
  <c r="BC24" i="3"/>
  <c r="BC25" i="3"/>
  <c r="BC26" i="3"/>
  <c r="BC27" i="3"/>
  <c r="BC28" i="3"/>
  <c r="BC29" i="3"/>
  <c r="BC30" i="3"/>
  <c r="BC31" i="3"/>
  <c r="BC32" i="3"/>
  <c r="BC33" i="3"/>
  <c r="BC34" i="3"/>
  <c r="BC35" i="3"/>
  <c r="BC36" i="3"/>
  <c r="BC37" i="3"/>
  <c r="BC38" i="3"/>
  <c r="BC39" i="3"/>
  <c r="BC40" i="3"/>
  <c r="BC41" i="3"/>
  <c r="BC42" i="3"/>
  <c r="BC43" i="3"/>
  <c r="BC44" i="3"/>
  <c r="BC45" i="3"/>
  <c r="BC46" i="3"/>
  <c r="BC47" i="3"/>
  <c r="BC48" i="3"/>
  <c r="BC49" i="3"/>
  <c r="BC50" i="3"/>
  <c r="BC51" i="3"/>
  <c r="BC52" i="3"/>
  <c r="BC53" i="3"/>
  <c r="BC54" i="3"/>
  <c r="BC55" i="3"/>
  <c r="BC56" i="3"/>
  <c r="BC57" i="3"/>
  <c r="BC58" i="3"/>
  <c r="BC59" i="3"/>
  <c r="BC60" i="3"/>
  <c r="BC61" i="3"/>
  <c r="BC62" i="3"/>
  <c r="BC63" i="3"/>
  <c r="BC64" i="3"/>
  <c r="BC65" i="3"/>
  <c r="BC66" i="3"/>
  <c r="BC67" i="3"/>
  <c r="BC68" i="3"/>
  <c r="BC69" i="3"/>
  <c r="BC70" i="3"/>
  <c r="BC71" i="3"/>
  <c r="BC72" i="3"/>
  <c r="BC73" i="3"/>
  <c r="BC74" i="3"/>
  <c r="BC75" i="3"/>
  <c r="BC76" i="3"/>
  <c r="BC77" i="3"/>
  <c r="BC78" i="3"/>
  <c r="BC79" i="3"/>
  <c r="BC80" i="3"/>
  <c r="BC81" i="3"/>
  <c r="BC82" i="3"/>
  <c r="BC83" i="3"/>
  <c r="BC84" i="3"/>
  <c r="BC85" i="3"/>
  <c r="BC86" i="3"/>
  <c r="BC87" i="3"/>
  <c r="BC88" i="3"/>
  <c r="BC89" i="3"/>
  <c r="BC90" i="3"/>
  <c r="BC91" i="3"/>
  <c r="BC92" i="3"/>
  <c r="BC93" i="3"/>
  <c r="BC94" i="3"/>
  <c r="BC95" i="3"/>
  <c r="BC96" i="3"/>
  <c r="BC97" i="3"/>
  <c r="BC98" i="3"/>
  <c r="BC99" i="3"/>
  <c r="BC100" i="3"/>
  <c r="BC101" i="3"/>
  <c r="BC102" i="3"/>
  <c r="BC103" i="3"/>
  <c r="BC104" i="3"/>
  <c r="BC105" i="3"/>
  <c r="BC106" i="3"/>
  <c r="BC107" i="3"/>
  <c r="BC108" i="3"/>
  <c r="BC109" i="3"/>
  <c r="BC110" i="3"/>
  <c r="BC111" i="3"/>
  <c r="BC112" i="3"/>
  <c r="BC113" i="3"/>
  <c r="BC114" i="3"/>
  <c r="BC115" i="3"/>
  <c r="BC116" i="3"/>
  <c r="BC117" i="3"/>
  <c r="BC118" i="3"/>
  <c r="BC119" i="3"/>
  <c r="BC120" i="3"/>
  <c r="BC121" i="3"/>
  <c r="BC122" i="3"/>
  <c r="BC123" i="3"/>
  <c r="BC124" i="3"/>
  <c r="BC125" i="3"/>
  <c r="BC126" i="3"/>
  <c r="BC127" i="3"/>
  <c r="BC128" i="3"/>
  <c r="BC129" i="3"/>
  <c r="BC130" i="3"/>
  <c r="BC131" i="3"/>
  <c r="BC132" i="3"/>
  <c r="BC133" i="3"/>
  <c r="BC134" i="3"/>
  <c r="BC135" i="3"/>
  <c r="BC136" i="3"/>
  <c r="BC137" i="3"/>
  <c r="BC138" i="3"/>
  <c r="BC139" i="3"/>
  <c r="BC140" i="3"/>
  <c r="BC141" i="3"/>
  <c r="BC142" i="3"/>
  <c r="BC143" i="3"/>
  <c r="BC144" i="3"/>
  <c r="BC145" i="3"/>
  <c r="BC146" i="3"/>
  <c r="BC147" i="3"/>
  <c r="BC148" i="3"/>
  <c r="BC149" i="3"/>
  <c r="BC150" i="3"/>
  <c r="BC151" i="3"/>
  <c r="BC152" i="3"/>
  <c r="BC153" i="3"/>
  <c r="BC154" i="3"/>
  <c r="BC155" i="3"/>
  <c r="BC156" i="3"/>
  <c r="BC157" i="3"/>
  <c r="BC158" i="3"/>
  <c r="BC159" i="3"/>
  <c r="BC160" i="3"/>
  <c r="BC161" i="3"/>
  <c r="BC162" i="3"/>
  <c r="BC163" i="3"/>
  <c r="BC164" i="3"/>
  <c r="BC165" i="3"/>
  <c r="BC166" i="3"/>
  <c r="BC167" i="3"/>
  <c r="BC168" i="3"/>
  <c r="BC169" i="3"/>
  <c r="BC170" i="3"/>
  <c r="BC171" i="3"/>
  <c r="BC172" i="3"/>
  <c r="BC173" i="3"/>
  <c r="BC174" i="3"/>
  <c r="BC175" i="3"/>
  <c r="BC176" i="3"/>
  <c r="BC177" i="3"/>
  <c r="BC178" i="3"/>
  <c r="BC179" i="3"/>
  <c r="BC180" i="3"/>
  <c r="BC181" i="3"/>
  <c r="BC182" i="3"/>
  <c r="BC183" i="3"/>
  <c r="BC184" i="3"/>
  <c r="BC185" i="3"/>
  <c r="BC186" i="3"/>
  <c r="BC187" i="3"/>
  <c r="BC188" i="3"/>
  <c r="BC189" i="3"/>
  <c r="BC190" i="3"/>
  <c r="BC191" i="3"/>
  <c r="BC192" i="3"/>
  <c r="BC193" i="3"/>
  <c r="BC194" i="3"/>
  <c r="BC195" i="3"/>
  <c r="BC196" i="3"/>
  <c r="BC197" i="3"/>
  <c r="BC198" i="3"/>
  <c r="BC199" i="3"/>
  <c r="BC200" i="3"/>
  <c r="BC201" i="3"/>
  <c r="BC202" i="3"/>
  <c r="BC203" i="3"/>
  <c r="BC204" i="3"/>
  <c r="BC205" i="3"/>
  <c r="BC206" i="3"/>
  <c r="BC207" i="3"/>
  <c r="BC208" i="3"/>
  <c r="BC209" i="3"/>
  <c r="BC210" i="3"/>
  <c r="BC211" i="3"/>
  <c r="BC212" i="3"/>
  <c r="BC213" i="3"/>
  <c r="BC214" i="3"/>
  <c r="BC215" i="3"/>
  <c r="BC216" i="3"/>
  <c r="BC217" i="3"/>
  <c r="BC218" i="3"/>
  <c r="BC219" i="3"/>
  <c r="BC220" i="3"/>
  <c r="BC221" i="3"/>
  <c r="BC222" i="3"/>
  <c r="BC223" i="3"/>
  <c r="BC224" i="3"/>
  <c r="BC225" i="3"/>
  <c r="BC226" i="3"/>
  <c r="BC227" i="3"/>
  <c r="BC228" i="3"/>
  <c r="BC229" i="3"/>
  <c r="BC230" i="3"/>
  <c r="BC231" i="3"/>
  <c r="BC232" i="3"/>
  <c r="BC233" i="3"/>
  <c r="BC234" i="3"/>
  <c r="BC235" i="3"/>
  <c r="BC236" i="3"/>
  <c r="BC237" i="3"/>
  <c r="BC238" i="3"/>
  <c r="BC239" i="3"/>
  <c r="BC240" i="3"/>
  <c r="BC241" i="3"/>
  <c r="BC242" i="3"/>
  <c r="BC243" i="3"/>
  <c r="BC244" i="3"/>
  <c r="BC245" i="3"/>
  <c r="BC246" i="3"/>
  <c r="BC247" i="3"/>
  <c r="BC248" i="3"/>
  <c r="BC249" i="3"/>
  <c r="BC250" i="3"/>
  <c r="BC251" i="3"/>
  <c r="BC252" i="3"/>
  <c r="BC253" i="3"/>
  <c r="BC254" i="3"/>
  <c r="BC255" i="3"/>
  <c r="BC256" i="3"/>
  <c r="BC257" i="3"/>
  <c r="BC258" i="3"/>
  <c r="BC259" i="3"/>
  <c r="BC260" i="3"/>
  <c r="BC261" i="3"/>
  <c r="BC262" i="3"/>
  <c r="BC263" i="3"/>
  <c r="BC264" i="3"/>
  <c r="BC265" i="3"/>
  <c r="BC266" i="3"/>
  <c r="BC267" i="3"/>
  <c r="BC268" i="3"/>
  <c r="BC269" i="3"/>
  <c r="BC270" i="3"/>
  <c r="BC271" i="3"/>
  <c r="BC272" i="3"/>
  <c r="BC273" i="3"/>
  <c r="BC274" i="3"/>
  <c r="BC275" i="3"/>
  <c r="BC276" i="3"/>
  <c r="BC277" i="3"/>
  <c r="BC278" i="3"/>
  <c r="BC279" i="3"/>
  <c r="BC280" i="3"/>
  <c r="BC281" i="3"/>
  <c r="BK5" i="3"/>
  <c r="BJ5" i="3"/>
  <c r="BI5" i="3"/>
  <c r="BF5" i="3"/>
  <c r="BC5" i="3"/>
  <c r="DM179" i="3"/>
  <c r="DM180" i="3"/>
  <c r="DM181" i="3"/>
  <c r="DM182" i="3"/>
  <c r="DM183" i="3"/>
  <c r="DM184" i="3"/>
  <c r="DM185" i="3"/>
  <c r="DM186" i="3"/>
  <c r="DM187" i="3"/>
  <c r="DM188" i="3"/>
  <c r="DM189" i="3"/>
  <c r="DM190" i="3"/>
  <c r="DM226" i="3"/>
  <c r="DM225" i="3"/>
  <c r="DM224" i="3"/>
  <c r="DM223" i="3"/>
  <c r="DM222" i="3"/>
  <c r="DM221" i="3"/>
  <c r="DM220" i="3"/>
  <c r="DM219" i="3"/>
  <c r="DM218" i="3"/>
  <c r="DM217" i="3"/>
  <c r="DM215" i="3"/>
  <c r="DM214" i="3"/>
  <c r="DM213" i="3"/>
  <c r="DM212" i="3"/>
  <c r="DM211" i="3"/>
  <c r="DM210" i="3"/>
  <c r="DM209" i="3"/>
  <c r="DM208" i="3"/>
  <c r="DM207" i="3"/>
  <c r="DM206" i="3"/>
  <c r="DM205" i="3"/>
  <c r="DM204" i="3"/>
  <c r="DM203" i="3"/>
  <c r="DM202" i="3"/>
  <c r="DM201" i="3"/>
  <c r="DM200" i="3"/>
  <c r="DM199" i="3"/>
  <c r="DM198" i="3"/>
  <c r="DM197" i="3"/>
  <c r="DM196" i="3"/>
  <c r="DM195" i="3"/>
  <c r="DM194" i="3"/>
  <c r="DM193" i="3"/>
  <c r="DM192" i="3"/>
  <c r="DM191" i="3"/>
  <c r="DM178" i="3"/>
  <c r="DM177" i="3"/>
  <c r="DM176" i="3"/>
  <c r="DM175" i="3"/>
  <c r="DM174" i="3"/>
  <c r="DM173" i="3"/>
  <c r="DM172" i="3"/>
  <c r="DM171" i="3"/>
  <c r="DM170" i="3"/>
  <c r="DM169" i="3"/>
  <c r="DM168" i="3"/>
  <c r="DM165" i="3"/>
  <c r="DM164" i="3"/>
  <c r="DM163" i="3"/>
  <c r="DM162" i="3"/>
  <c r="DM161" i="3"/>
  <c r="DM160" i="3"/>
  <c r="DM159" i="3"/>
  <c r="DM158" i="3"/>
  <c r="DM157" i="3"/>
  <c r="DM156" i="3"/>
  <c r="DM155" i="3"/>
  <c r="DM154" i="3"/>
  <c r="DM153" i="3"/>
  <c r="DM152" i="3"/>
  <c r="DM151" i="3"/>
  <c r="DM150" i="3"/>
  <c r="DM149" i="3"/>
  <c r="DM148" i="3"/>
  <c r="DM147" i="3"/>
  <c r="DM146" i="3"/>
  <c r="DM145" i="3"/>
  <c r="DM144" i="3"/>
  <c r="DM143" i="3"/>
  <c r="DM142" i="3"/>
  <c r="DM141" i="3"/>
  <c r="DM140" i="3"/>
  <c r="DM139" i="3"/>
  <c r="DM138" i="3"/>
  <c r="DM137" i="3"/>
  <c r="DM136" i="3"/>
  <c r="DM135" i="3"/>
  <c r="DM134" i="3"/>
  <c r="DM133" i="3"/>
  <c r="DM132" i="3"/>
  <c r="DM131" i="3"/>
  <c r="DM130" i="3"/>
  <c r="DM129" i="3"/>
  <c r="DM128" i="3"/>
  <c r="DM127" i="3"/>
  <c r="DM126" i="3"/>
  <c r="DM125" i="3"/>
  <c r="DM124" i="3"/>
  <c r="DM123" i="3"/>
  <c r="DM122" i="3"/>
  <c r="DM121" i="3"/>
  <c r="DM120" i="3"/>
  <c r="DM119" i="3"/>
  <c r="DM118" i="3"/>
  <c r="DM117" i="3"/>
  <c r="DM116" i="3"/>
  <c r="DM115" i="3"/>
  <c r="DM114" i="3"/>
  <c r="DM113" i="3"/>
  <c r="DM112" i="3"/>
  <c r="DM111" i="3"/>
  <c r="DM110" i="3"/>
  <c r="DM109" i="3"/>
  <c r="DM108" i="3"/>
  <c r="DM107" i="3"/>
  <c r="DM106" i="3"/>
  <c r="DM105" i="3"/>
  <c r="DM104" i="3"/>
  <c r="DM103" i="3"/>
  <c r="DM102" i="3"/>
  <c r="DM101" i="3"/>
  <c r="DM100" i="3"/>
  <c r="DM99" i="3"/>
  <c r="DM98" i="3"/>
  <c r="DM97" i="3"/>
  <c r="DM96" i="3"/>
  <c r="DM95" i="3"/>
  <c r="DM94" i="3"/>
  <c r="DM93" i="3"/>
  <c r="DM92" i="3"/>
  <c r="DM91" i="3"/>
  <c r="DM90" i="3"/>
  <c r="DM89" i="3"/>
  <c r="DM88" i="3"/>
  <c r="DM87" i="3"/>
  <c r="DM86" i="3"/>
  <c r="DM85" i="3"/>
  <c r="DM84" i="3"/>
  <c r="DM83" i="3"/>
  <c r="DM82" i="3"/>
  <c r="DM81" i="3"/>
  <c r="DM80" i="3"/>
  <c r="DM79" i="3"/>
  <c r="DM78" i="3"/>
  <c r="DM77" i="3"/>
  <c r="DM76" i="3"/>
  <c r="DM75" i="3"/>
  <c r="DM74" i="3"/>
  <c r="DM73" i="3"/>
  <c r="DM72" i="3"/>
  <c r="DM71" i="3"/>
  <c r="DM70" i="3"/>
  <c r="DM69" i="3"/>
  <c r="DM68" i="3"/>
  <c r="DM67" i="3"/>
  <c r="DM66" i="3"/>
  <c r="DM65" i="3"/>
  <c r="DM64" i="3"/>
  <c r="DM63" i="3"/>
  <c r="DM62" i="3"/>
  <c r="DM61" i="3"/>
  <c r="DM60" i="3"/>
  <c r="DM59" i="3"/>
  <c r="DM58" i="3"/>
  <c r="DM57" i="3"/>
  <c r="DM56" i="3"/>
  <c r="DM55" i="3"/>
  <c r="DM54" i="3"/>
  <c r="DM53" i="3"/>
  <c r="DM52" i="3"/>
  <c r="DM51" i="3"/>
  <c r="DM50" i="3"/>
  <c r="DM49" i="3"/>
  <c r="DM48" i="3"/>
  <c r="DM47" i="3"/>
  <c r="DM46" i="3"/>
  <c r="DM45" i="3"/>
  <c r="DM44" i="3"/>
  <c r="DM43" i="3"/>
  <c r="DM42" i="3"/>
  <c r="DM41" i="3"/>
  <c r="DM40" i="3"/>
  <c r="DM39" i="3"/>
  <c r="DM38" i="3"/>
  <c r="DM37" i="3"/>
  <c r="DM36" i="3"/>
  <c r="DM35" i="3"/>
  <c r="DM34" i="3"/>
  <c r="DM33" i="3"/>
  <c r="DM32" i="3"/>
  <c r="DM31" i="3"/>
  <c r="DM30" i="3"/>
  <c r="DM29" i="3"/>
  <c r="DM28" i="3"/>
  <c r="DM27" i="3"/>
  <c r="DM26" i="3"/>
  <c r="DM25" i="3"/>
  <c r="DM24" i="3"/>
  <c r="DM23" i="3"/>
  <c r="DM22" i="3"/>
  <c r="DM21" i="3"/>
  <c r="DM20" i="3"/>
  <c r="DM19" i="3"/>
  <c r="DM18" i="3"/>
  <c r="DM17" i="3"/>
  <c r="DM16" i="3"/>
  <c r="DM15" i="3"/>
  <c r="DM14" i="3"/>
  <c r="DM13" i="3"/>
  <c r="DM12" i="3"/>
  <c r="DM11" i="3"/>
  <c r="DM10" i="3"/>
  <c r="DM9" i="3"/>
  <c r="DM8" i="3"/>
  <c r="DM7" i="3"/>
  <c r="DM6" i="3"/>
  <c r="DM5" i="3"/>
  <c r="BY269" i="3" l="1"/>
  <c r="BZ269" i="3" s="1"/>
  <c r="BY253" i="3"/>
  <c r="BZ253" i="3" s="1"/>
  <c r="BY249" i="3"/>
  <c r="BZ249" i="3" s="1"/>
  <c r="BY237" i="3"/>
  <c r="BZ237" i="3" s="1"/>
  <c r="BY221" i="3"/>
  <c r="BZ221" i="3" s="1"/>
  <c r="BY213" i="3"/>
  <c r="BZ213" i="3" s="1"/>
  <c r="BY209" i="3"/>
  <c r="BZ209" i="3" s="1"/>
  <c r="BY205" i="3"/>
  <c r="BZ205" i="3" s="1"/>
  <c r="BY197" i="3"/>
  <c r="BZ197" i="3" s="1"/>
  <c r="BY193" i="3"/>
  <c r="BZ193" i="3" s="1"/>
  <c r="BY181" i="3"/>
  <c r="BZ181" i="3" s="1"/>
  <c r="BY177" i="3"/>
  <c r="BZ177" i="3" s="1"/>
  <c r="BY173" i="3"/>
  <c r="BZ173" i="3" s="1"/>
  <c r="BY133" i="3"/>
  <c r="BZ133" i="3" s="1"/>
  <c r="BY129" i="3"/>
  <c r="BZ129" i="3" s="1"/>
  <c r="BY117" i="3"/>
  <c r="BZ117" i="3" s="1"/>
  <c r="BY113" i="3"/>
  <c r="BZ113" i="3" s="1"/>
  <c r="BY101" i="3"/>
  <c r="BZ101" i="3" s="1"/>
  <c r="BY97" i="3"/>
  <c r="BZ97" i="3" s="1"/>
  <c r="BY81" i="3"/>
  <c r="BZ81" i="3" s="1"/>
  <c r="BY65" i="3"/>
  <c r="BZ65" i="3" s="1"/>
  <c r="BL29" i="3"/>
  <c r="BY25" i="3"/>
  <c r="BZ25" i="3" s="1"/>
  <c r="BY19" i="3"/>
  <c r="BZ19" i="3" s="1"/>
  <c r="BY109" i="3"/>
  <c r="BZ109" i="3" s="1"/>
  <c r="BY268" i="3"/>
  <c r="BZ268" i="3" s="1"/>
  <c r="BY266" i="3"/>
  <c r="BZ266" i="3" s="1"/>
  <c r="BY252" i="3"/>
  <c r="BZ252" i="3" s="1"/>
  <c r="BY250" i="3"/>
  <c r="BZ250" i="3" s="1"/>
  <c r="BY236" i="3"/>
  <c r="BZ236" i="3" s="1"/>
  <c r="BY234" i="3"/>
  <c r="BZ234" i="3" s="1"/>
  <c r="BL280" i="3"/>
  <c r="BL278" i="3"/>
  <c r="BL276" i="3"/>
  <c r="BL274" i="3"/>
  <c r="BL272" i="3"/>
  <c r="BL264" i="3"/>
  <c r="BL262" i="3"/>
  <c r="BL260" i="3"/>
  <c r="BL258" i="3"/>
  <c r="BL248" i="3"/>
  <c r="BL246" i="3"/>
  <c r="BL244" i="3"/>
  <c r="BL242" i="3"/>
  <c r="BL232" i="3"/>
  <c r="BL230" i="3"/>
  <c r="BL228" i="3"/>
  <c r="BL226" i="3"/>
  <c r="BL216" i="3"/>
  <c r="BL212" i="3"/>
  <c r="BL210" i="3"/>
  <c r="BL206" i="3"/>
  <c r="BL61" i="3"/>
  <c r="BL57" i="3"/>
  <c r="BX257" i="3"/>
  <c r="BX229" i="3"/>
  <c r="BX225" i="3"/>
  <c r="BX209" i="3"/>
  <c r="BX193" i="3"/>
  <c r="BX177" i="3"/>
  <c r="BX12" i="3"/>
  <c r="BX10" i="3"/>
  <c r="BX8" i="3"/>
  <c r="BX6" i="3"/>
  <c r="BL237" i="3"/>
  <c r="BX261" i="3"/>
  <c r="BX133" i="3"/>
  <c r="BX125" i="3"/>
  <c r="BX121" i="3"/>
  <c r="BX117" i="3"/>
  <c r="BX105" i="3"/>
  <c r="BX103" i="3"/>
  <c r="BX65" i="3"/>
  <c r="BX61" i="3"/>
  <c r="BX59" i="3"/>
  <c r="BX49" i="3"/>
  <c r="BX47" i="3"/>
  <c r="BX45" i="3"/>
  <c r="BX41" i="3"/>
  <c r="BX37" i="3"/>
  <c r="BX25" i="3"/>
  <c r="BX17" i="3"/>
  <c r="BX35" i="3"/>
  <c r="BX29" i="3"/>
  <c r="BX27" i="3"/>
  <c r="BX21" i="3"/>
  <c r="BX19" i="3"/>
  <c r="BL189" i="3"/>
  <c r="BL157" i="3"/>
  <c r="BL125" i="3"/>
  <c r="BL93" i="3"/>
  <c r="BL89" i="3"/>
  <c r="BL77" i="3"/>
  <c r="BL69" i="3"/>
  <c r="BX244" i="3"/>
  <c r="BX242" i="3"/>
  <c r="BX240" i="3"/>
  <c r="BX238" i="3"/>
  <c r="BX236" i="3"/>
  <c r="BX234" i="3"/>
  <c r="BX212" i="3"/>
  <c r="BX210" i="3"/>
  <c r="BX208" i="3"/>
  <c r="BX206" i="3"/>
  <c r="BX204" i="3"/>
  <c r="BX202" i="3"/>
  <c r="BX180" i="3"/>
  <c r="BX178" i="3"/>
  <c r="BX176" i="3"/>
  <c r="BX174" i="3"/>
  <c r="BX172" i="3"/>
  <c r="BX170" i="3"/>
  <c r="BX84" i="3"/>
  <c r="BX82" i="3"/>
  <c r="BX76" i="3"/>
  <c r="BX74" i="3"/>
  <c r="BX72" i="3"/>
  <c r="BX70" i="3"/>
  <c r="BX68" i="3"/>
  <c r="BX60" i="3"/>
  <c r="BX58" i="3"/>
  <c r="BX56" i="3"/>
  <c r="BX54" i="3"/>
  <c r="BX52" i="3"/>
  <c r="BX50" i="3"/>
  <c r="BX40" i="3"/>
  <c r="BX38" i="3"/>
  <c r="BX36" i="3"/>
  <c r="BX13" i="3"/>
  <c r="BL217" i="3"/>
  <c r="BL152" i="3"/>
  <c r="BL148" i="3"/>
  <c r="BL146" i="3"/>
  <c r="BL142" i="3"/>
  <c r="BL136" i="3"/>
  <c r="BL132" i="3"/>
  <c r="BL130" i="3"/>
  <c r="BL126" i="3"/>
  <c r="BL120" i="3"/>
  <c r="BL116" i="3"/>
  <c r="BL114" i="3"/>
  <c r="BL104" i="3"/>
  <c r="BL100" i="3"/>
  <c r="BL98" i="3"/>
  <c r="BX281" i="3"/>
  <c r="BX265" i="3"/>
  <c r="BX263" i="3"/>
  <c r="BY57" i="3"/>
  <c r="BZ57" i="3" s="1"/>
  <c r="BL5" i="3"/>
  <c r="BL141" i="3"/>
  <c r="BY61" i="3"/>
  <c r="BZ61" i="3" s="1"/>
  <c r="BY53" i="3"/>
  <c r="BZ53" i="3" s="1"/>
  <c r="BY49" i="3"/>
  <c r="BZ49" i="3" s="1"/>
  <c r="BX5" i="3"/>
  <c r="BX101" i="3"/>
  <c r="BX97" i="3"/>
  <c r="BL185" i="3"/>
  <c r="BL52" i="3"/>
  <c r="BL24" i="3"/>
  <c r="BL18" i="3"/>
  <c r="BX253" i="3"/>
  <c r="BX251" i="3"/>
  <c r="BX249" i="3"/>
  <c r="BX245" i="3"/>
  <c r="BX233" i="3"/>
  <c r="BX231" i="3"/>
  <c r="BX165" i="3"/>
  <c r="BX163" i="3"/>
  <c r="BX153" i="3"/>
  <c r="BX137" i="3"/>
  <c r="BX135" i="3"/>
  <c r="BL261" i="3"/>
  <c r="BL257" i="3"/>
  <c r="BL253" i="3"/>
  <c r="BY220" i="3"/>
  <c r="BZ220" i="3" s="1"/>
  <c r="BL200" i="3"/>
  <c r="BL196" i="3"/>
  <c r="BL194" i="3"/>
  <c r="BL181" i="3"/>
  <c r="BL173" i="3"/>
  <c r="BL153" i="3"/>
  <c r="BY149" i="3"/>
  <c r="BZ149" i="3" s="1"/>
  <c r="BY145" i="3"/>
  <c r="BZ145" i="3" s="1"/>
  <c r="BY141" i="3"/>
  <c r="BZ141" i="3" s="1"/>
  <c r="BL88" i="3"/>
  <c r="BL84" i="3"/>
  <c r="BL205" i="3"/>
  <c r="BY165" i="3"/>
  <c r="BZ165" i="3" s="1"/>
  <c r="BY161" i="3"/>
  <c r="BZ161" i="3" s="1"/>
  <c r="BL85" i="3"/>
  <c r="BL13" i="3"/>
  <c r="BY13" i="3"/>
  <c r="BZ13" i="3" s="1"/>
  <c r="BL245" i="3"/>
  <c r="BL241" i="3"/>
  <c r="BL225" i="3"/>
  <c r="BL221" i="3"/>
  <c r="BL184" i="3"/>
  <c r="BL180" i="3"/>
  <c r="BL178" i="3"/>
  <c r="BL174" i="3"/>
  <c r="BL168" i="3"/>
  <c r="BL164" i="3"/>
  <c r="BL162" i="3"/>
  <c r="BL121" i="3"/>
  <c r="BL56" i="3"/>
  <c r="BX197" i="3"/>
  <c r="BX189" i="3"/>
  <c r="BX185" i="3"/>
  <c r="BX181" i="3"/>
  <c r="BX169" i="3"/>
  <c r="BX167" i="3"/>
  <c r="BX116" i="3"/>
  <c r="BX114" i="3"/>
  <c r="BX112" i="3"/>
  <c r="BX110" i="3"/>
  <c r="BX108" i="3"/>
  <c r="BX106" i="3"/>
  <c r="BY89" i="3"/>
  <c r="BZ89" i="3" s="1"/>
  <c r="BL20" i="3"/>
  <c r="BY10" i="3"/>
  <c r="BZ10" i="3" s="1"/>
  <c r="BX273" i="3"/>
  <c r="BX259" i="3"/>
  <c r="BX161" i="3"/>
  <c r="BX145" i="3"/>
  <c r="CN5" i="3"/>
  <c r="BY45" i="3"/>
  <c r="BZ45" i="3" s="1"/>
  <c r="BY37" i="3"/>
  <c r="BZ37" i="3" s="1"/>
  <c r="BY33" i="3"/>
  <c r="BZ33" i="3" s="1"/>
  <c r="BX276" i="3"/>
  <c r="BX274" i="3"/>
  <c r="BX272" i="3"/>
  <c r="BX270" i="3"/>
  <c r="BX268" i="3"/>
  <c r="BX266" i="3"/>
  <c r="BX241" i="3"/>
  <c r="BX217" i="3"/>
  <c r="BX201" i="3"/>
  <c r="BX199" i="3"/>
  <c r="BX148" i="3"/>
  <c r="BX146" i="3"/>
  <c r="BX144" i="3"/>
  <c r="BX142" i="3"/>
  <c r="BX140" i="3"/>
  <c r="BX138" i="3"/>
  <c r="BX129" i="3"/>
  <c r="BX113" i="3"/>
  <c r="BX89" i="3"/>
  <c r="BX85" i="3"/>
  <c r="BX83" i="3"/>
  <c r="BX77" i="3"/>
  <c r="BX75" i="3"/>
  <c r="BX69" i="3"/>
  <c r="BX67" i="3"/>
  <c r="BX9" i="3"/>
  <c r="BY201" i="3"/>
  <c r="BZ201" i="3" s="1"/>
  <c r="BL201" i="3"/>
  <c r="BY281" i="3"/>
  <c r="BZ281" i="3" s="1"/>
  <c r="BL281" i="3"/>
  <c r="BL277" i="3"/>
  <c r="BY277" i="3"/>
  <c r="BZ277" i="3" s="1"/>
  <c r="BL273" i="3"/>
  <c r="BL269" i="3"/>
  <c r="BY169" i="3"/>
  <c r="BZ169" i="3" s="1"/>
  <c r="BL169" i="3"/>
  <c r="BY41" i="3"/>
  <c r="BZ41" i="3" s="1"/>
  <c r="BL41" i="3"/>
  <c r="BX213" i="3"/>
  <c r="BX81" i="3"/>
  <c r="BY261" i="3"/>
  <c r="BZ261" i="3" s="1"/>
  <c r="BY73" i="3"/>
  <c r="BZ73" i="3" s="1"/>
  <c r="BL73" i="3"/>
  <c r="BY265" i="3"/>
  <c r="BZ265" i="3" s="1"/>
  <c r="BL265" i="3"/>
  <c r="BY137" i="3"/>
  <c r="BZ137" i="3" s="1"/>
  <c r="BL137" i="3"/>
  <c r="BL82" i="3"/>
  <c r="BY82" i="3"/>
  <c r="BZ82" i="3" s="1"/>
  <c r="BL78" i="3"/>
  <c r="BY78" i="3"/>
  <c r="BZ78" i="3" s="1"/>
  <c r="BY9" i="3"/>
  <c r="BZ9" i="3" s="1"/>
  <c r="BL9" i="3"/>
  <c r="BY233" i="3"/>
  <c r="BZ233" i="3" s="1"/>
  <c r="BL233" i="3"/>
  <c r="BL229" i="3"/>
  <c r="BY229" i="3"/>
  <c r="BZ229" i="3" s="1"/>
  <c r="BY105" i="3"/>
  <c r="BZ105" i="3" s="1"/>
  <c r="BL105" i="3"/>
  <c r="BL50" i="3"/>
  <c r="BY50" i="3"/>
  <c r="BZ50" i="3" s="1"/>
  <c r="BY46" i="3"/>
  <c r="BZ46" i="3" s="1"/>
  <c r="BX277" i="3"/>
  <c r="BX149" i="3"/>
  <c r="BL249" i="3"/>
  <c r="BL25" i="3"/>
  <c r="BX227" i="3"/>
  <c r="BX221" i="3"/>
  <c r="BX219" i="3"/>
  <c r="BX195" i="3"/>
  <c r="BX187" i="3"/>
  <c r="BX157" i="3"/>
  <c r="BX155" i="3"/>
  <c r="BX131" i="3"/>
  <c r="BX123" i="3"/>
  <c r="BX99" i="3"/>
  <c r="BX93" i="3"/>
  <c r="BX91" i="3"/>
  <c r="BX73" i="3"/>
  <c r="BX63" i="3"/>
  <c r="BX33" i="3"/>
  <c r="BL190" i="3"/>
  <c r="BL158" i="3"/>
  <c r="BL109" i="3"/>
  <c r="BL94" i="3"/>
  <c r="BL72" i="3"/>
  <c r="BL68" i="3"/>
  <c r="BL66" i="3"/>
  <c r="BL45" i="3"/>
  <c r="BL40" i="3"/>
  <c r="BL36" i="3"/>
  <c r="BL34" i="3"/>
  <c r="BL21" i="3"/>
  <c r="BL17" i="3"/>
  <c r="BL15" i="3"/>
  <c r="BL8" i="3"/>
  <c r="BL6" i="3"/>
  <c r="BX279" i="3"/>
  <c r="BX247" i="3"/>
  <c r="BY217" i="3"/>
  <c r="BZ217" i="3" s="1"/>
  <c r="BX215" i="3"/>
  <c r="BY185" i="3"/>
  <c r="BZ185" i="3" s="1"/>
  <c r="BX183" i="3"/>
  <c r="BY153" i="3"/>
  <c r="BZ153" i="3" s="1"/>
  <c r="BX151" i="3"/>
  <c r="BY121" i="3"/>
  <c r="BZ121" i="3" s="1"/>
  <c r="BX119" i="3"/>
  <c r="BX66" i="3"/>
  <c r="BX34" i="3"/>
  <c r="BX28" i="3"/>
  <c r="BX26" i="3"/>
  <c r="BX15" i="3"/>
  <c r="BL149" i="3"/>
  <c r="BY77" i="3"/>
  <c r="BZ77" i="3" s="1"/>
  <c r="BX275" i="3"/>
  <c r="BX269" i="3"/>
  <c r="BX267" i="3"/>
  <c r="BX260" i="3"/>
  <c r="BX258" i="3"/>
  <c r="BX256" i="3"/>
  <c r="BX254" i="3"/>
  <c r="BX252" i="3"/>
  <c r="BX250" i="3"/>
  <c r="BX243" i="3"/>
  <c r="BX237" i="3"/>
  <c r="BX235" i="3"/>
  <c r="BX228" i="3"/>
  <c r="BX226" i="3"/>
  <c r="BX224" i="3"/>
  <c r="BX222" i="3"/>
  <c r="BX220" i="3"/>
  <c r="BX218" i="3"/>
  <c r="BX211" i="3"/>
  <c r="BX205" i="3"/>
  <c r="BX203" i="3"/>
  <c r="BX196" i="3"/>
  <c r="BX194" i="3"/>
  <c r="BX192" i="3"/>
  <c r="BX190" i="3"/>
  <c r="BX188" i="3"/>
  <c r="BX186" i="3"/>
  <c r="BX179" i="3"/>
  <c r="BX173" i="3"/>
  <c r="BX171" i="3"/>
  <c r="BX164" i="3"/>
  <c r="BX162" i="3"/>
  <c r="BX160" i="3"/>
  <c r="BX158" i="3"/>
  <c r="BX156" i="3"/>
  <c r="BX154" i="3"/>
  <c r="BX147" i="3"/>
  <c r="BX141" i="3"/>
  <c r="BX139" i="3"/>
  <c r="BX132" i="3"/>
  <c r="BX130" i="3"/>
  <c r="BX128" i="3"/>
  <c r="BX126" i="3"/>
  <c r="BX124" i="3"/>
  <c r="BX122" i="3"/>
  <c r="BX115" i="3"/>
  <c r="BX109" i="3"/>
  <c r="BX107" i="3"/>
  <c r="BX100" i="3"/>
  <c r="BX98" i="3"/>
  <c r="BX92" i="3"/>
  <c r="BX90" i="3"/>
  <c r="BX79" i="3"/>
  <c r="BX57" i="3"/>
  <c r="BX43" i="3"/>
  <c r="BX20" i="3"/>
  <c r="BX18" i="3"/>
  <c r="BX11" i="3"/>
  <c r="BY245" i="3"/>
  <c r="BZ245" i="3" s="1"/>
  <c r="BL271" i="3"/>
  <c r="BY271" i="3"/>
  <c r="BZ271" i="3" s="1"/>
  <c r="BL159" i="3"/>
  <c r="BY159" i="3"/>
  <c r="BZ159" i="3" s="1"/>
  <c r="BL150" i="3"/>
  <c r="BY150" i="3"/>
  <c r="BZ150" i="3" s="1"/>
  <c r="BL143" i="3"/>
  <c r="BY143" i="3"/>
  <c r="BZ143" i="3" s="1"/>
  <c r="BL127" i="3"/>
  <c r="BY127" i="3"/>
  <c r="BZ127" i="3" s="1"/>
  <c r="BL102" i="3"/>
  <c r="BY102" i="3"/>
  <c r="BZ102" i="3" s="1"/>
  <c r="BL95" i="3"/>
  <c r="BY95" i="3"/>
  <c r="BZ95" i="3" s="1"/>
  <c r="BL79" i="3"/>
  <c r="BY79" i="3"/>
  <c r="BZ79" i="3" s="1"/>
  <c r="BY273" i="3"/>
  <c r="BZ273" i="3" s="1"/>
  <c r="BY257" i="3"/>
  <c r="BZ257" i="3" s="1"/>
  <c r="BY246" i="3"/>
  <c r="BZ246" i="3" s="1"/>
  <c r="BY230" i="3"/>
  <c r="BZ230" i="3" s="1"/>
  <c r="BY200" i="3"/>
  <c r="BZ200" i="3" s="1"/>
  <c r="BY168" i="3"/>
  <c r="BZ168" i="3" s="1"/>
  <c r="BY146" i="3"/>
  <c r="BZ146" i="3" s="1"/>
  <c r="BY125" i="3"/>
  <c r="BZ125" i="3" s="1"/>
  <c r="BY104" i="3"/>
  <c r="BZ104" i="3" s="1"/>
  <c r="BY72" i="3"/>
  <c r="BZ72" i="3" s="1"/>
  <c r="BL255" i="3"/>
  <c r="BY255" i="3"/>
  <c r="BZ255" i="3" s="1"/>
  <c r="BL239" i="3"/>
  <c r="BY239" i="3"/>
  <c r="BZ239" i="3" s="1"/>
  <c r="BL198" i="3"/>
  <c r="BY198" i="3"/>
  <c r="BZ198" i="3" s="1"/>
  <c r="BL166" i="3"/>
  <c r="BY166" i="3"/>
  <c r="BZ166" i="3" s="1"/>
  <c r="BL118" i="3"/>
  <c r="BY118" i="3"/>
  <c r="BZ118" i="3" s="1"/>
  <c r="BL70" i="3"/>
  <c r="BY70" i="3"/>
  <c r="BZ70" i="3" s="1"/>
  <c r="BL54" i="3"/>
  <c r="BY54" i="3"/>
  <c r="BZ54" i="3" s="1"/>
  <c r="BL31" i="3"/>
  <c r="BY31" i="3"/>
  <c r="BZ31" i="3" s="1"/>
  <c r="BY278" i="3"/>
  <c r="BZ278" i="3" s="1"/>
  <c r="BY262" i="3"/>
  <c r="BZ262" i="3" s="1"/>
  <c r="BY241" i="3"/>
  <c r="BZ241" i="3" s="1"/>
  <c r="BY178" i="3"/>
  <c r="BZ178" i="3" s="1"/>
  <c r="BY29" i="3"/>
  <c r="BZ29" i="3" s="1"/>
  <c r="BL279" i="3"/>
  <c r="BY279" i="3"/>
  <c r="BZ279" i="3" s="1"/>
  <c r="BL270" i="3"/>
  <c r="BL263" i="3"/>
  <c r="BY263" i="3"/>
  <c r="BZ263" i="3" s="1"/>
  <c r="BL256" i="3"/>
  <c r="BL254" i="3"/>
  <c r="BL247" i="3"/>
  <c r="BY247" i="3"/>
  <c r="BZ247" i="3" s="1"/>
  <c r="BL240" i="3"/>
  <c r="BL238" i="3"/>
  <c r="BL231" i="3"/>
  <c r="BY231" i="3"/>
  <c r="BZ231" i="3" s="1"/>
  <c r="BL224" i="3"/>
  <c r="BL222" i="3"/>
  <c r="BL215" i="3"/>
  <c r="BY215" i="3"/>
  <c r="BZ215" i="3" s="1"/>
  <c r="BL213" i="3"/>
  <c r="BL208" i="3"/>
  <c r="BY208" i="3"/>
  <c r="BZ208" i="3" s="1"/>
  <c r="BL199" i="3"/>
  <c r="BY199" i="3"/>
  <c r="BZ199" i="3" s="1"/>
  <c r="BL197" i="3"/>
  <c r="BL192" i="3"/>
  <c r="BY192" i="3"/>
  <c r="BZ192" i="3" s="1"/>
  <c r="BL183" i="3"/>
  <c r="BY183" i="3"/>
  <c r="BZ183" i="3" s="1"/>
  <c r="BL176" i="3"/>
  <c r="BY176" i="3"/>
  <c r="BZ176" i="3" s="1"/>
  <c r="BL167" i="3"/>
  <c r="BY167" i="3"/>
  <c r="BZ167" i="3" s="1"/>
  <c r="BL165" i="3"/>
  <c r="BL160" i="3"/>
  <c r="BY160" i="3"/>
  <c r="BZ160" i="3" s="1"/>
  <c r="BL151" i="3"/>
  <c r="BY151" i="3"/>
  <c r="BZ151" i="3" s="1"/>
  <c r="BL144" i="3"/>
  <c r="BY144" i="3"/>
  <c r="BZ144" i="3" s="1"/>
  <c r="BL135" i="3"/>
  <c r="BY135" i="3"/>
  <c r="BZ135" i="3" s="1"/>
  <c r="BL133" i="3"/>
  <c r="BL128" i="3"/>
  <c r="BY128" i="3"/>
  <c r="BZ128" i="3" s="1"/>
  <c r="BL119" i="3"/>
  <c r="BY119" i="3"/>
  <c r="BZ119" i="3" s="1"/>
  <c r="BL117" i="3"/>
  <c r="BL112" i="3"/>
  <c r="BY112" i="3"/>
  <c r="BZ112" i="3" s="1"/>
  <c r="BL110" i="3"/>
  <c r="BL103" i="3"/>
  <c r="BY103" i="3"/>
  <c r="BZ103" i="3" s="1"/>
  <c r="BL101" i="3"/>
  <c r="BL96" i="3"/>
  <c r="BY96" i="3"/>
  <c r="BZ96" i="3" s="1"/>
  <c r="BL87" i="3"/>
  <c r="BY87" i="3"/>
  <c r="BZ87" i="3" s="1"/>
  <c r="BL80" i="3"/>
  <c r="BY80" i="3"/>
  <c r="BZ80" i="3" s="1"/>
  <c r="BL71" i="3"/>
  <c r="BY71" i="3"/>
  <c r="BZ71" i="3" s="1"/>
  <c r="BL64" i="3"/>
  <c r="BY64" i="3"/>
  <c r="BZ64" i="3" s="1"/>
  <c r="BL62" i="3"/>
  <c r="BL55" i="3"/>
  <c r="BY55" i="3"/>
  <c r="BZ55" i="3" s="1"/>
  <c r="BL53" i="3"/>
  <c r="BL48" i="3"/>
  <c r="BY48" i="3"/>
  <c r="BZ48" i="3" s="1"/>
  <c r="BL46" i="3"/>
  <c r="BL39" i="3"/>
  <c r="BY39" i="3"/>
  <c r="BZ39" i="3" s="1"/>
  <c r="BL37" i="3"/>
  <c r="BL32" i="3"/>
  <c r="BY32" i="3"/>
  <c r="BZ32" i="3" s="1"/>
  <c r="BL30" i="3"/>
  <c r="BL23" i="3"/>
  <c r="BY23" i="3"/>
  <c r="BZ23" i="3" s="1"/>
  <c r="BL16" i="3"/>
  <c r="BY16" i="3"/>
  <c r="BZ16" i="3" s="1"/>
  <c r="BL14" i="3"/>
  <c r="BY14" i="3"/>
  <c r="BZ14" i="3" s="1"/>
  <c r="BL7" i="3"/>
  <c r="BY7" i="3"/>
  <c r="BZ7" i="3" s="1"/>
  <c r="BY17" i="3"/>
  <c r="BZ17" i="3" s="1"/>
  <c r="BY276" i="3"/>
  <c r="BZ276" i="3" s="1"/>
  <c r="BY270" i="3"/>
  <c r="BZ270" i="3" s="1"/>
  <c r="BY260" i="3"/>
  <c r="BZ260" i="3" s="1"/>
  <c r="BY254" i="3"/>
  <c r="BZ254" i="3" s="1"/>
  <c r="BY244" i="3"/>
  <c r="BZ244" i="3" s="1"/>
  <c r="BY238" i="3"/>
  <c r="BZ238" i="3" s="1"/>
  <c r="BY228" i="3"/>
  <c r="BZ228" i="3" s="1"/>
  <c r="BY222" i="3"/>
  <c r="BZ222" i="3" s="1"/>
  <c r="BY216" i="3"/>
  <c r="BZ216" i="3" s="1"/>
  <c r="BY194" i="3"/>
  <c r="BZ194" i="3" s="1"/>
  <c r="BY184" i="3"/>
  <c r="BZ184" i="3" s="1"/>
  <c r="BY162" i="3"/>
  <c r="BZ162" i="3" s="1"/>
  <c r="BY152" i="3"/>
  <c r="BZ152" i="3" s="1"/>
  <c r="BY130" i="3"/>
  <c r="BZ130" i="3" s="1"/>
  <c r="BY120" i="3"/>
  <c r="BZ120" i="3" s="1"/>
  <c r="BY98" i="3"/>
  <c r="BZ98" i="3" s="1"/>
  <c r="BY88" i="3"/>
  <c r="BZ88" i="3" s="1"/>
  <c r="BY66" i="3"/>
  <c r="BZ66" i="3" s="1"/>
  <c r="BY56" i="3"/>
  <c r="BZ56" i="3" s="1"/>
  <c r="BY34" i="3"/>
  <c r="BZ34" i="3" s="1"/>
  <c r="BY24" i="3"/>
  <c r="BZ24" i="3" s="1"/>
  <c r="BL223" i="3"/>
  <c r="BY223" i="3"/>
  <c r="BZ223" i="3" s="1"/>
  <c r="BL214" i="3"/>
  <c r="BY214" i="3"/>
  <c r="BZ214" i="3" s="1"/>
  <c r="BL207" i="3"/>
  <c r="BY207" i="3"/>
  <c r="BZ207" i="3" s="1"/>
  <c r="BL191" i="3"/>
  <c r="BY191" i="3"/>
  <c r="BZ191" i="3" s="1"/>
  <c r="BL182" i="3"/>
  <c r="BY182" i="3"/>
  <c r="BZ182" i="3" s="1"/>
  <c r="BL175" i="3"/>
  <c r="BY175" i="3"/>
  <c r="BZ175" i="3" s="1"/>
  <c r="BL134" i="3"/>
  <c r="BY134" i="3"/>
  <c r="BZ134" i="3" s="1"/>
  <c r="BL111" i="3"/>
  <c r="BY111" i="3"/>
  <c r="BZ111" i="3" s="1"/>
  <c r="BL86" i="3"/>
  <c r="BY86" i="3"/>
  <c r="BZ86" i="3" s="1"/>
  <c r="BL63" i="3"/>
  <c r="BY63" i="3"/>
  <c r="BZ63" i="3" s="1"/>
  <c r="BL47" i="3"/>
  <c r="BY47" i="3"/>
  <c r="BZ47" i="3" s="1"/>
  <c r="BL38" i="3"/>
  <c r="BY38" i="3"/>
  <c r="BZ38" i="3" s="1"/>
  <c r="BL22" i="3"/>
  <c r="BY22" i="3"/>
  <c r="BZ22" i="3" s="1"/>
  <c r="BY8" i="3"/>
  <c r="BZ8" i="3" s="1"/>
  <c r="BY225" i="3"/>
  <c r="BZ225" i="3" s="1"/>
  <c r="BY210" i="3"/>
  <c r="BZ210" i="3" s="1"/>
  <c r="BY189" i="3"/>
  <c r="BZ189" i="3" s="1"/>
  <c r="BY157" i="3"/>
  <c r="BZ157" i="3" s="1"/>
  <c r="BY136" i="3"/>
  <c r="BZ136" i="3" s="1"/>
  <c r="BY114" i="3"/>
  <c r="BZ114" i="3" s="1"/>
  <c r="BY93" i="3"/>
  <c r="BZ93" i="3" s="1"/>
  <c r="BY40" i="3"/>
  <c r="BZ40" i="3" s="1"/>
  <c r="BL267" i="3"/>
  <c r="BY267" i="3"/>
  <c r="BZ267" i="3" s="1"/>
  <c r="BL251" i="3"/>
  <c r="BY251" i="3"/>
  <c r="BZ251" i="3" s="1"/>
  <c r="BL235" i="3"/>
  <c r="BY235" i="3"/>
  <c r="BZ235" i="3" s="1"/>
  <c r="BL219" i="3"/>
  <c r="BY219" i="3"/>
  <c r="BZ219" i="3" s="1"/>
  <c r="BL203" i="3"/>
  <c r="BY203" i="3"/>
  <c r="BZ203" i="3" s="1"/>
  <c r="BL187" i="3"/>
  <c r="BY187" i="3"/>
  <c r="BZ187" i="3" s="1"/>
  <c r="BL171" i="3"/>
  <c r="BY171" i="3"/>
  <c r="BZ171" i="3" s="1"/>
  <c r="BL155" i="3"/>
  <c r="BY155" i="3"/>
  <c r="BZ155" i="3" s="1"/>
  <c r="BL139" i="3"/>
  <c r="BY139" i="3"/>
  <c r="BZ139" i="3" s="1"/>
  <c r="BL123" i="3"/>
  <c r="BY123" i="3"/>
  <c r="BZ123" i="3" s="1"/>
  <c r="BL107" i="3"/>
  <c r="BY107" i="3"/>
  <c r="BZ107" i="3" s="1"/>
  <c r="BL91" i="3"/>
  <c r="BY91" i="3"/>
  <c r="BZ91" i="3" s="1"/>
  <c r="BL75" i="3"/>
  <c r="BY75" i="3"/>
  <c r="BZ75" i="3" s="1"/>
  <c r="BL59" i="3"/>
  <c r="BY59" i="3"/>
  <c r="BZ59" i="3" s="1"/>
  <c r="BL43" i="3"/>
  <c r="BY43" i="3"/>
  <c r="BZ43" i="3" s="1"/>
  <c r="BL27" i="3"/>
  <c r="BY27" i="3"/>
  <c r="BZ27" i="3" s="1"/>
  <c r="BL11" i="3"/>
  <c r="BY11" i="3"/>
  <c r="BZ11" i="3" s="1"/>
  <c r="BY18" i="3"/>
  <c r="BZ18" i="3" s="1"/>
  <c r="BY12" i="3"/>
  <c r="BZ12" i="3" s="1"/>
  <c r="BY6" i="3"/>
  <c r="BZ6" i="3" s="1"/>
  <c r="BY272" i="3"/>
  <c r="BZ272" i="3" s="1"/>
  <c r="BY256" i="3"/>
  <c r="BZ256" i="3" s="1"/>
  <c r="BY240" i="3"/>
  <c r="BZ240" i="3" s="1"/>
  <c r="BY224" i="3"/>
  <c r="BZ224" i="3" s="1"/>
  <c r="BY206" i="3"/>
  <c r="BZ206" i="3" s="1"/>
  <c r="BY196" i="3"/>
  <c r="BZ196" i="3" s="1"/>
  <c r="BY174" i="3"/>
  <c r="BZ174" i="3" s="1"/>
  <c r="BY164" i="3"/>
  <c r="BZ164" i="3" s="1"/>
  <c r="BY142" i="3"/>
  <c r="BZ142" i="3" s="1"/>
  <c r="BY132" i="3"/>
  <c r="BZ132" i="3" s="1"/>
  <c r="BY110" i="3"/>
  <c r="BZ110" i="3" s="1"/>
  <c r="BY100" i="3"/>
  <c r="BZ100" i="3" s="1"/>
  <c r="BY68" i="3"/>
  <c r="BZ68" i="3" s="1"/>
  <c r="BY36" i="3"/>
  <c r="BZ36" i="3" s="1"/>
  <c r="CP5" i="3"/>
  <c r="CQ5" i="3"/>
  <c r="DI5" i="3" s="1"/>
  <c r="BY5" i="3"/>
  <c r="BZ5" i="3" s="1"/>
  <c r="BL275" i="3"/>
  <c r="BY275" i="3"/>
  <c r="BZ275" i="3" s="1"/>
  <c r="BL268" i="3"/>
  <c r="BL266" i="3"/>
  <c r="BL259" i="3"/>
  <c r="BY259" i="3"/>
  <c r="BZ259" i="3" s="1"/>
  <c r="BL252" i="3"/>
  <c r="BL250" i="3"/>
  <c r="BL243" i="3"/>
  <c r="BY243" i="3"/>
  <c r="BZ243" i="3" s="1"/>
  <c r="BL236" i="3"/>
  <c r="BL234" i="3"/>
  <c r="BL227" i="3"/>
  <c r="BY227" i="3"/>
  <c r="BZ227" i="3" s="1"/>
  <c r="BL220" i="3"/>
  <c r="BL218" i="3"/>
  <c r="BY218" i="3"/>
  <c r="BZ218" i="3" s="1"/>
  <c r="BL211" i="3"/>
  <c r="BY211" i="3"/>
  <c r="BZ211" i="3" s="1"/>
  <c r="BL209" i="3"/>
  <c r="BL204" i="3"/>
  <c r="BY204" i="3"/>
  <c r="BZ204" i="3" s="1"/>
  <c r="BL202" i="3"/>
  <c r="BY202" i="3"/>
  <c r="BZ202" i="3" s="1"/>
  <c r="BL195" i="3"/>
  <c r="BY195" i="3"/>
  <c r="BZ195" i="3" s="1"/>
  <c r="BL193" i="3"/>
  <c r="BL188" i="3"/>
  <c r="BY188" i="3"/>
  <c r="BZ188" i="3" s="1"/>
  <c r="BL186" i="3"/>
  <c r="BY186" i="3"/>
  <c r="BZ186" i="3" s="1"/>
  <c r="BL179" i="3"/>
  <c r="BY179" i="3"/>
  <c r="BZ179" i="3" s="1"/>
  <c r="BL177" i="3"/>
  <c r="BL172" i="3"/>
  <c r="BY172" i="3"/>
  <c r="BZ172" i="3" s="1"/>
  <c r="BL170" i="3"/>
  <c r="BY170" i="3"/>
  <c r="BZ170" i="3" s="1"/>
  <c r="BL163" i="3"/>
  <c r="BY163" i="3"/>
  <c r="BZ163" i="3" s="1"/>
  <c r="BL161" i="3"/>
  <c r="BL156" i="3"/>
  <c r="BY156" i="3"/>
  <c r="BZ156" i="3" s="1"/>
  <c r="BL154" i="3"/>
  <c r="BY154" i="3"/>
  <c r="BZ154" i="3" s="1"/>
  <c r="BL147" i="3"/>
  <c r="BY147" i="3"/>
  <c r="BZ147" i="3" s="1"/>
  <c r="BL145" i="3"/>
  <c r="BL140" i="3"/>
  <c r="BY140" i="3"/>
  <c r="BZ140" i="3" s="1"/>
  <c r="BL138" i="3"/>
  <c r="BY138" i="3"/>
  <c r="BZ138" i="3" s="1"/>
  <c r="BL131" i="3"/>
  <c r="BY131" i="3"/>
  <c r="BZ131" i="3" s="1"/>
  <c r="BL129" i="3"/>
  <c r="BL124" i="3"/>
  <c r="BY124" i="3"/>
  <c r="BZ124" i="3" s="1"/>
  <c r="BL122" i="3"/>
  <c r="BY122" i="3"/>
  <c r="BZ122" i="3" s="1"/>
  <c r="BL115" i="3"/>
  <c r="BY115" i="3"/>
  <c r="BZ115" i="3" s="1"/>
  <c r="BL113" i="3"/>
  <c r="BL108" i="3"/>
  <c r="BY108" i="3"/>
  <c r="BZ108" i="3" s="1"/>
  <c r="BL106" i="3"/>
  <c r="BY106" i="3"/>
  <c r="BZ106" i="3" s="1"/>
  <c r="BL99" i="3"/>
  <c r="BY99" i="3"/>
  <c r="BZ99" i="3" s="1"/>
  <c r="BL97" i="3"/>
  <c r="BL92" i="3"/>
  <c r="BY92" i="3"/>
  <c r="BZ92" i="3" s="1"/>
  <c r="BL90" i="3"/>
  <c r="BY90" i="3"/>
  <c r="BZ90" i="3" s="1"/>
  <c r="BY85" i="3"/>
  <c r="BZ85" i="3" s="1"/>
  <c r="BL83" i="3"/>
  <c r="BY83" i="3"/>
  <c r="BZ83" i="3" s="1"/>
  <c r="BL81" i="3"/>
  <c r="BL76" i="3"/>
  <c r="BY76" i="3"/>
  <c r="BZ76" i="3" s="1"/>
  <c r="BL74" i="3"/>
  <c r="BY74" i="3"/>
  <c r="BZ74" i="3" s="1"/>
  <c r="BY69" i="3"/>
  <c r="BZ69" i="3" s="1"/>
  <c r="BL67" i="3"/>
  <c r="BY67" i="3"/>
  <c r="BZ67" i="3" s="1"/>
  <c r="BL65" i="3"/>
  <c r="BL60" i="3"/>
  <c r="BY60" i="3"/>
  <c r="BZ60" i="3" s="1"/>
  <c r="BL58" i="3"/>
  <c r="BY58" i="3"/>
  <c r="BZ58" i="3" s="1"/>
  <c r="BL51" i="3"/>
  <c r="BY51" i="3"/>
  <c r="BZ51" i="3" s="1"/>
  <c r="BL49" i="3"/>
  <c r="BL44" i="3"/>
  <c r="BY44" i="3"/>
  <c r="BZ44" i="3" s="1"/>
  <c r="BL42" i="3"/>
  <c r="BY42" i="3"/>
  <c r="BZ42" i="3" s="1"/>
  <c r="BL35" i="3"/>
  <c r="BY35" i="3"/>
  <c r="BZ35" i="3" s="1"/>
  <c r="BL33" i="3"/>
  <c r="BL28" i="3"/>
  <c r="BY28" i="3"/>
  <c r="BZ28" i="3" s="1"/>
  <c r="BL26" i="3"/>
  <c r="BY26" i="3"/>
  <c r="BZ26" i="3" s="1"/>
  <c r="BY21" i="3"/>
  <c r="BZ21" i="3" s="1"/>
  <c r="BL19" i="3"/>
  <c r="BL12" i="3"/>
  <c r="BL10" i="3"/>
  <c r="BX280" i="3"/>
  <c r="BX278" i="3"/>
  <c r="BX271" i="3"/>
  <c r="BX264" i="3"/>
  <c r="BX262" i="3"/>
  <c r="BX255" i="3"/>
  <c r="BX248" i="3"/>
  <c r="BX246" i="3"/>
  <c r="BX239" i="3"/>
  <c r="BX232" i="3"/>
  <c r="BX230" i="3"/>
  <c r="BX223" i="3"/>
  <c r="BX216" i="3"/>
  <c r="BX214" i="3"/>
  <c r="BX207" i="3"/>
  <c r="BX200" i="3"/>
  <c r="BX198" i="3"/>
  <c r="BX191" i="3"/>
  <c r="BX184" i="3"/>
  <c r="BX182" i="3"/>
  <c r="BX175" i="3"/>
  <c r="BX168" i="3"/>
  <c r="BX166" i="3"/>
  <c r="BX159" i="3"/>
  <c r="BX152" i="3"/>
  <c r="BX150" i="3"/>
  <c r="BX143" i="3"/>
  <c r="BX136" i="3"/>
  <c r="BX134" i="3"/>
  <c r="BX127" i="3"/>
  <c r="BX120" i="3"/>
  <c r="BX118" i="3"/>
  <c r="BX111" i="3"/>
  <c r="BX104" i="3"/>
  <c r="BX102" i="3"/>
  <c r="BX95" i="3"/>
  <c r="BX88" i="3"/>
  <c r="BX86" i="3"/>
  <c r="BX53" i="3"/>
  <c r="BX51" i="3"/>
  <c r="BX44" i="3"/>
  <c r="BX42" i="3"/>
  <c r="BX31" i="3"/>
  <c r="BX24" i="3"/>
  <c r="BX22" i="3"/>
  <c r="BY15" i="3"/>
  <c r="BZ15" i="3" s="1"/>
  <c r="BY280" i="3"/>
  <c r="BZ280" i="3" s="1"/>
  <c r="BY274" i="3"/>
  <c r="BZ274" i="3" s="1"/>
  <c r="BY264" i="3"/>
  <c r="BZ264" i="3" s="1"/>
  <c r="BY258" i="3"/>
  <c r="BZ258" i="3" s="1"/>
  <c r="BY248" i="3"/>
  <c r="BZ248" i="3" s="1"/>
  <c r="BY242" i="3"/>
  <c r="BZ242" i="3" s="1"/>
  <c r="BY232" i="3"/>
  <c r="BZ232" i="3" s="1"/>
  <c r="BY226" i="3"/>
  <c r="BZ226" i="3" s="1"/>
  <c r="BY212" i="3"/>
  <c r="BZ212" i="3" s="1"/>
  <c r="BY190" i="3"/>
  <c r="BZ190" i="3" s="1"/>
  <c r="BY180" i="3"/>
  <c r="BZ180" i="3" s="1"/>
  <c r="BY158" i="3"/>
  <c r="BZ158" i="3" s="1"/>
  <c r="BY148" i="3"/>
  <c r="BZ148" i="3" s="1"/>
  <c r="BY126" i="3"/>
  <c r="BZ126" i="3" s="1"/>
  <c r="BY116" i="3"/>
  <c r="BZ116" i="3" s="1"/>
  <c r="BY94" i="3"/>
  <c r="BZ94" i="3" s="1"/>
  <c r="BY84" i="3"/>
  <c r="BZ84" i="3" s="1"/>
  <c r="BY62" i="3"/>
  <c r="BZ62" i="3" s="1"/>
  <c r="BY52" i="3"/>
  <c r="BZ52" i="3" s="1"/>
  <c r="BY30" i="3"/>
  <c r="BZ30" i="3" s="1"/>
  <c r="BY20" i="3"/>
  <c r="BZ20" i="3" s="1"/>
  <c r="BX96" i="3"/>
  <c r="BX94" i="3"/>
  <c r="BX87" i="3"/>
  <c r="BX80" i="3"/>
  <c r="BX78" i="3"/>
  <c r="BX71" i="3"/>
  <c r="BX64" i="3"/>
  <c r="BX62" i="3"/>
  <c r="BX55" i="3"/>
  <c r="BX48" i="3"/>
  <c r="BX46" i="3"/>
  <c r="BX39" i="3"/>
  <c r="BX32" i="3"/>
  <c r="BX30" i="3"/>
  <c r="BX23" i="3"/>
  <c r="BX16" i="3"/>
  <c r="BX14" i="3"/>
  <c r="BX7" i="3"/>
  <c r="CJ282" i="3"/>
  <c r="CI282" i="3"/>
  <c r="CG282" i="3"/>
  <c r="CF282" i="3"/>
  <c r="CD282" i="3"/>
  <c r="CC282" i="3"/>
  <c r="BQ282" i="3"/>
  <c r="BP282" i="3"/>
  <c r="BN282" i="3"/>
  <c r="BM282" i="3"/>
  <c r="BE282" i="3"/>
  <c r="BD282" i="3"/>
  <c r="BB282" i="3"/>
  <c r="BA282" i="3"/>
  <c r="BO136" i="3"/>
  <c r="BR136" i="3"/>
  <c r="CE136" i="3"/>
  <c r="CH136" i="3"/>
  <c r="CK136" i="3"/>
  <c r="CL136" i="3"/>
  <c r="CM136" i="3"/>
  <c r="BO137" i="3"/>
  <c r="BR137" i="3"/>
  <c r="CE137" i="3"/>
  <c r="CH137" i="3"/>
  <c r="CK137" i="3"/>
  <c r="CL137" i="3"/>
  <c r="CM137" i="3"/>
  <c r="BO138" i="3"/>
  <c r="BR138" i="3"/>
  <c r="CE138" i="3"/>
  <c r="CH138" i="3"/>
  <c r="CK138" i="3"/>
  <c r="CL138" i="3"/>
  <c r="CM138" i="3"/>
  <c r="BO139" i="3"/>
  <c r="BR139" i="3"/>
  <c r="CE139" i="3"/>
  <c r="CH139" i="3"/>
  <c r="CK139" i="3"/>
  <c r="CL139" i="3"/>
  <c r="CM139" i="3"/>
  <c r="BO140" i="3"/>
  <c r="BR140" i="3"/>
  <c r="CE140" i="3"/>
  <c r="CH140" i="3"/>
  <c r="CK140" i="3"/>
  <c r="CL140" i="3"/>
  <c r="CM140" i="3"/>
  <c r="BO141" i="3"/>
  <c r="BR141" i="3"/>
  <c r="CE141" i="3"/>
  <c r="CH141" i="3"/>
  <c r="CK141" i="3"/>
  <c r="CL141" i="3"/>
  <c r="CM141" i="3"/>
  <c r="BO142" i="3"/>
  <c r="BR142" i="3"/>
  <c r="CE142" i="3"/>
  <c r="CH142" i="3"/>
  <c r="CK142" i="3"/>
  <c r="CL142" i="3"/>
  <c r="CM142" i="3"/>
  <c r="BO143" i="3"/>
  <c r="BR143" i="3"/>
  <c r="CE143" i="3"/>
  <c r="CH143" i="3"/>
  <c r="CK143" i="3"/>
  <c r="CL143" i="3"/>
  <c r="CM143" i="3"/>
  <c r="BO144" i="3"/>
  <c r="BR144" i="3"/>
  <c r="CE144" i="3"/>
  <c r="CH144" i="3"/>
  <c r="CK144" i="3"/>
  <c r="CL144" i="3"/>
  <c r="CM144" i="3"/>
  <c r="BO145" i="3"/>
  <c r="BR145" i="3"/>
  <c r="CE145" i="3"/>
  <c r="CH145" i="3"/>
  <c r="CK145" i="3"/>
  <c r="CL145" i="3"/>
  <c r="CM145" i="3"/>
  <c r="BO146" i="3"/>
  <c r="BR146" i="3"/>
  <c r="CE146" i="3"/>
  <c r="CH146" i="3"/>
  <c r="CK146" i="3"/>
  <c r="CL146" i="3"/>
  <c r="CM146" i="3"/>
  <c r="BO147" i="3"/>
  <c r="BR147" i="3"/>
  <c r="CE147" i="3"/>
  <c r="CH147" i="3"/>
  <c r="CK147" i="3"/>
  <c r="CL147" i="3"/>
  <c r="CM147" i="3"/>
  <c r="BO148" i="3"/>
  <c r="BR148" i="3"/>
  <c r="CE148" i="3"/>
  <c r="CH148" i="3"/>
  <c r="CK148" i="3"/>
  <c r="CL148" i="3"/>
  <c r="CM148" i="3"/>
  <c r="BO149" i="3"/>
  <c r="BR149" i="3"/>
  <c r="CE149" i="3"/>
  <c r="CH149" i="3"/>
  <c r="CK149" i="3"/>
  <c r="CL149" i="3"/>
  <c r="CM149" i="3"/>
  <c r="BO150" i="3"/>
  <c r="BR150" i="3"/>
  <c r="CE150" i="3"/>
  <c r="CH150" i="3"/>
  <c r="CK150" i="3"/>
  <c r="CL150" i="3"/>
  <c r="CM150" i="3"/>
  <c r="BO151" i="3"/>
  <c r="BR151" i="3"/>
  <c r="CE151" i="3"/>
  <c r="CH151" i="3"/>
  <c r="CK151" i="3"/>
  <c r="CL151" i="3"/>
  <c r="CM151" i="3"/>
  <c r="BO152" i="3"/>
  <c r="BR152" i="3"/>
  <c r="CE152" i="3"/>
  <c r="CH152" i="3"/>
  <c r="CK152" i="3"/>
  <c r="CL152" i="3"/>
  <c r="CM152" i="3"/>
  <c r="BO153" i="3"/>
  <c r="BR153" i="3"/>
  <c r="CE153" i="3"/>
  <c r="CH153" i="3"/>
  <c r="CK153" i="3"/>
  <c r="CL153" i="3"/>
  <c r="CM153" i="3"/>
  <c r="BO154" i="3"/>
  <c r="BR154" i="3"/>
  <c r="CE154" i="3"/>
  <c r="CH154" i="3"/>
  <c r="CK154" i="3"/>
  <c r="CL154" i="3"/>
  <c r="CM154" i="3"/>
  <c r="BO155" i="3"/>
  <c r="BR155" i="3"/>
  <c r="CE155" i="3"/>
  <c r="CH155" i="3"/>
  <c r="CK155" i="3"/>
  <c r="CL155" i="3"/>
  <c r="CM155" i="3"/>
  <c r="BO156" i="3"/>
  <c r="BR156" i="3"/>
  <c r="CE156" i="3"/>
  <c r="CH156" i="3"/>
  <c r="CK156" i="3"/>
  <c r="CL156" i="3"/>
  <c r="CM156" i="3"/>
  <c r="BO157" i="3"/>
  <c r="BR157" i="3"/>
  <c r="CE157" i="3"/>
  <c r="CH157" i="3"/>
  <c r="CK157" i="3"/>
  <c r="CL157" i="3"/>
  <c r="CM157" i="3"/>
  <c r="BO158" i="3"/>
  <c r="BR158" i="3"/>
  <c r="CE158" i="3"/>
  <c r="CH158" i="3"/>
  <c r="CK158" i="3"/>
  <c r="CL158" i="3"/>
  <c r="CM158" i="3"/>
  <c r="BO159" i="3"/>
  <c r="BR159" i="3"/>
  <c r="CE159" i="3"/>
  <c r="CH159" i="3"/>
  <c r="CK159" i="3"/>
  <c r="CL159" i="3"/>
  <c r="CM159" i="3"/>
  <c r="BO160" i="3"/>
  <c r="BR160" i="3"/>
  <c r="CE160" i="3"/>
  <c r="CH160" i="3"/>
  <c r="CK160" i="3"/>
  <c r="CL160" i="3"/>
  <c r="CM160" i="3"/>
  <c r="BO161" i="3"/>
  <c r="BR161" i="3"/>
  <c r="CE161" i="3"/>
  <c r="CH161" i="3"/>
  <c r="CK161" i="3"/>
  <c r="CL161" i="3"/>
  <c r="CM161" i="3"/>
  <c r="BO162" i="3"/>
  <c r="BR162" i="3"/>
  <c r="CE162" i="3"/>
  <c r="CH162" i="3"/>
  <c r="CK162" i="3"/>
  <c r="CL162" i="3"/>
  <c r="CM162" i="3"/>
  <c r="BO163" i="3"/>
  <c r="BR163" i="3"/>
  <c r="CE163" i="3"/>
  <c r="CH163" i="3"/>
  <c r="CK163" i="3"/>
  <c r="CL163" i="3"/>
  <c r="CM163" i="3"/>
  <c r="BO164" i="3"/>
  <c r="BR164" i="3"/>
  <c r="CE164" i="3"/>
  <c r="CH164" i="3"/>
  <c r="CK164" i="3"/>
  <c r="CL164" i="3"/>
  <c r="CM164" i="3"/>
  <c r="BO165" i="3"/>
  <c r="BR165" i="3"/>
  <c r="CE165" i="3"/>
  <c r="CH165" i="3"/>
  <c r="CK165" i="3"/>
  <c r="CL165" i="3"/>
  <c r="CM165" i="3"/>
  <c r="BO166" i="3"/>
  <c r="BR166" i="3"/>
  <c r="BU166" i="3"/>
  <c r="CE166" i="3"/>
  <c r="CH166" i="3"/>
  <c r="CK166" i="3"/>
  <c r="CL166" i="3"/>
  <c r="CM166" i="3"/>
  <c r="BO167" i="3"/>
  <c r="BR167" i="3"/>
  <c r="BU167" i="3"/>
  <c r="CE167" i="3"/>
  <c r="CH167" i="3"/>
  <c r="CK167" i="3"/>
  <c r="CL167" i="3"/>
  <c r="CM167" i="3"/>
  <c r="BO168" i="3"/>
  <c r="BR168" i="3"/>
  <c r="CE168" i="3"/>
  <c r="CH168" i="3"/>
  <c r="CK168" i="3"/>
  <c r="CL168" i="3"/>
  <c r="CM168" i="3"/>
  <c r="BO169" i="3"/>
  <c r="BR169" i="3"/>
  <c r="CE169" i="3"/>
  <c r="CH169" i="3"/>
  <c r="CK169" i="3"/>
  <c r="CL169" i="3"/>
  <c r="CM169" i="3"/>
  <c r="BO170" i="3"/>
  <c r="BR170" i="3"/>
  <c r="CE170" i="3"/>
  <c r="CH170" i="3"/>
  <c r="CK170" i="3"/>
  <c r="CL170" i="3"/>
  <c r="CM170" i="3"/>
  <c r="BO171" i="3"/>
  <c r="BR171" i="3"/>
  <c r="CE171" i="3"/>
  <c r="CH171" i="3"/>
  <c r="CK171" i="3"/>
  <c r="CL171" i="3"/>
  <c r="CM171" i="3"/>
  <c r="BO172" i="3"/>
  <c r="BR172" i="3"/>
  <c r="CE172" i="3"/>
  <c r="CH172" i="3"/>
  <c r="CK172" i="3"/>
  <c r="CL172" i="3"/>
  <c r="CM172" i="3"/>
  <c r="BO173" i="3"/>
  <c r="BR173" i="3"/>
  <c r="CE173" i="3"/>
  <c r="CH173" i="3"/>
  <c r="CK173" i="3"/>
  <c r="CL173" i="3"/>
  <c r="CM173" i="3"/>
  <c r="BO174" i="3"/>
  <c r="BR174" i="3"/>
  <c r="CE174" i="3"/>
  <c r="CH174" i="3"/>
  <c r="CK174" i="3"/>
  <c r="CL174" i="3"/>
  <c r="CM174" i="3"/>
  <c r="BO175" i="3"/>
  <c r="BR175" i="3"/>
  <c r="CE175" i="3"/>
  <c r="CH175" i="3"/>
  <c r="CK175" i="3"/>
  <c r="CL175" i="3"/>
  <c r="CM175" i="3"/>
  <c r="BO176" i="3"/>
  <c r="BR176" i="3"/>
  <c r="CE176" i="3"/>
  <c r="CH176" i="3"/>
  <c r="CK176" i="3"/>
  <c r="CL176" i="3"/>
  <c r="CM176" i="3"/>
  <c r="BO177" i="3"/>
  <c r="BR177" i="3"/>
  <c r="CE177" i="3"/>
  <c r="CH177" i="3"/>
  <c r="CK177" i="3"/>
  <c r="CL177" i="3"/>
  <c r="CM177" i="3"/>
  <c r="BO178" i="3"/>
  <c r="BR178" i="3"/>
  <c r="CE178" i="3"/>
  <c r="CH178" i="3"/>
  <c r="CK178" i="3"/>
  <c r="CL178" i="3"/>
  <c r="CM178" i="3"/>
  <c r="BO179" i="3"/>
  <c r="BR179" i="3"/>
  <c r="CE179" i="3"/>
  <c r="CH179" i="3"/>
  <c r="CK179" i="3"/>
  <c r="CL179" i="3"/>
  <c r="CM179" i="3"/>
  <c r="BO180" i="3"/>
  <c r="BR180" i="3"/>
  <c r="CE180" i="3"/>
  <c r="CH180" i="3"/>
  <c r="CK180" i="3"/>
  <c r="CL180" i="3"/>
  <c r="CM180" i="3"/>
  <c r="BO181" i="3"/>
  <c r="BR181" i="3"/>
  <c r="CE181" i="3"/>
  <c r="CH181" i="3"/>
  <c r="CK181" i="3"/>
  <c r="CL181" i="3"/>
  <c r="CM181" i="3"/>
  <c r="BO182" i="3"/>
  <c r="BR182" i="3"/>
  <c r="CE182" i="3"/>
  <c r="CH182" i="3"/>
  <c r="CK182" i="3"/>
  <c r="CL182" i="3"/>
  <c r="CM182" i="3"/>
  <c r="BO183" i="3"/>
  <c r="BR183" i="3"/>
  <c r="CE183" i="3"/>
  <c r="CH183" i="3"/>
  <c r="CK183" i="3"/>
  <c r="CL183" i="3"/>
  <c r="CM183" i="3"/>
  <c r="BO184" i="3"/>
  <c r="BR184" i="3"/>
  <c r="CE184" i="3"/>
  <c r="CH184" i="3"/>
  <c r="CK184" i="3"/>
  <c r="CL184" i="3"/>
  <c r="CM184" i="3"/>
  <c r="BO185" i="3"/>
  <c r="BR185" i="3"/>
  <c r="CE185" i="3"/>
  <c r="CH185" i="3"/>
  <c r="CK185" i="3"/>
  <c r="CL185" i="3"/>
  <c r="CM185" i="3"/>
  <c r="BO186" i="3"/>
  <c r="BR186" i="3"/>
  <c r="CE186" i="3"/>
  <c r="CH186" i="3"/>
  <c r="CK186" i="3"/>
  <c r="CL186" i="3"/>
  <c r="CM186" i="3"/>
  <c r="BO187" i="3"/>
  <c r="BR187" i="3"/>
  <c r="CE187" i="3"/>
  <c r="CH187" i="3"/>
  <c r="CK187" i="3"/>
  <c r="CL187" i="3"/>
  <c r="CM187" i="3"/>
  <c r="BO188" i="3"/>
  <c r="BR188" i="3"/>
  <c r="CE188" i="3"/>
  <c r="CH188" i="3"/>
  <c r="CK188" i="3"/>
  <c r="CL188" i="3"/>
  <c r="CM188" i="3"/>
  <c r="BO189" i="3"/>
  <c r="BR189" i="3"/>
  <c r="CE189" i="3"/>
  <c r="CH189" i="3"/>
  <c r="CK189" i="3"/>
  <c r="CL189" i="3"/>
  <c r="CM189" i="3"/>
  <c r="BO190" i="3"/>
  <c r="BR190" i="3"/>
  <c r="CE190" i="3"/>
  <c r="CH190" i="3"/>
  <c r="CK190" i="3"/>
  <c r="CL190" i="3"/>
  <c r="CM190" i="3"/>
  <c r="BO191" i="3"/>
  <c r="BR191" i="3"/>
  <c r="CE191" i="3"/>
  <c r="CH191" i="3"/>
  <c r="CK191" i="3"/>
  <c r="CL191" i="3"/>
  <c r="CM191" i="3"/>
  <c r="BO192" i="3"/>
  <c r="BR192" i="3"/>
  <c r="CE192" i="3"/>
  <c r="CH192" i="3"/>
  <c r="CK192" i="3"/>
  <c r="CL192" i="3"/>
  <c r="CM192" i="3"/>
  <c r="BO193" i="3"/>
  <c r="BR193" i="3"/>
  <c r="CE193" i="3"/>
  <c r="CH193" i="3"/>
  <c r="CK193" i="3"/>
  <c r="CL193" i="3"/>
  <c r="CM193" i="3"/>
  <c r="BO194" i="3"/>
  <c r="BR194" i="3"/>
  <c r="CE194" i="3"/>
  <c r="CH194" i="3"/>
  <c r="CK194" i="3"/>
  <c r="CL194" i="3"/>
  <c r="CM194" i="3"/>
  <c r="BO195" i="3"/>
  <c r="BR195" i="3"/>
  <c r="CE195" i="3"/>
  <c r="CH195" i="3"/>
  <c r="CK195" i="3"/>
  <c r="CL195" i="3"/>
  <c r="CM195" i="3"/>
  <c r="BO196" i="3"/>
  <c r="BR196" i="3"/>
  <c r="CE196" i="3"/>
  <c r="CH196" i="3"/>
  <c r="CK196" i="3"/>
  <c r="CL196" i="3"/>
  <c r="CM196" i="3"/>
  <c r="BO197" i="3"/>
  <c r="BR197" i="3"/>
  <c r="CE197" i="3"/>
  <c r="CH197" i="3"/>
  <c r="CK197" i="3"/>
  <c r="CL197" i="3"/>
  <c r="CM197" i="3"/>
  <c r="BO198" i="3"/>
  <c r="BR198" i="3"/>
  <c r="CE198" i="3"/>
  <c r="CH198" i="3"/>
  <c r="CK198" i="3"/>
  <c r="CL198" i="3"/>
  <c r="CM198" i="3"/>
  <c r="BO199" i="3"/>
  <c r="BR199" i="3"/>
  <c r="CE199" i="3"/>
  <c r="CH199" i="3"/>
  <c r="CK199" i="3"/>
  <c r="CL199" i="3"/>
  <c r="CM199" i="3"/>
  <c r="BO200" i="3"/>
  <c r="BR200" i="3"/>
  <c r="CE200" i="3"/>
  <c r="CH200" i="3"/>
  <c r="CK200" i="3"/>
  <c r="CL200" i="3"/>
  <c r="CM200" i="3"/>
  <c r="BO201" i="3"/>
  <c r="BR201" i="3"/>
  <c r="CE201" i="3"/>
  <c r="CH201" i="3"/>
  <c r="CK201" i="3"/>
  <c r="CL201" i="3"/>
  <c r="CM201" i="3"/>
  <c r="BO202" i="3"/>
  <c r="BR202" i="3"/>
  <c r="CE202" i="3"/>
  <c r="CH202" i="3"/>
  <c r="CK202" i="3"/>
  <c r="CL202" i="3"/>
  <c r="CM202" i="3"/>
  <c r="BO203" i="3"/>
  <c r="BR203" i="3"/>
  <c r="CE203" i="3"/>
  <c r="CH203" i="3"/>
  <c r="CK203" i="3"/>
  <c r="CL203" i="3"/>
  <c r="CM203" i="3"/>
  <c r="BO204" i="3"/>
  <c r="BR204" i="3"/>
  <c r="CE204" i="3"/>
  <c r="CH204" i="3"/>
  <c r="CK204" i="3"/>
  <c r="CL204" i="3"/>
  <c r="CM204" i="3"/>
  <c r="BO205" i="3"/>
  <c r="BR205" i="3"/>
  <c r="CE205" i="3"/>
  <c r="CH205" i="3"/>
  <c r="CK205" i="3"/>
  <c r="CL205" i="3"/>
  <c r="CM205" i="3"/>
  <c r="BO206" i="3"/>
  <c r="BR206" i="3"/>
  <c r="CE206" i="3"/>
  <c r="CH206" i="3"/>
  <c r="CK206" i="3"/>
  <c r="CL206" i="3"/>
  <c r="CM206" i="3"/>
  <c r="BO207" i="3"/>
  <c r="BR207" i="3"/>
  <c r="CE207" i="3"/>
  <c r="CH207" i="3"/>
  <c r="CK207" i="3"/>
  <c r="CL207" i="3"/>
  <c r="CM207" i="3"/>
  <c r="BO208" i="3"/>
  <c r="BR208" i="3"/>
  <c r="CE208" i="3"/>
  <c r="CH208" i="3"/>
  <c r="CK208" i="3"/>
  <c r="CL208" i="3"/>
  <c r="CM208" i="3"/>
  <c r="BO209" i="3"/>
  <c r="BR209" i="3"/>
  <c r="CE209" i="3"/>
  <c r="CH209" i="3"/>
  <c r="CK209" i="3"/>
  <c r="CL209" i="3"/>
  <c r="CM209" i="3"/>
  <c r="BO210" i="3"/>
  <c r="BR210" i="3"/>
  <c r="CE210" i="3"/>
  <c r="CH210" i="3"/>
  <c r="CK210" i="3"/>
  <c r="CL210" i="3"/>
  <c r="CM210" i="3"/>
  <c r="BO211" i="3"/>
  <c r="BR211" i="3"/>
  <c r="CE211" i="3"/>
  <c r="CH211" i="3"/>
  <c r="CK211" i="3"/>
  <c r="CL211" i="3"/>
  <c r="CM211" i="3"/>
  <c r="BO212" i="3"/>
  <c r="BR212" i="3"/>
  <c r="CE212" i="3"/>
  <c r="CH212" i="3"/>
  <c r="CK212" i="3"/>
  <c r="CL212" i="3"/>
  <c r="CM212" i="3"/>
  <c r="BO213" i="3"/>
  <c r="BR213" i="3"/>
  <c r="CE213" i="3"/>
  <c r="CH213" i="3"/>
  <c r="CK213" i="3"/>
  <c r="CL213" i="3"/>
  <c r="CM213" i="3"/>
  <c r="BO214" i="3"/>
  <c r="BR214" i="3"/>
  <c r="CE214" i="3"/>
  <c r="CH214" i="3"/>
  <c r="CK214" i="3"/>
  <c r="CL214" i="3"/>
  <c r="CM214" i="3"/>
  <c r="BO215" i="3"/>
  <c r="BR215" i="3"/>
  <c r="CE215" i="3"/>
  <c r="CH215" i="3"/>
  <c r="CK215" i="3"/>
  <c r="CL215" i="3"/>
  <c r="CM215" i="3"/>
  <c r="BO216" i="3"/>
  <c r="BR216" i="3"/>
  <c r="BU216" i="3"/>
  <c r="CE216" i="3"/>
  <c r="CH216" i="3"/>
  <c r="CK216" i="3"/>
  <c r="CL216" i="3"/>
  <c r="CM216" i="3"/>
  <c r="BO217" i="3"/>
  <c r="BR217" i="3"/>
  <c r="CE217" i="3"/>
  <c r="CH217" i="3"/>
  <c r="CK217" i="3"/>
  <c r="CL217" i="3"/>
  <c r="CM217" i="3"/>
  <c r="BO218" i="3"/>
  <c r="BR218" i="3"/>
  <c r="CE218" i="3"/>
  <c r="CH218" i="3"/>
  <c r="CK218" i="3"/>
  <c r="CL218" i="3"/>
  <c r="CM218" i="3"/>
  <c r="BO219" i="3"/>
  <c r="BR219" i="3"/>
  <c r="CE219" i="3"/>
  <c r="CH219" i="3"/>
  <c r="CK219" i="3"/>
  <c r="CL219" i="3"/>
  <c r="CM219" i="3"/>
  <c r="BO220" i="3"/>
  <c r="BR220" i="3"/>
  <c r="CE220" i="3"/>
  <c r="CH220" i="3"/>
  <c r="CK220" i="3"/>
  <c r="CL220" i="3"/>
  <c r="CM220" i="3"/>
  <c r="BO221" i="3"/>
  <c r="BR221" i="3"/>
  <c r="CE221" i="3"/>
  <c r="CH221" i="3"/>
  <c r="CK221" i="3"/>
  <c r="CL221" i="3"/>
  <c r="CM221" i="3"/>
  <c r="BO222" i="3"/>
  <c r="BR222" i="3"/>
  <c r="CE222" i="3"/>
  <c r="CH222" i="3"/>
  <c r="CK222" i="3"/>
  <c r="CL222" i="3"/>
  <c r="CM222" i="3"/>
  <c r="BO223" i="3"/>
  <c r="BR223" i="3"/>
  <c r="CE223" i="3"/>
  <c r="CH223" i="3"/>
  <c r="CK223" i="3"/>
  <c r="CL223" i="3"/>
  <c r="CM223" i="3"/>
  <c r="BO224" i="3"/>
  <c r="BR224" i="3"/>
  <c r="CE224" i="3"/>
  <c r="CH224" i="3"/>
  <c r="CK224" i="3"/>
  <c r="CL224" i="3"/>
  <c r="CM224" i="3"/>
  <c r="BO225" i="3"/>
  <c r="BR225" i="3"/>
  <c r="CE225" i="3"/>
  <c r="CH225" i="3"/>
  <c r="CK225" i="3"/>
  <c r="CL225" i="3"/>
  <c r="CM225" i="3"/>
  <c r="BO226" i="3"/>
  <c r="BR226" i="3"/>
  <c r="CE226" i="3"/>
  <c r="CH226" i="3"/>
  <c r="CK226" i="3"/>
  <c r="CL226" i="3"/>
  <c r="CM226" i="3"/>
  <c r="BO227" i="3"/>
  <c r="BR227" i="3"/>
  <c r="BU227" i="3"/>
  <c r="CE227" i="3"/>
  <c r="CH227" i="3"/>
  <c r="CK227" i="3"/>
  <c r="CL227" i="3"/>
  <c r="CM227" i="3"/>
  <c r="BO228" i="3"/>
  <c r="BR228" i="3"/>
  <c r="BU228" i="3"/>
  <c r="CE228" i="3"/>
  <c r="CH228" i="3"/>
  <c r="CK228" i="3"/>
  <c r="CL228" i="3"/>
  <c r="CM228" i="3"/>
  <c r="BO229" i="3"/>
  <c r="BR229" i="3"/>
  <c r="BU229" i="3"/>
  <c r="CE229" i="3"/>
  <c r="CH229" i="3"/>
  <c r="CK229" i="3"/>
  <c r="CL229" i="3"/>
  <c r="CM229" i="3"/>
  <c r="BO230" i="3"/>
  <c r="BR230" i="3"/>
  <c r="BU230" i="3"/>
  <c r="CE230" i="3"/>
  <c r="CH230" i="3"/>
  <c r="CK230" i="3"/>
  <c r="CL230" i="3"/>
  <c r="CM230" i="3"/>
  <c r="BO231" i="3"/>
  <c r="BR231" i="3"/>
  <c r="BU231" i="3"/>
  <c r="CE231" i="3"/>
  <c r="CH231" i="3"/>
  <c r="CK231" i="3"/>
  <c r="CL231" i="3"/>
  <c r="CM231" i="3"/>
  <c r="BO232" i="3"/>
  <c r="BR232" i="3"/>
  <c r="BU232" i="3"/>
  <c r="CE232" i="3"/>
  <c r="CH232" i="3"/>
  <c r="CK232" i="3"/>
  <c r="CL232" i="3"/>
  <c r="CM232" i="3"/>
  <c r="BO233" i="3"/>
  <c r="BR233" i="3"/>
  <c r="BU233" i="3"/>
  <c r="CE233" i="3"/>
  <c r="CH233" i="3"/>
  <c r="CK233" i="3"/>
  <c r="CL233" i="3"/>
  <c r="CM233" i="3"/>
  <c r="BO234" i="3"/>
  <c r="BR234" i="3"/>
  <c r="BU234" i="3"/>
  <c r="CE234" i="3"/>
  <c r="CH234" i="3"/>
  <c r="CK234" i="3"/>
  <c r="CL234" i="3"/>
  <c r="CM234" i="3"/>
  <c r="BO235" i="3"/>
  <c r="BR235" i="3"/>
  <c r="BU235" i="3"/>
  <c r="CE235" i="3"/>
  <c r="CH235" i="3"/>
  <c r="CK235" i="3"/>
  <c r="CL235" i="3"/>
  <c r="CM235" i="3"/>
  <c r="BO236" i="3"/>
  <c r="BR236" i="3"/>
  <c r="BU236" i="3"/>
  <c r="CE236" i="3"/>
  <c r="CH236" i="3"/>
  <c r="CK236" i="3"/>
  <c r="CL236" i="3"/>
  <c r="CM236" i="3"/>
  <c r="BO237" i="3"/>
  <c r="BR237" i="3"/>
  <c r="BU237" i="3"/>
  <c r="CE237" i="3"/>
  <c r="CH237" i="3"/>
  <c r="CK237" i="3"/>
  <c r="CL237" i="3"/>
  <c r="CM237" i="3"/>
  <c r="BO238" i="3"/>
  <c r="BR238" i="3"/>
  <c r="BU238" i="3"/>
  <c r="CE238" i="3"/>
  <c r="CH238" i="3"/>
  <c r="CK238" i="3"/>
  <c r="CL238" i="3"/>
  <c r="CM238" i="3"/>
  <c r="BO239" i="3"/>
  <c r="BR239" i="3"/>
  <c r="BU239" i="3"/>
  <c r="CE239" i="3"/>
  <c r="CH239" i="3"/>
  <c r="CK239" i="3"/>
  <c r="CL239" i="3"/>
  <c r="CM239" i="3"/>
  <c r="BO240" i="3"/>
  <c r="BR240" i="3"/>
  <c r="BU240" i="3"/>
  <c r="CE240" i="3"/>
  <c r="CH240" i="3"/>
  <c r="CK240" i="3"/>
  <c r="CL240" i="3"/>
  <c r="CM240" i="3"/>
  <c r="BO241" i="3"/>
  <c r="BR241" i="3"/>
  <c r="BU241" i="3"/>
  <c r="CE241" i="3"/>
  <c r="CH241" i="3"/>
  <c r="CK241" i="3"/>
  <c r="CL241" i="3"/>
  <c r="CM241" i="3"/>
  <c r="BO242" i="3"/>
  <c r="BR242" i="3"/>
  <c r="BU242" i="3"/>
  <c r="CE242" i="3"/>
  <c r="CH242" i="3"/>
  <c r="CK242" i="3"/>
  <c r="CL242" i="3"/>
  <c r="CM242" i="3"/>
  <c r="BO243" i="3"/>
  <c r="BR243" i="3"/>
  <c r="BU243" i="3"/>
  <c r="CE243" i="3"/>
  <c r="CH243" i="3"/>
  <c r="CK243" i="3"/>
  <c r="CL243" i="3"/>
  <c r="CM243" i="3"/>
  <c r="BO244" i="3"/>
  <c r="BR244" i="3"/>
  <c r="BU244" i="3"/>
  <c r="CE244" i="3"/>
  <c r="CH244" i="3"/>
  <c r="CK244" i="3"/>
  <c r="CL244" i="3"/>
  <c r="CM244" i="3"/>
  <c r="BO245" i="3"/>
  <c r="BR245" i="3"/>
  <c r="BU245" i="3"/>
  <c r="CE245" i="3"/>
  <c r="CH245" i="3"/>
  <c r="CK245" i="3"/>
  <c r="CL245" i="3"/>
  <c r="CM245" i="3"/>
  <c r="BO246" i="3"/>
  <c r="BR246" i="3"/>
  <c r="BU246" i="3"/>
  <c r="CE246" i="3"/>
  <c r="CH246" i="3"/>
  <c r="CK246" i="3"/>
  <c r="CL246" i="3"/>
  <c r="CM246" i="3"/>
  <c r="BO247" i="3"/>
  <c r="BR247" i="3"/>
  <c r="BU247" i="3"/>
  <c r="CE247" i="3"/>
  <c r="CH247" i="3"/>
  <c r="CK247" i="3"/>
  <c r="CL247" i="3"/>
  <c r="CM247" i="3"/>
  <c r="BO248" i="3"/>
  <c r="BR248" i="3"/>
  <c r="BU248" i="3"/>
  <c r="CE248" i="3"/>
  <c r="CH248" i="3"/>
  <c r="CK248" i="3"/>
  <c r="CL248" i="3"/>
  <c r="CM248" i="3"/>
  <c r="BO249" i="3"/>
  <c r="BR249" i="3"/>
  <c r="BU249" i="3"/>
  <c r="CE249" i="3"/>
  <c r="CH249" i="3"/>
  <c r="CK249" i="3"/>
  <c r="CL249" i="3"/>
  <c r="CM249" i="3"/>
  <c r="BO250" i="3"/>
  <c r="BR250" i="3"/>
  <c r="BU250" i="3"/>
  <c r="CE250" i="3"/>
  <c r="CH250" i="3"/>
  <c r="CK250" i="3"/>
  <c r="CL250" i="3"/>
  <c r="CM250" i="3"/>
  <c r="BO251" i="3"/>
  <c r="BR251" i="3"/>
  <c r="BU251" i="3"/>
  <c r="CE251" i="3"/>
  <c r="CH251" i="3"/>
  <c r="CK251" i="3"/>
  <c r="CL251" i="3"/>
  <c r="CM251" i="3"/>
  <c r="BO252" i="3"/>
  <c r="BR252" i="3"/>
  <c r="BU252" i="3"/>
  <c r="CE252" i="3"/>
  <c r="CH252" i="3"/>
  <c r="CK252" i="3"/>
  <c r="CL252" i="3"/>
  <c r="CM252" i="3"/>
  <c r="BO253" i="3"/>
  <c r="BR253" i="3"/>
  <c r="BU253" i="3"/>
  <c r="CE253" i="3"/>
  <c r="CH253" i="3"/>
  <c r="CK253" i="3"/>
  <c r="CL253" i="3"/>
  <c r="CM253" i="3"/>
  <c r="BU254" i="3"/>
  <c r="CH254" i="3"/>
  <c r="CK254" i="3"/>
  <c r="CL254" i="3"/>
  <c r="CM254" i="3"/>
  <c r="BU255" i="3"/>
  <c r="CH255" i="3"/>
  <c r="CK255" i="3"/>
  <c r="CL255" i="3"/>
  <c r="CM255" i="3"/>
  <c r="BU256" i="3"/>
  <c r="CH256" i="3"/>
  <c r="CK256" i="3"/>
  <c r="CL256" i="3"/>
  <c r="CM256" i="3"/>
  <c r="BO257" i="3"/>
  <c r="BR257" i="3"/>
  <c r="BU257" i="3"/>
  <c r="CE257" i="3"/>
  <c r="CH257" i="3"/>
  <c r="CK257" i="3"/>
  <c r="CL257" i="3"/>
  <c r="CM257" i="3"/>
  <c r="BO258" i="3"/>
  <c r="BR258" i="3"/>
  <c r="BU258" i="3"/>
  <c r="CE258" i="3"/>
  <c r="CH258" i="3"/>
  <c r="CK258" i="3"/>
  <c r="CL258" i="3"/>
  <c r="CM258" i="3"/>
  <c r="BO259" i="3"/>
  <c r="BR259" i="3"/>
  <c r="BU259" i="3"/>
  <c r="CE259" i="3"/>
  <c r="CH259" i="3"/>
  <c r="CK259" i="3"/>
  <c r="CL259" i="3"/>
  <c r="CM259" i="3"/>
  <c r="BO260" i="3"/>
  <c r="BR260" i="3"/>
  <c r="BU260" i="3"/>
  <c r="CE260" i="3"/>
  <c r="CH260" i="3"/>
  <c r="CK260" i="3"/>
  <c r="CL260" i="3"/>
  <c r="CM260" i="3"/>
  <c r="BO261" i="3"/>
  <c r="BR261" i="3"/>
  <c r="BU261" i="3"/>
  <c r="CE261" i="3"/>
  <c r="CH261" i="3"/>
  <c r="CK261" i="3"/>
  <c r="CL261" i="3"/>
  <c r="CM261" i="3"/>
  <c r="BO262" i="3"/>
  <c r="BR262" i="3"/>
  <c r="BU262" i="3"/>
  <c r="CE262" i="3"/>
  <c r="CH262" i="3"/>
  <c r="CK262" i="3"/>
  <c r="CL262" i="3"/>
  <c r="CM262" i="3"/>
  <c r="BO263" i="3"/>
  <c r="BR263" i="3"/>
  <c r="BU263" i="3"/>
  <c r="CE263" i="3"/>
  <c r="CH263" i="3"/>
  <c r="CK263" i="3"/>
  <c r="CL263" i="3"/>
  <c r="CM263" i="3"/>
  <c r="BO264" i="3"/>
  <c r="BR264" i="3"/>
  <c r="BU264" i="3"/>
  <c r="CE264" i="3"/>
  <c r="CH264" i="3"/>
  <c r="CK264" i="3"/>
  <c r="CL264" i="3"/>
  <c r="CM264" i="3"/>
  <c r="BO265" i="3"/>
  <c r="BR265" i="3"/>
  <c r="BU265" i="3"/>
  <c r="CE265" i="3"/>
  <c r="CH265" i="3"/>
  <c r="CK265" i="3"/>
  <c r="CL265" i="3"/>
  <c r="CM265" i="3"/>
  <c r="BO266" i="3"/>
  <c r="BR266" i="3"/>
  <c r="BU266" i="3"/>
  <c r="CE266" i="3"/>
  <c r="CH266" i="3"/>
  <c r="CK266" i="3"/>
  <c r="CL266" i="3"/>
  <c r="CM266" i="3"/>
  <c r="BO267" i="3"/>
  <c r="BR267" i="3"/>
  <c r="BU267" i="3"/>
  <c r="CE267" i="3"/>
  <c r="CH267" i="3"/>
  <c r="CK267" i="3"/>
  <c r="CL267" i="3"/>
  <c r="CM267" i="3"/>
  <c r="BO268" i="3"/>
  <c r="BR268" i="3"/>
  <c r="BU268" i="3"/>
  <c r="CE268" i="3"/>
  <c r="CH268" i="3"/>
  <c r="CK268" i="3"/>
  <c r="CL268" i="3"/>
  <c r="CM268" i="3"/>
  <c r="BO269" i="3"/>
  <c r="BR269" i="3"/>
  <c r="BU269" i="3"/>
  <c r="CE269" i="3"/>
  <c r="CH269" i="3"/>
  <c r="CK269" i="3"/>
  <c r="CL269" i="3"/>
  <c r="CM269" i="3"/>
  <c r="BO270" i="3"/>
  <c r="BR270" i="3"/>
  <c r="BU270" i="3"/>
  <c r="CE270" i="3"/>
  <c r="CH270" i="3"/>
  <c r="CK270" i="3"/>
  <c r="CL270" i="3"/>
  <c r="CM270" i="3"/>
  <c r="BO271" i="3"/>
  <c r="BR271" i="3"/>
  <c r="BU271" i="3"/>
  <c r="CE271" i="3"/>
  <c r="CH271" i="3"/>
  <c r="CK271" i="3"/>
  <c r="CL271" i="3"/>
  <c r="CM271" i="3"/>
  <c r="BO272" i="3"/>
  <c r="BR272" i="3"/>
  <c r="BU272" i="3"/>
  <c r="CE272" i="3"/>
  <c r="CH272" i="3"/>
  <c r="CK272" i="3"/>
  <c r="CL272" i="3"/>
  <c r="CM272" i="3"/>
  <c r="BO273" i="3"/>
  <c r="BR273" i="3"/>
  <c r="BU273" i="3"/>
  <c r="CE273" i="3"/>
  <c r="CH273" i="3"/>
  <c r="CK273" i="3"/>
  <c r="CL273" i="3"/>
  <c r="CM273" i="3"/>
  <c r="BO274" i="3"/>
  <c r="BR274" i="3"/>
  <c r="BU274" i="3"/>
  <c r="CE274" i="3"/>
  <c r="CH274" i="3"/>
  <c r="CK274" i="3"/>
  <c r="CL274" i="3"/>
  <c r="CM274" i="3"/>
  <c r="BO275" i="3"/>
  <c r="BR275" i="3"/>
  <c r="CE275" i="3"/>
  <c r="CH275" i="3"/>
  <c r="CK275" i="3"/>
  <c r="CL275" i="3"/>
  <c r="CM275" i="3"/>
  <c r="BO276" i="3"/>
  <c r="BR276" i="3"/>
  <c r="CE276" i="3"/>
  <c r="CH276" i="3"/>
  <c r="CK276" i="3"/>
  <c r="CL276" i="3"/>
  <c r="CM276" i="3"/>
  <c r="BO277" i="3"/>
  <c r="BR277" i="3"/>
  <c r="CE277" i="3"/>
  <c r="CH277" i="3"/>
  <c r="CK277" i="3"/>
  <c r="CL277" i="3"/>
  <c r="CM277" i="3"/>
  <c r="BO278" i="3"/>
  <c r="BR278" i="3"/>
  <c r="CE278" i="3"/>
  <c r="CH278" i="3"/>
  <c r="CK278" i="3"/>
  <c r="CL278" i="3"/>
  <c r="CM278" i="3"/>
  <c r="BO279" i="3"/>
  <c r="BR279" i="3"/>
  <c r="BU279" i="3"/>
  <c r="CE279" i="3"/>
  <c r="CH279" i="3"/>
  <c r="CK279" i="3"/>
  <c r="CL279" i="3"/>
  <c r="CM279" i="3"/>
  <c r="BO280" i="3"/>
  <c r="BR280" i="3"/>
  <c r="BU280" i="3"/>
  <c r="CE280" i="3"/>
  <c r="CH280" i="3"/>
  <c r="CK280" i="3"/>
  <c r="CL280" i="3"/>
  <c r="CM280" i="3"/>
  <c r="BO281" i="3"/>
  <c r="BR281" i="3"/>
  <c r="BU281" i="3"/>
  <c r="CE281" i="3"/>
  <c r="CH281" i="3"/>
  <c r="CK281" i="3"/>
  <c r="CL281" i="3"/>
  <c r="CM281" i="3"/>
  <c r="BO24" i="3"/>
  <c r="BR24" i="3"/>
  <c r="CE24" i="3"/>
  <c r="CH24" i="3"/>
  <c r="CK24" i="3"/>
  <c r="CL24" i="3"/>
  <c r="CM24" i="3"/>
  <c r="BO25" i="3"/>
  <c r="BR25" i="3"/>
  <c r="CE25" i="3"/>
  <c r="CH25" i="3"/>
  <c r="CK25" i="3"/>
  <c r="CL25" i="3"/>
  <c r="CM25" i="3"/>
  <c r="BO26" i="3"/>
  <c r="BR26" i="3"/>
  <c r="CE26" i="3"/>
  <c r="CH26" i="3"/>
  <c r="CK26" i="3"/>
  <c r="CL26" i="3"/>
  <c r="CM26" i="3"/>
  <c r="BO27" i="3"/>
  <c r="BR27" i="3"/>
  <c r="CE27" i="3"/>
  <c r="CH27" i="3"/>
  <c r="CK27" i="3"/>
  <c r="CL27" i="3"/>
  <c r="CM27" i="3"/>
  <c r="BO28" i="3"/>
  <c r="BR28" i="3"/>
  <c r="CE28" i="3"/>
  <c r="CH28" i="3"/>
  <c r="CK28" i="3"/>
  <c r="CL28" i="3"/>
  <c r="CM28" i="3"/>
  <c r="BO29" i="3"/>
  <c r="BR29" i="3"/>
  <c r="CE29" i="3"/>
  <c r="CH29" i="3"/>
  <c r="CK29" i="3"/>
  <c r="CL29" i="3"/>
  <c r="CM29" i="3"/>
  <c r="BO30" i="3"/>
  <c r="BR30" i="3"/>
  <c r="CE30" i="3"/>
  <c r="CH30" i="3"/>
  <c r="CK30" i="3"/>
  <c r="CL30" i="3"/>
  <c r="CM30" i="3"/>
  <c r="BO31" i="3"/>
  <c r="BR31" i="3"/>
  <c r="CE31" i="3"/>
  <c r="CH31" i="3"/>
  <c r="CK31" i="3"/>
  <c r="CL31" i="3"/>
  <c r="CM31" i="3"/>
  <c r="BO32" i="3"/>
  <c r="BR32" i="3"/>
  <c r="CE32" i="3"/>
  <c r="CH32" i="3"/>
  <c r="CK32" i="3"/>
  <c r="CL32" i="3"/>
  <c r="CM32" i="3"/>
  <c r="BO33" i="3"/>
  <c r="BR33" i="3"/>
  <c r="CE33" i="3"/>
  <c r="CH33" i="3"/>
  <c r="CK33" i="3"/>
  <c r="CL33" i="3"/>
  <c r="CM33" i="3"/>
  <c r="BO34" i="3"/>
  <c r="BR34" i="3"/>
  <c r="CE34" i="3"/>
  <c r="CH34" i="3"/>
  <c r="CK34" i="3"/>
  <c r="CL34" i="3"/>
  <c r="CM34" i="3"/>
  <c r="BO35" i="3"/>
  <c r="BR35" i="3"/>
  <c r="CE35" i="3"/>
  <c r="CH35" i="3"/>
  <c r="CK35" i="3"/>
  <c r="CL35" i="3"/>
  <c r="CM35" i="3"/>
  <c r="BO36" i="3"/>
  <c r="BR36" i="3"/>
  <c r="CE36" i="3"/>
  <c r="CH36" i="3"/>
  <c r="CK36" i="3"/>
  <c r="CL36" i="3"/>
  <c r="CM36" i="3"/>
  <c r="BO37" i="3"/>
  <c r="BR37" i="3"/>
  <c r="CE37" i="3"/>
  <c r="CH37" i="3"/>
  <c r="CK37" i="3"/>
  <c r="CL37" i="3"/>
  <c r="CM37" i="3"/>
  <c r="BO38" i="3"/>
  <c r="BR38" i="3"/>
  <c r="CE38" i="3"/>
  <c r="CH38" i="3"/>
  <c r="CK38" i="3"/>
  <c r="CL38" i="3"/>
  <c r="CM38" i="3"/>
  <c r="BO39" i="3"/>
  <c r="BR39" i="3"/>
  <c r="CE39" i="3"/>
  <c r="CH39" i="3"/>
  <c r="CK39" i="3"/>
  <c r="CL39" i="3"/>
  <c r="CM39" i="3"/>
  <c r="BO40" i="3"/>
  <c r="BR40" i="3"/>
  <c r="CE40" i="3"/>
  <c r="CH40" i="3"/>
  <c r="CK40" i="3"/>
  <c r="CL40" i="3"/>
  <c r="CM40" i="3"/>
  <c r="BO41" i="3"/>
  <c r="BR41" i="3"/>
  <c r="CE41" i="3"/>
  <c r="CH41" i="3"/>
  <c r="CK41" i="3"/>
  <c r="CL41" i="3"/>
  <c r="CM41" i="3"/>
  <c r="BO42" i="3"/>
  <c r="BR42" i="3"/>
  <c r="CE42" i="3"/>
  <c r="CH42" i="3"/>
  <c r="CK42" i="3"/>
  <c r="CL42" i="3"/>
  <c r="CM42" i="3"/>
  <c r="BO43" i="3"/>
  <c r="BR43" i="3"/>
  <c r="CE43" i="3"/>
  <c r="CH43" i="3"/>
  <c r="CK43" i="3"/>
  <c r="CL43" i="3"/>
  <c r="CM43" i="3"/>
  <c r="BO44" i="3"/>
  <c r="BR44" i="3"/>
  <c r="CE44" i="3"/>
  <c r="CH44" i="3"/>
  <c r="CK44" i="3"/>
  <c r="CL44" i="3"/>
  <c r="CM44" i="3"/>
  <c r="BO45" i="3"/>
  <c r="BR45" i="3"/>
  <c r="CE45" i="3"/>
  <c r="CH45" i="3"/>
  <c r="CK45" i="3"/>
  <c r="CL45" i="3"/>
  <c r="CM45" i="3"/>
  <c r="BO46" i="3"/>
  <c r="BR46" i="3"/>
  <c r="CE46" i="3"/>
  <c r="CH46" i="3"/>
  <c r="CK46" i="3"/>
  <c r="CL46" i="3"/>
  <c r="CM46" i="3"/>
  <c r="BO47" i="3"/>
  <c r="BR47" i="3"/>
  <c r="CE47" i="3"/>
  <c r="CH47" i="3"/>
  <c r="CK47" i="3"/>
  <c r="CL47" i="3"/>
  <c r="CM47" i="3"/>
  <c r="BO48" i="3"/>
  <c r="BR48" i="3"/>
  <c r="CE48" i="3"/>
  <c r="CH48" i="3"/>
  <c r="CK48" i="3"/>
  <c r="CL48" i="3"/>
  <c r="CM48" i="3"/>
  <c r="BO49" i="3"/>
  <c r="BR49" i="3"/>
  <c r="CE49" i="3"/>
  <c r="CH49" i="3"/>
  <c r="CK49" i="3"/>
  <c r="CL49" i="3"/>
  <c r="CM49" i="3"/>
  <c r="BO50" i="3"/>
  <c r="BR50" i="3"/>
  <c r="CE50" i="3"/>
  <c r="CH50" i="3"/>
  <c r="CK50" i="3"/>
  <c r="CL50" i="3"/>
  <c r="CM50" i="3"/>
  <c r="BO51" i="3"/>
  <c r="BR51" i="3"/>
  <c r="CE51" i="3"/>
  <c r="CH51" i="3"/>
  <c r="CK51" i="3"/>
  <c r="CL51" i="3"/>
  <c r="CM51" i="3"/>
  <c r="BO52" i="3"/>
  <c r="BR52" i="3"/>
  <c r="CE52" i="3"/>
  <c r="CH52" i="3"/>
  <c r="CK52" i="3"/>
  <c r="CL52" i="3"/>
  <c r="CM52" i="3"/>
  <c r="BO53" i="3"/>
  <c r="BR53" i="3"/>
  <c r="CE53" i="3"/>
  <c r="CH53" i="3"/>
  <c r="CK53" i="3"/>
  <c r="CL53" i="3"/>
  <c r="CM53" i="3"/>
  <c r="BO54" i="3"/>
  <c r="BR54" i="3"/>
  <c r="CE54" i="3"/>
  <c r="CH54" i="3"/>
  <c r="CK54" i="3"/>
  <c r="CL54" i="3"/>
  <c r="CM54" i="3"/>
  <c r="BO55" i="3"/>
  <c r="BR55" i="3"/>
  <c r="CE55" i="3"/>
  <c r="CH55" i="3"/>
  <c r="CK55" i="3"/>
  <c r="CL55" i="3"/>
  <c r="CM55" i="3"/>
  <c r="BO56" i="3"/>
  <c r="BR56" i="3"/>
  <c r="CE56" i="3"/>
  <c r="CH56" i="3"/>
  <c r="CK56" i="3"/>
  <c r="CL56" i="3"/>
  <c r="CM56" i="3"/>
  <c r="BO57" i="3"/>
  <c r="BR57" i="3"/>
  <c r="CE57" i="3"/>
  <c r="CH57" i="3"/>
  <c r="CK57" i="3"/>
  <c r="CL57" i="3"/>
  <c r="CM57" i="3"/>
  <c r="BO58" i="3"/>
  <c r="BR58" i="3"/>
  <c r="CE58" i="3"/>
  <c r="CH58" i="3"/>
  <c r="CK58" i="3"/>
  <c r="CL58" i="3"/>
  <c r="CM58" i="3"/>
  <c r="BO59" i="3"/>
  <c r="BR59" i="3"/>
  <c r="CE59" i="3"/>
  <c r="CH59" i="3"/>
  <c r="CK59" i="3"/>
  <c r="CL59" i="3"/>
  <c r="CM59" i="3"/>
  <c r="BO60" i="3"/>
  <c r="BR60" i="3"/>
  <c r="CE60" i="3"/>
  <c r="CH60" i="3"/>
  <c r="CK60" i="3"/>
  <c r="CL60" i="3"/>
  <c r="CM60" i="3"/>
  <c r="BO61" i="3"/>
  <c r="BR61" i="3"/>
  <c r="CE61" i="3"/>
  <c r="CH61" i="3"/>
  <c r="CK61" i="3"/>
  <c r="CL61" i="3"/>
  <c r="CM61" i="3"/>
  <c r="BO62" i="3"/>
  <c r="BR62" i="3"/>
  <c r="CE62" i="3"/>
  <c r="CH62" i="3"/>
  <c r="CK62" i="3"/>
  <c r="CL62" i="3"/>
  <c r="CM62" i="3"/>
  <c r="BO63" i="3"/>
  <c r="BR63" i="3"/>
  <c r="CE63" i="3"/>
  <c r="CH63" i="3"/>
  <c r="CK63" i="3"/>
  <c r="CL63" i="3"/>
  <c r="CM63" i="3"/>
  <c r="BO64" i="3"/>
  <c r="BR64" i="3"/>
  <c r="CE64" i="3"/>
  <c r="CH64" i="3"/>
  <c r="CK64" i="3"/>
  <c r="CL64" i="3"/>
  <c r="CM64" i="3"/>
  <c r="BO65" i="3"/>
  <c r="BR65" i="3"/>
  <c r="CE65" i="3"/>
  <c r="CH65" i="3"/>
  <c r="CK65" i="3"/>
  <c r="CL65" i="3"/>
  <c r="CM65" i="3"/>
  <c r="BO66" i="3"/>
  <c r="BR66" i="3"/>
  <c r="CE66" i="3"/>
  <c r="CH66" i="3"/>
  <c r="CK66" i="3"/>
  <c r="CL66" i="3"/>
  <c r="CM66" i="3"/>
  <c r="BO67" i="3"/>
  <c r="BR67" i="3"/>
  <c r="CE67" i="3"/>
  <c r="CH67" i="3"/>
  <c r="CK67" i="3"/>
  <c r="CL67" i="3"/>
  <c r="CM67" i="3"/>
  <c r="BO68" i="3"/>
  <c r="BR68" i="3"/>
  <c r="CE68" i="3"/>
  <c r="CH68" i="3"/>
  <c r="CK68" i="3"/>
  <c r="CL68" i="3"/>
  <c r="CM68" i="3"/>
  <c r="BO69" i="3"/>
  <c r="BR69" i="3"/>
  <c r="CE69" i="3"/>
  <c r="CH69" i="3"/>
  <c r="CK69" i="3"/>
  <c r="CL69" i="3"/>
  <c r="CM69" i="3"/>
  <c r="BO70" i="3"/>
  <c r="BR70" i="3"/>
  <c r="CE70" i="3"/>
  <c r="CH70" i="3"/>
  <c r="CK70" i="3"/>
  <c r="CL70" i="3"/>
  <c r="CM70" i="3"/>
  <c r="BO71" i="3"/>
  <c r="BR71" i="3"/>
  <c r="CE71" i="3"/>
  <c r="CH71" i="3"/>
  <c r="CK71" i="3"/>
  <c r="CL71" i="3"/>
  <c r="CM71" i="3"/>
  <c r="BO72" i="3"/>
  <c r="BR72" i="3"/>
  <c r="CE72" i="3"/>
  <c r="CH72" i="3"/>
  <c r="CK72" i="3"/>
  <c r="CL72" i="3"/>
  <c r="CM72" i="3"/>
  <c r="BO73" i="3"/>
  <c r="BR73" i="3"/>
  <c r="CE73" i="3"/>
  <c r="CH73" i="3"/>
  <c r="CK73" i="3"/>
  <c r="CL73" i="3"/>
  <c r="CM73" i="3"/>
  <c r="BO74" i="3"/>
  <c r="BR74" i="3"/>
  <c r="CE74" i="3"/>
  <c r="CH74" i="3"/>
  <c r="CK74" i="3"/>
  <c r="CL74" i="3"/>
  <c r="CM74" i="3"/>
  <c r="BO75" i="3"/>
  <c r="BR75" i="3"/>
  <c r="CE75" i="3"/>
  <c r="CH75" i="3"/>
  <c r="CK75" i="3"/>
  <c r="CL75" i="3"/>
  <c r="CM75" i="3"/>
  <c r="BO76" i="3"/>
  <c r="BR76" i="3"/>
  <c r="CE76" i="3"/>
  <c r="CH76" i="3"/>
  <c r="CK76" i="3"/>
  <c r="CL76" i="3"/>
  <c r="CM76" i="3"/>
  <c r="BO77" i="3"/>
  <c r="BR77" i="3"/>
  <c r="CE77" i="3"/>
  <c r="CH77" i="3"/>
  <c r="CK77" i="3"/>
  <c r="CL77" i="3"/>
  <c r="CM77" i="3"/>
  <c r="BO78" i="3"/>
  <c r="BR78" i="3"/>
  <c r="CE78" i="3"/>
  <c r="CH78" i="3"/>
  <c r="CK78" i="3"/>
  <c r="CL78" i="3"/>
  <c r="CM78" i="3"/>
  <c r="BO79" i="3"/>
  <c r="BR79" i="3"/>
  <c r="CE79" i="3"/>
  <c r="CH79" i="3"/>
  <c r="CK79" i="3"/>
  <c r="CL79" i="3"/>
  <c r="CM79" i="3"/>
  <c r="BO80" i="3"/>
  <c r="BR80" i="3"/>
  <c r="CE80" i="3"/>
  <c r="CH80" i="3"/>
  <c r="CK80" i="3"/>
  <c r="CL80" i="3"/>
  <c r="CM80" i="3"/>
  <c r="BO81" i="3"/>
  <c r="BR81" i="3"/>
  <c r="CE81" i="3"/>
  <c r="CH81" i="3"/>
  <c r="CK81" i="3"/>
  <c r="CL81" i="3"/>
  <c r="CM81" i="3"/>
  <c r="BO82" i="3"/>
  <c r="BR82" i="3"/>
  <c r="CE82" i="3"/>
  <c r="CH82" i="3"/>
  <c r="CK82" i="3"/>
  <c r="CL82" i="3"/>
  <c r="CM82" i="3"/>
  <c r="BO83" i="3"/>
  <c r="BR83" i="3"/>
  <c r="CE83" i="3"/>
  <c r="CH83" i="3"/>
  <c r="CK83" i="3"/>
  <c r="CL83" i="3"/>
  <c r="CM83" i="3"/>
  <c r="BO84" i="3"/>
  <c r="BR84" i="3"/>
  <c r="CE84" i="3"/>
  <c r="CH84" i="3"/>
  <c r="CK84" i="3"/>
  <c r="CL84" i="3"/>
  <c r="CM84" i="3"/>
  <c r="BO85" i="3"/>
  <c r="BR85" i="3"/>
  <c r="CE85" i="3"/>
  <c r="CH85" i="3"/>
  <c r="CK85" i="3"/>
  <c r="CL85" i="3"/>
  <c r="CM85" i="3"/>
  <c r="BO86" i="3"/>
  <c r="BR86" i="3"/>
  <c r="CE86" i="3"/>
  <c r="CH86" i="3"/>
  <c r="CK86" i="3"/>
  <c r="CL86" i="3"/>
  <c r="CM86" i="3"/>
  <c r="BO87" i="3"/>
  <c r="BR87" i="3"/>
  <c r="CE87" i="3"/>
  <c r="CH87" i="3"/>
  <c r="CK87" i="3"/>
  <c r="CL87" i="3"/>
  <c r="CM87" i="3"/>
  <c r="BO88" i="3"/>
  <c r="BR88" i="3"/>
  <c r="CE88" i="3"/>
  <c r="CH88" i="3"/>
  <c r="CK88" i="3"/>
  <c r="CL88" i="3"/>
  <c r="CM88" i="3"/>
  <c r="BO89" i="3"/>
  <c r="BR89" i="3"/>
  <c r="CE89" i="3"/>
  <c r="CH89" i="3"/>
  <c r="CK89" i="3"/>
  <c r="CL89" i="3"/>
  <c r="CM89" i="3"/>
  <c r="BO90" i="3"/>
  <c r="BR90" i="3"/>
  <c r="CE90" i="3"/>
  <c r="CH90" i="3"/>
  <c r="CK90" i="3"/>
  <c r="CL90" i="3"/>
  <c r="CM90" i="3"/>
  <c r="BO91" i="3"/>
  <c r="BR91" i="3"/>
  <c r="CE91" i="3"/>
  <c r="CH91" i="3"/>
  <c r="CK91" i="3"/>
  <c r="CL91" i="3"/>
  <c r="CM91" i="3"/>
  <c r="BO92" i="3"/>
  <c r="BR92" i="3"/>
  <c r="CE92" i="3"/>
  <c r="CH92" i="3"/>
  <c r="CK92" i="3"/>
  <c r="CL92" i="3"/>
  <c r="CM92" i="3"/>
  <c r="BO93" i="3"/>
  <c r="BR93" i="3"/>
  <c r="CE93" i="3"/>
  <c r="CH93" i="3"/>
  <c r="CK93" i="3"/>
  <c r="CL93" i="3"/>
  <c r="CM93" i="3"/>
  <c r="BO94" i="3"/>
  <c r="BR94" i="3"/>
  <c r="CE94" i="3"/>
  <c r="CH94" i="3"/>
  <c r="CK94" i="3"/>
  <c r="CL94" i="3"/>
  <c r="CM94" i="3"/>
  <c r="BO95" i="3"/>
  <c r="BR95" i="3"/>
  <c r="CE95" i="3"/>
  <c r="CH95" i="3"/>
  <c r="CK95" i="3"/>
  <c r="CL95" i="3"/>
  <c r="CM95" i="3"/>
  <c r="BO96" i="3"/>
  <c r="BR96" i="3"/>
  <c r="CE96" i="3"/>
  <c r="CH96" i="3"/>
  <c r="CK96" i="3"/>
  <c r="CL96" i="3"/>
  <c r="CM96" i="3"/>
  <c r="BO97" i="3"/>
  <c r="BR97" i="3"/>
  <c r="CE97" i="3"/>
  <c r="CH97" i="3"/>
  <c r="CK97" i="3"/>
  <c r="CL97" i="3"/>
  <c r="CM97" i="3"/>
  <c r="BO98" i="3"/>
  <c r="BR98" i="3"/>
  <c r="CE98" i="3"/>
  <c r="CH98" i="3"/>
  <c r="CK98" i="3"/>
  <c r="CL98" i="3"/>
  <c r="CM98" i="3"/>
  <c r="BO99" i="3"/>
  <c r="BR99" i="3"/>
  <c r="CE99" i="3"/>
  <c r="CH99" i="3"/>
  <c r="CK99" i="3"/>
  <c r="CL99" i="3"/>
  <c r="CM99" i="3"/>
  <c r="BO100" i="3"/>
  <c r="BR100" i="3"/>
  <c r="CE100" i="3"/>
  <c r="CH100" i="3"/>
  <c r="CK100" i="3"/>
  <c r="CL100" i="3"/>
  <c r="CM100" i="3"/>
  <c r="BO101" i="3"/>
  <c r="BR101" i="3"/>
  <c r="CE101" i="3"/>
  <c r="CH101" i="3"/>
  <c r="CK101" i="3"/>
  <c r="CL101" i="3"/>
  <c r="CM101" i="3"/>
  <c r="BO102" i="3"/>
  <c r="BR102" i="3"/>
  <c r="CE102" i="3"/>
  <c r="CH102" i="3"/>
  <c r="CK102" i="3"/>
  <c r="CL102" i="3"/>
  <c r="CM102" i="3"/>
  <c r="BO103" i="3"/>
  <c r="BR103" i="3"/>
  <c r="CE103" i="3"/>
  <c r="CH103" i="3"/>
  <c r="CK103" i="3"/>
  <c r="CL103" i="3"/>
  <c r="CM103" i="3"/>
  <c r="BO104" i="3"/>
  <c r="BR104" i="3"/>
  <c r="CE104" i="3"/>
  <c r="CH104" i="3"/>
  <c r="CK104" i="3"/>
  <c r="CL104" i="3"/>
  <c r="CM104" i="3"/>
  <c r="BO105" i="3"/>
  <c r="BR105" i="3"/>
  <c r="CE105" i="3"/>
  <c r="CH105" i="3"/>
  <c r="CK105" i="3"/>
  <c r="CL105" i="3"/>
  <c r="CM105" i="3"/>
  <c r="BO106" i="3"/>
  <c r="BR106" i="3"/>
  <c r="CE106" i="3"/>
  <c r="CH106" i="3"/>
  <c r="CK106" i="3"/>
  <c r="CL106" i="3"/>
  <c r="CM106" i="3"/>
  <c r="BO107" i="3"/>
  <c r="BR107" i="3"/>
  <c r="CE107" i="3"/>
  <c r="CH107" i="3"/>
  <c r="CK107" i="3"/>
  <c r="CL107" i="3"/>
  <c r="CM107" i="3"/>
  <c r="BO108" i="3"/>
  <c r="BR108" i="3"/>
  <c r="CE108" i="3"/>
  <c r="CH108" i="3"/>
  <c r="CK108" i="3"/>
  <c r="CL108" i="3"/>
  <c r="CM108" i="3"/>
  <c r="BO109" i="3"/>
  <c r="BR109" i="3"/>
  <c r="CE109" i="3"/>
  <c r="CH109" i="3"/>
  <c r="CK109" i="3"/>
  <c r="CL109" i="3"/>
  <c r="CM109" i="3"/>
  <c r="BO110" i="3"/>
  <c r="BR110" i="3"/>
  <c r="CE110" i="3"/>
  <c r="CH110" i="3"/>
  <c r="CK110" i="3"/>
  <c r="CL110" i="3"/>
  <c r="CM110" i="3"/>
  <c r="BO111" i="3"/>
  <c r="BR111" i="3"/>
  <c r="CE111" i="3"/>
  <c r="CH111" i="3"/>
  <c r="CK111" i="3"/>
  <c r="CL111" i="3"/>
  <c r="CM111" i="3"/>
  <c r="BO112" i="3"/>
  <c r="BR112" i="3"/>
  <c r="CE112" i="3"/>
  <c r="CH112" i="3"/>
  <c r="CK112" i="3"/>
  <c r="CL112" i="3"/>
  <c r="CM112" i="3"/>
  <c r="BO113" i="3"/>
  <c r="BR113" i="3"/>
  <c r="CE113" i="3"/>
  <c r="CH113" i="3"/>
  <c r="CK113" i="3"/>
  <c r="CL113" i="3"/>
  <c r="CM113" i="3"/>
  <c r="BO114" i="3"/>
  <c r="BR114" i="3"/>
  <c r="CE114" i="3"/>
  <c r="CH114" i="3"/>
  <c r="CK114" i="3"/>
  <c r="CL114" i="3"/>
  <c r="CM114" i="3"/>
  <c r="BO115" i="3"/>
  <c r="BR115" i="3"/>
  <c r="CE115" i="3"/>
  <c r="CH115" i="3"/>
  <c r="CK115" i="3"/>
  <c r="CL115" i="3"/>
  <c r="CM115" i="3"/>
  <c r="BO116" i="3"/>
  <c r="BR116" i="3"/>
  <c r="CE116" i="3"/>
  <c r="CH116" i="3"/>
  <c r="CK116" i="3"/>
  <c r="CL116" i="3"/>
  <c r="CM116" i="3"/>
  <c r="BO117" i="3"/>
  <c r="BR117" i="3"/>
  <c r="CE117" i="3"/>
  <c r="CH117" i="3"/>
  <c r="CK117" i="3"/>
  <c r="CL117" i="3"/>
  <c r="CM117" i="3"/>
  <c r="BO118" i="3"/>
  <c r="BR118" i="3"/>
  <c r="CE118" i="3"/>
  <c r="CH118" i="3"/>
  <c r="CK118" i="3"/>
  <c r="CL118" i="3"/>
  <c r="CM118" i="3"/>
  <c r="BO119" i="3"/>
  <c r="BR119" i="3"/>
  <c r="CE119" i="3"/>
  <c r="CH119" i="3"/>
  <c r="CK119" i="3"/>
  <c r="CL119" i="3"/>
  <c r="CM119" i="3"/>
  <c r="BO120" i="3"/>
  <c r="BR120" i="3"/>
  <c r="CE120" i="3"/>
  <c r="CH120" i="3"/>
  <c r="CK120" i="3"/>
  <c r="CL120" i="3"/>
  <c r="CM120" i="3"/>
  <c r="BO121" i="3"/>
  <c r="BR121" i="3"/>
  <c r="CE121" i="3"/>
  <c r="CH121" i="3"/>
  <c r="CK121" i="3"/>
  <c r="CL121" i="3"/>
  <c r="CM121" i="3"/>
  <c r="BO122" i="3"/>
  <c r="BR122" i="3"/>
  <c r="CE122" i="3"/>
  <c r="CH122" i="3"/>
  <c r="CK122" i="3"/>
  <c r="CL122" i="3"/>
  <c r="CM122" i="3"/>
  <c r="BO123" i="3"/>
  <c r="BR123" i="3"/>
  <c r="CE123" i="3"/>
  <c r="CH123" i="3"/>
  <c r="CK123" i="3"/>
  <c r="CL123" i="3"/>
  <c r="CM123" i="3"/>
  <c r="BO124" i="3"/>
  <c r="BR124" i="3"/>
  <c r="CE124" i="3"/>
  <c r="CH124" i="3"/>
  <c r="CK124" i="3"/>
  <c r="CL124" i="3"/>
  <c r="CM124" i="3"/>
  <c r="BO125" i="3"/>
  <c r="BR125" i="3"/>
  <c r="CE125" i="3"/>
  <c r="CH125" i="3"/>
  <c r="CK125" i="3"/>
  <c r="CL125" i="3"/>
  <c r="CM125" i="3"/>
  <c r="BO126" i="3"/>
  <c r="BR126" i="3"/>
  <c r="CE126" i="3"/>
  <c r="CH126" i="3"/>
  <c r="CK126" i="3"/>
  <c r="CL126" i="3"/>
  <c r="CM126" i="3"/>
  <c r="BO127" i="3"/>
  <c r="BR127" i="3"/>
  <c r="CE127" i="3"/>
  <c r="CH127" i="3"/>
  <c r="CK127" i="3"/>
  <c r="CL127" i="3"/>
  <c r="CM127" i="3"/>
  <c r="BO128" i="3"/>
  <c r="BR128" i="3"/>
  <c r="CE128" i="3"/>
  <c r="CH128" i="3"/>
  <c r="CK128" i="3"/>
  <c r="CL128" i="3"/>
  <c r="CM128" i="3"/>
  <c r="BO129" i="3"/>
  <c r="BR129" i="3"/>
  <c r="CE129" i="3"/>
  <c r="CH129" i="3"/>
  <c r="CK129" i="3"/>
  <c r="CL129" i="3"/>
  <c r="CM129" i="3"/>
  <c r="BO130" i="3"/>
  <c r="BR130" i="3"/>
  <c r="CE130" i="3"/>
  <c r="CH130" i="3"/>
  <c r="CK130" i="3"/>
  <c r="CL130" i="3"/>
  <c r="CM130" i="3"/>
  <c r="BO131" i="3"/>
  <c r="BR131" i="3"/>
  <c r="CE131" i="3"/>
  <c r="CH131" i="3"/>
  <c r="CK131" i="3"/>
  <c r="CL131" i="3"/>
  <c r="CM131" i="3"/>
  <c r="BO132" i="3"/>
  <c r="BR132" i="3"/>
  <c r="CE132" i="3"/>
  <c r="CH132" i="3"/>
  <c r="CK132" i="3"/>
  <c r="CL132" i="3"/>
  <c r="CM132" i="3"/>
  <c r="BO133" i="3"/>
  <c r="BR133" i="3"/>
  <c r="CE133" i="3"/>
  <c r="CH133" i="3"/>
  <c r="CK133" i="3"/>
  <c r="CL133" i="3"/>
  <c r="CM133" i="3"/>
  <c r="BO134" i="3"/>
  <c r="BR134" i="3"/>
  <c r="CE134" i="3"/>
  <c r="CH134" i="3"/>
  <c r="CK134" i="3"/>
  <c r="CL134" i="3"/>
  <c r="CM134" i="3"/>
  <c r="BO135" i="3"/>
  <c r="BR135" i="3"/>
  <c r="CE135" i="3"/>
  <c r="CH135" i="3"/>
  <c r="CK135" i="3"/>
  <c r="CL135" i="3"/>
  <c r="CM135" i="3"/>
  <c r="CM23" i="3"/>
  <c r="CL23" i="3"/>
  <c r="CK23" i="3"/>
  <c r="CH23" i="3"/>
  <c r="CE23" i="3"/>
  <c r="BR23" i="3"/>
  <c r="BO23" i="3"/>
  <c r="CM22" i="3"/>
  <c r="CL22" i="3"/>
  <c r="CK22" i="3"/>
  <c r="CH22" i="3"/>
  <c r="CE22" i="3"/>
  <c r="BR22" i="3"/>
  <c r="BO22" i="3"/>
  <c r="CM21" i="3"/>
  <c r="CL21" i="3"/>
  <c r="CK21" i="3"/>
  <c r="CH21" i="3"/>
  <c r="CE21" i="3"/>
  <c r="BR21" i="3"/>
  <c r="BO21" i="3"/>
  <c r="CM20" i="3"/>
  <c r="CL20" i="3"/>
  <c r="CK20" i="3"/>
  <c r="CH20" i="3"/>
  <c r="CE20" i="3"/>
  <c r="BR20" i="3"/>
  <c r="BO20" i="3"/>
  <c r="CM19" i="3"/>
  <c r="CL19" i="3"/>
  <c r="CK19" i="3"/>
  <c r="CH19" i="3"/>
  <c r="CE19" i="3"/>
  <c r="BR19" i="3"/>
  <c r="BO19" i="3"/>
  <c r="CM18" i="3"/>
  <c r="CL18" i="3"/>
  <c r="CK18" i="3"/>
  <c r="CH18" i="3"/>
  <c r="CE18" i="3"/>
  <c r="BR18" i="3"/>
  <c r="BO18" i="3"/>
  <c r="CM17" i="3"/>
  <c r="CL17" i="3"/>
  <c r="CK17" i="3"/>
  <c r="CH17" i="3"/>
  <c r="CE17" i="3"/>
  <c r="BR17" i="3"/>
  <c r="BO17" i="3"/>
  <c r="CM16" i="3"/>
  <c r="CL16" i="3"/>
  <c r="CK16" i="3"/>
  <c r="CH16" i="3"/>
  <c r="CE16" i="3"/>
  <c r="BR16" i="3"/>
  <c r="BO16" i="3"/>
  <c r="CM15" i="3"/>
  <c r="CL15" i="3"/>
  <c r="CK15" i="3"/>
  <c r="CH15" i="3"/>
  <c r="CE15" i="3"/>
  <c r="BR15" i="3"/>
  <c r="BO15" i="3"/>
  <c r="CM14" i="3"/>
  <c r="CL14" i="3"/>
  <c r="CK14" i="3"/>
  <c r="CH14" i="3"/>
  <c r="CE14" i="3"/>
  <c r="BR14" i="3"/>
  <c r="BO14" i="3"/>
  <c r="CM13" i="3"/>
  <c r="CL13" i="3"/>
  <c r="CK13" i="3"/>
  <c r="CH13" i="3"/>
  <c r="CE13" i="3"/>
  <c r="BR13" i="3"/>
  <c r="BO13" i="3"/>
  <c r="CM12" i="3"/>
  <c r="CL12" i="3"/>
  <c r="CK12" i="3"/>
  <c r="CH12" i="3"/>
  <c r="CE12" i="3"/>
  <c r="BR12" i="3"/>
  <c r="BO12" i="3"/>
  <c r="CM11" i="3"/>
  <c r="CL11" i="3"/>
  <c r="CK11" i="3"/>
  <c r="CH11" i="3"/>
  <c r="CE11" i="3"/>
  <c r="BR11" i="3"/>
  <c r="BO11" i="3"/>
  <c r="CM10" i="3"/>
  <c r="CL10" i="3"/>
  <c r="CK10" i="3"/>
  <c r="CH10" i="3"/>
  <c r="CE10" i="3"/>
  <c r="BR10" i="3"/>
  <c r="BO10" i="3"/>
  <c r="CM9" i="3"/>
  <c r="CL9" i="3"/>
  <c r="CK9" i="3"/>
  <c r="CH9" i="3"/>
  <c r="CE9" i="3"/>
  <c r="BR9" i="3"/>
  <c r="BO9" i="3"/>
  <c r="CM8" i="3"/>
  <c r="CL8" i="3"/>
  <c r="CK8" i="3"/>
  <c r="CH8" i="3"/>
  <c r="CE8" i="3"/>
  <c r="BR8" i="3"/>
  <c r="BO8" i="3"/>
  <c r="CM7" i="3"/>
  <c r="CL7" i="3"/>
  <c r="CK7" i="3"/>
  <c r="CH7" i="3"/>
  <c r="CE7" i="3"/>
  <c r="BR7" i="3"/>
  <c r="BO7" i="3"/>
  <c r="CM6" i="3"/>
  <c r="CL6" i="3"/>
  <c r="CK6" i="3"/>
  <c r="CH6" i="3"/>
  <c r="CE6" i="3"/>
  <c r="BR6" i="3"/>
  <c r="BO6" i="3"/>
  <c r="DJ5" i="3" l="1"/>
  <c r="DK5" i="3"/>
  <c r="CR5" i="3"/>
  <c r="CS5" i="3"/>
  <c r="BU134" i="3"/>
  <c r="BU11" i="3"/>
  <c r="BU13" i="3"/>
  <c r="BU15" i="3"/>
  <c r="BU19" i="3"/>
  <c r="BU29" i="3"/>
  <c r="BU35" i="3"/>
  <c r="BU37" i="3"/>
  <c r="BU41" i="3"/>
  <c r="BU43" i="3"/>
  <c r="BU49" i="3"/>
  <c r="BU57" i="3"/>
  <c r="BU65" i="3"/>
  <c r="BU67" i="3"/>
  <c r="BU69" i="3"/>
  <c r="BU71" i="3"/>
  <c r="BU81" i="3"/>
  <c r="BU83" i="3"/>
  <c r="BU91" i="3"/>
  <c r="BU93" i="3"/>
  <c r="BU99" i="3"/>
  <c r="BU105" i="3"/>
  <c r="BU109" i="3"/>
  <c r="BU117" i="3"/>
  <c r="BU123" i="3"/>
  <c r="BU125" i="3"/>
  <c r="BU189" i="3"/>
  <c r="BU278" i="3"/>
  <c r="BU16" i="3"/>
  <c r="BU30" i="3"/>
  <c r="BU40" i="3"/>
  <c r="BU50" i="3"/>
  <c r="BU68" i="3"/>
  <c r="BU126" i="3"/>
  <c r="BU188" i="3"/>
  <c r="BU192" i="3"/>
  <c r="BU208" i="3"/>
  <c r="BU120" i="3"/>
  <c r="BU106" i="3"/>
  <c r="CP81" i="3"/>
  <c r="BU12" i="3"/>
  <c r="CP68" i="3"/>
  <c r="BU54" i="3"/>
  <c r="BU52" i="3"/>
  <c r="BU7" i="3"/>
  <c r="BU132" i="3"/>
  <c r="BU26" i="3"/>
  <c r="BU10" i="3"/>
  <c r="BU165" i="3"/>
  <c r="BU164" i="3"/>
  <c r="BU39" i="3"/>
  <c r="BU21" i="3"/>
  <c r="BU112" i="3"/>
  <c r="CP107" i="3"/>
  <c r="BU85" i="3"/>
  <c r="BU78" i="3"/>
  <c r="CQ49" i="3"/>
  <c r="CP40" i="3"/>
  <c r="CP30" i="3"/>
  <c r="BU275" i="3"/>
  <c r="CP208" i="3"/>
  <c r="CP192" i="3"/>
  <c r="BU185" i="3"/>
  <c r="BU158" i="3"/>
  <c r="BU18" i="3"/>
  <c r="BU190" i="3"/>
  <c r="BU201" i="3"/>
  <c r="CQ13" i="3"/>
  <c r="BU131" i="3"/>
  <c r="CQ125" i="3"/>
  <c r="BU90" i="3"/>
  <c r="CP215" i="3"/>
  <c r="BU207" i="3"/>
  <c r="BU180" i="3"/>
  <c r="CQ124" i="3"/>
  <c r="CQ150" i="3"/>
  <c r="DI150" i="3" s="1"/>
  <c r="CQ217" i="3"/>
  <c r="BU27" i="3"/>
  <c r="CQ27" i="3"/>
  <c r="BU61" i="3"/>
  <c r="BU63" i="3"/>
  <c r="CQ63" i="3"/>
  <c r="CQ79" i="3"/>
  <c r="BU79" i="3"/>
  <c r="BU111" i="3"/>
  <c r="BU119" i="3"/>
  <c r="BU121" i="3"/>
  <c r="BU137" i="3"/>
  <c r="CQ137" i="3"/>
  <c r="BU141" i="3"/>
  <c r="BU147" i="3"/>
  <c r="BU151" i="3"/>
  <c r="BU159" i="3"/>
  <c r="BU177" i="3"/>
  <c r="BU181" i="3"/>
  <c r="BU191" i="3"/>
  <c r="BU195" i="3"/>
  <c r="BU220" i="3"/>
  <c r="CQ220" i="3"/>
  <c r="DI220" i="3" s="1"/>
  <c r="BU224" i="3"/>
  <c r="CQ126" i="3"/>
  <c r="BU23" i="3"/>
  <c r="BU101" i="3"/>
  <c r="BU89" i="3"/>
  <c r="CQ57" i="3"/>
  <c r="BU47" i="3"/>
  <c r="BU33" i="3"/>
  <c r="BU25" i="3"/>
  <c r="CQ202" i="3"/>
  <c r="CQ76" i="3"/>
  <c r="CQ82" i="3"/>
  <c r="BU31" i="3"/>
  <c r="CQ31" i="3"/>
  <c r="BU53" i="3"/>
  <c r="BU143" i="3"/>
  <c r="BU175" i="3"/>
  <c r="BU183" i="3"/>
  <c r="BU197" i="3"/>
  <c r="BU205" i="3"/>
  <c r="BU218" i="3"/>
  <c r="BU95" i="3"/>
  <c r="BU73" i="3"/>
  <c r="CQ30" i="3"/>
  <c r="BU213" i="3"/>
  <c r="BU149" i="3"/>
  <c r="BU129" i="3"/>
  <c r="BU127" i="3"/>
  <c r="CQ81" i="3"/>
  <c r="DI81" i="3" s="1"/>
  <c r="BU75" i="3"/>
  <c r="BU222" i="3"/>
  <c r="CQ206" i="3"/>
  <c r="BU179" i="3"/>
  <c r="BU161" i="3"/>
  <c r="BU76" i="3"/>
  <c r="BU60" i="3"/>
  <c r="BU174" i="3"/>
  <c r="BU160" i="3"/>
  <c r="CQ45" i="3"/>
  <c r="CQ69" i="3"/>
  <c r="CQ278" i="3"/>
  <c r="DI278" i="3" s="1"/>
  <c r="BU6" i="3"/>
  <c r="BU8" i="3"/>
  <c r="BU14" i="3"/>
  <c r="BU20" i="3"/>
  <c r="BU28" i="3"/>
  <c r="BU32" i="3"/>
  <c r="BU34" i="3"/>
  <c r="BU36" i="3"/>
  <c r="BU44" i="3"/>
  <c r="BU58" i="3"/>
  <c r="BU64" i="3"/>
  <c r="BU66" i="3"/>
  <c r="BU70" i="3"/>
  <c r="BU82" i="3"/>
  <c r="BU84" i="3"/>
  <c r="BU86" i="3"/>
  <c r="BU88" i="3"/>
  <c r="BU92" i="3"/>
  <c r="BU94" i="3"/>
  <c r="BU96" i="3"/>
  <c r="BU98" i="3"/>
  <c r="BU102" i="3"/>
  <c r="BU104" i="3"/>
  <c r="BU110" i="3"/>
  <c r="BU118" i="3"/>
  <c r="BU122" i="3"/>
  <c r="BU128" i="3"/>
  <c r="BU138" i="3"/>
  <c r="BU144" i="3"/>
  <c r="BU148" i="3"/>
  <c r="BU152" i="3"/>
  <c r="BU162" i="3"/>
  <c r="BU168" i="3"/>
  <c r="BU170" i="3"/>
  <c r="BU172" i="3"/>
  <c r="BU176" i="3"/>
  <c r="BU178" i="3"/>
  <c r="BU182" i="3"/>
  <c r="BU184" i="3"/>
  <c r="BU186" i="3"/>
  <c r="BU194" i="3"/>
  <c r="BU196" i="3"/>
  <c r="BU198" i="3"/>
  <c r="BU200" i="3"/>
  <c r="BU202" i="3"/>
  <c r="BU210" i="3"/>
  <c r="BU217" i="3"/>
  <c r="BU219" i="3"/>
  <c r="BU221" i="3"/>
  <c r="BU223" i="3"/>
  <c r="BU225" i="3"/>
  <c r="CQ6" i="3"/>
  <c r="BU22" i="3"/>
  <c r="BU130" i="3"/>
  <c r="BU124" i="3"/>
  <c r="BU74" i="3"/>
  <c r="BU56" i="3"/>
  <c r="BU42" i="3"/>
  <c r="BU38" i="3"/>
  <c r="CQ223" i="3"/>
  <c r="DI223" i="3" s="1"/>
  <c r="BU9" i="3"/>
  <c r="BU17" i="3"/>
  <c r="BU45" i="3"/>
  <c r="BU51" i="3"/>
  <c r="BU55" i="3"/>
  <c r="BU59" i="3"/>
  <c r="BU77" i="3"/>
  <c r="BU87" i="3"/>
  <c r="BU97" i="3"/>
  <c r="BU103" i="3"/>
  <c r="BU107" i="3"/>
  <c r="BU113" i="3"/>
  <c r="BU115" i="3"/>
  <c r="BU133" i="3"/>
  <c r="BU135" i="3"/>
  <c r="BU171" i="3"/>
  <c r="BU173" i="3"/>
  <c r="BU187" i="3"/>
  <c r="BU193" i="3"/>
  <c r="BU199" i="3"/>
  <c r="BU203" i="3"/>
  <c r="BU211" i="3"/>
  <c r="BU215" i="3"/>
  <c r="BU226" i="3"/>
  <c r="BU276" i="3"/>
  <c r="BU140" i="3"/>
  <c r="BU146" i="3"/>
  <c r="CQ146" i="3"/>
  <c r="DI146" i="3" s="1"/>
  <c r="BU156" i="3"/>
  <c r="BU100" i="3"/>
  <c r="BU80" i="3"/>
  <c r="BU72" i="3"/>
  <c r="BU62" i="3"/>
  <c r="BU214" i="3"/>
  <c r="BU206" i="3"/>
  <c r="CQ205" i="3"/>
  <c r="CQ171" i="3"/>
  <c r="BU142" i="3"/>
  <c r="CP88" i="3"/>
  <c r="CP170" i="3"/>
  <c r="BU153" i="3"/>
  <c r="CP155" i="3"/>
  <c r="BU155" i="3"/>
  <c r="BU209" i="3"/>
  <c r="CN104" i="3"/>
  <c r="BU139" i="3"/>
  <c r="BU145" i="3"/>
  <c r="BU157" i="3"/>
  <c r="BU163" i="3"/>
  <c r="BU169" i="3"/>
  <c r="BU24" i="3"/>
  <c r="BU46" i="3"/>
  <c r="BU48" i="3"/>
  <c r="BU108" i="3"/>
  <c r="BU114" i="3"/>
  <c r="BU116" i="3"/>
  <c r="BU136" i="3"/>
  <c r="BU150" i="3"/>
  <c r="BU154" i="3"/>
  <c r="BU204" i="3"/>
  <c r="BU212" i="3"/>
  <c r="BU277" i="3"/>
  <c r="CQ145" i="3"/>
  <c r="BS282" i="3"/>
  <c r="BT282" i="3"/>
  <c r="BH282" i="3"/>
  <c r="BG282" i="3"/>
  <c r="CN272" i="3"/>
  <c r="CP269" i="3"/>
  <c r="CN256" i="3"/>
  <c r="CN111" i="3"/>
  <c r="CN107" i="3"/>
  <c r="CN84" i="3"/>
  <c r="CN56" i="3"/>
  <c r="CN33" i="3"/>
  <c r="CN29" i="3"/>
  <c r="CN206" i="3"/>
  <c r="CN130" i="3"/>
  <c r="CP252" i="3"/>
  <c r="CN192" i="3"/>
  <c r="CN187" i="3"/>
  <c r="CP157" i="3"/>
  <c r="CN174" i="3"/>
  <c r="CN210" i="3"/>
  <c r="CN96" i="3"/>
  <c r="CP131" i="3"/>
  <c r="CN124" i="3"/>
  <c r="CN99" i="3"/>
  <c r="CN83" i="3"/>
  <c r="CN36" i="3"/>
  <c r="CN24" i="3"/>
  <c r="CN201" i="3"/>
  <c r="CN88" i="3"/>
  <c r="CN133" i="3"/>
  <c r="CN112" i="3"/>
  <c r="CN93" i="3"/>
  <c r="CN253" i="3"/>
  <c r="CN250" i="3"/>
  <c r="CN246" i="3"/>
  <c r="CN208" i="3"/>
  <c r="CN198" i="3"/>
  <c r="CP104" i="3"/>
  <c r="CN61" i="3"/>
  <c r="CN114" i="3"/>
  <c r="CN248" i="3"/>
  <c r="CN236" i="3"/>
  <c r="CN224" i="3"/>
  <c r="CN180" i="3"/>
  <c r="CN160" i="3"/>
  <c r="CN247" i="3"/>
  <c r="CN219" i="3"/>
  <c r="CN216" i="3"/>
  <c r="CN203" i="3"/>
  <c r="CN42" i="3"/>
  <c r="CN34" i="3"/>
  <c r="CN280" i="3"/>
  <c r="CP177" i="3"/>
  <c r="CP100" i="3"/>
  <c r="CP78" i="3"/>
  <c r="CN73" i="3"/>
  <c r="CN48" i="3"/>
  <c r="CQ46" i="3"/>
  <c r="DI46" i="3" s="1"/>
  <c r="CN127" i="3"/>
  <c r="CN123" i="3"/>
  <c r="CN122" i="3"/>
  <c r="CN119" i="3"/>
  <c r="CN105" i="3"/>
  <c r="CN103" i="3"/>
  <c r="CN102" i="3"/>
  <c r="CN87" i="3"/>
  <c r="CN72" i="3"/>
  <c r="CP279" i="3"/>
  <c r="CP267" i="3"/>
  <c r="CN266" i="3"/>
  <c r="CN265" i="3"/>
  <c r="CN262" i="3"/>
  <c r="CP250" i="3"/>
  <c r="CN234" i="3"/>
  <c r="CN230" i="3"/>
  <c r="CN218" i="3"/>
  <c r="CP193" i="3"/>
  <c r="CP172" i="3"/>
  <c r="CN152" i="3"/>
  <c r="CN148" i="3"/>
  <c r="CQ216" i="3"/>
  <c r="DI216" i="3" s="1"/>
  <c r="CP79" i="3"/>
  <c r="CN113" i="3"/>
  <c r="CN92" i="3"/>
  <c r="CN86" i="3"/>
  <c r="CP53" i="3"/>
  <c r="CN49" i="3"/>
  <c r="CQ78" i="3"/>
  <c r="DI78" i="3" s="1"/>
  <c r="CP74" i="3"/>
  <c r="CP112" i="3"/>
  <c r="CN108" i="3"/>
  <c r="CN91" i="3"/>
  <c r="CN65" i="3"/>
  <c r="CP65" i="3"/>
  <c r="CN51" i="3"/>
  <c r="CP277" i="3"/>
  <c r="CN276" i="3"/>
  <c r="CP273" i="3"/>
  <c r="CQ251" i="3"/>
  <c r="DI251" i="3" s="1"/>
  <c r="CP217" i="3"/>
  <c r="CN207" i="3"/>
  <c r="CN185" i="3"/>
  <c r="CN177" i="3"/>
  <c r="CN176" i="3"/>
  <c r="CN159" i="3"/>
  <c r="CP149" i="3"/>
  <c r="CP147" i="3"/>
  <c r="CQ136" i="3"/>
  <c r="DI136" i="3" s="1"/>
  <c r="CQ231" i="3"/>
  <c r="CP220" i="3"/>
  <c r="CP185" i="3"/>
  <c r="CP145" i="3"/>
  <c r="CP139" i="3"/>
  <c r="CN137" i="3"/>
  <c r="CN115" i="3"/>
  <c r="CP113" i="3"/>
  <c r="CP105" i="3"/>
  <c r="CN97" i="3"/>
  <c r="CP96" i="3"/>
  <c r="CN94" i="3"/>
  <c r="CN89" i="3"/>
  <c r="CP84" i="3"/>
  <c r="CN81" i="3"/>
  <c r="CN77" i="3"/>
  <c r="CN47" i="3"/>
  <c r="CN261" i="3"/>
  <c r="CQ252" i="3"/>
  <c r="CP246" i="3"/>
  <c r="CN244" i="3"/>
  <c r="CN240" i="3"/>
  <c r="CN226" i="3"/>
  <c r="CN225" i="3"/>
  <c r="CN217" i="3"/>
  <c r="CP198" i="3"/>
  <c r="CP187" i="3"/>
  <c r="CN163" i="3"/>
  <c r="CP161" i="3"/>
  <c r="CQ158" i="3"/>
  <c r="DI158" i="3" s="1"/>
  <c r="CN147" i="3"/>
  <c r="CP141" i="3"/>
  <c r="CN140" i="3"/>
  <c r="CN136" i="3"/>
  <c r="CN8" i="3"/>
  <c r="CN12" i="3"/>
  <c r="CP132" i="3"/>
  <c r="CP159" i="3"/>
  <c r="CP151" i="3"/>
  <c r="CP146" i="3"/>
  <c r="CP16" i="3"/>
  <c r="CN135" i="3"/>
  <c r="CP135" i="3"/>
  <c r="CQ132" i="3"/>
  <c r="CN131" i="3"/>
  <c r="CN120" i="3"/>
  <c r="CP116" i="3"/>
  <c r="CN100" i="3"/>
  <c r="CQ89" i="3"/>
  <c r="CN69" i="3"/>
  <c r="CN64" i="3"/>
  <c r="CP62" i="3"/>
  <c r="CN55" i="3"/>
  <c r="CN53" i="3"/>
  <c r="CP49" i="3"/>
  <c r="CQ48" i="3"/>
  <c r="CP37" i="3"/>
  <c r="CN237" i="3"/>
  <c r="CN228" i="3"/>
  <c r="CP226" i="3"/>
  <c r="CN211" i="3"/>
  <c r="CQ204" i="3"/>
  <c r="CN196" i="3"/>
  <c r="CN181" i="3"/>
  <c r="CP179" i="3"/>
  <c r="CP80" i="3"/>
  <c r="CN16" i="3"/>
  <c r="CN134" i="3"/>
  <c r="CP133" i="3"/>
  <c r="CN128" i="3"/>
  <c r="CP124" i="3"/>
  <c r="CP93" i="3"/>
  <c r="CP91" i="3"/>
  <c r="CP70" i="3"/>
  <c r="CP66" i="3"/>
  <c r="CP64" i="3"/>
  <c r="CP54" i="3"/>
  <c r="CN44" i="3"/>
  <c r="CN25" i="3"/>
  <c r="CP25" i="3"/>
  <c r="CP24" i="3"/>
  <c r="CQ268" i="3"/>
  <c r="DI268" i="3" s="1"/>
  <c r="CN249" i="3"/>
  <c r="CP158" i="3"/>
  <c r="CN132" i="3"/>
  <c r="CN106" i="3"/>
  <c r="CP97" i="3"/>
  <c r="CN95" i="3"/>
  <c r="CN90" i="3"/>
  <c r="CP89" i="3"/>
  <c r="CP86" i="3"/>
  <c r="CN60" i="3"/>
  <c r="CP60" i="3"/>
  <c r="CP57" i="3"/>
  <c r="CN54" i="3"/>
  <c r="CP51" i="3"/>
  <c r="CP47" i="3"/>
  <c r="CN39" i="3"/>
  <c r="CN271" i="3"/>
  <c r="CN254" i="3"/>
  <c r="CN231" i="3"/>
  <c r="CN214" i="3"/>
  <c r="CP207" i="3"/>
  <c r="CP201" i="3"/>
  <c r="CN199" i="3"/>
  <c r="CN184" i="3"/>
  <c r="CP168" i="3"/>
  <c r="CN167" i="3"/>
  <c r="CN46" i="3"/>
  <c r="CN45" i="3"/>
  <c r="CP43" i="3"/>
  <c r="CP39" i="3"/>
  <c r="CQ38" i="3"/>
  <c r="DI38" i="3" s="1"/>
  <c r="CN28" i="3"/>
  <c r="CP281" i="3"/>
  <c r="CN279" i="3"/>
  <c r="CP274" i="3"/>
  <c r="CP271" i="3"/>
  <c r="CN270" i="3"/>
  <c r="CP265" i="3"/>
  <c r="CN264" i="3"/>
  <c r="CN260" i="3"/>
  <c r="CP257" i="3"/>
  <c r="CN243" i="3"/>
  <c r="CN238" i="3"/>
  <c r="CP238" i="3"/>
  <c r="CN233" i="3"/>
  <c r="CP203" i="3"/>
  <c r="CN193" i="3"/>
  <c r="CN190" i="3"/>
  <c r="CP189" i="3"/>
  <c r="CP164" i="3"/>
  <c r="CN162" i="3"/>
  <c r="CQ154" i="3"/>
  <c r="CN146" i="3"/>
  <c r="CP142" i="3"/>
  <c r="CP45" i="3"/>
  <c r="CN37" i="3"/>
  <c r="CN31" i="3"/>
  <c r="CP29" i="3"/>
  <c r="CN281" i="3"/>
  <c r="CN278" i="3"/>
  <c r="CN263" i="3"/>
  <c r="CP261" i="3"/>
  <c r="CN259" i="3"/>
  <c r="CN257" i="3"/>
  <c r="CN245" i="3"/>
  <c r="CN242" i="3"/>
  <c r="CP242" i="3"/>
  <c r="CP234" i="3"/>
  <c r="CN223" i="3"/>
  <c r="CN215" i="3"/>
  <c r="CP214" i="3"/>
  <c r="CP213" i="3"/>
  <c r="CP211" i="3"/>
  <c r="CN209" i="3"/>
  <c r="CP199" i="3"/>
  <c r="CN194" i="3"/>
  <c r="CN189" i="3"/>
  <c r="CN182" i="3"/>
  <c r="CP181" i="3"/>
  <c r="CN179" i="3"/>
  <c r="CN171" i="3"/>
  <c r="CP171" i="3"/>
  <c r="CN164" i="3"/>
  <c r="CN156" i="3"/>
  <c r="CP156" i="3"/>
  <c r="CP73" i="3"/>
  <c r="CP278" i="3"/>
  <c r="CQ270" i="3"/>
  <c r="CN144" i="3"/>
  <c r="CP130" i="3"/>
  <c r="CP129" i="3"/>
  <c r="CP128" i="3"/>
  <c r="CP111" i="3"/>
  <c r="CP110" i="3"/>
  <c r="CP99" i="3"/>
  <c r="CP72" i="3"/>
  <c r="CN52" i="3"/>
  <c r="CP33" i="3"/>
  <c r="CN26" i="3"/>
  <c r="CQ280" i="3"/>
  <c r="CQ276" i="3"/>
  <c r="DI276" i="3" s="1"/>
  <c r="CQ274" i="3"/>
  <c r="DH282" i="3"/>
  <c r="CQ235" i="3"/>
  <c r="CP230" i="3"/>
  <c r="CQ227" i="3"/>
  <c r="CN221" i="3"/>
  <c r="CQ212" i="3"/>
  <c r="CQ173" i="3"/>
  <c r="CN6" i="3"/>
  <c r="CP123" i="3"/>
  <c r="CP122" i="3"/>
  <c r="CP119" i="3"/>
  <c r="CP118" i="3"/>
  <c r="CQ113" i="3"/>
  <c r="CP108" i="3"/>
  <c r="CP106" i="3"/>
  <c r="CQ101" i="3"/>
  <c r="DI101" i="3" s="1"/>
  <c r="CP83" i="3"/>
  <c r="CP69" i="3"/>
  <c r="CQ62" i="3"/>
  <c r="DI62" i="3" s="1"/>
  <c r="CP61" i="3"/>
  <c r="CP58" i="3"/>
  <c r="CQ54" i="3"/>
  <c r="DI54" i="3" s="1"/>
  <c r="CN43" i="3"/>
  <c r="CP35" i="3"/>
  <c r="CP34" i="3"/>
  <c r="CP276" i="3"/>
  <c r="CP275" i="3"/>
  <c r="CP254" i="3"/>
  <c r="CQ247" i="3"/>
  <c r="CQ243" i="3"/>
  <c r="CP241" i="3"/>
  <c r="CP240" i="3"/>
  <c r="CQ239" i="3"/>
  <c r="CP239" i="3"/>
  <c r="CP216" i="3"/>
  <c r="CQ200" i="3"/>
  <c r="CN7" i="3"/>
  <c r="CN19" i="3"/>
  <c r="CQ21" i="3"/>
  <c r="CP22" i="3"/>
  <c r="CP134" i="3"/>
  <c r="CN129" i="3"/>
  <c r="CN126" i="3"/>
  <c r="CP120" i="3"/>
  <c r="CN116" i="3"/>
  <c r="CN110" i="3"/>
  <c r="CP102" i="3"/>
  <c r="CP95" i="3"/>
  <c r="CP92" i="3"/>
  <c r="CP90" i="3"/>
  <c r="CQ85" i="3"/>
  <c r="CN80" i="3"/>
  <c r="CN76" i="3"/>
  <c r="CP76" i="3"/>
  <c r="CP75" i="3"/>
  <c r="CN57" i="3"/>
  <c r="CP55" i="3"/>
  <c r="CQ52" i="3"/>
  <c r="DI52" i="3" s="1"/>
  <c r="CN41" i="3"/>
  <c r="CN273" i="3"/>
  <c r="CP270" i="3"/>
  <c r="CP268" i="3"/>
  <c r="CQ266" i="3"/>
  <c r="DI266" i="3" s="1"/>
  <c r="CQ264" i="3"/>
  <c r="CQ262" i="3"/>
  <c r="CQ258" i="3"/>
  <c r="CM282" i="3"/>
  <c r="CN241" i="3"/>
  <c r="CN227" i="3"/>
  <c r="CQ142" i="3"/>
  <c r="DI142" i="3" s="1"/>
  <c r="CN121" i="3"/>
  <c r="CP121" i="3"/>
  <c r="CN118" i="3"/>
  <c r="CP115" i="3"/>
  <c r="CP114" i="3"/>
  <c r="CP103" i="3"/>
  <c r="CN98" i="3"/>
  <c r="CP87" i="3"/>
  <c r="CN82" i="3"/>
  <c r="CP82" i="3"/>
  <c r="CP77" i="3"/>
  <c r="CN68" i="3"/>
  <c r="CN58" i="3"/>
  <c r="CP56" i="3"/>
  <c r="CN50" i="3"/>
  <c r="CP42" i="3"/>
  <c r="CN38" i="3"/>
  <c r="CN32" i="3"/>
  <c r="CN275" i="3"/>
  <c r="CQ272" i="3"/>
  <c r="DI272" i="3" s="1"/>
  <c r="CN268" i="3"/>
  <c r="CN267" i="3"/>
  <c r="CP263" i="3"/>
  <c r="CP260" i="3"/>
  <c r="CP259" i="3"/>
  <c r="CP256" i="3"/>
  <c r="CP253" i="3"/>
  <c r="CP244" i="3"/>
  <c r="CL282" i="3"/>
  <c r="CN239" i="3"/>
  <c r="CP233" i="3"/>
  <c r="CP232" i="3"/>
  <c r="CN229" i="3"/>
  <c r="CP228" i="3"/>
  <c r="CP224" i="3"/>
  <c r="CN222" i="3"/>
  <c r="CQ208" i="3"/>
  <c r="CN197" i="3"/>
  <c r="CP280" i="3"/>
  <c r="CN277" i="3"/>
  <c r="CN274" i="3"/>
  <c r="CP272" i="3"/>
  <c r="CN269" i="3"/>
  <c r="CP264" i="3"/>
  <c r="CN258" i="3"/>
  <c r="CP258" i="3"/>
  <c r="CN255" i="3"/>
  <c r="CN252" i="3"/>
  <c r="CN251" i="3"/>
  <c r="CP248" i="3"/>
  <c r="CP237" i="3"/>
  <c r="CP236" i="3"/>
  <c r="CN232" i="3"/>
  <c r="CP219" i="3"/>
  <c r="CN202" i="3"/>
  <c r="CN188" i="3"/>
  <c r="CQ167" i="3"/>
  <c r="CP143" i="3"/>
  <c r="CP222" i="3"/>
  <c r="CN220" i="3"/>
  <c r="CP205" i="3"/>
  <c r="CP195" i="3"/>
  <c r="CP191" i="3"/>
  <c r="CQ190" i="3"/>
  <c r="CN186" i="3"/>
  <c r="CP183" i="3"/>
  <c r="CN178" i="3"/>
  <c r="CP175" i="3"/>
  <c r="CQ174" i="3"/>
  <c r="CN172" i="3"/>
  <c r="CP167" i="3"/>
  <c r="CN157" i="3"/>
  <c r="CN150" i="3"/>
  <c r="CN149" i="3"/>
  <c r="CN138" i="3"/>
  <c r="CP221" i="3"/>
  <c r="CN213" i="3"/>
  <c r="CP210" i="3"/>
  <c r="CP197" i="3"/>
  <c r="CN170" i="3"/>
  <c r="CP169" i="3"/>
  <c r="CP166" i="3"/>
  <c r="CP160" i="3"/>
  <c r="CN158" i="3"/>
  <c r="CN155" i="3"/>
  <c r="CP152" i="3"/>
  <c r="CN142" i="3"/>
  <c r="CN141" i="3"/>
  <c r="CN139" i="3"/>
  <c r="CN205" i="3"/>
  <c r="CN204" i="3"/>
  <c r="CN195" i="3"/>
  <c r="CN191" i="3"/>
  <c r="CN183" i="3"/>
  <c r="CN175" i="3"/>
  <c r="CN168" i="3"/>
  <c r="CN166" i="3"/>
  <c r="CP163" i="3"/>
  <c r="CN161" i="3"/>
  <c r="CN153" i="3"/>
  <c r="CN145" i="3"/>
  <c r="CN143" i="3"/>
  <c r="CP249" i="3"/>
  <c r="CQ248" i="3"/>
  <c r="CQ232" i="3"/>
  <c r="CP136" i="3"/>
  <c r="CQ279" i="3"/>
  <c r="CQ271" i="3"/>
  <c r="CQ267" i="3"/>
  <c r="CP266" i="3"/>
  <c r="CQ263" i="3"/>
  <c r="CP262" i="3"/>
  <c r="CQ259" i="3"/>
  <c r="CQ255" i="3"/>
  <c r="CQ250" i="3"/>
  <c r="CP247" i="3"/>
  <c r="CQ242" i="3"/>
  <c r="CQ234" i="3"/>
  <c r="CP231" i="3"/>
  <c r="CQ226" i="3"/>
  <c r="CQ209" i="3"/>
  <c r="CQ253" i="3"/>
  <c r="CQ240" i="3"/>
  <c r="CQ260" i="3"/>
  <c r="CQ256" i="3"/>
  <c r="CP255" i="3"/>
  <c r="CQ254" i="3"/>
  <c r="CP245" i="3"/>
  <c r="CQ244" i="3"/>
  <c r="CQ236" i="3"/>
  <c r="CP229" i="3"/>
  <c r="CQ228" i="3"/>
  <c r="CP202" i="3"/>
  <c r="CP225" i="3"/>
  <c r="CQ281" i="3"/>
  <c r="CQ277" i="3"/>
  <c r="CQ273" i="3"/>
  <c r="CQ269" i="3"/>
  <c r="CQ265" i="3"/>
  <c r="CQ261" i="3"/>
  <c r="CQ257" i="3"/>
  <c r="CP251" i="3"/>
  <c r="CQ246" i="3"/>
  <c r="CP243" i="3"/>
  <c r="CQ238" i="3"/>
  <c r="CN235" i="3"/>
  <c r="CP235" i="3"/>
  <c r="CQ230" i="3"/>
  <c r="CP227" i="3"/>
  <c r="CQ222" i="3"/>
  <c r="CQ201" i="3"/>
  <c r="CP186" i="3"/>
  <c r="CQ249" i="3"/>
  <c r="CQ245" i="3"/>
  <c r="CQ241" i="3"/>
  <c r="CQ237" i="3"/>
  <c r="CQ233" i="3"/>
  <c r="CQ229" i="3"/>
  <c r="CQ225" i="3"/>
  <c r="CP218" i="3"/>
  <c r="CP206" i="3"/>
  <c r="CN200" i="3"/>
  <c r="CP200" i="3"/>
  <c r="CQ215" i="3"/>
  <c r="CN212" i="3"/>
  <c r="CP212" i="3"/>
  <c r="CQ207" i="3"/>
  <c r="CP204" i="3"/>
  <c r="CP178" i="3"/>
  <c r="CP184" i="3"/>
  <c r="CP176" i="3"/>
  <c r="CQ161" i="3"/>
  <c r="CQ214" i="3"/>
  <c r="CP196" i="3"/>
  <c r="CQ193" i="3"/>
  <c r="CP190" i="3"/>
  <c r="CQ185" i="3"/>
  <c r="CP182" i="3"/>
  <c r="CP174" i="3"/>
  <c r="CQ199" i="3"/>
  <c r="CQ194" i="3"/>
  <c r="CP188" i="3"/>
  <c r="CQ187" i="3"/>
  <c r="CP180" i="3"/>
  <c r="CP162" i="3"/>
  <c r="CP138" i="3"/>
  <c r="CQ180" i="3"/>
  <c r="CP173" i="3"/>
  <c r="CN169" i="3"/>
  <c r="CP165" i="3"/>
  <c r="CQ164" i="3"/>
  <c r="CN173" i="3"/>
  <c r="CQ166" i="3"/>
  <c r="CN165" i="3"/>
  <c r="CP148" i="3"/>
  <c r="CP154" i="3"/>
  <c r="CQ157" i="3"/>
  <c r="CN154" i="3"/>
  <c r="CP150" i="3"/>
  <c r="CP144" i="3"/>
  <c r="CN151" i="3"/>
  <c r="CP140" i="3"/>
  <c r="CQ139" i="3"/>
  <c r="CQ59" i="3"/>
  <c r="CQ133" i="3"/>
  <c r="CQ128" i="3"/>
  <c r="CQ116" i="3"/>
  <c r="CQ108" i="3"/>
  <c r="CQ134" i="3"/>
  <c r="CQ130" i="3"/>
  <c r="CQ102" i="3"/>
  <c r="CQ75" i="3"/>
  <c r="CQ114" i="3"/>
  <c r="CQ131" i="3"/>
  <c r="CQ127" i="3"/>
  <c r="CN125" i="3"/>
  <c r="CP125" i="3"/>
  <c r="CN117" i="3"/>
  <c r="CP117" i="3"/>
  <c r="CN109" i="3"/>
  <c r="CP109" i="3"/>
  <c r="CQ104" i="3"/>
  <c r="CN101" i="3"/>
  <c r="CP101" i="3"/>
  <c r="CQ115" i="3"/>
  <c r="CQ107" i="3"/>
  <c r="CQ96" i="3"/>
  <c r="CP94" i="3"/>
  <c r="CN85" i="3"/>
  <c r="CP85" i="3"/>
  <c r="CQ80" i="3"/>
  <c r="CQ90" i="3"/>
  <c r="CQ25" i="3"/>
  <c r="CQ95" i="3"/>
  <c r="CN79" i="3"/>
  <c r="CN78" i="3"/>
  <c r="CN75" i="3"/>
  <c r="CN74" i="3"/>
  <c r="CN71" i="3"/>
  <c r="CN70" i="3"/>
  <c r="CN67" i="3"/>
  <c r="CN66" i="3"/>
  <c r="CN63" i="3"/>
  <c r="CN62" i="3"/>
  <c r="CN59" i="3"/>
  <c r="CP44" i="3"/>
  <c r="CQ77" i="3"/>
  <c r="CP71" i="3"/>
  <c r="CP67" i="3"/>
  <c r="CP63" i="3"/>
  <c r="CP59" i="3"/>
  <c r="CP50" i="3"/>
  <c r="CP38" i="3"/>
  <c r="CQ60" i="3"/>
  <c r="CQ56" i="3"/>
  <c r="CP52" i="3"/>
  <c r="CP46" i="3"/>
  <c r="CN30" i="3"/>
  <c r="CP48" i="3"/>
  <c r="CQ26" i="3"/>
  <c r="CQ51" i="3"/>
  <c r="CP41" i="3"/>
  <c r="CN40" i="3"/>
  <c r="CP36" i="3"/>
  <c r="CN35" i="3"/>
  <c r="CP31" i="3"/>
  <c r="CP32" i="3"/>
  <c r="CP27" i="3"/>
  <c r="CQ24" i="3"/>
  <c r="CQ39" i="3"/>
  <c r="CP28" i="3"/>
  <c r="CN27" i="3"/>
  <c r="CP26" i="3"/>
  <c r="CN20" i="3"/>
  <c r="CP20" i="3"/>
  <c r="CN23" i="3"/>
  <c r="CP11" i="3"/>
  <c r="CN15" i="3"/>
  <c r="CN11" i="3"/>
  <c r="CQ8" i="3"/>
  <c r="CQ17" i="3"/>
  <c r="CP18" i="3"/>
  <c r="CP19" i="3"/>
  <c r="CP7" i="3"/>
  <c r="CP12" i="3"/>
  <c r="CP14" i="3"/>
  <c r="CP8" i="3"/>
  <c r="CP10" i="3"/>
  <c r="CP15" i="3"/>
  <c r="CP6" i="3"/>
  <c r="CP13" i="3"/>
  <c r="CP17" i="3"/>
  <c r="CP21" i="3"/>
  <c r="CQ7" i="3"/>
  <c r="CQ9" i="3"/>
  <c r="CP9" i="3"/>
  <c r="CP23" i="3"/>
  <c r="CA282" i="3"/>
  <c r="CN9" i="3"/>
  <c r="CN10" i="3"/>
  <c r="CN13" i="3"/>
  <c r="CN14" i="3"/>
  <c r="CN17" i="3"/>
  <c r="CN18" i="3"/>
  <c r="CN21" i="3"/>
  <c r="CN22" i="3"/>
  <c r="CQ23" i="3"/>
  <c r="CS236" i="3" l="1"/>
  <c r="CX236" i="3" s="1"/>
  <c r="CZ236" i="3" s="1"/>
  <c r="DI236" i="3"/>
  <c r="CS253" i="3"/>
  <c r="DD253" i="3" s="1"/>
  <c r="DF253" i="3" s="1"/>
  <c r="DI253" i="3"/>
  <c r="CS234" i="3"/>
  <c r="DD234" i="3" s="1"/>
  <c r="DF234" i="3" s="1"/>
  <c r="DI234" i="3"/>
  <c r="DJ101" i="3"/>
  <c r="DK101" i="3"/>
  <c r="DJ136" i="3"/>
  <c r="DK136" i="3"/>
  <c r="CS6" i="3"/>
  <c r="CU6" i="3" s="1"/>
  <c r="CW6" i="3" s="1"/>
  <c r="DI6" i="3"/>
  <c r="DJ81" i="3"/>
  <c r="DK81" i="3"/>
  <c r="DJ150" i="3"/>
  <c r="DK150" i="3"/>
  <c r="CS17" i="3"/>
  <c r="DA17" i="3" s="1"/>
  <c r="DC17" i="3" s="1"/>
  <c r="DI17" i="3"/>
  <c r="CS24" i="3"/>
  <c r="CX24" i="3" s="1"/>
  <c r="DI24" i="3"/>
  <c r="CS51" i="3"/>
  <c r="DA51" i="3" s="1"/>
  <c r="DC51" i="3" s="1"/>
  <c r="DI51" i="3"/>
  <c r="CS134" i="3"/>
  <c r="CU134" i="3" s="1"/>
  <c r="CW134" i="3" s="1"/>
  <c r="DI134" i="3"/>
  <c r="CS166" i="3"/>
  <c r="DA166" i="3" s="1"/>
  <c r="DC166" i="3" s="1"/>
  <c r="DI166" i="3"/>
  <c r="CS194" i="3"/>
  <c r="CX194" i="3" s="1"/>
  <c r="CZ194" i="3" s="1"/>
  <c r="DI194" i="3"/>
  <c r="CS249" i="3"/>
  <c r="DD249" i="3" s="1"/>
  <c r="DF249" i="3" s="1"/>
  <c r="DI249" i="3"/>
  <c r="CS257" i="3"/>
  <c r="CX257" i="3" s="1"/>
  <c r="CZ257" i="3" s="1"/>
  <c r="DI257" i="3"/>
  <c r="CS256" i="3"/>
  <c r="DA256" i="3" s="1"/>
  <c r="DC256" i="3" s="1"/>
  <c r="DI256" i="3"/>
  <c r="CS242" i="3"/>
  <c r="CX242" i="3" s="1"/>
  <c r="CZ242" i="3" s="1"/>
  <c r="DI242" i="3"/>
  <c r="CS267" i="3"/>
  <c r="DA267" i="3" s="1"/>
  <c r="DC267" i="3" s="1"/>
  <c r="DI267" i="3"/>
  <c r="CS208" i="3"/>
  <c r="CU208" i="3" s="1"/>
  <c r="CW208" i="3" s="1"/>
  <c r="DI208" i="3"/>
  <c r="CS85" i="3"/>
  <c r="CU85" i="3" s="1"/>
  <c r="CW85" i="3" s="1"/>
  <c r="DI85" i="3"/>
  <c r="DJ62" i="3"/>
  <c r="DK62" i="3"/>
  <c r="DJ251" i="3"/>
  <c r="DK251" i="3"/>
  <c r="CS145" i="3"/>
  <c r="CX145" i="3" s="1"/>
  <c r="CZ145" i="3" s="1"/>
  <c r="DI145" i="3"/>
  <c r="DJ220" i="3"/>
  <c r="DK220" i="3"/>
  <c r="CS79" i="3"/>
  <c r="CU79" i="3" s="1"/>
  <c r="CW79" i="3" s="1"/>
  <c r="DI79" i="3"/>
  <c r="CS27" i="3"/>
  <c r="DD27" i="3" s="1"/>
  <c r="DF27" i="3" s="1"/>
  <c r="DI27" i="3"/>
  <c r="CS124" i="3"/>
  <c r="CX124" i="3" s="1"/>
  <c r="CZ124" i="3" s="1"/>
  <c r="DI124" i="3"/>
  <c r="CS75" i="3"/>
  <c r="DA75" i="3" s="1"/>
  <c r="DC75" i="3" s="1"/>
  <c r="DI75" i="3"/>
  <c r="CS230" i="3"/>
  <c r="CU230" i="3" s="1"/>
  <c r="CW230" i="3" s="1"/>
  <c r="DI230" i="3"/>
  <c r="CS277" i="3"/>
  <c r="DD277" i="3" s="1"/>
  <c r="DF277" i="3" s="1"/>
  <c r="DI277" i="3"/>
  <c r="CS226" i="3"/>
  <c r="CX226" i="3" s="1"/>
  <c r="CZ226" i="3" s="1"/>
  <c r="DI226" i="3"/>
  <c r="CS271" i="3"/>
  <c r="CX271" i="3" s="1"/>
  <c r="CZ271" i="3" s="1"/>
  <c r="DI271" i="3"/>
  <c r="CS190" i="3"/>
  <c r="CU190" i="3" s="1"/>
  <c r="CW190" i="3" s="1"/>
  <c r="DI190" i="3"/>
  <c r="DJ272" i="3"/>
  <c r="DK272" i="3"/>
  <c r="DJ142" i="3"/>
  <c r="DK142" i="3"/>
  <c r="CS258" i="3"/>
  <c r="DA258" i="3" s="1"/>
  <c r="DC258" i="3" s="1"/>
  <c r="DI258" i="3"/>
  <c r="DJ52" i="3"/>
  <c r="DK52" i="3"/>
  <c r="CS243" i="3"/>
  <c r="DA243" i="3" s="1"/>
  <c r="DC243" i="3" s="1"/>
  <c r="DI243" i="3"/>
  <c r="DJ54" i="3"/>
  <c r="DK54" i="3"/>
  <c r="CS212" i="3"/>
  <c r="CX212" i="3" s="1"/>
  <c r="CZ212" i="3" s="1"/>
  <c r="DI212" i="3"/>
  <c r="CS235" i="3"/>
  <c r="CX235" i="3" s="1"/>
  <c r="CZ235" i="3" s="1"/>
  <c r="DI235" i="3"/>
  <c r="CS280" i="3"/>
  <c r="CX280" i="3" s="1"/>
  <c r="CZ280" i="3" s="1"/>
  <c r="DI280" i="3"/>
  <c r="CS270" i="3"/>
  <c r="CU270" i="3" s="1"/>
  <c r="CW270" i="3" s="1"/>
  <c r="DI270" i="3"/>
  <c r="CS154" i="3"/>
  <c r="CX154" i="3" s="1"/>
  <c r="CZ154" i="3" s="1"/>
  <c r="DI154" i="3"/>
  <c r="DJ268" i="3"/>
  <c r="DK268" i="3"/>
  <c r="CS204" i="3"/>
  <c r="CU204" i="3" s="1"/>
  <c r="CW204" i="3" s="1"/>
  <c r="DI204" i="3"/>
  <c r="DJ158" i="3"/>
  <c r="DK158" i="3"/>
  <c r="DJ46" i="3"/>
  <c r="DK46" i="3"/>
  <c r="CS45" i="3"/>
  <c r="DA45" i="3" s="1"/>
  <c r="DC45" i="3" s="1"/>
  <c r="DI45" i="3"/>
  <c r="CS76" i="3"/>
  <c r="DA76" i="3" s="1"/>
  <c r="DC76" i="3" s="1"/>
  <c r="DI76" i="3"/>
  <c r="CS63" i="3"/>
  <c r="CX63" i="3" s="1"/>
  <c r="CZ63" i="3" s="1"/>
  <c r="DI63" i="3"/>
  <c r="CS125" i="3"/>
  <c r="DA125" i="3" s="1"/>
  <c r="DC125" i="3" s="1"/>
  <c r="DI125" i="3"/>
  <c r="CS7" i="3"/>
  <c r="DA7" i="3" s="1"/>
  <c r="DC7" i="3" s="1"/>
  <c r="DI7" i="3"/>
  <c r="CS39" i="3"/>
  <c r="CX39" i="3" s="1"/>
  <c r="CZ39" i="3" s="1"/>
  <c r="DI39" i="3"/>
  <c r="CS60" i="3"/>
  <c r="CX60" i="3" s="1"/>
  <c r="CZ60" i="3" s="1"/>
  <c r="DI60" i="3"/>
  <c r="CS95" i="3"/>
  <c r="CX95" i="3" s="1"/>
  <c r="CZ95" i="3" s="1"/>
  <c r="DI95" i="3"/>
  <c r="CS107" i="3"/>
  <c r="CU107" i="3" s="1"/>
  <c r="CW107" i="3" s="1"/>
  <c r="DI107" i="3"/>
  <c r="CS104" i="3"/>
  <c r="CU104" i="3" s="1"/>
  <c r="CW104" i="3" s="1"/>
  <c r="DI104" i="3"/>
  <c r="CS131" i="3"/>
  <c r="CX131" i="3" s="1"/>
  <c r="CZ131" i="3" s="1"/>
  <c r="DI131" i="3"/>
  <c r="CS130" i="3"/>
  <c r="CU130" i="3" s="1"/>
  <c r="CW130" i="3" s="1"/>
  <c r="DI130" i="3"/>
  <c r="CS128" i="3"/>
  <c r="CU128" i="3" s="1"/>
  <c r="CW128" i="3" s="1"/>
  <c r="DI128" i="3"/>
  <c r="CS229" i="3"/>
  <c r="CU229" i="3" s="1"/>
  <c r="CW229" i="3" s="1"/>
  <c r="DI229" i="3"/>
  <c r="CS245" i="3"/>
  <c r="CU245" i="3" s="1"/>
  <c r="CW245" i="3" s="1"/>
  <c r="DI245" i="3"/>
  <c r="CS222" i="3"/>
  <c r="CX222" i="3" s="1"/>
  <c r="CZ222" i="3" s="1"/>
  <c r="DI222" i="3"/>
  <c r="CS269" i="3"/>
  <c r="DD269" i="3" s="1"/>
  <c r="DF269" i="3" s="1"/>
  <c r="DI269" i="3"/>
  <c r="CS255" i="3"/>
  <c r="CX255" i="3" s="1"/>
  <c r="CZ255" i="3" s="1"/>
  <c r="DI255" i="3"/>
  <c r="CS264" i="3"/>
  <c r="DA264" i="3" s="1"/>
  <c r="DC264" i="3" s="1"/>
  <c r="DI264" i="3"/>
  <c r="CS200" i="3"/>
  <c r="CU200" i="3" s="1"/>
  <c r="CW200" i="3" s="1"/>
  <c r="DI200" i="3"/>
  <c r="CS227" i="3"/>
  <c r="CU227" i="3" s="1"/>
  <c r="CW227" i="3" s="1"/>
  <c r="DI227" i="3"/>
  <c r="CS274" i="3"/>
  <c r="CU274" i="3" s="1"/>
  <c r="CW274" i="3" s="1"/>
  <c r="DI274" i="3"/>
  <c r="CS48" i="3"/>
  <c r="DA48" i="3" s="1"/>
  <c r="DC48" i="3" s="1"/>
  <c r="DI48" i="3"/>
  <c r="CS132" i="3"/>
  <c r="CX132" i="3" s="1"/>
  <c r="CZ132" i="3" s="1"/>
  <c r="DI132" i="3"/>
  <c r="DJ78" i="3"/>
  <c r="DK78" i="3"/>
  <c r="CS205" i="3"/>
  <c r="CU205" i="3" s="1"/>
  <c r="CW205" i="3" s="1"/>
  <c r="DI205" i="3"/>
  <c r="DJ146" i="3"/>
  <c r="DK146" i="3"/>
  <c r="DJ223" i="3"/>
  <c r="DK223" i="3"/>
  <c r="DJ278" i="3"/>
  <c r="DK278" i="3"/>
  <c r="CS13" i="3"/>
  <c r="CU13" i="3" s="1"/>
  <c r="CW13" i="3" s="1"/>
  <c r="DI13" i="3"/>
  <c r="CS25" i="3"/>
  <c r="CX25" i="3" s="1"/>
  <c r="CZ25" i="3" s="1"/>
  <c r="DI25" i="3"/>
  <c r="CS115" i="3"/>
  <c r="DA115" i="3" s="1"/>
  <c r="DC115" i="3" s="1"/>
  <c r="DI115" i="3"/>
  <c r="CS114" i="3"/>
  <c r="CX114" i="3" s="1"/>
  <c r="CZ114" i="3" s="1"/>
  <c r="DI114" i="3"/>
  <c r="CS133" i="3"/>
  <c r="CX133" i="3" s="1"/>
  <c r="CZ133" i="3" s="1"/>
  <c r="DI133" i="3"/>
  <c r="CS157" i="3"/>
  <c r="CX157" i="3" s="1"/>
  <c r="CZ157" i="3" s="1"/>
  <c r="DI157" i="3"/>
  <c r="CS185" i="3"/>
  <c r="DA185" i="3" s="1"/>
  <c r="DC185" i="3" s="1"/>
  <c r="DI185" i="3"/>
  <c r="CS214" i="3"/>
  <c r="CU214" i="3" s="1"/>
  <c r="CW214" i="3" s="1"/>
  <c r="DI214" i="3"/>
  <c r="CS233" i="3"/>
  <c r="DD233" i="3" s="1"/>
  <c r="DF233" i="3" s="1"/>
  <c r="DI233" i="3"/>
  <c r="CS238" i="3"/>
  <c r="CU238" i="3" s="1"/>
  <c r="CW238" i="3" s="1"/>
  <c r="DI238" i="3"/>
  <c r="CS273" i="3"/>
  <c r="DD273" i="3" s="1"/>
  <c r="DF273" i="3" s="1"/>
  <c r="DI273" i="3"/>
  <c r="CS244" i="3"/>
  <c r="CX244" i="3" s="1"/>
  <c r="CZ244" i="3" s="1"/>
  <c r="DI244" i="3"/>
  <c r="CS209" i="3"/>
  <c r="DD209" i="3" s="1"/>
  <c r="DF209" i="3" s="1"/>
  <c r="DI209" i="3"/>
  <c r="CS259" i="3"/>
  <c r="CX259" i="3" s="1"/>
  <c r="CZ259" i="3" s="1"/>
  <c r="DI259" i="3"/>
  <c r="CS232" i="3"/>
  <c r="CZ232" i="3" s="1"/>
  <c r="DI232" i="3"/>
  <c r="CS174" i="3"/>
  <c r="CU174" i="3" s="1"/>
  <c r="CW174" i="3" s="1"/>
  <c r="DI174" i="3"/>
  <c r="CS167" i="3"/>
  <c r="CX167" i="3" s="1"/>
  <c r="CZ167" i="3" s="1"/>
  <c r="DI167" i="3"/>
  <c r="DJ266" i="3"/>
  <c r="DK266" i="3"/>
  <c r="CS21" i="3"/>
  <c r="CU21" i="3" s="1"/>
  <c r="CW21" i="3" s="1"/>
  <c r="DI21" i="3"/>
  <c r="CS173" i="3"/>
  <c r="CX173" i="3" s="1"/>
  <c r="CZ173" i="3" s="1"/>
  <c r="DI173" i="3"/>
  <c r="DJ276" i="3"/>
  <c r="DK276" i="3"/>
  <c r="CS252" i="3"/>
  <c r="CU252" i="3" s="1"/>
  <c r="CW252" i="3" s="1"/>
  <c r="DI252" i="3"/>
  <c r="CS69" i="3"/>
  <c r="CX69" i="3" s="1"/>
  <c r="CZ69" i="3" s="1"/>
  <c r="DI69" i="3"/>
  <c r="CS206" i="3"/>
  <c r="CU206" i="3" s="1"/>
  <c r="CW206" i="3" s="1"/>
  <c r="DI206" i="3"/>
  <c r="CS30" i="3"/>
  <c r="DA30" i="3" s="1"/>
  <c r="DC30" i="3" s="1"/>
  <c r="DI30" i="3"/>
  <c r="CS82" i="3"/>
  <c r="CX82" i="3" s="1"/>
  <c r="CZ82" i="3" s="1"/>
  <c r="DI82" i="3"/>
  <c r="CS8" i="3"/>
  <c r="CX8" i="3" s="1"/>
  <c r="CZ8" i="3" s="1"/>
  <c r="DI8" i="3"/>
  <c r="CS26" i="3"/>
  <c r="CU26" i="3" s="1"/>
  <c r="CW26" i="3" s="1"/>
  <c r="DI26" i="3"/>
  <c r="CS90" i="3"/>
  <c r="DA90" i="3" s="1"/>
  <c r="DC90" i="3" s="1"/>
  <c r="DI90" i="3"/>
  <c r="CS108" i="3"/>
  <c r="CX108" i="3" s="1"/>
  <c r="CZ108" i="3" s="1"/>
  <c r="DI108" i="3"/>
  <c r="CS59" i="3"/>
  <c r="DA59" i="3" s="1"/>
  <c r="DC59" i="3" s="1"/>
  <c r="DI59" i="3"/>
  <c r="CS199" i="3"/>
  <c r="CU199" i="3" s="1"/>
  <c r="CW199" i="3" s="1"/>
  <c r="DI199" i="3"/>
  <c r="CS161" i="3"/>
  <c r="CU161" i="3" s="1"/>
  <c r="CW161" i="3" s="1"/>
  <c r="DI161" i="3"/>
  <c r="CS215" i="3"/>
  <c r="CU215" i="3" s="1"/>
  <c r="CW215" i="3" s="1"/>
  <c r="DI215" i="3"/>
  <c r="CS237" i="3"/>
  <c r="CU237" i="3" s="1"/>
  <c r="CW237" i="3" s="1"/>
  <c r="DI237" i="3"/>
  <c r="CS261" i="3"/>
  <c r="DD261" i="3" s="1"/>
  <c r="DF261" i="3" s="1"/>
  <c r="DI261" i="3"/>
  <c r="CS228" i="3"/>
  <c r="CU228" i="3" s="1"/>
  <c r="CW228" i="3" s="1"/>
  <c r="DI228" i="3"/>
  <c r="CS260" i="3"/>
  <c r="CU260" i="3" s="1"/>
  <c r="CW260" i="3" s="1"/>
  <c r="DI260" i="3"/>
  <c r="CS248" i="3"/>
  <c r="CU248" i="3" s="1"/>
  <c r="CW248" i="3" s="1"/>
  <c r="DI248" i="3"/>
  <c r="CS23" i="3"/>
  <c r="DA23" i="3" s="1"/>
  <c r="DC23" i="3" s="1"/>
  <c r="DI23" i="3"/>
  <c r="CS9" i="3"/>
  <c r="CX9" i="3" s="1"/>
  <c r="CZ9" i="3" s="1"/>
  <c r="DI9" i="3"/>
  <c r="CS56" i="3"/>
  <c r="CX56" i="3" s="1"/>
  <c r="CZ56" i="3" s="1"/>
  <c r="DI56" i="3"/>
  <c r="CS77" i="3"/>
  <c r="DA77" i="3" s="1"/>
  <c r="DC77" i="3" s="1"/>
  <c r="DI77" i="3"/>
  <c r="CS80" i="3"/>
  <c r="CU80" i="3" s="1"/>
  <c r="CW80" i="3" s="1"/>
  <c r="DI80" i="3"/>
  <c r="CS96" i="3"/>
  <c r="CX96" i="3" s="1"/>
  <c r="CZ96" i="3" s="1"/>
  <c r="DI96" i="3"/>
  <c r="CS127" i="3"/>
  <c r="CU127" i="3" s="1"/>
  <c r="CW127" i="3" s="1"/>
  <c r="DI127" i="3"/>
  <c r="CS102" i="3"/>
  <c r="CX102" i="3" s="1"/>
  <c r="CZ102" i="3" s="1"/>
  <c r="DI102" i="3"/>
  <c r="CS116" i="3"/>
  <c r="CU116" i="3" s="1"/>
  <c r="CW116" i="3" s="1"/>
  <c r="DI116" i="3"/>
  <c r="CS139" i="3"/>
  <c r="DA139" i="3" s="1"/>
  <c r="DC139" i="3" s="1"/>
  <c r="DI139" i="3"/>
  <c r="CS164" i="3"/>
  <c r="CU164" i="3" s="1"/>
  <c r="CW164" i="3" s="1"/>
  <c r="DI164" i="3"/>
  <c r="CS180" i="3"/>
  <c r="CX180" i="3" s="1"/>
  <c r="CZ180" i="3" s="1"/>
  <c r="DI180" i="3"/>
  <c r="CS187" i="3"/>
  <c r="CU187" i="3" s="1"/>
  <c r="CW187" i="3" s="1"/>
  <c r="DI187" i="3"/>
  <c r="CS193" i="3"/>
  <c r="CU193" i="3" s="1"/>
  <c r="CW193" i="3" s="1"/>
  <c r="DI193" i="3"/>
  <c r="CS207" i="3"/>
  <c r="CU207" i="3" s="1"/>
  <c r="CW207" i="3" s="1"/>
  <c r="DI207" i="3"/>
  <c r="CS225" i="3"/>
  <c r="CU225" i="3" s="1"/>
  <c r="CW225" i="3" s="1"/>
  <c r="DI225" i="3"/>
  <c r="CS241" i="3"/>
  <c r="CX241" i="3" s="1"/>
  <c r="CZ241" i="3" s="1"/>
  <c r="DI241" i="3"/>
  <c r="CS201" i="3"/>
  <c r="DA201" i="3" s="1"/>
  <c r="DC201" i="3" s="1"/>
  <c r="DI201" i="3"/>
  <c r="CS246" i="3"/>
  <c r="CU246" i="3" s="1"/>
  <c r="CW246" i="3" s="1"/>
  <c r="DI246" i="3"/>
  <c r="CS265" i="3"/>
  <c r="CU265" i="3" s="1"/>
  <c r="CW265" i="3" s="1"/>
  <c r="DI265" i="3"/>
  <c r="CS281" i="3"/>
  <c r="CX281" i="3" s="1"/>
  <c r="CZ281" i="3" s="1"/>
  <c r="DI281" i="3"/>
  <c r="CS254" i="3"/>
  <c r="CX254" i="3" s="1"/>
  <c r="CZ254" i="3" s="1"/>
  <c r="DI254" i="3"/>
  <c r="CS240" i="3"/>
  <c r="CU240" i="3" s="1"/>
  <c r="CW240" i="3" s="1"/>
  <c r="DI240" i="3"/>
  <c r="CS250" i="3"/>
  <c r="DD250" i="3" s="1"/>
  <c r="DF250" i="3" s="1"/>
  <c r="DI250" i="3"/>
  <c r="CS263" i="3"/>
  <c r="CU263" i="3" s="1"/>
  <c r="CW263" i="3" s="1"/>
  <c r="DI263" i="3"/>
  <c r="CS279" i="3"/>
  <c r="DD279" i="3" s="1"/>
  <c r="DF279" i="3" s="1"/>
  <c r="DI279" i="3"/>
  <c r="CS262" i="3"/>
  <c r="CU262" i="3" s="1"/>
  <c r="CW262" i="3" s="1"/>
  <c r="DI262" i="3"/>
  <c r="CS239" i="3"/>
  <c r="CX239" i="3" s="1"/>
  <c r="CZ239" i="3" s="1"/>
  <c r="DI239" i="3"/>
  <c r="CS247" i="3"/>
  <c r="CU247" i="3" s="1"/>
  <c r="CW247" i="3" s="1"/>
  <c r="DI247" i="3"/>
  <c r="CS113" i="3"/>
  <c r="CU113" i="3" s="1"/>
  <c r="CW113" i="3" s="1"/>
  <c r="DI113" i="3"/>
  <c r="DJ38" i="3"/>
  <c r="DK38" i="3"/>
  <c r="CS89" i="3"/>
  <c r="CX89" i="3" s="1"/>
  <c r="CZ89" i="3" s="1"/>
  <c r="DI89" i="3"/>
  <c r="CS231" i="3"/>
  <c r="CU231" i="3" s="1"/>
  <c r="CW231" i="3" s="1"/>
  <c r="DI231" i="3"/>
  <c r="DJ216" i="3"/>
  <c r="DK216" i="3"/>
  <c r="CS171" i="3"/>
  <c r="CU171" i="3" s="1"/>
  <c r="CW171" i="3" s="1"/>
  <c r="DI171" i="3"/>
  <c r="CS31" i="3"/>
  <c r="CU31" i="3" s="1"/>
  <c r="CW31" i="3" s="1"/>
  <c r="DI31" i="3"/>
  <c r="CS202" i="3"/>
  <c r="CU202" i="3" s="1"/>
  <c r="CW202" i="3" s="1"/>
  <c r="DI202" i="3"/>
  <c r="CS57" i="3"/>
  <c r="CU57" i="3" s="1"/>
  <c r="CW57" i="3" s="1"/>
  <c r="DI57" i="3"/>
  <c r="CS126" i="3"/>
  <c r="CU126" i="3" s="1"/>
  <c r="CW126" i="3" s="1"/>
  <c r="DI126" i="3"/>
  <c r="CS137" i="3"/>
  <c r="CU137" i="3" s="1"/>
  <c r="CW137" i="3" s="1"/>
  <c r="DI137" i="3"/>
  <c r="CS217" i="3"/>
  <c r="CU217" i="3" s="1"/>
  <c r="CW217" i="3" s="1"/>
  <c r="DI217" i="3"/>
  <c r="CS49" i="3"/>
  <c r="CU49" i="3" s="1"/>
  <c r="CW49" i="3" s="1"/>
  <c r="DI49" i="3"/>
  <c r="DD204" i="3"/>
  <c r="DF204" i="3" s="1"/>
  <c r="DA204" i="3"/>
  <c r="DC204" i="3" s="1"/>
  <c r="CX204" i="3"/>
  <c r="CZ204" i="3" s="1"/>
  <c r="CU95" i="3"/>
  <c r="CW95" i="3" s="1"/>
  <c r="DA104" i="3"/>
  <c r="DC104" i="3" s="1"/>
  <c r="DA130" i="3"/>
  <c r="DC130" i="3" s="1"/>
  <c r="CX229" i="3"/>
  <c r="CZ229" i="3" s="1"/>
  <c r="DD236" i="3"/>
  <c r="DF236" i="3" s="1"/>
  <c r="DA236" i="3"/>
  <c r="DC236" i="3" s="1"/>
  <c r="CU236" i="3"/>
  <c r="CW236" i="3" s="1"/>
  <c r="DD255" i="3"/>
  <c r="DF255" i="3" s="1"/>
  <c r="DA200" i="3"/>
  <c r="DC200" i="3" s="1"/>
  <c r="CX243" i="3"/>
  <c r="CZ243" i="3" s="1"/>
  <c r="DD154" i="3"/>
  <c r="DF154" i="3" s="1"/>
  <c r="CU154" i="3"/>
  <c r="CW154" i="3" s="1"/>
  <c r="CX76" i="3"/>
  <c r="CZ76" i="3" s="1"/>
  <c r="DD17" i="3"/>
  <c r="DF17" i="3" s="1"/>
  <c r="CX17" i="3"/>
  <c r="CZ17" i="3" s="1"/>
  <c r="CU17" i="3"/>
  <c r="CW17" i="3" s="1"/>
  <c r="DD51" i="3"/>
  <c r="DF51" i="3" s="1"/>
  <c r="CU51" i="3"/>
  <c r="CW51" i="3" s="1"/>
  <c r="CX51" i="3"/>
  <c r="CZ51" i="3" s="1"/>
  <c r="DD115" i="3"/>
  <c r="DF115" i="3" s="1"/>
  <c r="DA133" i="3"/>
  <c r="DC133" i="3" s="1"/>
  <c r="DD166" i="3"/>
  <c r="DF166" i="3" s="1"/>
  <c r="CU166" i="3"/>
  <c r="CW166" i="3" s="1"/>
  <c r="CX166" i="3"/>
  <c r="CZ166" i="3" s="1"/>
  <c r="DA233" i="3"/>
  <c r="DC233" i="3" s="1"/>
  <c r="DA249" i="3"/>
  <c r="DC249" i="3" s="1"/>
  <c r="CU249" i="3"/>
  <c r="CW249" i="3" s="1"/>
  <c r="CU273" i="3"/>
  <c r="CW273" i="3" s="1"/>
  <c r="CU256" i="3"/>
  <c r="CW256" i="3" s="1"/>
  <c r="DD256" i="3"/>
  <c r="DF256" i="3" s="1"/>
  <c r="DD267" i="3"/>
  <c r="DF267" i="3" s="1"/>
  <c r="CX267" i="3"/>
  <c r="CZ267" i="3" s="1"/>
  <c r="CU267" i="3"/>
  <c r="CW267" i="3" s="1"/>
  <c r="CU167" i="3"/>
  <c r="CW167" i="3" s="1"/>
  <c r="DD85" i="3"/>
  <c r="DF85" i="3" s="1"/>
  <c r="DA85" i="3"/>
  <c r="DC85" i="3" s="1"/>
  <c r="DA21" i="3"/>
  <c r="DC21" i="3" s="1"/>
  <c r="DA274" i="3"/>
  <c r="DC274" i="3" s="1"/>
  <c r="DA132" i="3"/>
  <c r="DC132" i="3" s="1"/>
  <c r="CX205" i="3"/>
  <c r="CZ205" i="3" s="1"/>
  <c r="DA5" i="3"/>
  <c r="DC5" i="3" s="1"/>
  <c r="CU5" i="3"/>
  <c r="CW5" i="3" s="1"/>
  <c r="CX5" i="3"/>
  <c r="CZ5" i="3" s="1"/>
  <c r="DD5" i="3"/>
  <c r="DF5" i="3" s="1"/>
  <c r="DD9" i="3"/>
  <c r="DF9" i="3" s="1"/>
  <c r="DA9" i="3"/>
  <c r="DC9" i="3" s="1"/>
  <c r="DA212" i="3"/>
  <c r="DC212" i="3" s="1"/>
  <c r="DD8" i="3"/>
  <c r="DF8" i="3" s="1"/>
  <c r="DA8" i="3"/>
  <c r="DC8" i="3" s="1"/>
  <c r="DD75" i="3"/>
  <c r="DF75" i="3" s="1"/>
  <c r="DD59" i="3"/>
  <c r="DF59" i="3" s="1"/>
  <c r="CX59" i="3"/>
  <c r="CZ59" i="3" s="1"/>
  <c r="CX237" i="3"/>
  <c r="CZ237" i="3" s="1"/>
  <c r="DD237" i="3"/>
  <c r="DF237" i="3" s="1"/>
  <c r="CU277" i="3"/>
  <c r="CW277" i="3" s="1"/>
  <c r="DA228" i="3"/>
  <c r="DC228" i="3" s="1"/>
  <c r="CU271" i="3"/>
  <c r="CW271" i="3" s="1"/>
  <c r="DD271" i="3"/>
  <c r="DF271" i="3" s="1"/>
  <c r="DD258" i="3"/>
  <c r="DF258" i="3" s="1"/>
  <c r="CU258" i="3"/>
  <c r="CW258" i="3" s="1"/>
  <c r="DD30" i="3"/>
  <c r="DF30" i="3" s="1"/>
  <c r="CX30" i="3"/>
  <c r="CZ30" i="3" s="1"/>
  <c r="DA27" i="3"/>
  <c r="DC27" i="3" s="1"/>
  <c r="CS266" i="3"/>
  <c r="CS101" i="3"/>
  <c r="CS136" i="3"/>
  <c r="CS78" i="3"/>
  <c r="CS146" i="3"/>
  <c r="CS223" i="3"/>
  <c r="CS278" i="3"/>
  <c r="CS81" i="3"/>
  <c r="CS150" i="3"/>
  <c r="CS54" i="3"/>
  <c r="CS268" i="3"/>
  <c r="CS158" i="3"/>
  <c r="CS46" i="3"/>
  <c r="CS38" i="3"/>
  <c r="CS216" i="3"/>
  <c r="CS272" i="3"/>
  <c r="CS142" i="3"/>
  <c r="CS52" i="3"/>
  <c r="CS62" i="3"/>
  <c r="CS276" i="3"/>
  <c r="CS251" i="3"/>
  <c r="CS220" i="3"/>
  <c r="CQ123" i="3"/>
  <c r="DI123" i="3" s="1"/>
  <c r="CP194" i="3"/>
  <c r="CR194" i="3" s="1"/>
  <c r="CQ10" i="3"/>
  <c r="CQ11" i="3"/>
  <c r="DI11" i="3" s="1"/>
  <c r="CQ29" i="3"/>
  <c r="DI29" i="3" s="1"/>
  <c r="CQ153" i="3"/>
  <c r="CP223" i="3"/>
  <c r="CR223" i="3" s="1"/>
  <c r="CQ183" i="3"/>
  <c r="DI183" i="3" s="1"/>
  <c r="CP127" i="3"/>
  <c r="CR127" i="3" s="1"/>
  <c r="BK282" i="3"/>
  <c r="CP126" i="3"/>
  <c r="CR126" i="3" s="1"/>
  <c r="BV282" i="3"/>
  <c r="CQ175" i="3"/>
  <c r="DI175" i="3" s="1"/>
  <c r="CQ160" i="3"/>
  <c r="DI160" i="3" s="1"/>
  <c r="CP137" i="3"/>
  <c r="CR137" i="3" s="1"/>
  <c r="CQ192" i="3"/>
  <c r="DI192" i="3" s="1"/>
  <c r="CQ178" i="3"/>
  <c r="DI178" i="3" s="1"/>
  <c r="CQ44" i="3"/>
  <c r="DI44" i="3" s="1"/>
  <c r="CQ168" i="3"/>
  <c r="DI168" i="3" s="1"/>
  <c r="CQ37" i="3"/>
  <c r="DI37" i="3" s="1"/>
  <c r="CQ47" i="3"/>
  <c r="CQ40" i="3"/>
  <c r="DI40" i="3" s="1"/>
  <c r="CQ64" i="3"/>
  <c r="DI64" i="3" s="1"/>
  <c r="CQ61" i="3"/>
  <c r="DI61" i="3" s="1"/>
  <c r="CQ163" i="3"/>
  <c r="DI163" i="3" s="1"/>
  <c r="CQ122" i="3"/>
  <c r="DI122" i="3" s="1"/>
  <c r="CQ121" i="3"/>
  <c r="DI121" i="3" s="1"/>
  <c r="CQ22" i="3"/>
  <c r="DI22" i="3" s="1"/>
  <c r="CQ165" i="3"/>
  <c r="DI165" i="3" s="1"/>
  <c r="CQ35" i="3"/>
  <c r="DI35" i="3" s="1"/>
  <c r="CQ16" i="3"/>
  <c r="DI16" i="3" s="1"/>
  <c r="CR8" i="3"/>
  <c r="CQ41" i="3"/>
  <c r="CQ143" i="3"/>
  <c r="DI143" i="3" s="1"/>
  <c r="CQ159" i="3"/>
  <c r="CQ34" i="3"/>
  <c r="DI34" i="3" s="1"/>
  <c r="CQ91" i="3"/>
  <c r="DI91" i="3" s="1"/>
  <c r="CQ110" i="3"/>
  <c r="CP209" i="3"/>
  <c r="CR209" i="3" s="1"/>
  <c r="CQ94" i="3"/>
  <c r="DI94" i="3" s="1"/>
  <c r="CQ32" i="3"/>
  <c r="CQ99" i="3"/>
  <c r="DI99" i="3" s="1"/>
  <c r="CQ176" i="3"/>
  <c r="CQ50" i="3"/>
  <c r="DI50" i="3" s="1"/>
  <c r="CP153" i="3"/>
  <c r="CQ19" i="3"/>
  <c r="DI19" i="3" s="1"/>
  <c r="CQ67" i="3"/>
  <c r="DI67" i="3" s="1"/>
  <c r="CQ74" i="3"/>
  <c r="DI74" i="3" s="1"/>
  <c r="BJ282" i="3"/>
  <c r="CQ182" i="3"/>
  <c r="DI182" i="3" s="1"/>
  <c r="CQ189" i="3"/>
  <c r="DI189" i="3" s="1"/>
  <c r="CQ87" i="3"/>
  <c r="DI87" i="3" s="1"/>
  <c r="CQ172" i="3"/>
  <c r="DI172" i="3" s="1"/>
  <c r="CQ149" i="3"/>
  <c r="CQ135" i="3"/>
  <c r="CQ33" i="3"/>
  <c r="DI33" i="3" s="1"/>
  <c r="CQ118" i="3"/>
  <c r="DI118" i="3" s="1"/>
  <c r="CQ117" i="3"/>
  <c r="DI117" i="3" s="1"/>
  <c r="CQ197" i="3"/>
  <c r="DI197" i="3" s="1"/>
  <c r="CQ53" i="3"/>
  <c r="DI53" i="3" s="1"/>
  <c r="CQ83" i="3"/>
  <c r="DI83" i="3" s="1"/>
  <c r="CQ111" i="3"/>
  <c r="CQ86" i="3"/>
  <c r="CQ58" i="3"/>
  <c r="DI58" i="3" s="1"/>
  <c r="CQ177" i="3"/>
  <c r="DI177" i="3" s="1"/>
  <c r="CQ98" i="3"/>
  <c r="DI98" i="3" s="1"/>
  <c r="CQ14" i="3"/>
  <c r="DI14" i="3" s="1"/>
  <c r="CQ275" i="3"/>
  <c r="DI275" i="3" s="1"/>
  <c r="CQ105" i="3"/>
  <c r="DI105" i="3" s="1"/>
  <c r="BW282" i="3"/>
  <c r="CQ191" i="3"/>
  <c r="CQ141" i="3"/>
  <c r="DI141" i="3" s="1"/>
  <c r="CQ112" i="3"/>
  <c r="DI112" i="3" s="1"/>
  <c r="CQ213" i="3"/>
  <c r="DI213" i="3" s="1"/>
  <c r="CQ144" i="3"/>
  <c r="DI144" i="3" s="1"/>
  <c r="CQ155" i="3"/>
  <c r="DI155" i="3" s="1"/>
  <c r="CQ198" i="3"/>
  <c r="DI198" i="3" s="1"/>
  <c r="CQ152" i="3"/>
  <c r="CQ15" i="3"/>
  <c r="CQ42" i="3"/>
  <c r="DI42" i="3" s="1"/>
  <c r="CQ65" i="3"/>
  <c r="DI65" i="3" s="1"/>
  <c r="CP98" i="3"/>
  <c r="CQ28" i="3"/>
  <c r="DI28" i="3" s="1"/>
  <c r="CQ72" i="3"/>
  <c r="DI72" i="3" s="1"/>
  <c r="CQ100" i="3"/>
  <c r="DI100" i="3" s="1"/>
  <c r="CQ140" i="3"/>
  <c r="DI140" i="3" s="1"/>
  <c r="CQ66" i="3"/>
  <c r="DI66" i="3" s="1"/>
  <c r="CQ84" i="3"/>
  <c r="DI84" i="3" s="1"/>
  <c r="CQ93" i="3"/>
  <c r="DI93" i="3" s="1"/>
  <c r="CQ109" i="3"/>
  <c r="DI109" i="3" s="1"/>
  <c r="CQ210" i="3"/>
  <c r="DI210" i="3" s="1"/>
  <c r="CQ221" i="3"/>
  <c r="DI221" i="3" s="1"/>
  <c r="CQ195" i="3"/>
  <c r="DI195" i="3" s="1"/>
  <c r="CQ73" i="3"/>
  <c r="DI73" i="3" s="1"/>
  <c r="CQ92" i="3"/>
  <c r="DI92" i="3" s="1"/>
  <c r="CQ97" i="3"/>
  <c r="DI97" i="3" s="1"/>
  <c r="CQ103" i="3"/>
  <c r="DI103" i="3" s="1"/>
  <c r="CQ119" i="3"/>
  <c r="DI119" i="3" s="1"/>
  <c r="CQ120" i="3"/>
  <c r="DI120" i="3" s="1"/>
  <c r="CQ106" i="3"/>
  <c r="DI106" i="3" s="1"/>
  <c r="CQ147" i="3"/>
  <c r="CQ156" i="3"/>
  <c r="DI156" i="3" s="1"/>
  <c r="CQ170" i="3"/>
  <c r="DI170" i="3" s="1"/>
  <c r="CQ184" i="3"/>
  <c r="CQ196" i="3"/>
  <c r="DI196" i="3" s="1"/>
  <c r="CQ203" i="3"/>
  <c r="DI203" i="3" s="1"/>
  <c r="CQ211" i="3"/>
  <c r="DI211" i="3" s="1"/>
  <c r="CQ224" i="3"/>
  <c r="DI224" i="3" s="1"/>
  <c r="CQ218" i="3"/>
  <c r="DI218" i="3" s="1"/>
  <c r="CQ181" i="3"/>
  <c r="CQ138" i="3"/>
  <c r="DI138" i="3" s="1"/>
  <c r="CQ151" i="3"/>
  <c r="DI151" i="3" s="1"/>
  <c r="CQ148" i="3"/>
  <c r="DI148" i="3" s="1"/>
  <c r="CQ12" i="3"/>
  <c r="DI12" i="3" s="1"/>
  <c r="CQ68" i="3"/>
  <c r="DI68" i="3" s="1"/>
  <c r="CQ162" i="3"/>
  <c r="DI162" i="3" s="1"/>
  <c r="CQ169" i="3"/>
  <c r="DI169" i="3" s="1"/>
  <c r="CQ36" i="3"/>
  <c r="DI36" i="3" s="1"/>
  <c r="CQ18" i="3"/>
  <c r="DI18" i="3" s="1"/>
  <c r="CQ20" i="3"/>
  <c r="CQ43" i="3"/>
  <c r="DI43" i="3" s="1"/>
  <c r="CQ129" i="3"/>
  <c r="DI129" i="3" s="1"/>
  <c r="CQ188" i="3"/>
  <c r="CQ70" i="3"/>
  <c r="DI70" i="3" s="1"/>
  <c r="CQ186" i="3"/>
  <c r="DI186" i="3" s="1"/>
  <c r="CQ219" i="3"/>
  <c r="CQ55" i="3"/>
  <c r="CQ71" i="3"/>
  <c r="DI71" i="3" s="1"/>
  <c r="CQ88" i="3"/>
  <c r="CQ179" i="3"/>
  <c r="DI179" i="3" s="1"/>
  <c r="CR154" i="3"/>
  <c r="CR227" i="3"/>
  <c r="CR150" i="3"/>
  <c r="CR173" i="3"/>
  <c r="CR247" i="3"/>
  <c r="CR125" i="3"/>
  <c r="CR174" i="3"/>
  <c r="CR52" i="3"/>
  <c r="CR101" i="3"/>
  <c r="CR136" i="3"/>
  <c r="CR132" i="3"/>
  <c r="CR46" i="3"/>
  <c r="CR270" i="3"/>
  <c r="CR158" i="3"/>
  <c r="CR274" i="3"/>
  <c r="CR89" i="3"/>
  <c r="CR276" i="3"/>
  <c r="CR146" i="3"/>
  <c r="CR113" i="3"/>
  <c r="CR78" i="3"/>
  <c r="CR251" i="3"/>
  <c r="CR266" i="3"/>
  <c r="CR252" i="3"/>
  <c r="CR216" i="3"/>
  <c r="CR54" i="3"/>
  <c r="CR235" i="3"/>
  <c r="CR231" i="3"/>
  <c r="CR262" i="3"/>
  <c r="CR142" i="3"/>
  <c r="CR27" i="3"/>
  <c r="CR212" i="3"/>
  <c r="CR217" i="3"/>
  <c r="CR208" i="3"/>
  <c r="CR220" i="3"/>
  <c r="CR239" i="3"/>
  <c r="CR81" i="3"/>
  <c r="CR278" i="3"/>
  <c r="CR38" i="3"/>
  <c r="CR48" i="3"/>
  <c r="CR204" i="3"/>
  <c r="CR190" i="3"/>
  <c r="CR258" i="3"/>
  <c r="CR268" i="3"/>
  <c r="CR243" i="3"/>
  <c r="CR21" i="3"/>
  <c r="CR62" i="3"/>
  <c r="CR167" i="3"/>
  <c r="CR200" i="3"/>
  <c r="CR264" i="3"/>
  <c r="CR85" i="3"/>
  <c r="CR272" i="3"/>
  <c r="CR280" i="3"/>
  <c r="CR157" i="3"/>
  <c r="CR185" i="3"/>
  <c r="CR206" i="3"/>
  <c r="CR233" i="3"/>
  <c r="CR265" i="3"/>
  <c r="CR254" i="3"/>
  <c r="CR253" i="3"/>
  <c r="CR166" i="3"/>
  <c r="CR199" i="3"/>
  <c r="CR193" i="3"/>
  <c r="CR237" i="3"/>
  <c r="CR201" i="3"/>
  <c r="CR230" i="3"/>
  <c r="CR257" i="3"/>
  <c r="CR244" i="3"/>
  <c r="CR240" i="3"/>
  <c r="CR255" i="3"/>
  <c r="CR271" i="3"/>
  <c r="CR180" i="3"/>
  <c r="CR187" i="3"/>
  <c r="CR161" i="3"/>
  <c r="CR249" i="3"/>
  <c r="CR222" i="3"/>
  <c r="CR281" i="3"/>
  <c r="CR226" i="3"/>
  <c r="CR214" i="3"/>
  <c r="CR215" i="3"/>
  <c r="CR205" i="3"/>
  <c r="CR225" i="3"/>
  <c r="CR241" i="3"/>
  <c r="CR246" i="3"/>
  <c r="CR261" i="3"/>
  <c r="CR269" i="3"/>
  <c r="CR277" i="3"/>
  <c r="CR236" i="3"/>
  <c r="CR234" i="3"/>
  <c r="CR242" i="3"/>
  <c r="CR263" i="3"/>
  <c r="CR139" i="3"/>
  <c r="CR238" i="3"/>
  <c r="CR273" i="3"/>
  <c r="CR228" i="3"/>
  <c r="CR267" i="3"/>
  <c r="CR279" i="3"/>
  <c r="CR248" i="3"/>
  <c r="CR145" i="3"/>
  <c r="CR171" i="3"/>
  <c r="CR164" i="3"/>
  <c r="CR202" i="3"/>
  <c r="CR207" i="3"/>
  <c r="CR229" i="3"/>
  <c r="CR245" i="3"/>
  <c r="CR256" i="3"/>
  <c r="CR260" i="3"/>
  <c r="CR250" i="3"/>
  <c r="CR259" i="3"/>
  <c r="CR232" i="3"/>
  <c r="CR80" i="3"/>
  <c r="CR96" i="3"/>
  <c r="CR75" i="3"/>
  <c r="CR134" i="3"/>
  <c r="CR108" i="3"/>
  <c r="CR124" i="3"/>
  <c r="CR51" i="3"/>
  <c r="CR49" i="3"/>
  <c r="CR45" i="3"/>
  <c r="CR69" i="3"/>
  <c r="CR25" i="3"/>
  <c r="CR57" i="3"/>
  <c r="CR115" i="3"/>
  <c r="CR63" i="3"/>
  <c r="CR79" i="3"/>
  <c r="CR104" i="3"/>
  <c r="CR131" i="3"/>
  <c r="CR130" i="3"/>
  <c r="CR116" i="3"/>
  <c r="CR30" i="3"/>
  <c r="CR56" i="3"/>
  <c r="CR60" i="3"/>
  <c r="CR76" i="3"/>
  <c r="CR77" i="3"/>
  <c r="CR90" i="3"/>
  <c r="CR114" i="3"/>
  <c r="CR128" i="3"/>
  <c r="CR133" i="3"/>
  <c r="CR24" i="3"/>
  <c r="CR31" i="3"/>
  <c r="CR39" i="3"/>
  <c r="CR26" i="3"/>
  <c r="CR95" i="3"/>
  <c r="CR82" i="3"/>
  <c r="CR107" i="3"/>
  <c r="CR102" i="3"/>
  <c r="CR59" i="3"/>
  <c r="CR17" i="3"/>
  <c r="CR6" i="3"/>
  <c r="CR9" i="3"/>
  <c r="CR7" i="3"/>
  <c r="CR13" i="3"/>
  <c r="CR23" i="3"/>
  <c r="CU30" i="3" l="1"/>
  <c r="CW30" i="3" s="1"/>
  <c r="CX248" i="3"/>
  <c r="CZ248" i="3" s="1"/>
  <c r="DD228" i="3"/>
  <c r="DF228" i="3" s="1"/>
  <c r="CX161" i="3"/>
  <c r="CZ161" i="3" s="1"/>
  <c r="CX90" i="3"/>
  <c r="CZ90" i="3" s="1"/>
  <c r="DD102" i="3"/>
  <c r="DF102" i="3" s="1"/>
  <c r="DA205" i="3"/>
  <c r="DC205" i="3" s="1"/>
  <c r="DD21" i="3"/>
  <c r="DF21" i="3" s="1"/>
  <c r="DA167" i="3"/>
  <c r="DC167" i="3" s="1"/>
  <c r="DA209" i="3"/>
  <c r="DC209" i="3" s="1"/>
  <c r="CX273" i="3"/>
  <c r="CZ273" i="3" s="1"/>
  <c r="CU115" i="3"/>
  <c r="CW115" i="3" s="1"/>
  <c r="CX125" i="3"/>
  <c r="CZ125" i="3" s="1"/>
  <c r="CU280" i="3"/>
  <c r="CW280" i="3" s="1"/>
  <c r="DD229" i="3"/>
  <c r="DF229" i="3" s="1"/>
  <c r="DD95" i="3"/>
  <c r="DF95" i="3" s="1"/>
  <c r="DD69" i="3"/>
  <c r="DF69" i="3" s="1"/>
  <c r="DD161" i="3"/>
  <c r="DF161" i="3" s="1"/>
  <c r="CU90" i="3"/>
  <c r="CW90" i="3" s="1"/>
  <c r="DD13" i="3"/>
  <c r="DF13" i="3" s="1"/>
  <c r="DD132" i="3"/>
  <c r="DF132" i="3" s="1"/>
  <c r="DA273" i="3"/>
  <c r="DC273" i="3" s="1"/>
  <c r="DD185" i="3"/>
  <c r="DF185" i="3" s="1"/>
  <c r="CU133" i="3"/>
  <c r="CW133" i="3" s="1"/>
  <c r="CU76" i="3"/>
  <c r="CW76" i="3" s="1"/>
  <c r="CU243" i="3"/>
  <c r="CW243" i="3" s="1"/>
  <c r="CU255" i="3"/>
  <c r="CW255" i="3" s="1"/>
  <c r="DD222" i="3"/>
  <c r="DF222" i="3" s="1"/>
  <c r="DD130" i="3"/>
  <c r="DF130" i="3" s="1"/>
  <c r="CU39" i="3"/>
  <c r="CW39" i="3" s="1"/>
  <c r="CX193" i="3"/>
  <c r="CZ193" i="3" s="1"/>
  <c r="CU180" i="3"/>
  <c r="CW180" i="3" s="1"/>
  <c r="DA180" i="3"/>
  <c r="DC180" i="3" s="1"/>
  <c r="DA254" i="3"/>
  <c r="DC254" i="3" s="1"/>
  <c r="DD254" i="3"/>
  <c r="DF254" i="3" s="1"/>
  <c r="CU102" i="3"/>
  <c r="CW102" i="3" s="1"/>
  <c r="CU139" i="3"/>
  <c r="CW139" i="3" s="1"/>
  <c r="CU27" i="3"/>
  <c r="CW27" i="3" s="1"/>
  <c r="DA69" i="3"/>
  <c r="DC69" i="3" s="1"/>
  <c r="DA248" i="3"/>
  <c r="DC248" i="3" s="1"/>
  <c r="DA271" i="3"/>
  <c r="DC271" i="3" s="1"/>
  <c r="DA277" i="3"/>
  <c r="DC277" i="3" s="1"/>
  <c r="DA161" i="3"/>
  <c r="DC161" i="3" s="1"/>
  <c r="CU75" i="3"/>
  <c r="CW75" i="3" s="1"/>
  <c r="CU8" i="3"/>
  <c r="CW8" i="3" s="1"/>
  <c r="DD212" i="3"/>
  <c r="DF212" i="3" s="1"/>
  <c r="DD193" i="3"/>
  <c r="DF193" i="3" s="1"/>
  <c r="DA102" i="3"/>
  <c r="DC102" i="3" s="1"/>
  <c r="DA13" i="3"/>
  <c r="DC13" i="3" s="1"/>
  <c r="CU132" i="3"/>
  <c r="CW132" i="3" s="1"/>
  <c r="DD274" i="3"/>
  <c r="DF274" i="3" s="1"/>
  <c r="CX85" i="3"/>
  <c r="CZ85" i="3" s="1"/>
  <c r="DD167" i="3"/>
  <c r="DF167" i="3" s="1"/>
  <c r="CU209" i="3"/>
  <c r="CW209" i="3" s="1"/>
  <c r="CX256" i="3"/>
  <c r="CZ256" i="3" s="1"/>
  <c r="CX249" i="3"/>
  <c r="CZ249" i="3" s="1"/>
  <c r="CU185" i="3"/>
  <c r="CW185" i="3" s="1"/>
  <c r="CX115" i="3"/>
  <c r="CZ115" i="3" s="1"/>
  <c r="CU125" i="3"/>
  <c r="CW125" i="3" s="1"/>
  <c r="DD76" i="3"/>
  <c r="DF76" i="3" s="1"/>
  <c r="DD280" i="3"/>
  <c r="DF280" i="3" s="1"/>
  <c r="CX200" i="3"/>
  <c r="CZ200" i="3" s="1"/>
  <c r="DA255" i="3"/>
  <c r="DC255" i="3" s="1"/>
  <c r="CU222" i="3"/>
  <c r="CW222" i="3" s="1"/>
  <c r="CX130" i="3"/>
  <c r="CZ130" i="3" s="1"/>
  <c r="DD104" i="3"/>
  <c r="DF104" i="3" s="1"/>
  <c r="DA39" i="3"/>
  <c r="DC39" i="3" s="1"/>
  <c r="DD239" i="3"/>
  <c r="DF239" i="3" s="1"/>
  <c r="CX27" i="3"/>
  <c r="CZ27" i="3" s="1"/>
  <c r="CU69" i="3"/>
  <c r="CW69" i="3" s="1"/>
  <c r="CX258" i="3"/>
  <c r="CZ258" i="3" s="1"/>
  <c r="DD248" i="3"/>
  <c r="DF248" i="3" s="1"/>
  <c r="CX228" i="3"/>
  <c r="CZ228" i="3" s="1"/>
  <c r="CX277" i="3"/>
  <c r="CZ277" i="3" s="1"/>
  <c r="DA237" i="3"/>
  <c r="DC237" i="3" s="1"/>
  <c r="CU59" i="3"/>
  <c r="CW59" i="3" s="1"/>
  <c r="CX75" i="3"/>
  <c r="CZ75" i="3" s="1"/>
  <c r="DD90" i="3"/>
  <c r="DF90" i="3" s="1"/>
  <c r="CU212" i="3"/>
  <c r="CW212" i="3" s="1"/>
  <c r="CU239" i="3"/>
  <c r="CW239" i="3" s="1"/>
  <c r="DA193" i="3"/>
  <c r="DC193" i="3" s="1"/>
  <c r="DD180" i="3"/>
  <c r="DF180" i="3" s="1"/>
  <c r="CU9" i="3"/>
  <c r="CW9" i="3" s="1"/>
  <c r="CX13" i="3"/>
  <c r="CZ13" i="3" s="1"/>
  <c r="DD205" i="3"/>
  <c r="DF205" i="3" s="1"/>
  <c r="CX274" i="3"/>
  <c r="CZ274" i="3" s="1"/>
  <c r="CX21" i="3"/>
  <c r="CZ21" i="3" s="1"/>
  <c r="CX209" i="3"/>
  <c r="CZ209" i="3" s="1"/>
  <c r="CX185" i="3"/>
  <c r="CZ185" i="3" s="1"/>
  <c r="DD133" i="3"/>
  <c r="DF133" i="3" s="1"/>
  <c r="DD125" i="3"/>
  <c r="DF125" i="3" s="1"/>
  <c r="DA154" i="3"/>
  <c r="DC154" i="3" s="1"/>
  <c r="DA280" i="3"/>
  <c r="DC280" i="3" s="1"/>
  <c r="DD243" i="3"/>
  <c r="DF243" i="3" s="1"/>
  <c r="DD200" i="3"/>
  <c r="DF200" i="3" s="1"/>
  <c r="DA222" i="3"/>
  <c r="DC222" i="3" s="1"/>
  <c r="DA229" i="3"/>
  <c r="DC229" i="3" s="1"/>
  <c r="CX104" i="3"/>
  <c r="CZ104" i="3" s="1"/>
  <c r="DA95" i="3"/>
  <c r="DC95" i="3" s="1"/>
  <c r="DD39" i="3"/>
  <c r="DF39" i="3" s="1"/>
  <c r="DA234" i="3"/>
  <c r="DC234" i="3" s="1"/>
  <c r="CU234" i="3"/>
  <c r="CW234" i="3" s="1"/>
  <c r="CX234" i="3"/>
  <c r="CZ234" i="3" s="1"/>
  <c r="CX233" i="3"/>
  <c r="CZ233" i="3" s="1"/>
  <c r="CU233" i="3"/>
  <c r="CW233" i="3" s="1"/>
  <c r="CU232" i="3"/>
  <c r="CW232" i="3" s="1"/>
  <c r="DA232" i="3"/>
  <c r="DC232" i="3" s="1"/>
  <c r="DD232" i="3"/>
  <c r="DF232" i="3" s="1"/>
  <c r="DA239" i="3"/>
  <c r="DC239" i="3" s="1"/>
  <c r="CU254" i="3"/>
  <c r="CW254" i="3" s="1"/>
  <c r="DA250" i="3"/>
  <c r="DC250" i="3" s="1"/>
  <c r="DD139" i="3"/>
  <c r="DF139" i="3" s="1"/>
  <c r="CU77" i="3"/>
  <c r="CW77" i="3" s="1"/>
  <c r="DA31" i="3"/>
  <c r="DC31" i="3" s="1"/>
  <c r="CU89" i="3"/>
  <c r="CW89" i="3" s="1"/>
  <c r="DA49" i="3"/>
  <c r="DC49" i="3" s="1"/>
  <c r="DD113" i="3"/>
  <c r="DF113" i="3" s="1"/>
  <c r="DD77" i="3"/>
  <c r="DF77" i="3" s="1"/>
  <c r="DA279" i="3"/>
  <c r="DC279" i="3" s="1"/>
  <c r="CX57" i="3"/>
  <c r="CZ57" i="3" s="1"/>
  <c r="CX201" i="3"/>
  <c r="CZ201" i="3" s="1"/>
  <c r="DA137" i="3"/>
  <c r="DC137" i="3" s="1"/>
  <c r="DD89" i="3"/>
  <c r="DF89" i="3" s="1"/>
  <c r="DA265" i="3"/>
  <c r="DC265" i="3" s="1"/>
  <c r="DD116" i="3"/>
  <c r="DF116" i="3" s="1"/>
  <c r="CU201" i="3"/>
  <c r="CW201" i="3" s="1"/>
  <c r="CX139" i="3"/>
  <c r="CZ139" i="3" s="1"/>
  <c r="DD49" i="3"/>
  <c r="DF49" i="3" s="1"/>
  <c r="DD57" i="3"/>
  <c r="DF57" i="3" s="1"/>
  <c r="DA89" i="3"/>
  <c r="DC89" i="3" s="1"/>
  <c r="DD225" i="3"/>
  <c r="DF225" i="3" s="1"/>
  <c r="CX77" i="3"/>
  <c r="CZ77" i="3" s="1"/>
  <c r="CX279" i="3"/>
  <c r="CZ279" i="3" s="1"/>
  <c r="DD201" i="3"/>
  <c r="DF201" i="3" s="1"/>
  <c r="CX49" i="3"/>
  <c r="CZ49" i="3" s="1"/>
  <c r="DD137" i="3"/>
  <c r="DF137" i="3" s="1"/>
  <c r="CX31" i="3"/>
  <c r="CZ31" i="3" s="1"/>
  <c r="DA113" i="3"/>
  <c r="DC113" i="3" s="1"/>
  <c r="CX265" i="3"/>
  <c r="CZ265" i="3" s="1"/>
  <c r="DA96" i="3"/>
  <c r="DC96" i="3" s="1"/>
  <c r="DA190" i="3"/>
  <c r="DC190" i="3" s="1"/>
  <c r="DD174" i="3"/>
  <c r="DF174" i="3" s="1"/>
  <c r="CU279" i="3"/>
  <c r="CW279" i="3" s="1"/>
  <c r="CX137" i="3"/>
  <c r="CZ137" i="3" s="1"/>
  <c r="DA57" i="3"/>
  <c r="DC57" i="3" s="1"/>
  <c r="DD31" i="3"/>
  <c r="DF31" i="3" s="1"/>
  <c r="CX113" i="3"/>
  <c r="CZ113" i="3" s="1"/>
  <c r="CX250" i="3"/>
  <c r="CZ250" i="3" s="1"/>
  <c r="CX225" i="3"/>
  <c r="CZ225" i="3" s="1"/>
  <c r="CU96" i="3"/>
  <c r="CW96" i="3" s="1"/>
  <c r="DA164" i="3"/>
  <c r="DC164" i="3" s="1"/>
  <c r="CU250" i="3"/>
  <c r="CW250" i="3" s="1"/>
  <c r="DD265" i="3"/>
  <c r="DF265" i="3" s="1"/>
  <c r="DA225" i="3"/>
  <c r="DC225" i="3" s="1"/>
  <c r="DD96" i="3"/>
  <c r="DF96" i="3" s="1"/>
  <c r="DD190" i="3"/>
  <c r="DF190" i="3" s="1"/>
  <c r="DD164" i="3"/>
  <c r="DF164" i="3" s="1"/>
  <c r="DA174" i="3"/>
  <c r="DC174" i="3" s="1"/>
  <c r="DA116" i="3"/>
  <c r="DC116" i="3" s="1"/>
  <c r="CX26" i="3"/>
  <c r="CZ26" i="3" s="1"/>
  <c r="DA157" i="3"/>
  <c r="DC157" i="3" s="1"/>
  <c r="DA131" i="3"/>
  <c r="DC131" i="3" s="1"/>
  <c r="DD26" i="3"/>
  <c r="DF26" i="3" s="1"/>
  <c r="DD157" i="3"/>
  <c r="DF157" i="3" s="1"/>
  <c r="DD131" i="3"/>
  <c r="DF131" i="3" s="1"/>
  <c r="DA206" i="3"/>
  <c r="DC206" i="3" s="1"/>
  <c r="DC230" i="3"/>
  <c r="DA6" i="3"/>
  <c r="DC6" i="3" s="1"/>
  <c r="DD257" i="3"/>
  <c r="DF257" i="3" s="1"/>
  <c r="DA24" i="3"/>
  <c r="DC24" i="3" s="1"/>
  <c r="CX253" i="3"/>
  <c r="CZ253" i="3" s="1"/>
  <c r="CX45" i="3"/>
  <c r="CZ45" i="3" s="1"/>
  <c r="DD206" i="3"/>
  <c r="DF206" i="3" s="1"/>
  <c r="DD230" i="3"/>
  <c r="DF230" i="3" s="1"/>
  <c r="DD6" i="3"/>
  <c r="DF6" i="3" s="1"/>
  <c r="DA257" i="3"/>
  <c r="DC257" i="3" s="1"/>
  <c r="DD24" i="3"/>
  <c r="DF24" i="3" s="1"/>
  <c r="DA253" i="3"/>
  <c r="DC253" i="3" s="1"/>
  <c r="DD45" i="3"/>
  <c r="DF45" i="3" s="1"/>
  <c r="DA79" i="3"/>
  <c r="DC79" i="3" s="1"/>
  <c r="DA252" i="3"/>
  <c r="DC252" i="3" s="1"/>
  <c r="DA260" i="3"/>
  <c r="DC260" i="3" s="1"/>
  <c r="DA199" i="3"/>
  <c r="DC199" i="3" s="1"/>
  <c r="DA246" i="3"/>
  <c r="DC246" i="3" s="1"/>
  <c r="CX227" i="3"/>
  <c r="CZ227" i="3" s="1"/>
  <c r="DA242" i="3"/>
  <c r="DC242" i="3" s="1"/>
  <c r="DA214" i="3"/>
  <c r="DC214" i="3" s="1"/>
  <c r="DA114" i="3"/>
  <c r="DC114" i="3" s="1"/>
  <c r="DA262" i="3"/>
  <c r="DC262" i="3" s="1"/>
  <c r="CX80" i="3"/>
  <c r="CZ80" i="3" s="1"/>
  <c r="CX245" i="3"/>
  <c r="CZ245" i="3" s="1"/>
  <c r="DA60" i="3"/>
  <c r="DC60" i="3" s="1"/>
  <c r="DA235" i="3"/>
  <c r="DC235" i="3" s="1"/>
  <c r="DD79" i="3"/>
  <c r="DF79" i="3" s="1"/>
  <c r="DD252" i="3"/>
  <c r="DF252" i="3" s="1"/>
  <c r="DD260" i="3"/>
  <c r="DF260" i="3" s="1"/>
  <c r="DD199" i="3"/>
  <c r="DF199" i="3" s="1"/>
  <c r="DD246" i="3"/>
  <c r="DF246" i="3" s="1"/>
  <c r="DA227" i="3"/>
  <c r="DC227" i="3" s="1"/>
  <c r="DD242" i="3"/>
  <c r="DF242" i="3" s="1"/>
  <c r="DD214" i="3"/>
  <c r="DF214" i="3" s="1"/>
  <c r="DD114" i="3"/>
  <c r="DF114" i="3" s="1"/>
  <c r="DD262" i="3"/>
  <c r="DF262" i="3" s="1"/>
  <c r="DD80" i="3"/>
  <c r="DF80" i="3" s="1"/>
  <c r="DA245" i="3"/>
  <c r="DC245" i="3" s="1"/>
  <c r="DD60" i="3"/>
  <c r="DF60" i="3" s="1"/>
  <c r="DD235" i="3"/>
  <c r="DF235" i="3" s="1"/>
  <c r="DA126" i="3"/>
  <c r="DC126" i="3" s="1"/>
  <c r="DD126" i="3"/>
  <c r="DF126" i="3" s="1"/>
  <c r="DD247" i="3"/>
  <c r="DF247" i="3" s="1"/>
  <c r="DA247" i="3"/>
  <c r="DC247" i="3" s="1"/>
  <c r="DA124" i="3"/>
  <c r="DC124" i="3" s="1"/>
  <c r="DA82" i="3"/>
  <c r="DC82" i="3" s="1"/>
  <c r="DA145" i="3"/>
  <c r="DC145" i="3" s="1"/>
  <c r="DA173" i="3"/>
  <c r="DC173" i="3" s="1"/>
  <c r="DA226" i="3"/>
  <c r="DC226" i="3" s="1"/>
  <c r="CX261" i="3"/>
  <c r="CZ261" i="3" s="1"/>
  <c r="DD215" i="3"/>
  <c r="DF215" i="3" s="1"/>
  <c r="DA108" i="3"/>
  <c r="DC108" i="3" s="1"/>
  <c r="DD263" i="3"/>
  <c r="DF263" i="3" s="1"/>
  <c r="CX23" i="3"/>
  <c r="CZ23" i="3" s="1"/>
  <c r="CU48" i="3"/>
  <c r="CW48" i="3" s="1"/>
  <c r="CX208" i="3"/>
  <c r="CZ208" i="3" s="1"/>
  <c r="DA259" i="3"/>
  <c r="DC259" i="3" s="1"/>
  <c r="DA244" i="3"/>
  <c r="DC244" i="3" s="1"/>
  <c r="DA238" i="3"/>
  <c r="DC238" i="3" s="1"/>
  <c r="DA194" i="3"/>
  <c r="DC194" i="3" s="1"/>
  <c r="DA134" i="3"/>
  <c r="DC134" i="3" s="1"/>
  <c r="DA25" i="3"/>
  <c r="DC25" i="3" s="1"/>
  <c r="DA63" i="3"/>
  <c r="DC63" i="3" s="1"/>
  <c r="DD207" i="3"/>
  <c r="DF207" i="3" s="1"/>
  <c r="DA127" i="3"/>
  <c r="DC127" i="3" s="1"/>
  <c r="DA56" i="3"/>
  <c r="DC56" i="3" s="1"/>
  <c r="CX171" i="3"/>
  <c r="CZ171" i="3" s="1"/>
  <c r="CX264" i="3"/>
  <c r="CZ264" i="3" s="1"/>
  <c r="CX269" i="3"/>
  <c r="CZ269" i="3" s="1"/>
  <c r="CX128" i="3"/>
  <c r="CZ128" i="3" s="1"/>
  <c r="CX107" i="3"/>
  <c r="CZ107" i="3" s="1"/>
  <c r="CX7" i="3"/>
  <c r="CZ7" i="3" s="1"/>
  <c r="DA270" i="3"/>
  <c r="DC270" i="3" s="1"/>
  <c r="DD241" i="3"/>
  <c r="DF241" i="3" s="1"/>
  <c r="DD124" i="3"/>
  <c r="DF124" i="3" s="1"/>
  <c r="DD82" i="3"/>
  <c r="DF82" i="3" s="1"/>
  <c r="DD145" i="3"/>
  <c r="DF145" i="3" s="1"/>
  <c r="DD173" i="3"/>
  <c r="DF173" i="3" s="1"/>
  <c r="DD226" i="3"/>
  <c r="DF226" i="3" s="1"/>
  <c r="DA261" i="3"/>
  <c r="DC261" i="3" s="1"/>
  <c r="DA215" i="3"/>
  <c r="DC215" i="3" s="1"/>
  <c r="DD108" i="3"/>
  <c r="DF108" i="3" s="1"/>
  <c r="DA263" i="3"/>
  <c r="DC263" i="3" s="1"/>
  <c r="DD23" i="3"/>
  <c r="DF23" i="3" s="1"/>
  <c r="CX48" i="3"/>
  <c r="CZ48" i="3" s="1"/>
  <c r="DD208" i="3"/>
  <c r="DF208" i="3" s="1"/>
  <c r="DD259" i="3"/>
  <c r="DF259" i="3" s="1"/>
  <c r="DD244" i="3"/>
  <c r="DF244" i="3" s="1"/>
  <c r="DD238" i="3"/>
  <c r="DF238" i="3" s="1"/>
  <c r="DD194" i="3"/>
  <c r="DF194" i="3" s="1"/>
  <c r="DD134" i="3"/>
  <c r="DF134" i="3" s="1"/>
  <c r="DD25" i="3"/>
  <c r="DF25" i="3" s="1"/>
  <c r="DD63" i="3"/>
  <c r="DF63" i="3" s="1"/>
  <c r="DA207" i="3"/>
  <c r="DC207" i="3" s="1"/>
  <c r="DD127" i="3"/>
  <c r="DF127" i="3" s="1"/>
  <c r="DD56" i="3"/>
  <c r="DF56" i="3" s="1"/>
  <c r="DD171" i="3"/>
  <c r="DF171" i="3" s="1"/>
  <c r="DD264" i="3"/>
  <c r="DF264" i="3" s="1"/>
  <c r="DA269" i="3"/>
  <c r="DC269" i="3" s="1"/>
  <c r="DD128" i="3"/>
  <c r="DF128" i="3" s="1"/>
  <c r="DD107" i="3"/>
  <c r="DF107" i="3" s="1"/>
  <c r="DD7" i="3"/>
  <c r="DF7" i="3" s="1"/>
  <c r="DD270" i="3"/>
  <c r="DF270" i="3" s="1"/>
  <c r="DA241" i="3"/>
  <c r="DC241" i="3" s="1"/>
  <c r="DD281" i="3"/>
  <c r="DF281" i="3" s="1"/>
  <c r="DD217" i="3"/>
  <c r="DF217" i="3" s="1"/>
  <c r="CX202" i="3"/>
  <c r="CZ202" i="3" s="1"/>
  <c r="DD231" i="3"/>
  <c r="DF231" i="3" s="1"/>
  <c r="DA240" i="3"/>
  <c r="DC240" i="3" s="1"/>
  <c r="CX187" i="3"/>
  <c r="CZ187" i="3" s="1"/>
  <c r="DA281" i="3"/>
  <c r="DC281" i="3" s="1"/>
  <c r="DA217" i="3"/>
  <c r="DC217" i="3" s="1"/>
  <c r="DD202" i="3"/>
  <c r="DF202" i="3" s="1"/>
  <c r="DA231" i="3"/>
  <c r="DC231" i="3" s="1"/>
  <c r="CX240" i="3"/>
  <c r="CZ240" i="3" s="1"/>
  <c r="DD187" i="3"/>
  <c r="DF187" i="3" s="1"/>
  <c r="CZ24" i="3"/>
  <c r="DJ253" i="3"/>
  <c r="DK253" i="3"/>
  <c r="DJ71" i="3"/>
  <c r="DK71" i="3"/>
  <c r="DJ162" i="3"/>
  <c r="DK162" i="3"/>
  <c r="DJ224" i="3"/>
  <c r="DK224" i="3"/>
  <c r="CS184" i="3"/>
  <c r="CX184" i="3" s="1"/>
  <c r="CZ184" i="3" s="1"/>
  <c r="DI184" i="3"/>
  <c r="DJ97" i="3"/>
  <c r="DK97" i="3"/>
  <c r="DJ84" i="3"/>
  <c r="DK84" i="3"/>
  <c r="DJ42" i="3"/>
  <c r="DK42" i="3"/>
  <c r="DJ141" i="3"/>
  <c r="DK141" i="3"/>
  <c r="DJ53" i="3"/>
  <c r="DK53" i="3"/>
  <c r="DJ87" i="3"/>
  <c r="DK87" i="3"/>
  <c r="DJ50" i="3"/>
  <c r="DK50" i="3"/>
  <c r="DJ11" i="3"/>
  <c r="DK11" i="3"/>
  <c r="DJ217" i="3"/>
  <c r="DK217" i="3"/>
  <c r="DK202" i="3"/>
  <c r="DJ202" i="3"/>
  <c r="DJ231" i="3"/>
  <c r="DK231" i="3"/>
  <c r="DJ247" i="3"/>
  <c r="DK247" i="3"/>
  <c r="DJ263" i="3"/>
  <c r="DK263" i="3"/>
  <c r="DJ281" i="3"/>
  <c r="DK281" i="3"/>
  <c r="DJ241" i="3"/>
  <c r="DK241" i="3"/>
  <c r="DJ187" i="3"/>
  <c r="DK187" i="3"/>
  <c r="DJ116" i="3"/>
  <c r="DK116" i="3"/>
  <c r="DK80" i="3"/>
  <c r="DJ80" i="3"/>
  <c r="DJ260" i="3"/>
  <c r="DK260" i="3"/>
  <c r="DJ215" i="3"/>
  <c r="DK215" i="3"/>
  <c r="DK108" i="3"/>
  <c r="DJ108" i="3"/>
  <c r="DJ82" i="3"/>
  <c r="DK82" i="3"/>
  <c r="DJ252" i="3"/>
  <c r="DK252" i="3"/>
  <c r="DJ259" i="3"/>
  <c r="DK259" i="3"/>
  <c r="DJ238" i="3"/>
  <c r="DK238" i="3"/>
  <c r="DJ157" i="3"/>
  <c r="DK157" i="3"/>
  <c r="DJ25" i="3"/>
  <c r="DK25" i="3"/>
  <c r="DJ48" i="3"/>
  <c r="DK48" i="3"/>
  <c r="DJ264" i="3"/>
  <c r="DK264" i="3"/>
  <c r="DJ245" i="3"/>
  <c r="DK245" i="3"/>
  <c r="DJ131" i="3"/>
  <c r="DK131" i="3"/>
  <c r="DJ60" i="3"/>
  <c r="DK60" i="3"/>
  <c r="DJ63" i="3"/>
  <c r="DK63" i="3"/>
  <c r="DJ270" i="3"/>
  <c r="DK270" i="3"/>
  <c r="DJ226" i="3"/>
  <c r="DK226" i="3"/>
  <c r="DJ124" i="3"/>
  <c r="DK124" i="3"/>
  <c r="DJ145" i="3"/>
  <c r="DK145" i="3"/>
  <c r="DJ208" i="3"/>
  <c r="DK208" i="3"/>
  <c r="DJ257" i="3"/>
  <c r="DK257" i="3"/>
  <c r="DJ134" i="3"/>
  <c r="DK134" i="3"/>
  <c r="DJ6" i="3"/>
  <c r="DK6" i="3"/>
  <c r="DK179" i="3"/>
  <c r="DJ179" i="3"/>
  <c r="CS219" i="3"/>
  <c r="CU219" i="3" s="1"/>
  <c r="CW219" i="3" s="1"/>
  <c r="DI219" i="3"/>
  <c r="DJ129" i="3"/>
  <c r="DK129" i="3"/>
  <c r="DJ36" i="3"/>
  <c r="DK36" i="3"/>
  <c r="DJ12" i="3"/>
  <c r="DK12" i="3"/>
  <c r="CS181" i="3"/>
  <c r="CX181" i="3" s="1"/>
  <c r="CZ181" i="3" s="1"/>
  <c r="DI181" i="3"/>
  <c r="DJ203" i="3"/>
  <c r="DK203" i="3"/>
  <c r="DK156" i="3"/>
  <c r="DJ156" i="3"/>
  <c r="DK119" i="3"/>
  <c r="DJ119" i="3"/>
  <c r="DJ73" i="3"/>
  <c r="DK73" i="3"/>
  <c r="DJ109" i="3"/>
  <c r="DK109" i="3"/>
  <c r="DK140" i="3"/>
  <c r="DJ140" i="3"/>
  <c r="CS152" i="3"/>
  <c r="CU152" i="3" s="1"/>
  <c r="CW152" i="3" s="1"/>
  <c r="DI152" i="3"/>
  <c r="DK213" i="3"/>
  <c r="DJ213" i="3"/>
  <c r="DJ98" i="3"/>
  <c r="DK98" i="3"/>
  <c r="CS111" i="3"/>
  <c r="DA111" i="3" s="1"/>
  <c r="DC111" i="3" s="1"/>
  <c r="DI111" i="3"/>
  <c r="DJ117" i="3"/>
  <c r="DK117" i="3"/>
  <c r="CS149" i="3"/>
  <c r="CX149" i="3" s="1"/>
  <c r="CZ149" i="3" s="1"/>
  <c r="DI149" i="3"/>
  <c r="DK182" i="3"/>
  <c r="DJ182" i="3"/>
  <c r="DJ19" i="3"/>
  <c r="DK19" i="3"/>
  <c r="DK99" i="3"/>
  <c r="DJ99" i="3"/>
  <c r="CS110" i="3"/>
  <c r="DA110" i="3" s="1"/>
  <c r="DC110" i="3" s="1"/>
  <c r="DI110" i="3"/>
  <c r="DK143" i="3"/>
  <c r="DJ143" i="3"/>
  <c r="DJ35" i="3"/>
  <c r="DK35" i="3"/>
  <c r="DJ122" i="3"/>
  <c r="DK122" i="3"/>
  <c r="DJ40" i="3"/>
  <c r="DK40" i="3"/>
  <c r="DJ44" i="3"/>
  <c r="DK44" i="3"/>
  <c r="DK160" i="3"/>
  <c r="DJ160" i="3"/>
  <c r="CS153" i="3"/>
  <c r="CX153" i="3" s="1"/>
  <c r="CZ153" i="3" s="1"/>
  <c r="DI153" i="3"/>
  <c r="CU124" i="3"/>
  <c r="CW124" i="3" s="1"/>
  <c r="CX79" i="3"/>
  <c r="CZ79" i="3" s="1"/>
  <c r="CU82" i="3"/>
  <c r="CW82" i="3" s="1"/>
  <c r="CX206" i="3"/>
  <c r="CZ206" i="3" s="1"/>
  <c r="CU145" i="3"/>
  <c r="CW145" i="3" s="1"/>
  <c r="CX252" i="3"/>
  <c r="CZ252" i="3" s="1"/>
  <c r="CU173" i="3"/>
  <c r="CW173" i="3" s="1"/>
  <c r="CX190" i="3"/>
  <c r="CZ190" i="3" s="1"/>
  <c r="CU226" i="3"/>
  <c r="CW226" i="3" s="1"/>
  <c r="CX260" i="3"/>
  <c r="CZ260" i="3" s="1"/>
  <c r="CU261" i="3"/>
  <c r="CW261" i="3" s="1"/>
  <c r="CX230" i="3"/>
  <c r="CZ230" i="3" s="1"/>
  <c r="CX215" i="3"/>
  <c r="CZ215" i="3" s="1"/>
  <c r="CX199" i="3"/>
  <c r="CZ199" i="3" s="1"/>
  <c r="CU108" i="3"/>
  <c r="CW108" i="3" s="1"/>
  <c r="DA26" i="3"/>
  <c r="DC26" i="3" s="1"/>
  <c r="CX263" i="3"/>
  <c r="CZ263" i="3" s="1"/>
  <c r="CX246" i="3"/>
  <c r="CZ246" i="3" s="1"/>
  <c r="CU23" i="3"/>
  <c r="CW23" i="3" s="1"/>
  <c r="CX6" i="3"/>
  <c r="CZ6" i="3" s="1"/>
  <c r="DD48" i="3"/>
  <c r="DF48" i="3" s="1"/>
  <c r="DD227" i="3"/>
  <c r="DF227" i="3" s="1"/>
  <c r="DA208" i="3"/>
  <c r="DC208" i="3" s="1"/>
  <c r="CX174" i="3"/>
  <c r="CZ174" i="3" s="1"/>
  <c r="CU259" i="3"/>
  <c r="CW259" i="3" s="1"/>
  <c r="CU242" i="3"/>
  <c r="CW242" i="3" s="1"/>
  <c r="CU244" i="3"/>
  <c r="CW244" i="3" s="1"/>
  <c r="CU257" i="3"/>
  <c r="CW257" i="3" s="1"/>
  <c r="CX238" i="3"/>
  <c r="CZ238" i="3" s="1"/>
  <c r="CX214" i="3"/>
  <c r="CZ214" i="3" s="1"/>
  <c r="CU194" i="3"/>
  <c r="CW194" i="3" s="1"/>
  <c r="CU157" i="3"/>
  <c r="CW157" i="3" s="1"/>
  <c r="CX134" i="3"/>
  <c r="CZ134" i="3" s="1"/>
  <c r="CU114" i="3"/>
  <c r="CW114" i="3" s="1"/>
  <c r="CU25" i="3"/>
  <c r="CW25" i="3" s="1"/>
  <c r="CU24" i="3"/>
  <c r="CW24" i="3" s="1"/>
  <c r="CU63" i="3"/>
  <c r="CW63" i="3" s="1"/>
  <c r="CX262" i="3"/>
  <c r="CZ262" i="3" s="1"/>
  <c r="CU281" i="3"/>
  <c r="CW281" i="3" s="1"/>
  <c r="CX207" i="3"/>
  <c r="CZ207" i="3" s="1"/>
  <c r="CX164" i="3"/>
  <c r="CZ164" i="3" s="1"/>
  <c r="CX127" i="3"/>
  <c r="CZ127" i="3" s="1"/>
  <c r="DA80" i="3"/>
  <c r="DC80" i="3" s="1"/>
  <c r="CU56" i="3"/>
  <c r="CW56" i="3" s="1"/>
  <c r="CX217" i="3"/>
  <c r="CZ217" i="3" s="1"/>
  <c r="CX126" i="3"/>
  <c r="CZ126" i="3" s="1"/>
  <c r="DA202" i="3"/>
  <c r="DC202" i="3" s="1"/>
  <c r="DA171" i="3"/>
  <c r="DC171" i="3" s="1"/>
  <c r="CX231" i="3"/>
  <c r="CZ231" i="3" s="1"/>
  <c r="CX247" i="3"/>
  <c r="CZ247" i="3" s="1"/>
  <c r="CU264" i="3"/>
  <c r="CW264" i="3" s="1"/>
  <c r="CU253" i="3"/>
  <c r="CW253" i="3" s="1"/>
  <c r="CU269" i="3"/>
  <c r="CW269" i="3" s="1"/>
  <c r="DD245" i="3"/>
  <c r="DF245" i="3" s="1"/>
  <c r="DA128" i="3"/>
  <c r="DC128" i="3" s="1"/>
  <c r="CU131" i="3"/>
  <c r="CW131" i="3" s="1"/>
  <c r="DA107" i="3"/>
  <c r="DC107" i="3" s="1"/>
  <c r="CU60" i="3"/>
  <c r="CW60" i="3" s="1"/>
  <c r="CU7" i="3"/>
  <c r="CW7" i="3" s="1"/>
  <c r="CU45" i="3"/>
  <c r="CW45" i="3" s="1"/>
  <c r="CX270" i="3"/>
  <c r="CZ270" i="3" s="1"/>
  <c r="CU235" i="3"/>
  <c r="CW235" i="3" s="1"/>
  <c r="DD240" i="3"/>
  <c r="DF240" i="3" s="1"/>
  <c r="CU241" i="3"/>
  <c r="CW241" i="3" s="1"/>
  <c r="DA187" i="3"/>
  <c r="DC187" i="3" s="1"/>
  <c r="CX116" i="3"/>
  <c r="CZ116" i="3" s="1"/>
  <c r="DJ49" i="3"/>
  <c r="DK49" i="3"/>
  <c r="DJ137" i="3"/>
  <c r="DK137" i="3"/>
  <c r="DJ57" i="3"/>
  <c r="DK57" i="3"/>
  <c r="DJ31" i="3"/>
  <c r="DK31" i="3"/>
  <c r="DJ89" i="3"/>
  <c r="DK89" i="3"/>
  <c r="DJ113" i="3"/>
  <c r="DK113" i="3"/>
  <c r="DJ239" i="3"/>
  <c r="DK239" i="3"/>
  <c r="DJ279" i="3"/>
  <c r="DK279" i="3"/>
  <c r="DJ250" i="3"/>
  <c r="DK250" i="3"/>
  <c r="DJ254" i="3"/>
  <c r="DK254" i="3"/>
  <c r="DJ265" i="3"/>
  <c r="DK265" i="3"/>
  <c r="DJ201" i="3"/>
  <c r="DK201" i="3"/>
  <c r="DJ225" i="3"/>
  <c r="DK225" i="3"/>
  <c r="DJ193" i="3"/>
  <c r="DK193" i="3"/>
  <c r="DK180" i="3"/>
  <c r="DJ180" i="3"/>
  <c r="DK139" i="3"/>
  <c r="DJ139" i="3"/>
  <c r="DJ102" i="3"/>
  <c r="DK102" i="3"/>
  <c r="DJ96" i="3"/>
  <c r="DK96" i="3"/>
  <c r="DJ77" i="3"/>
  <c r="DK77" i="3"/>
  <c r="DJ9" i="3"/>
  <c r="DK9" i="3"/>
  <c r="DJ248" i="3"/>
  <c r="DK248" i="3"/>
  <c r="DJ228" i="3"/>
  <c r="DK228" i="3"/>
  <c r="DJ237" i="3"/>
  <c r="DK237" i="3"/>
  <c r="DJ161" i="3"/>
  <c r="DK161" i="3"/>
  <c r="DJ59" i="3"/>
  <c r="DK59" i="3"/>
  <c r="DJ90" i="3"/>
  <c r="DK90" i="3"/>
  <c r="DJ8" i="3"/>
  <c r="DK8" i="3"/>
  <c r="DJ30" i="3"/>
  <c r="DK30" i="3"/>
  <c r="DJ69" i="3"/>
  <c r="DK69" i="3"/>
  <c r="DJ21" i="3"/>
  <c r="DK21" i="3"/>
  <c r="DK167" i="3"/>
  <c r="DJ167" i="3"/>
  <c r="DJ232" i="3"/>
  <c r="DK232" i="3"/>
  <c r="DJ209" i="3"/>
  <c r="DK209" i="3"/>
  <c r="DJ273" i="3"/>
  <c r="DK273" i="3"/>
  <c r="DJ233" i="3"/>
  <c r="DK233" i="3"/>
  <c r="DJ185" i="3"/>
  <c r="DK185" i="3"/>
  <c r="DJ133" i="3"/>
  <c r="DK133" i="3"/>
  <c r="DK115" i="3"/>
  <c r="DJ115" i="3"/>
  <c r="DJ13" i="3"/>
  <c r="DK13" i="3"/>
  <c r="DJ205" i="3"/>
  <c r="DK205" i="3"/>
  <c r="DJ132" i="3"/>
  <c r="DK132" i="3"/>
  <c r="DJ274" i="3"/>
  <c r="DK274" i="3"/>
  <c r="DJ200" i="3"/>
  <c r="DK200" i="3"/>
  <c r="DJ255" i="3"/>
  <c r="DK255" i="3"/>
  <c r="DJ222" i="3"/>
  <c r="DK222" i="3"/>
  <c r="DJ229" i="3"/>
  <c r="DK229" i="3"/>
  <c r="DJ130" i="3"/>
  <c r="DK130" i="3"/>
  <c r="DJ104" i="3"/>
  <c r="DK104" i="3"/>
  <c r="DJ95" i="3"/>
  <c r="DK95" i="3"/>
  <c r="DJ39" i="3"/>
  <c r="DK39" i="3"/>
  <c r="DJ125" i="3"/>
  <c r="DK125" i="3"/>
  <c r="DJ76" i="3"/>
  <c r="DK76" i="3"/>
  <c r="DK204" i="3"/>
  <c r="DJ204" i="3"/>
  <c r="DJ154" i="3"/>
  <c r="DK154" i="3"/>
  <c r="DJ280" i="3"/>
  <c r="DK280" i="3"/>
  <c r="DJ212" i="3"/>
  <c r="DK212" i="3"/>
  <c r="DJ243" i="3"/>
  <c r="DK243" i="3"/>
  <c r="DJ258" i="3"/>
  <c r="DK258" i="3"/>
  <c r="DJ271" i="3"/>
  <c r="DK271" i="3"/>
  <c r="DJ277" i="3"/>
  <c r="DK277" i="3"/>
  <c r="DJ75" i="3"/>
  <c r="DK75" i="3"/>
  <c r="DJ27" i="3"/>
  <c r="DK27" i="3"/>
  <c r="DJ85" i="3"/>
  <c r="DK85" i="3"/>
  <c r="DJ267" i="3"/>
  <c r="DK267" i="3"/>
  <c r="DJ256" i="3"/>
  <c r="DK256" i="3"/>
  <c r="DJ249" i="3"/>
  <c r="DK249" i="3"/>
  <c r="DK166" i="3"/>
  <c r="DJ166" i="3"/>
  <c r="DJ51" i="3"/>
  <c r="DK51" i="3"/>
  <c r="DJ17" i="3"/>
  <c r="DK17" i="3"/>
  <c r="DJ234" i="3"/>
  <c r="DK234" i="3"/>
  <c r="DJ236" i="3"/>
  <c r="DK236" i="3"/>
  <c r="DJ70" i="3"/>
  <c r="DK70" i="3"/>
  <c r="CS20" i="3"/>
  <c r="DA20" i="3" s="1"/>
  <c r="DC20" i="3" s="1"/>
  <c r="DI20" i="3"/>
  <c r="DK151" i="3"/>
  <c r="DJ151" i="3"/>
  <c r="DJ106" i="3"/>
  <c r="DK106" i="3"/>
  <c r="DJ221" i="3"/>
  <c r="DK221" i="3"/>
  <c r="DK72" i="3"/>
  <c r="DJ72" i="3"/>
  <c r="DJ155" i="3"/>
  <c r="DK155" i="3"/>
  <c r="DJ275" i="3"/>
  <c r="DK275" i="3"/>
  <c r="DJ58" i="3"/>
  <c r="DK58" i="3"/>
  <c r="DJ33" i="3"/>
  <c r="DK33" i="3"/>
  <c r="DJ74" i="3"/>
  <c r="DK74" i="3"/>
  <c r="DJ94" i="3"/>
  <c r="DK94" i="3"/>
  <c r="DJ34" i="3"/>
  <c r="DK34" i="3"/>
  <c r="DJ22" i="3"/>
  <c r="DK22" i="3"/>
  <c r="DJ61" i="3"/>
  <c r="DK61" i="3"/>
  <c r="DJ37" i="3"/>
  <c r="DK37" i="3"/>
  <c r="DK192" i="3"/>
  <c r="DJ192" i="3"/>
  <c r="DK183" i="3"/>
  <c r="DJ183" i="3"/>
  <c r="DJ126" i="3"/>
  <c r="DK126" i="3"/>
  <c r="DK171" i="3"/>
  <c r="DJ171" i="3"/>
  <c r="DJ262" i="3"/>
  <c r="DK262" i="3"/>
  <c r="DJ240" i="3"/>
  <c r="DK240" i="3"/>
  <c r="DJ246" i="3"/>
  <c r="DK246" i="3"/>
  <c r="DK207" i="3"/>
  <c r="DJ207" i="3"/>
  <c r="DK164" i="3"/>
  <c r="DJ164" i="3"/>
  <c r="DK127" i="3"/>
  <c r="DJ127" i="3"/>
  <c r="DK56" i="3"/>
  <c r="DJ56" i="3"/>
  <c r="DJ23" i="3"/>
  <c r="DK23" i="3"/>
  <c r="DJ261" i="3"/>
  <c r="DK261" i="3"/>
  <c r="DK199" i="3"/>
  <c r="DJ199" i="3"/>
  <c r="DJ26" i="3"/>
  <c r="DK26" i="3"/>
  <c r="DK206" i="3"/>
  <c r="DJ206" i="3"/>
  <c r="DJ173" i="3"/>
  <c r="DK173" i="3"/>
  <c r="DK174" i="3"/>
  <c r="DJ174" i="3"/>
  <c r="DJ244" i="3"/>
  <c r="DK244" i="3"/>
  <c r="DJ214" i="3"/>
  <c r="DK214" i="3"/>
  <c r="DJ114" i="3"/>
  <c r="DK114" i="3"/>
  <c r="DJ227" i="3"/>
  <c r="DK227" i="3"/>
  <c r="DJ269" i="3"/>
  <c r="DK269" i="3"/>
  <c r="DK128" i="3"/>
  <c r="DJ128" i="3"/>
  <c r="DJ107" i="3"/>
  <c r="DK107" i="3"/>
  <c r="DJ7" i="3"/>
  <c r="DK7" i="3"/>
  <c r="DJ45" i="3"/>
  <c r="DK45" i="3"/>
  <c r="DJ235" i="3"/>
  <c r="DK235" i="3"/>
  <c r="DK190" i="3"/>
  <c r="DJ190" i="3"/>
  <c r="DJ230" i="3"/>
  <c r="DK230" i="3"/>
  <c r="DJ79" i="3"/>
  <c r="DK79" i="3"/>
  <c r="DJ242" i="3"/>
  <c r="DK242" i="3"/>
  <c r="DK194" i="3"/>
  <c r="DJ194" i="3"/>
  <c r="DJ24" i="3"/>
  <c r="DK24" i="3"/>
  <c r="CS55" i="3"/>
  <c r="DD55" i="3" s="1"/>
  <c r="DF55" i="3" s="1"/>
  <c r="DI55" i="3"/>
  <c r="CS188" i="3"/>
  <c r="DA188" i="3" s="1"/>
  <c r="DC188" i="3" s="1"/>
  <c r="DI188" i="3"/>
  <c r="DJ18" i="3"/>
  <c r="DK18" i="3"/>
  <c r="DJ68" i="3"/>
  <c r="DK68" i="3"/>
  <c r="DJ138" i="3"/>
  <c r="DK138" i="3"/>
  <c r="DK211" i="3"/>
  <c r="DJ211" i="3"/>
  <c r="DJ170" i="3"/>
  <c r="DK170" i="3"/>
  <c r="DJ120" i="3"/>
  <c r="DK120" i="3"/>
  <c r="DJ92" i="3"/>
  <c r="DK92" i="3"/>
  <c r="DK210" i="3"/>
  <c r="DJ210" i="3"/>
  <c r="DJ66" i="3"/>
  <c r="DK66" i="3"/>
  <c r="DJ28" i="3"/>
  <c r="DK28" i="3"/>
  <c r="CS15" i="3"/>
  <c r="CU15" i="3" s="1"/>
  <c r="CW15" i="3" s="1"/>
  <c r="DI15" i="3"/>
  <c r="DK144" i="3"/>
  <c r="DJ144" i="3"/>
  <c r="CS191" i="3"/>
  <c r="DD191" i="3" s="1"/>
  <c r="DF191" i="3" s="1"/>
  <c r="DI191" i="3"/>
  <c r="DJ14" i="3"/>
  <c r="DK14" i="3"/>
  <c r="CS86" i="3"/>
  <c r="DD86" i="3" s="1"/>
  <c r="DF86" i="3" s="1"/>
  <c r="DI86" i="3"/>
  <c r="DK197" i="3"/>
  <c r="DJ197" i="3"/>
  <c r="CS135" i="3"/>
  <c r="CU135" i="3" s="1"/>
  <c r="CW135" i="3" s="1"/>
  <c r="DI135" i="3"/>
  <c r="DJ189" i="3"/>
  <c r="DK189" i="3"/>
  <c r="DJ67" i="3"/>
  <c r="DK67" i="3"/>
  <c r="CS176" i="3"/>
  <c r="CX176" i="3" s="1"/>
  <c r="CZ176" i="3" s="1"/>
  <c r="DI176" i="3"/>
  <c r="CS159" i="3"/>
  <c r="DD159" i="3" s="1"/>
  <c r="DF159" i="3" s="1"/>
  <c r="DI159" i="3"/>
  <c r="DJ16" i="3"/>
  <c r="DK16" i="3"/>
  <c r="DJ121" i="3"/>
  <c r="DK121" i="3"/>
  <c r="DJ64" i="3"/>
  <c r="DK64" i="3"/>
  <c r="DJ168" i="3"/>
  <c r="DK168" i="3"/>
  <c r="CS10" i="3"/>
  <c r="DA10" i="3" s="1"/>
  <c r="DC10" i="3" s="1"/>
  <c r="DI10" i="3"/>
  <c r="CS88" i="3"/>
  <c r="CU88" i="3" s="1"/>
  <c r="CW88" i="3" s="1"/>
  <c r="DI88" i="3"/>
  <c r="DJ186" i="3"/>
  <c r="DK186" i="3"/>
  <c r="DJ43" i="3"/>
  <c r="DK43" i="3"/>
  <c r="DJ169" i="3"/>
  <c r="DK169" i="3"/>
  <c r="DJ148" i="3"/>
  <c r="DK148" i="3"/>
  <c r="DJ218" i="3"/>
  <c r="DK218" i="3"/>
  <c r="DK196" i="3"/>
  <c r="DJ196" i="3"/>
  <c r="CS147" i="3"/>
  <c r="CX147" i="3" s="1"/>
  <c r="CZ147" i="3" s="1"/>
  <c r="DI147" i="3"/>
  <c r="DK103" i="3"/>
  <c r="DJ103" i="3"/>
  <c r="DK195" i="3"/>
  <c r="DJ195" i="3"/>
  <c r="DJ93" i="3"/>
  <c r="DK93" i="3"/>
  <c r="DJ100" i="3"/>
  <c r="DK100" i="3"/>
  <c r="DJ65" i="3"/>
  <c r="DK65" i="3"/>
  <c r="DK198" i="3"/>
  <c r="DJ198" i="3"/>
  <c r="DJ112" i="3"/>
  <c r="DK112" i="3"/>
  <c r="DJ105" i="3"/>
  <c r="DK105" i="3"/>
  <c r="DJ177" i="3"/>
  <c r="DK177" i="3"/>
  <c r="DJ83" i="3"/>
  <c r="DK83" i="3"/>
  <c r="DJ118" i="3"/>
  <c r="DK118" i="3"/>
  <c r="DJ172" i="3"/>
  <c r="DK172" i="3"/>
  <c r="CS32" i="3"/>
  <c r="CX32" i="3" s="1"/>
  <c r="CZ32" i="3" s="1"/>
  <c r="DI32" i="3"/>
  <c r="DJ91" i="3"/>
  <c r="DK91" i="3"/>
  <c r="CS41" i="3"/>
  <c r="DA41" i="3" s="1"/>
  <c r="DC41" i="3" s="1"/>
  <c r="DI41" i="3"/>
  <c r="DK165" i="3"/>
  <c r="DJ165" i="3"/>
  <c r="DJ163" i="3"/>
  <c r="DK163" i="3"/>
  <c r="CS47" i="3"/>
  <c r="CU47" i="3" s="1"/>
  <c r="CW47" i="3" s="1"/>
  <c r="DI47" i="3"/>
  <c r="DK178" i="3"/>
  <c r="DJ178" i="3"/>
  <c r="DK175" i="3"/>
  <c r="DJ175" i="3"/>
  <c r="DJ29" i="3"/>
  <c r="DK29" i="3"/>
  <c r="DJ123" i="3"/>
  <c r="DK123" i="3"/>
  <c r="DD62" i="3"/>
  <c r="DF62" i="3" s="1"/>
  <c r="DA62" i="3"/>
  <c r="DC62" i="3" s="1"/>
  <c r="CX62" i="3"/>
  <c r="CZ62" i="3" s="1"/>
  <c r="CU62" i="3"/>
  <c r="CW62" i="3" s="1"/>
  <c r="DD101" i="3"/>
  <c r="DF101" i="3" s="1"/>
  <c r="CX101" i="3"/>
  <c r="CZ101" i="3" s="1"/>
  <c r="DA101" i="3"/>
  <c r="DC101" i="3" s="1"/>
  <c r="CU101" i="3"/>
  <c r="CW101" i="3" s="1"/>
  <c r="DD251" i="3"/>
  <c r="DF251" i="3" s="1"/>
  <c r="DA251" i="3"/>
  <c r="DC251" i="3" s="1"/>
  <c r="CX251" i="3"/>
  <c r="CZ251" i="3" s="1"/>
  <c r="CU251" i="3"/>
  <c r="CW251" i="3" s="1"/>
  <c r="CX272" i="3"/>
  <c r="CZ272" i="3" s="1"/>
  <c r="DA272" i="3"/>
  <c r="DC272" i="3" s="1"/>
  <c r="CU272" i="3"/>
  <c r="CW272" i="3" s="1"/>
  <c r="DD272" i="3"/>
  <c r="DF272" i="3" s="1"/>
  <c r="DD38" i="3"/>
  <c r="DF38" i="3" s="1"/>
  <c r="DA38" i="3"/>
  <c r="DC38" i="3" s="1"/>
  <c r="CU38" i="3"/>
  <c r="CW38" i="3" s="1"/>
  <c r="CX38" i="3"/>
  <c r="CZ38" i="3" s="1"/>
  <c r="DD158" i="3"/>
  <c r="DF158" i="3" s="1"/>
  <c r="DA158" i="3"/>
  <c r="DC158" i="3" s="1"/>
  <c r="CU158" i="3"/>
  <c r="CW158" i="3" s="1"/>
  <c r="CX158" i="3"/>
  <c r="CZ158" i="3" s="1"/>
  <c r="DD54" i="3"/>
  <c r="DF54" i="3" s="1"/>
  <c r="DA54" i="3"/>
  <c r="DC54" i="3" s="1"/>
  <c r="CU54" i="3"/>
  <c r="CW54" i="3" s="1"/>
  <c r="CX54" i="3"/>
  <c r="CZ54" i="3" s="1"/>
  <c r="DD81" i="3"/>
  <c r="DF81" i="3" s="1"/>
  <c r="DA81" i="3"/>
  <c r="DC81" i="3" s="1"/>
  <c r="CX81" i="3"/>
  <c r="CZ81" i="3" s="1"/>
  <c r="CU81" i="3"/>
  <c r="CW81" i="3" s="1"/>
  <c r="DA223" i="3"/>
  <c r="DC223" i="3" s="1"/>
  <c r="DD223" i="3"/>
  <c r="DF223" i="3" s="1"/>
  <c r="CU223" i="3"/>
  <c r="CW223" i="3" s="1"/>
  <c r="CX223" i="3"/>
  <c r="CZ223" i="3" s="1"/>
  <c r="DD78" i="3"/>
  <c r="DF78" i="3" s="1"/>
  <c r="DA78" i="3"/>
  <c r="DC78" i="3" s="1"/>
  <c r="CU78" i="3"/>
  <c r="CW78" i="3" s="1"/>
  <c r="CX78" i="3"/>
  <c r="CZ78" i="3" s="1"/>
  <c r="CR10" i="3"/>
  <c r="DD52" i="3"/>
  <c r="DF52" i="3" s="1"/>
  <c r="DA52" i="3"/>
  <c r="DC52" i="3" s="1"/>
  <c r="CX52" i="3"/>
  <c r="CZ52" i="3" s="1"/>
  <c r="CU52" i="3"/>
  <c r="CW52" i="3" s="1"/>
  <c r="DA266" i="3"/>
  <c r="DC266" i="3" s="1"/>
  <c r="CX266" i="3"/>
  <c r="CZ266" i="3" s="1"/>
  <c r="CU266" i="3"/>
  <c r="CW266" i="3" s="1"/>
  <c r="DD266" i="3"/>
  <c r="DF266" i="3" s="1"/>
  <c r="DD220" i="3"/>
  <c r="DF220" i="3" s="1"/>
  <c r="DA220" i="3"/>
  <c r="DC220" i="3" s="1"/>
  <c r="CU220" i="3"/>
  <c r="CW220" i="3" s="1"/>
  <c r="CX220" i="3"/>
  <c r="CZ220" i="3" s="1"/>
  <c r="DD276" i="3"/>
  <c r="DF276" i="3" s="1"/>
  <c r="DA276" i="3"/>
  <c r="DC276" i="3" s="1"/>
  <c r="CX276" i="3"/>
  <c r="CZ276" i="3" s="1"/>
  <c r="CU276" i="3"/>
  <c r="CW276" i="3" s="1"/>
  <c r="DD142" i="3"/>
  <c r="DF142" i="3" s="1"/>
  <c r="DA142" i="3"/>
  <c r="DC142" i="3" s="1"/>
  <c r="CU142" i="3"/>
  <c r="CW142" i="3" s="1"/>
  <c r="CX142" i="3"/>
  <c r="CZ142" i="3" s="1"/>
  <c r="DD216" i="3"/>
  <c r="DF216" i="3" s="1"/>
  <c r="DA216" i="3"/>
  <c r="DC216" i="3" s="1"/>
  <c r="CX216" i="3"/>
  <c r="CZ216" i="3" s="1"/>
  <c r="CU216" i="3"/>
  <c r="CW216" i="3" s="1"/>
  <c r="DD46" i="3"/>
  <c r="DF46" i="3" s="1"/>
  <c r="DA46" i="3"/>
  <c r="DC46" i="3" s="1"/>
  <c r="CU46" i="3"/>
  <c r="CW46" i="3" s="1"/>
  <c r="CX46" i="3"/>
  <c r="CZ46" i="3" s="1"/>
  <c r="DD268" i="3"/>
  <c r="DF268" i="3" s="1"/>
  <c r="CU268" i="3"/>
  <c r="CW268" i="3" s="1"/>
  <c r="CX268" i="3"/>
  <c r="CZ268" i="3" s="1"/>
  <c r="DA268" i="3"/>
  <c r="DC268" i="3" s="1"/>
  <c r="DD150" i="3"/>
  <c r="DF150" i="3" s="1"/>
  <c r="DA150" i="3"/>
  <c r="DC150" i="3" s="1"/>
  <c r="CU150" i="3"/>
  <c r="CW150" i="3" s="1"/>
  <c r="CX150" i="3"/>
  <c r="CZ150" i="3" s="1"/>
  <c r="DD278" i="3"/>
  <c r="DF278" i="3" s="1"/>
  <c r="DA278" i="3"/>
  <c r="DC278" i="3" s="1"/>
  <c r="CU278" i="3"/>
  <c r="CW278" i="3" s="1"/>
  <c r="CX278" i="3"/>
  <c r="CZ278" i="3" s="1"/>
  <c r="DD146" i="3"/>
  <c r="DF146" i="3" s="1"/>
  <c r="DA146" i="3"/>
  <c r="DC146" i="3" s="1"/>
  <c r="CX146" i="3"/>
  <c r="CZ146" i="3" s="1"/>
  <c r="CU146" i="3"/>
  <c r="CW146" i="3" s="1"/>
  <c r="DD136" i="3"/>
  <c r="DF136" i="3" s="1"/>
  <c r="DA136" i="3"/>
  <c r="DC136" i="3" s="1"/>
  <c r="CX136" i="3"/>
  <c r="CZ136" i="3" s="1"/>
  <c r="CU136" i="3"/>
  <c r="CW136" i="3" s="1"/>
  <c r="CR11" i="3"/>
  <c r="CS11" i="3"/>
  <c r="CR68" i="3"/>
  <c r="CS68" i="3"/>
  <c r="CS138" i="3"/>
  <c r="CS170" i="3"/>
  <c r="CS210" i="3"/>
  <c r="CR28" i="3"/>
  <c r="CS28" i="3"/>
  <c r="CS189" i="3"/>
  <c r="CR67" i="3"/>
  <c r="CS67" i="3"/>
  <c r="CS16" i="3"/>
  <c r="CS121" i="3"/>
  <c r="CS64" i="3"/>
  <c r="CS168" i="3"/>
  <c r="CS179" i="3"/>
  <c r="CS129" i="3"/>
  <c r="CS36" i="3"/>
  <c r="CR12" i="3"/>
  <c r="CS12" i="3"/>
  <c r="CS203" i="3"/>
  <c r="CS156" i="3"/>
  <c r="CR119" i="3"/>
  <c r="CS119" i="3"/>
  <c r="CR73" i="3"/>
  <c r="CS73" i="3"/>
  <c r="CS109" i="3"/>
  <c r="CS140" i="3"/>
  <c r="CS213" i="3"/>
  <c r="CS98" i="3"/>
  <c r="CS117" i="3"/>
  <c r="CS182" i="3"/>
  <c r="CS19" i="3"/>
  <c r="CS99" i="3"/>
  <c r="CS143" i="3"/>
  <c r="CS35" i="3"/>
  <c r="CS122" i="3"/>
  <c r="CR40" i="3"/>
  <c r="CS40" i="3"/>
  <c r="CS44" i="3"/>
  <c r="CS160" i="3"/>
  <c r="CR71" i="3"/>
  <c r="CS71" i="3"/>
  <c r="CS70" i="3"/>
  <c r="CS162" i="3"/>
  <c r="CS151" i="3"/>
  <c r="CS224" i="3"/>
  <c r="CR106" i="3"/>
  <c r="CS106" i="3"/>
  <c r="CS97" i="3"/>
  <c r="CS221" i="3"/>
  <c r="CR84" i="3"/>
  <c r="CS84" i="3"/>
  <c r="CS72" i="3"/>
  <c r="CR42" i="3"/>
  <c r="CS42" i="3"/>
  <c r="CR155" i="3"/>
  <c r="CS155" i="3"/>
  <c r="CR141" i="3"/>
  <c r="CS141" i="3"/>
  <c r="CR275" i="3"/>
  <c r="CS275" i="3"/>
  <c r="CS58" i="3"/>
  <c r="CR53" i="3"/>
  <c r="CS53" i="3"/>
  <c r="CS33" i="3"/>
  <c r="CS87" i="3"/>
  <c r="CS74" i="3"/>
  <c r="CS50" i="3"/>
  <c r="CS94" i="3"/>
  <c r="CR34" i="3"/>
  <c r="CS34" i="3"/>
  <c r="CR22" i="3"/>
  <c r="CS22" i="3"/>
  <c r="CR61" i="3"/>
  <c r="CS61" i="3"/>
  <c r="CR37" i="3"/>
  <c r="CS37" i="3"/>
  <c r="CS192" i="3"/>
  <c r="CR183" i="3"/>
  <c r="CS183" i="3"/>
  <c r="CS18" i="3"/>
  <c r="CR211" i="3"/>
  <c r="CS211" i="3"/>
  <c r="CS120" i="3"/>
  <c r="CS92" i="3"/>
  <c r="CS66" i="3"/>
  <c r="CS144" i="3"/>
  <c r="CS14" i="3"/>
  <c r="CR197" i="3"/>
  <c r="CS197" i="3"/>
  <c r="CS186" i="3"/>
  <c r="CS43" i="3"/>
  <c r="CS169" i="3"/>
  <c r="CS148" i="3"/>
  <c r="CS218" i="3"/>
  <c r="CR196" i="3"/>
  <c r="CS196" i="3"/>
  <c r="CS103" i="3"/>
  <c r="CS195" i="3"/>
  <c r="CR93" i="3"/>
  <c r="CS93" i="3"/>
  <c r="CS100" i="3"/>
  <c r="CS65" i="3"/>
  <c r="CR198" i="3"/>
  <c r="CS198" i="3"/>
  <c r="CS112" i="3"/>
  <c r="CS105" i="3"/>
  <c r="CR177" i="3"/>
  <c r="CS177" i="3"/>
  <c r="CS83" i="3"/>
  <c r="CS118" i="3"/>
  <c r="CR172" i="3"/>
  <c r="CS172" i="3"/>
  <c r="CS91" i="3"/>
  <c r="CS165" i="3"/>
  <c r="CS163" i="3"/>
  <c r="CS178" i="3"/>
  <c r="CR175" i="3"/>
  <c r="CS175" i="3"/>
  <c r="CR29" i="3"/>
  <c r="CS29" i="3"/>
  <c r="CR123" i="3"/>
  <c r="CS123" i="3"/>
  <c r="CR168" i="3"/>
  <c r="CR47" i="3"/>
  <c r="CR121" i="3"/>
  <c r="CR153" i="3"/>
  <c r="CR100" i="3"/>
  <c r="CR176" i="3"/>
  <c r="CP282" i="3"/>
  <c r="CR55" i="3"/>
  <c r="CR64" i="3"/>
  <c r="CR165" i="3"/>
  <c r="CR16" i="3"/>
  <c r="CR43" i="3"/>
  <c r="CR192" i="3"/>
  <c r="CR163" i="3"/>
  <c r="CR18" i="3"/>
  <c r="CR122" i="3"/>
  <c r="CR159" i="3"/>
  <c r="CR160" i="3"/>
  <c r="CR19" i="3"/>
  <c r="CR135" i="3"/>
  <c r="CR143" i="3"/>
  <c r="CR178" i="3"/>
  <c r="CR58" i="3"/>
  <c r="CR50" i="3"/>
  <c r="CR14" i="3"/>
  <c r="CR120" i="3"/>
  <c r="CR44" i="3"/>
  <c r="CR35" i="3"/>
  <c r="CR91" i="3"/>
  <c r="CR149" i="3"/>
  <c r="CR86" i="3"/>
  <c r="CR32" i="3"/>
  <c r="CR111" i="3"/>
  <c r="CR87" i="3"/>
  <c r="CR181" i="3"/>
  <c r="CR188" i="3"/>
  <c r="CR156" i="3"/>
  <c r="CR144" i="3"/>
  <c r="CR66" i="3"/>
  <c r="CR33" i="3"/>
  <c r="CR72" i="3"/>
  <c r="CR98" i="3"/>
  <c r="CR169" i="3"/>
  <c r="CR15" i="3"/>
  <c r="CR99" i="3"/>
  <c r="CR184" i="3"/>
  <c r="CR74" i="3"/>
  <c r="CR195" i="3"/>
  <c r="CR152" i="3"/>
  <c r="CR110" i="3"/>
  <c r="CR92" i="3"/>
  <c r="CR218" i="3"/>
  <c r="CR191" i="3"/>
  <c r="CR140" i="3"/>
  <c r="CR118" i="3"/>
  <c r="CR88" i="3"/>
  <c r="CR41" i="3"/>
  <c r="CR224" i="3"/>
  <c r="CR210" i="3"/>
  <c r="CR94" i="3"/>
  <c r="CR65" i="3"/>
  <c r="CR36" i="3"/>
  <c r="CR189" i="3"/>
  <c r="CR147" i="3"/>
  <c r="CQ282" i="3"/>
  <c r="CR186" i="3"/>
  <c r="CR129" i="3"/>
  <c r="CR213" i="3"/>
  <c r="CR182" i="3"/>
  <c r="CR117" i="3"/>
  <c r="CR151" i="3"/>
  <c r="CR105" i="3"/>
  <c r="CR112" i="3"/>
  <c r="CR162" i="3"/>
  <c r="CR83" i="3"/>
  <c r="CR170" i="3"/>
  <c r="CR221" i="3"/>
  <c r="CR109" i="3"/>
  <c r="CR103" i="3"/>
  <c r="CR138" i="3"/>
  <c r="CR20" i="3"/>
  <c r="CR203" i="3"/>
  <c r="CR70" i="3"/>
  <c r="CR179" i="3"/>
  <c r="CR148" i="3"/>
  <c r="CR97" i="3"/>
  <c r="CR219" i="3"/>
  <c r="CU191" i="3" l="1"/>
  <c r="CW191" i="3" s="1"/>
  <c r="DD188" i="3"/>
  <c r="DF188" i="3" s="1"/>
  <c r="DD135" i="3"/>
  <c r="DF135" i="3" s="1"/>
  <c r="DD176" i="3"/>
  <c r="DF176" i="3" s="1"/>
  <c r="CX159" i="3"/>
  <c r="CZ159" i="3" s="1"/>
  <c r="CU32" i="3"/>
  <c r="CW32" i="3" s="1"/>
  <c r="DD10" i="3"/>
  <c r="DF10" i="3" s="1"/>
  <c r="CX20" i="3"/>
  <c r="CZ20" i="3" s="1"/>
  <c r="DD32" i="3"/>
  <c r="DF32" i="3" s="1"/>
  <c r="CX41" i="3"/>
  <c r="CZ41" i="3" s="1"/>
  <c r="DD88" i="3"/>
  <c r="DF88" i="3" s="1"/>
  <c r="CU153" i="3"/>
  <c r="CW153" i="3" s="1"/>
  <c r="DD41" i="3"/>
  <c r="DF41" i="3" s="1"/>
  <c r="CX88" i="3"/>
  <c r="CZ88" i="3" s="1"/>
  <c r="DA153" i="3"/>
  <c r="DC153" i="3" s="1"/>
  <c r="CX191" i="3"/>
  <c r="CZ191" i="3" s="1"/>
  <c r="DD111" i="3"/>
  <c r="DF111" i="3" s="1"/>
  <c r="CX219" i="3"/>
  <c r="CZ219" i="3" s="1"/>
  <c r="CU188" i="3"/>
  <c r="CW188" i="3" s="1"/>
  <c r="CU10" i="3"/>
  <c r="CW10" i="3" s="1"/>
  <c r="DA176" i="3"/>
  <c r="DC176" i="3" s="1"/>
  <c r="CX188" i="3"/>
  <c r="CZ188" i="3" s="1"/>
  <c r="DD110" i="3"/>
  <c r="DF110" i="3" s="1"/>
  <c r="CX10" i="3"/>
  <c r="CZ10" i="3" s="1"/>
  <c r="CU176" i="3"/>
  <c r="CW176" i="3" s="1"/>
  <c r="DA149" i="3"/>
  <c r="DC149" i="3" s="1"/>
  <c r="DA181" i="3"/>
  <c r="DC181" i="3" s="1"/>
  <c r="CU159" i="3"/>
  <c r="CW159" i="3" s="1"/>
  <c r="DA47" i="3"/>
  <c r="DC47" i="3" s="1"/>
  <c r="DD149" i="3"/>
  <c r="DF149" i="3" s="1"/>
  <c r="DD181" i="3"/>
  <c r="DF181" i="3" s="1"/>
  <c r="CU110" i="3"/>
  <c r="CW110" i="3" s="1"/>
  <c r="CU111" i="3"/>
  <c r="CW111" i="3" s="1"/>
  <c r="DD219" i="3"/>
  <c r="DF219" i="3" s="1"/>
  <c r="DD184" i="3"/>
  <c r="DF184" i="3" s="1"/>
  <c r="CU41" i="3"/>
  <c r="CW41" i="3" s="1"/>
  <c r="DA32" i="3"/>
  <c r="DC32" i="3" s="1"/>
  <c r="DD147" i="3"/>
  <c r="DF147" i="3" s="1"/>
  <c r="DA88" i="3"/>
  <c r="DC88" i="3" s="1"/>
  <c r="CX110" i="3"/>
  <c r="CZ110" i="3" s="1"/>
  <c r="CU149" i="3"/>
  <c r="CW149" i="3" s="1"/>
  <c r="CX111" i="3"/>
  <c r="CZ111" i="3" s="1"/>
  <c r="CU181" i="3"/>
  <c r="CW181" i="3" s="1"/>
  <c r="DA219" i="3"/>
  <c r="DC219" i="3" s="1"/>
  <c r="DD20" i="3"/>
  <c r="DF20" i="3" s="1"/>
  <c r="DD47" i="3"/>
  <c r="DF47" i="3" s="1"/>
  <c r="DA15" i="3"/>
  <c r="DC15" i="3" s="1"/>
  <c r="CX152" i="3"/>
  <c r="CZ152" i="3" s="1"/>
  <c r="CX86" i="3"/>
  <c r="CZ86" i="3" s="1"/>
  <c r="CU55" i="3"/>
  <c r="CW55" i="3" s="1"/>
  <c r="DA184" i="3"/>
  <c r="DC184" i="3" s="1"/>
  <c r="DA135" i="3"/>
  <c r="DC135" i="3" s="1"/>
  <c r="DA147" i="3"/>
  <c r="DC147" i="3" s="1"/>
  <c r="CX15" i="3"/>
  <c r="CZ15" i="3" s="1"/>
  <c r="DA152" i="3"/>
  <c r="DC152" i="3" s="1"/>
  <c r="CU86" i="3"/>
  <c r="CW86" i="3" s="1"/>
  <c r="CX55" i="3"/>
  <c r="CZ55" i="3" s="1"/>
  <c r="DJ47" i="3"/>
  <c r="DK47" i="3"/>
  <c r="DK147" i="3"/>
  <c r="DJ147" i="3"/>
  <c r="DK159" i="3"/>
  <c r="DJ159" i="3"/>
  <c r="DK135" i="3"/>
  <c r="DJ135" i="3"/>
  <c r="DK191" i="3"/>
  <c r="DJ191" i="3"/>
  <c r="DK152" i="3"/>
  <c r="DJ152" i="3"/>
  <c r="CX47" i="3"/>
  <c r="CZ47" i="3" s="1"/>
  <c r="CU147" i="3"/>
  <c r="CW147" i="3" s="1"/>
  <c r="DD15" i="3"/>
  <c r="DF15" i="3" s="1"/>
  <c r="DD153" i="3"/>
  <c r="DF153" i="3" s="1"/>
  <c r="DD152" i="3"/>
  <c r="DF152" i="3" s="1"/>
  <c r="DA159" i="3"/>
  <c r="DC159" i="3" s="1"/>
  <c r="DA86" i="3"/>
  <c r="DC86" i="3" s="1"/>
  <c r="DA191" i="3"/>
  <c r="DC191" i="3" s="1"/>
  <c r="DA55" i="3"/>
  <c r="DC55" i="3" s="1"/>
  <c r="DJ41" i="3"/>
  <c r="DK41" i="3"/>
  <c r="DJ32" i="3"/>
  <c r="DK32" i="3"/>
  <c r="DK88" i="3"/>
  <c r="DJ88" i="3"/>
  <c r="DJ10" i="3"/>
  <c r="DK10" i="3"/>
  <c r="DJ176" i="3"/>
  <c r="DK176" i="3"/>
  <c r="DJ188" i="3"/>
  <c r="DK188" i="3"/>
  <c r="DJ110" i="3"/>
  <c r="DK110" i="3"/>
  <c r="DJ149" i="3"/>
  <c r="DK149" i="3"/>
  <c r="DK111" i="3"/>
  <c r="DJ111" i="3"/>
  <c r="DK181" i="3"/>
  <c r="DJ181" i="3"/>
  <c r="DJ219" i="3"/>
  <c r="DK219" i="3"/>
  <c r="DJ86" i="3"/>
  <c r="DK86" i="3"/>
  <c r="DJ15" i="3"/>
  <c r="DK15" i="3"/>
  <c r="DJ55" i="3"/>
  <c r="DK55" i="3"/>
  <c r="DJ20" i="3"/>
  <c r="DK20" i="3"/>
  <c r="DJ153" i="3"/>
  <c r="DK153" i="3"/>
  <c r="DJ184" i="3"/>
  <c r="DK184" i="3"/>
  <c r="CU184" i="3"/>
  <c r="CW184" i="3" s="1"/>
  <c r="CU20" i="3"/>
  <c r="CW20" i="3" s="1"/>
  <c r="CX135" i="3"/>
  <c r="CZ135" i="3" s="1"/>
  <c r="CX91" i="3"/>
  <c r="CZ91" i="3" s="1"/>
  <c r="CU91" i="3"/>
  <c r="CW91" i="3" s="1"/>
  <c r="DA91" i="3"/>
  <c r="DC91" i="3" s="1"/>
  <c r="DD91" i="3"/>
  <c r="DF91" i="3" s="1"/>
  <c r="DD177" i="3"/>
  <c r="DF177" i="3" s="1"/>
  <c r="DA177" i="3"/>
  <c r="DC177" i="3" s="1"/>
  <c r="CX177" i="3"/>
  <c r="CZ177" i="3" s="1"/>
  <c r="CU177" i="3"/>
  <c r="CW177" i="3" s="1"/>
  <c r="DD65" i="3"/>
  <c r="DF65" i="3" s="1"/>
  <c r="DA65" i="3"/>
  <c r="DC65" i="3" s="1"/>
  <c r="CX65" i="3"/>
  <c r="CZ65" i="3" s="1"/>
  <c r="CU65" i="3"/>
  <c r="CW65" i="3" s="1"/>
  <c r="DD103" i="3"/>
  <c r="DF103" i="3" s="1"/>
  <c r="DA103" i="3"/>
  <c r="DC103" i="3" s="1"/>
  <c r="CU103" i="3"/>
  <c r="CW103" i="3" s="1"/>
  <c r="CX103" i="3"/>
  <c r="CZ103" i="3" s="1"/>
  <c r="DD66" i="3"/>
  <c r="DF66" i="3" s="1"/>
  <c r="CX66" i="3"/>
  <c r="CZ66" i="3" s="1"/>
  <c r="DA66" i="3"/>
  <c r="DC66" i="3" s="1"/>
  <c r="CU66" i="3"/>
  <c r="CW66" i="3" s="1"/>
  <c r="DD18" i="3"/>
  <c r="DF18" i="3" s="1"/>
  <c r="CX18" i="3"/>
  <c r="CZ18" i="3" s="1"/>
  <c r="DA18" i="3"/>
  <c r="DC18" i="3" s="1"/>
  <c r="CU18" i="3"/>
  <c r="CW18" i="3" s="1"/>
  <c r="DD224" i="3"/>
  <c r="DF224" i="3" s="1"/>
  <c r="CX224" i="3"/>
  <c r="CZ224" i="3" s="1"/>
  <c r="CU224" i="3"/>
  <c r="CW224" i="3" s="1"/>
  <c r="DA224" i="3"/>
  <c r="DC224" i="3" s="1"/>
  <c r="DD162" i="3"/>
  <c r="DF162" i="3" s="1"/>
  <c r="DA162" i="3"/>
  <c r="DC162" i="3" s="1"/>
  <c r="CX162" i="3"/>
  <c r="CZ162" i="3" s="1"/>
  <c r="CU162" i="3"/>
  <c r="CW162" i="3" s="1"/>
  <c r="DD40" i="3"/>
  <c r="DF40" i="3" s="1"/>
  <c r="DA40" i="3"/>
  <c r="DC40" i="3" s="1"/>
  <c r="CU40" i="3"/>
  <c r="CW40" i="3" s="1"/>
  <c r="CX40" i="3"/>
  <c r="CZ40" i="3" s="1"/>
  <c r="DD109" i="3"/>
  <c r="DF109" i="3" s="1"/>
  <c r="DA109" i="3"/>
  <c r="DC109" i="3" s="1"/>
  <c r="CX109" i="3"/>
  <c r="CZ109" i="3" s="1"/>
  <c r="CU109" i="3"/>
  <c r="CW109" i="3" s="1"/>
  <c r="DD168" i="3"/>
  <c r="DF168" i="3" s="1"/>
  <c r="DA168" i="3"/>
  <c r="DC168" i="3" s="1"/>
  <c r="CX168" i="3"/>
  <c r="CZ168" i="3" s="1"/>
  <c r="CU168" i="3"/>
  <c r="CW168" i="3" s="1"/>
  <c r="DD123" i="3"/>
  <c r="DF123" i="3" s="1"/>
  <c r="CX123" i="3"/>
  <c r="CZ123" i="3" s="1"/>
  <c r="CU123" i="3"/>
  <c r="CW123" i="3" s="1"/>
  <c r="DA123" i="3"/>
  <c r="DC123" i="3" s="1"/>
  <c r="DD175" i="3"/>
  <c r="DF175" i="3" s="1"/>
  <c r="DA175" i="3"/>
  <c r="DC175" i="3" s="1"/>
  <c r="CU175" i="3"/>
  <c r="CW175" i="3" s="1"/>
  <c r="CX175" i="3"/>
  <c r="CZ175" i="3" s="1"/>
  <c r="DD163" i="3"/>
  <c r="DF163" i="3" s="1"/>
  <c r="DA163" i="3"/>
  <c r="DC163" i="3" s="1"/>
  <c r="CX163" i="3"/>
  <c r="CZ163" i="3" s="1"/>
  <c r="CU163" i="3"/>
  <c r="CW163" i="3" s="1"/>
  <c r="DD43" i="3"/>
  <c r="DF43" i="3" s="1"/>
  <c r="CU43" i="3"/>
  <c r="CW43" i="3" s="1"/>
  <c r="CX43" i="3"/>
  <c r="CZ43" i="3" s="1"/>
  <c r="DA43" i="3"/>
  <c r="DC43" i="3" s="1"/>
  <c r="DD192" i="3"/>
  <c r="DF192" i="3" s="1"/>
  <c r="CX192" i="3"/>
  <c r="CZ192" i="3" s="1"/>
  <c r="CU192" i="3"/>
  <c r="CW192" i="3" s="1"/>
  <c r="DA192" i="3"/>
  <c r="DC192" i="3" s="1"/>
  <c r="DD61" i="3"/>
  <c r="DF61" i="3" s="1"/>
  <c r="CX61" i="3"/>
  <c r="CZ61" i="3" s="1"/>
  <c r="DA61" i="3"/>
  <c r="DC61" i="3" s="1"/>
  <c r="CU61" i="3"/>
  <c r="CW61" i="3" s="1"/>
  <c r="DD34" i="3"/>
  <c r="DF34" i="3" s="1"/>
  <c r="CX34" i="3"/>
  <c r="CZ34" i="3" s="1"/>
  <c r="DA34" i="3"/>
  <c r="DC34" i="3" s="1"/>
  <c r="CU34" i="3"/>
  <c r="CW34" i="3" s="1"/>
  <c r="DD74" i="3"/>
  <c r="DF74" i="3" s="1"/>
  <c r="CX74" i="3"/>
  <c r="CZ74" i="3" s="1"/>
  <c r="CU74" i="3"/>
  <c r="CW74" i="3" s="1"/>
  <c r="DA74" i="3"/>
  <c r="DC74" i="3" s="1"/>
  <c r="DD33" i="3"/>
  <c r="DA33" i="3"/>
  <c r="CX33" i="3"/>
  <c r="CU33" i="3"/>
  <c r="CW33" i="3" s="1"/>
  <c r="DD58" i="3"/>
  <c r="DF58" i="3" s="1"/>
  <c r="CX58" i="3"/>
  <c r="CZ58" i="3" s="1"/>
  <c r="CU58" i="3"/>
  <c r="CW58" i="3" s="1"/>
  <c r="DA58" i="3"/>
  <c r="DC58" i="3" s="1"/>
  <c r="DD141" i="3"/>
  <c r="DF141" i="3" s="1"/>
  <c r="DA141" i="3"/>
  <c r="DC141" i="3" s="1"/>
  <c r="CX141" i="3"/>
  <c r="CZ141" i="3" s="1"/>
  <c r="CU141" i="3"/>
  <c r="CW141" i="3" s="1"/>
  <c r="DD42" i="3"/>
  <c r="DF42" i="3" s="1"/>
  <c r="CX42" i="3"/>
  <c r="CZ42" i="3" s="1"/>
  <c r="CU42" i="3"/>
  <c r="CW42" i="3" s="1"/>
  <c r="DA42" i="3"/>
  <c r="DC42" i="3" s="1"/>
  <c r="DD84" i="3"/>
  <c r="DF84" i="3" s="1"/>
  <c r="DA84" i="3"/>
  <c r="DC84" i="3" s="1"/>
  <c r="CU84" i="3"/>
  <c r="CW84" i="3" s="1"/>
  <c r="CX84" i="3"/>
  <c r="CZ84" i="3" s="1"/>
  <c r="DD143" i="3"/>
  <c r="DF143" i="3" s="1"/>
  <c r="DA143" i="3"/>
  <c r="DC143" i="3" s="1"/>
  <c r="CU143" i="3"/>
  <c r="CW143" i="3" s="1"/>
  <c r="CX143" i="3"/>
  <c r="CZ143" i="3" s="1"/>
  <c r="DD19" i="3"/>
  <c r="DF19" i="3" s="1"/>
  <c r="DA19" i="3"/>
  <c r="DC19" i="3" s="1"/>
  <c r="CU19" i="3"/>
  <c r="CW19" i="3" s="1"/>
  <c r="CX19" i="3"/>
  <c r="CZ19" i="3" s="1"/>
  <c r="DD117" i="3"/>
  <c r="DF117" i="3" s="1"/>
  <c r="CX117" i="3"/>
  <c r="CZ117" i="3" s="1"/>
  <c r="DA117" i="3"/>
  <c r="DC117" i="3" s="1"/>
  <c r="CU117" i="3"/>
  <c r="CW117" i="3" s="1"/>
  <c r="DD73" i="3"/>
  <c r="DF73" i="3" s="1"/>
  <c r="DA73" i="3"/>
  <c r="DC73" i="3" s="1"/>
  <c r="CX73" i="3"/>
  <c r="CZ73" i="3" s="1"/>
  <c r="CU73" i="3"/>
  <c r="CW73" i="3" s="1"/>
  <c r="DD156" i="3"/>
  <c r="DF156" i="3" s="1"/>
  <c r="DA156" i="3"/>
  <c r="DC156" i="3" s="1"/>
  <c r="CX156" i="3"/>
  <c r="CZ156" i="3" s="1"/>
  <c r="CU156" i="3"/>
  <c r="CW156" i="3" s="1"/>
  <c r="DD12" i="3"/>
  <c r="DF12" i="3" s="1"/>
  <c r="CX12" i="3"/>
  <c r="CZ12" i="3" s="1"/>
  <c r="DA12" i="3"/>
  <c r="DC12" i="3" s="1"/>
  <c r="CU12" i="3"/>
  <c r="CW12" i="3" s="1"/>
  <c r="DD129" i="3"/>
  <c r="DF129" i="3" s="1"/>
  <c r="DA129" i="3"/>
  <c r="DC129" i="3" s="1"/>
  <c r="CX129" i="3"/>
  <c r="CZ129" i="3" s="1"/>
  <c r="CU129" i="3"/>
  <c r="CW129" i="3" s="1"/>
  <c r="DD16" i="3"/>
  <c r="DF16" i="3" s="1"/>
  <c r="CX16" i="3"/>
  <c r="CZ16" i="3" s="1"/>
  <c r="CU16" i="3"/>
  <c r="CW16" i="3" s="1"/>
  <c r="DA16" i="3"/>
  <c r="DC16" i="3" s="1"/>
  <c r="DD189" i="3"/>
  <c r="DF189" i="3" s="1"/>
  <c r="DA189" i="3"/>
  <c r="DC189" i="3" s="1"/>
  <c r="CX189" i="3"/>
  <c r="CZ189" i="3" s="1"/>
  <c r="CU189" i="3"/>
  <c r="CW189" i="3" s="1"/>
  <c r="DD210" i="3"/>
  <c r="DF210" i="3" s="1"/>
  <c r="DA210" i="3"/>
  <c r="DC210" i="3" s="1"/>
  <c r="CX210" i="3"/>
  <c r="CZ210" i="3" s="1"/>
  <c r="CU210" i="3"/>
  <c r="CW210" i="3" s="1"/>
  <c r="DD138" i="3"/>
  <c r="DF138" i="3" s="1"/>
  <c r="CX138" i="3"/>
  <c r="CZ138" i="3" s="1"/>
  <c r="CU138" i="3"/>
  <c r="CW138" i="3" s="1"/>
  <c r="DA138" i="3"/>
  <c r="DC138" i="3" s="1"/>
  <c r="DD118" i="3"/>
  <c r="DF118" i="3" s="1"/>
  <c r="DA118" i="3"/>
  <c r="DC118" i="3" s="1"/>
  <c r="CU118" i="3"/>
  <c r="CW118" i="3" s="1"/>
  <c r="CX118" i="3"/>
  <c r="CZ118" i="3" s="1"/>
  <c r="DD112" i="3"/>
  <c r="DF112" i="3" s="1"/>
  <c r="CX112" i="3"/>
  <c r="CZ112" i="3" s="1"/>
  <c r="CU112" i="3"/>
  <c r="CW112" i="3" s="1"/>
  <c r="DA112" i="3"/>
  <c r="DC112" i="3" s="1"/>
  <c r="DD93" i="3"/>
  <c r="DF93" i="3" s="1"/>
  <c r="DA93" i="3"/>
  <c r="DC93" i="3" s="1"/>
  <c r="CX93" i="3"/>
  <c r="CZ93" i="3" s="1"/>
  <c r="CU93" i="3"/>
  <c r="CW93" i="3" s="1"/>
  <c r="DD218" i="3"/>
  <c r="DF218" i="3" s="1"/>
  <c r="CX218" i="3"/>
  <c r="CZ218" i="3" s="1"/>
  <c r="CU218" i="3"/>
  <c r="CW218" i="3" s="1"/>
  <c r="DA218" i="3"/>
  <c r="DC218" i="3" s="1"/>
  <c r="DD169" i="3"/>
  <c r="DF169" i="3" s="1"/>
  <c r="DA169" i="3"/>
  <c r="DC169" i="3" s="1"/>
  <c r="CU169" i="3"/>
  <c r="CW169" i="3" s="1"/>
  <c r="CX169" i="3"/>
  <c r="CZ169" i="3" s="1"/>
  <c r="DD14" i="3"/>
  <c r="DF14" i="3" s="1"/>
  <c r="DA14" i="3"/>
  <c r="DC14" i="3" s="1"/>
  <c r="CU14" i="3"/>
  <c r="CW14" i="3" s="1"/>
  <c r="CX14" i="3"/>
  <c r="CZ14" i="3" s="1"/>
  <c r="DD120" i="3"/>
  <c r="DF120" i="3" s="1"/>
  <c r="DA120" i="3"/>
  <c r="DC120" i="3" s="1"/>
  <c r="CX120" i="3"/>
  <c r="CZ120" i="3" s="1"/>
  <c r="CU120" i="3"/>
  <c r="CW120" i="3" s="1"/>
  <c r="DD50" i="3"/>
  <c r="DF50" i="3" s="1"/>
  <c r="CX50" i="3"/>
  <c r="CZ50" i="3" s="1"/>
  <c r="DA50" i="3"/>
  <c r="DC50" i="3" s="1"/>
  <c r="CU50" i="3"/>
  <c r="CW50" i="3" s="1"/>
  <c r="DD97" i="3"/>
  <c r="DF97" i="3" s="1"/>
  <c r="DA97" i="3"/>
  <c r="DC97" i="3" s="1"/>
  <c r="CX97" i="3"/>
  <c r="CZ97" i="3" s="1"/>
  <c r="CU97" i="3"/>
  <c r="CW97" i="3" s="1"/>
  <c r="DD71" i="3"/>
  <c r="DF71" i="3" s="1"/>
  <c r="DA71" i="3"/>
  <c r="DC71" i="3" s="1"/>
  <c r="CU71" i="3"/>
  <c r="CW71" i="3" s="1"/>
  <c r="CX71" i="3"/>
  <c r="CZ71" i="3" s="1"/>
  <c r="DD35" i="3"/>
  <c r="DF35" i="3" s="1"/>
  <c r="DA35" i="3"/>
  <c r="DC35" i="3" s="1"/>
  <c r="CU35" i="3"/>
  <c r="CW35" i="3" s="1"/>
  <c r="CX35" i="3"/>
  <c r="CZ35" i="3" s="1"/>
  <c r="DD213" i="3"/>
  <c r="DF213" i="3" s="1"/>
  <c r="CX213" i="3"/>
  <c r="CZ213" i="3" s="1"/>
  <c r="DA213" i="3"/>
  <c r="DC213" i="3" s="1"/>
  <c r="CU213" i="3"/>
  <c r="CW213" i="3" s="1"/>
  <c r="DD121" i="3"/>
  <c r="DF121" i="3" s="1"/>
  <c r="DA121" i="3"/>
  <c r="DC121" i="3" s="1"/>
  <c r="CU121" i="3"/>
  <c r="CW121" i="3" s="1"/>
  <c r="CX121" i="3"/>
  <c r="CZ121" i="3" s="1"/>
  <c r="DD165" i="3"/>
  <c r="DF165" i="3" s="1"/>
  <c r="CX165" i="3"/>
  <c r="CZ165" i="3" s="1"/>
  <c r="DA165" i="3"/>
  <c r="DC165" i="3" s="1"/>
  <c r="CU165" i="3"/>
  <c r="CW165" i="3" s="1"/>
  <c r="DD172" i="3"/>
  <c r="DF172" i="3" s="1"/>
  <c r="DA172" i="3"/>
  <c r="DC172" i="3" s="1"/>
  <c r="CX172" i="3"/>
  <c r="CZ172" i="3" s="1"/>
  <c r="CU172" i="3"/>
  <c r="CW172" i="3" s="1"/>
  <c r="DD83" i="3"/>
  <c r="DF83" i="3" s="1"/>
  <c r="DA83" i="3"/>
  <c r="DC83" i="3" s="1"/>
  <c r="CX83" i="3"/>
  <c r="CZ83" i="3" s="1"/>
  <c r="CU83" i="3"/>
  <c r="CW83" i="3" s="1"/>
  <c r="DD105" i="3"/>
  <c r="DF105" i="3" s="1"/>
  <c r="DA105" i="3"/>
  <c r="DC105" i="3" s="1"/>
  <c r="CX105" i="3"/>
  <c r="CZ105" i="3" s="1"/>
  <c r="CU105" i="3"/>
  <c r="CW105" i="3" s="1"/>
  <c r="DD198" i="3"/>
  <c r="DF198" i="3" s="1"/>
  <c r="DA198" i="3"/>
  <c r="DC198" i="3" s="1"/>
  <c r="CU198" i="3"/>
  <c r="CW198" i="3" s="1"/>
  <c r="CX198" i="3"/>
  <c r="CZ198" i="3" s="1"/>
  <c r="DD100" i="3"/>
  <c r="DF100" i="3" s="1"/>
  <c r="DA100" i="3"/>
  <c r="DC100" i="3" s="1"/>
  <c r="CU100" i="3"/>
  <c r="CW100" i="3" s="1"/>
  <c r="CX100" i="3"/>
  <c r="CZ100" i="3" s="1"/>
  <c r="DD195" i="3"/>
  <c r="DF195" i="3" s="1"/>
  <c r="DA195" i="3"/>
  <c r="DC195" i="3" s="1"/>
  <c r="CX195" i="3"/>
  <c r="CZ195" i="3" s="1"/>
  <c r="CU195" i="3"/>
  <c r="CW195" i="3" s="1"/>
  <c r="DD196" i="3"/>
  <c r="DF196" i="3" s="1"/>
  <c r="DA196" i="3"/>
  <c r="DC196" i="3" s="1"/>
  <c r="CU196" i="3"/>
  <c r="CW196" i="3" s="1"/>
  <c r="CX196" i="3"/>
  <c r="CZ196" i="3" s="1"/>
  <c r="DD148" i="3"/>
  <c r="DF148" i="3" s="1"/>
  <c r="DA148" i="3"/>
  <c r="DC148" i="3" s="1"/>
  <c r="CU148" i="3"/>
  <c r="CW148" i="3" s="1"/>
  <c r="CX148" i="3"/>
  <c r="CZ148" i="3" s="1"/>
  <c r="DD197" i="3"/>
  <c r="DF197" i="3" s="1"/>
  <c r="CX197" i="3"/>
  <c r="CZ197" i="3" s="1"/>
  <c r="DA197" i="3"/>
  <c r="DC197" i="3" s="1"/>
  <c r="CU197" i="3"/>
  <c r="CW197" i="3" s="1"/>
  <c r="DD144" i="3"/>
  <c r="DF144" i="3" s="1"/>
  <c r="CX144" i="3"/>
  <c r="CZ144" i="3" s="1"/>
  <c r="CU144" i="3"/>
  <c r="CW144" i="3" s="1"/>
  <c r="DA144" i="3"/>
  <c r="DC144" i="3" s="1"/>
  <c r="DD92" i="3"/>
  <c r="DF92" i="3" s="1"/>
  <c r="DA92" i="3"/>
  <c r="DC92" i="3" s="1"/>
  <c r="CX92" i="3"/>
  <c r="CZ92" i="3" s="1"/>
  <c r="CU92" i="3"/>
  <c r="CW92" i="3" s="1"/>
  <c r="DA211" i="3"/>
  <c r="DC211" i="3" s="1"/>
  <c r="CX211" i="3"/>
  <c r="CZ211" i="3" s="1"/>
  <c r="CU211" i="3"/>
  <c r="CW211" i="3" s="1"/>
  <c r="DD211" i="3"/>
  <c r="DF211" i="3" s="1"/>
  <c r="DD106" i="3"/>
  <c r="DF106" i="3" s="1"/>
  <c r="CX106" i="3"/>
  <c r="CZ106" i="3" s="1"/>
  <c r="CU106" i="3"/>
  <c r="CW106" i="3" s="1"/>
  <c r="DA106" i="3"/>
  <c r="DC106" i="3" s="1"/>
  <c r="DD151" i="3"/>
  <c r="DF151" i="3" s="1"/>
  <c r="DA151" i="3"/>
  <c r="DC151" i="3" s="1"/>
  <c r="CU151" i="3"/>
  <c r="CW151" i="3" s="1"/>
  <c r="CX151" i="3"/>
  <c r="CZ151" i="3" s="1"/>
  <c r="DD70" i="3"/>
  <c r="DF70" i="3" s="1"/>
  <c r="DA70" i="3"/>
  <c r="DC70" i="3" s="1"/>
  <c r="CU70" i="3"/>
  <c r="CW70" i="3" s="1"/>
  <c r="CX70" i="3"/>
  <c r="CZ70" i="3" s="1"/>
  <c r="DD160" i="3"/>
  <c r="DF160" i="3" s="1"/>
  <c r="CX160" i="3"/>
  <c r="CZ160" i="3" s="1"/>
  <c r="CU160" i="3"/>
  <c r="CW160" i="3" s="1"/>
  <c r="DA160" i="3"/>
  <c r="DC160" i="3" s="1"/>
  <c r="DD122" i="3"/>
  <c r="DF122" i="3" s="1"/>
  <c r="CX122" i="3"/>
  <c r="CZ122" i="3" s="1"/>
  <c r="CU122" i="3"/>
  <c r="CW122" i="3" s="1"/>
  <c r="DA122" i="3"/>
  <c r="DC122" i="3" s="1"/>
  <c r="DD98" i="3"/>
  <c r="DF98" i="3" s="1"/>
  <c r="DA98" i="3"/>
  <c r="DC98" i="3" s="1"/>
  <c r="CX98" i="3"/>
  <c r="CZ98" i="3" s="1"/>
  <c r="CU98" i="3"/>
  <c r="CW98" i="3" s="1"/>
  <c r="DD140" i="3"/>
  <c r="DF140" i="3" s="1"/>
  <c r="DA140" i="3"/>
  <c r="DC140" i="3" s="1"/>
  <c r="CX140" i="3"/>
  <c r="CZ140" i="3" s="1"/>
  <c r="CU140" i="3"/>
  <c r="CW140" i="3" s="1"/>
  <c r="DD64" i="3"/>
  <c r="DF64" i="3" s="1"/>
  <c r="CX64" i="3"/>
  <c r="CZ64" i="3" s="1"/>
  <c r="CU64" i="3"/>
  <c r="CW64" i="3" s="1"/>
  <c r="DA64" i="3"/>
  <c r="DC64" i="3" s="1"/>
  <c r="DD11" i="3"/>
  <c r="DF11" i="3" s="1"/>
  <c r="CX11" i="3"/>
  <c r="CZ11" i="3" s="1"/>
  <c r="CU11" i="3"/>
  <c r="DA11" i="3"/>
  <c r="DC11" i="3" s="1"/>
  <c r="DD29" i="3"/>
  <c r="DF29" i="3" s="1"/>
  <c r="CX29" i="3"/>
  <c r="CZ29" i="3" s="1"/>
  <c r="DA29" i="3"/>
  <c r="DC29" i="3" s="1"/>
  <c r="CU29" i="3"/>
  <c r="CW29" i="3" s="1"/>
  <c r="DD178" i="3"/>
  <c r="DF178" i="3" s="1"/>
  <c r="DA178" i="3"/>
  <c r="DC178" i="3" s="1"/>
  <c r="CX178" i="3"/>
  <c r="CZ178" i="3" s="1"/>
  <c r="CU178" i="3"/>
  <c r="CW178" i="3" s="1"/>
  <c r="DD186" i="3"/>
  <c r="DF186" i="3" s="1"/>
  <c r="CX186" i="3"/>
  <c r="CZ186" i="3" s="1"/>
  <c r="CU186" i="3"/>
  <c r="CW186" i="3" s="1"/>
  <c r="DA186" i="3"/>
  <c r="DC186" i="3" s="1"/>
  <c r="DD183" i="3"/>
  <c r="DF183" i="3" s="1"/>
  <c r="DA183" i="3"/>
  <c r="DC183" i="3" s="1"/>
  <c r="CU183" i="3"/>
  <c r="CW183" i="3" s="1"/>
  <c r="CX183" i="3"/>
  <c r="CZ183" i="3" s="1"/>
  <c r="DD37" i="3"/>
  <c r="DF37" i="3" s="1"/>
  <c r="CX37" i="3"/>
  <c r="CZ37" i="3" s="1"/>
  <c r="DA37" i="3"/>
  <c r="DC37" i="3" s="1"/>
  <c r="CU37" i="3"/>
  <c r="CW37" i="3" s="1"/>
  <c r="DD22" i="3"/>
  <c r="DF22" i="3" s="1"/>
  <c r="DA22" i="3"/>
  <c r="DC22" i="3" s="1"/>
  <c r="CU22" i="3"/>
  <c r="CW22" i="3" s="1"/>
  <c r="CX22" i="3"/>
  <c r="CZ22" i="3" s="1"/>
  <c r="DD94" i="3"/>
  <c r="DF94" i="3" s="1"/>
  <c r="DA94" i="3"/>
  <c r="DC94" i="3" s="1"/>
  <c r="CU94" i="3"/>
  <c r="CW94" i="3" s="1"/>
  <c r="CX94" i="3"/>
  <c r="CZ94" i="3" s="1"/>
  <c r="DD87" i="3"/>
  <c r="DF87" i="3" s="1"/>
  <c r="DA87" i="3"/>
  <c r="DC87" i="3" s="1"/>
  <c r="CU87" i="3"/>
  <c r="CW87" i="3" s="1"/>
  <c r="CX87" i="3"/>
  <c r="CZ87" i="3" s="1"/>
  <c r="DD53" i="3"/>
  <c r="DF53" i="3" s="1"/>
  <c r="CX53" i="3"/>
  <c r="CZ53" i="3" s="1"/>
  <c r="DA53" i="3"/>
  <c r="DC53" i="3" s="1"/>
  <c r="CU53" i="3"/>
  <c r="CW53" i="3" s="1"/>
  <c r="DD275" i="3"/>
  <c r="DF275" i="3" s="1"/>
  <c r="DA275" i="3"/>
  <c r="DC275" i="3" s="1"/>
  <c r="CX275" i="3"/>
  <c r="CZ275" i="3" s="1"/>
  <c r="CU275" i="3"/>
  <c r="CW275" i="3" s="1"/>
  <c r="DD155" i="3"/>
  <c r="DF155" i="3" s="1"/>
  <c r="CX155" i="3"/>
  <c r="CZ155" i="3" s="1"/>
  <c r="CU155" i="3"/>
  <c r="CW155" i="3" s="1"/>
  <c r="DA155" i="3"/>
  <c r="DC155" i="3" s="1"/>
  <c r="DD72" i="3"/>
  <c r="DF72" i="3" s="1"/>
  <c r="DA72" i="3"/>
  <c r="DC72" i="3" s="1"/>
  <c r="CX72" i="3"/>
  <c r="CZ72" i="3" s="1"/>
  <c r="CU72" i="3"/>
  <c r="CW72" i="3" s="1"/>
  <c r="DD221" i="3"/>
  <c r="DF221" i="3" s="1"/>
  <c r="DA221" i="3"/>
  <c r="DC221" i="3" s="1"/>
  <c r="CX221" i="3"/>
  <c r="CZ221" i="3" s="1"/>
  <c r="CU221" i="3"/>
  <c r="CW221" i="3" s="1"/>
  <c r="DD44" i="3"/>
  <c r="DF44" i="3" s="1"/>
  <c r="DA44" i="3"/>
  <c r="DC44" i="3" s="1"/>
  <c r="CX44" i="3"/>
  <c r="CZ44" i="3" s="1"/>
  <c r="CU44" i="3"/>
  <c r="CW44" i="3" s="1"/>
  <c r="DD99" i="3"/>
  <c r="DF99" i="3" s="1"/>
  <c r="DA99" i="3"/>
  <c r="DC99" i="3" s="1"/>
  <c r="CX99" i="3"/>
  <c r="CZ99" i="3" s="1"/>
  <c r="CU99" i="3"/>
  <c r="CW99" i="3" s="1"/>
  <c r="DD182" i="3"/>
  <c r="DF182" i="3" s="1"/>
  <c r="DA182" i="3"/>
  <c r="DC182" i="3" s="1"/>
  <c r="CU182" i="3"/>
  <c r="CW182" i="3" s="1"/>
  <c r="CX182" i="3"/>
  <c r="CZ182" i="3" s="1"/>
  <c r="DD119" i="3"/>
  <c r="DF119" i="3" s="1"/>
  <c r="DA119" i="3"/>
  <c r="DC119" i="3" s="1"/>
  <c r="CU119" i="3"/>
  <c r="CW119" i="3" s="1"/>
  <c r="CX119" i="3"/>
  <c r="CZ119" i="3" s="1"/>
  <c r="DD203" i="3"/>
  <c r="DF203" i="3" s="1"/>
  <c r="CX203" i="3"/>
  <c r="CZ203" i="3" s="1"/>
  <c r="CU203" i="3"/>
  <c r="CW203" i="3" s="1"/>
  <c r="DA203" i="3"/>
  <c r="DC203" i="3" s="1"/>
  <c r="DD36" i="3"/>
  <c r="DF36" i="3" s="1"/>
  <c r="CX36" i="3"/>
  <c r="CZ36" i="3" s="1"/>
  <c r="DA36" i="3"/>
  <c r="DC36" i="3" s="1"/>
  <c r="CU36" i="3"/>
  <c r="CW36" i="3" s="1"/>
  <c r="DD179" i="3"/>
  <c r="DF179" i="3" s="1"/>
  <c r="DA179" i="3"/>
  <c r="DC179" i="3" s="1"/>
  <c r="CX179" i="3"/>
  <c r="CZ179" i="3" s="1"/>
  <c r="CU179" i="3"/>
  <c r="CW179" i="3" s="1"/>
  <c r="DD67" i="3"/>
  <c r="DF67" i="3" s="1"/>
  <c r="DA67" i="3"/>
  <c r="DC67" i="3" s="1"/>
  <c r="CX67" i="3"/>
  <c r="CZ67" i="3" s="1"/>
  <c r="CU67" i="3"/>
  <c r="CW67" i="3" s="1"/>
  <c r="DD28" i="3"/>
  <c r="DF28" i="3" s="1"/>
  <c r="CX28" i="3"/>
  <c r="CZ28" i="3" s="1"/>
  <c r="DA28" i="3"/>
  <c r="DC28" i="3" s="1"/>
  <c r="CU28" i="3"/>
  <c r="CW28" i="3" s="1"/>
  <c r="DD170" i="3"/>
  <c r="DF170" i="3" s="1"/>
  <c r="CX170" i="3"/>
  <c r="CZ170" i="3" s="1"/>
  <c r="CU170" i="3"/>
  <c r="CW170" i="3" s="1"/>
  <c r="DA170" i="3"/>
  <c r="DC170" i="3" s="1"/>
  <c r="DD68" i="3"/>
  <c r="DF68" i="3" s="1"/>
  <c r="DA68" i="3"/>
  <c r="DC68" i="3" s="1"/>
  <c r="CX68" i="3"/>
  <c r="CZ68" i="3" s="1"/>
  <c r="CU68" i="3"/>
  <c r="CW68" i="3" s="1"/>
  <c r="DI282" i="3"/>
  <c r="CS282" i="3"/>
  <c r="DF33" i="3" l="1"/>
  <c r="DD282" i="3"/>
  <c r="CZ33" i="3"/>
  <c r="CX282" i="3"/>
  <c r="DC33" i="3"/>
  <c r="DA282" i="3"/>
  <c r="CW11" i="3"/>
  <c r="CU282" i="3"/>
  <c r="DK282" i="3"/>
  <c r="AF24" i="3" l="1"/>
  <c r="AG24" i="3"/>
  <c r="AF25" i="3"/>
  <c r="AG25" i="3"/>
  <c r="AF26" i="3"/>
  <c r="AG26" i="3"/>
  <c r="AF27" i="3"/>
  <c r="AG27" i="3"/>
  <c r="AF28" i="3"/>
  <c r="AG28" i="3"/>
  <c r="AF29" i="3"/>
  <c r="AG29" i="3"/>
  <c r="AF30" i="3"/>
  <c r="AG30" i="3"/>
  <c r="AF31" i="3"/>
  <c r="AG31" i="3"/>
  <c r="AF32" i="3"/>
  <c r="AG32" i="3"/>
  <c r="AF33" i="3"/>
  <c r="AG33" i="3"/>
  <c r="AF34" i="3"/>
  <c r="AG34" i="3"/>
  <c r="AF35" i="3"/>
  <c r="AG35" i="3"/>
  <c r="AF36" i="3"/>
  <c r="AG36" i="3"/>
  <c r="AF37" i="3"/>
  <c r="AG37" i="3"/>
  <c r="AF38" i="3"/>
  <c r="AG38" i="3"/>
  <c r="AF39" i="3"/>
  <c r="AG39" i="3"/>
  <c r="AF40" i="3"/>
  <c r="AG40" i="3"/>
  <c r="AF41" i="3"/>
  <c r="AG41" i="3"/>
  <c r="AF42" i="3"/>
  <c r="AG42" i="3"/>
  <c r="AF43" i="3"/>
  <c r="AG43" i="3"/>
  <c r="AF44" i="3"/>
  <c r="AG44" i="3"/>
  <c r="AF45" i="3"/>
  <c r="AG45" i="3"/>
  <c r="AF46" i="3"/>
  <c r="AG46" i="3"/>
  <c r="AF47" i="3"/>
  <c r="AG47" i="3"/>
  <c r="AF48" i="3"/>
  <c r="AG48" i="3"/>
  <c r="AF49" i="3"/>
  <c r="AG49" i="3"/>
  <c r="AF50" i="3"/>
  <c r="AG50" i="3"/>
  <c r="AF51" i="3"/>
  <c r="AG51" i="3"/>
  <c r="AF52" i="3"/>
  <c r="AG52" i="3"/>
  <c r="AF53" i="3"/>
  <c r="AG53" i="3"/>
  <c r="AF54" i="3"/>
  <c r="AG54" i="3"/>
  <c r="AF55" i="3"/>
  <c r="AG55" i="3"/>
  <c r="AF56" i="3"/>
  <c r="AG56" i="3"/>
  <c r="AF57" i="3"/>
  <c r="AG57" i="3"/>
  <c r="AF58" i="3"/>
  <c r="AG58" i="3"/>
  <c r="AF59" i="3"/>
  <c r="AG59" i="3"/>
  <c r="AF60" i="3"/>
  <c r="AG60" i="3"/>
  <c r="AF61" i="3"/>
  <c r="AG61" i="3"/>
  <c r="AF62" i="3"/>
  <c r="AG62" i="3"/>
  <c r="AF63" i="3"/>
  <c r="AG63" i="3"/>
  <c r="AF64" i="3"/>
  <c r="AG64" i="3"/>
  <c r="AF65" i="3"/>
  <c r="AG65" i="3"/>
  <c r="AF66" i="3"/>
  <c r="AG66" i="3"/>
  <c r="AF67" i="3"/>
  <c r="AG67" i="3"/>
  <c r="AF68" i="3"/>
  <c r="AG68" i="3"/>
  <c r="AF69" i="3"/>
  <c r="AG69" i="3"/>
  <c r="AF70" i="3"/>
  <c r="AG70" i="3"/>
  <c r="AF71" i="3"/>
  <c r="AG71" i="3"/>
  <c r="AF72" i="3"/>
  <c r="AG72" i="3"/>
  <c r="AF73" i="3"/>
  <c r="AG73" i="3"/>
  <c r="AF74" i="3"/>
  <c r="AG74" i="3"/>
  <c r="AF75" i="3"/>
  <c r="AG75" i="3"/>
  <c r="AF76" i="3"/>
  <c r="AG76" i="3"/>
  <c r="AF77" i="3"/>
  <c r="AG77" i="3"/>
  <c r="AF78" i="3"/>
  <c r="AG78" i="3"/>
  <c r="AF79" i="3"/>
  <c r="AG79" i="3"/>
  <c r="AF80" i="3"/>
  <c r="AG80" i="3"/>
  <c r="AF81" i="3"/>
  <c r="AG81" i="3"/>
  <c r="AF82" i="3"/>
  <c r="AG82" i="3"/>
  <c r="AF83" i="3"/>
  <c r="AG83" i="3"/>
  <c r="AF84" i="3"/>
  <c r="AG84" i="3"/>
  <c r="AF85" i="3"/>
  <c r="AG85" i="3"/>
  <c r="AF86" i="3"/>
  <c r="AG86" i="3"/>
  <c r="AF87" i="3"/>
  <c r="AG87" i="3"/>
  <c r="AF88" i="3"/>
  <c r="AG88" i="3"/>
  <c r="AF89" i="3"/>
  <c r="AG89" i="3"/>
  <c r="AF90" i="3"/>
  <c r="AG90" i="3"/>
  <c r="AF91" i="3"/>
  <c r="AG91" i="3"/>
  <c r="AF92" i="3"/>
  <c r="AG92" i="3"/>
  <c r="AF93" i="3"/>
  <c r="AG93" i="3"/>
  <c r="AF94" i="3"/>
  <c r="AG94" i="3"/>
  <c r="AF95" i="3"/>
  <c r="AG95" i="3"/>
  <c r="AF96" i="3"/>
  <c r="AG96" i="3"/>
  <c r="AF97" i="3"/>
  <c r="AG97" i="3"/>
  <c r="AF98" i="3"/>
  <c r="AG98" i="3"/>
  <c r="AF99" i="3"/>
  <c r="AG99" i="3"/>
  <c r="AF100" i="3"/>
  <c r="AG100" i="3"/>
  <c r="AF101" i="3"/>
  <c r="AG101" i="3"/>
  <c r="AF102" i="3"/>
  <c r="AG102" i="3"/>
  <c r="AF103" i="3"/>
  <c r="AG103" i="3"/>
  <c r="AF104" i="3"/>
  <c r="AG104" i="3"/>
  <c r="AF105" i="3"/>
  <c r="AG105" i="3"/>
  <c r="AF106" i="3"/>
  <c r="AG106" i="3"/>
  <c r="AF107" i="3"/>
  <c r="AG107" i="3"/>
  <c r="AF108" i="3"/>
  <c r="AG108" i="3"/>
  <c r="AF109" i="3"/>
  <c r="AG109" i="3"/>
  <c r="AF110" i="3"/>
  <c r="AG110" i="3"/>
  <c r="AF111" i="3"/>
  <c r="AG111" i="3"/>
  <c r="AF112" i="3"/>
  <c r="AG112" i="3"/>
  <c r="AF113" i="3"/>
  <c r="AG113" i="3"/>
  <c r="AF114" i="3"/>
  <c r="AG114" i="3"/>
  <c r="AF115" i="3"/>
  <c r="AG115" i="3"/>
  <c r="AF116" i="3"/>
  <c r="AG116" i="3"/>
  <c r="AF117" i="3"/>
  <c r="AG117" i="3"/>
  <c r="AF118" i="3"/>
  <c r="AG118" i="3"/>
  <c r="AF119" i="3"/>
  <c r="AG119" i="3"/>
  <c r="AF120" i="3"/>
  <c r="AG120" i="3"/>
  <c r="AF121" i="3"/>
  <c r="AG121" i="3"/>
  <c r="AF122" i="3"/>
  <c r="AG122" i="3"/>
  <c r="AF123" i="3"/>
  <c r="AG123" i="3"/>
  <c r="AF124" i="3"/>
  <c r="AG124" i="3"/>
  <c r="AF125" i="3"/>
  <c r="AG125" i="3"/>
  <c r="AF126" i="3"/>
  <c r="AG126" i="3"/>
  <c r="AF127" i="3"/>
  <c r="AG127" i="3"/>
  <c r="AF128" i="3"/>
  <c r="AG128" i="3"/>
  <c r="AF129" i="3"/>
  <c r="AG129" i="3"/>
  <c r="AF130" i="3"/>
  <c r="AG130" i="3"/>
  <c r="AF131" i="3"/>
  <c r="AG131" i="3"/>
  <c r="AF132" i="3"/>
  <c r="AG132" i="3"/>
  <c r="AF133" i="3"/>
  <c r="AG133" i="3"/>
  <c r="AF134" i="3"/>
  <c r="AG134" i="3"/>
  <c r="AF135" i="3"/>
  <c r="AG135" i="3"/>
  <c r="AF136" i="3"/>
  <c r="AG136" i="3"/>
  <c r="AF137" i="3"/>
  <c r="AG137" i="3"/>
  <c r="AF138" i="3"/>
  <c r="AG138" i="3"/>
  <c r="AF139" i="3"/>
  <c r="AG139" i="3"/>
  <c r="AF140" i="3"/>
  <c r="AG140" i="3"/>
  <c r="AF141" i="3"/>
  <c r="AG141" i="3"/>
  <c r="AF142" i="3"/>
  <c r="AG142" i="3"/>
  <c r="AF143" i="3"/>
  <c r="AG143" i="3"/>
  <c r="AF144" i="3"/>
  <c r="AG144" i="3"/>
  <c r="AF145" i="3"/>
  <c r="AG145" i="3"/>
  <c r="AF146" i="3"/>
  <c r="AG146" i="3"/>
  <c r="AF147" i="3"/>
  <c r="AG147" i="3"/>
  <c r="AF148" i="3"/>
  <c r="AG148" i="3"/>
  <c r="AF149" i="3"/>
  <c r="AG149" i="3"/>
  <c r="AF150" i="3"/>
  <c r="AG150" i="3"/>
  <c r="AF151" i="3"/>
  <c r="AG151" i="3"/>
  <c r="AF152" i="3"/>
  <c r="AG152" i="3"/>
  <c r="AF153" i="3"/>
  <c r="AG153" i="3"/>
  <c r="AF154" i="3"/>
  <c r="AG154" i="3"/>
  <c r="AF155" i="3"/>
  <c r="AG155" i="3"/>
  <c r="AF156" i="3"/>
  <c r="AG156" i="3"/>
  <c r="AF157" i="3"/>
  <c r="AG157" i="3"/>
  <c r="AF158" i="3"/>
  <c r="AG158" i="3"/>
  <c r="AF159" i="3"/>
  <c r="AG159" i="3"/>
  <c r="AF160" i="3"/>
  <c r="AG160" i="3"/>
  <c r="AF161" i="3"/>
  <c r="AG161" i="3"/>
  <c r="AF162" i="3"/>
  <c r="AG162" i="3"/>
  <c r="AF163" i="3"/>
  <c r="AG163" i="3"/>
  <c r="AF164" i="3"/>
  <c r="AG164" i="3"/>
  <c r="AF165" i="3"/>
  <c r="AG165" i="3"/>
  <c r="AF166" i="3"/>
  <c r="AG166" i="3"/>
  <c r="AF167" i="3"/>
  <c r="AG167" i="3"/>
  <c r="AF168" i="3"/>
  <c r="AG168" i="3"/>
  <c r="AF169" i="3"/>
  <c r="AG169" i="3"/>
  <c r="AF170" i="3"/>
  <c r="AG170" i="3"/>
  <c r="AF171" i="3"/>
  <c r="AG171" i="3"/>
  <c r="AF172" i="3"/>
  <c r="AG172" i="3"/>
  <c r="AF173" i="3"/>
  <c r="AG173" i="3"/>
  <c r="AF174" i="3"/>
  <c r="AG174" i="3"/>
  <c r="AF175" i="3"/>
  <c r="AG175" i="3"/>
  <c r="AF176" i="3"/>
  <c r="AG176" i="3"/>
  <c r="AF177" i="3"/>
  <c r="AG177" i="3"/>
  <c r="AF178" i="3"/>
  <c r="AG178" i="3"/>
  <c r="AF179" i="3"/>
  <c r="AG179" i="3"/>
  <c r="AF180" i="3"/>
  <c r="AG180" i="3"/>
  <c r="AF181" i="3"/>
  <c r="AG181" i="3"/>
  <c r="AF182" i="3"/>
  <c r="AG182" i="3"/>
  <c r="AF183" i="3"/>
  <c r="AG183" i="3"/>
  <c r="AF184" i="3"/>
  <c r="AG184" i="3"/>
  <c r="AF185" i="3"/>
  <c r="AG185" i="3"/>
  <c r="AF186" i="3"/>
  <c r="AG186" i="3"/>
  <c r="AF187" i="3"/>
  <c r="AG187" i="3"/>
  <c r="AF188" i="3"/>
  <c r="AG188" i="3"/>
  <c r="AF189" i="3"/>
  <c r="AG189" i="3"/>
  <c r="AF190" i="3"/>
  <c r="AG190" i="3"/>
  <c r="AF191" i="3"/>
  <c r="AG191" i="3"/>
  <c r="AF192" i="3"/>
  <c r="AG192" i="3"/>
  <c r="AF193" i="3"/>
  <c r="AG193" i="3"/>
  <c r="AF194" i="3"/>
  <c r="AG194" i="3"/>
  <c r="AF195" i="3"/>
  <c r="AG195" i="3"/>
  <c r="AF196" i="3"/>
  <c r="AG196" i="3"/>
  <c r="AF197" i="3"/>
  <c r="AG197" i="3"/>
  <c r="AF198" i="3"/>
  <c r="AG198" i="3"/>
  <c r="AF199" i="3"/>
  <c r="AG199" i="3"/>
  <c r="AF200" i="3"/>
  <c r="AG200" i="3"/>
  <c r="AF201" i="3"/>
  <c r="AG201" i="3"/>
  <c r="AF202" i="3"/>
  <c r="AG202" i="3"/>
  <c r="AF203" i="3"/>
  <c r="AG203" i="3"/>
  <c r="AF204" i="3"/>
  <c r="AG204" i="3"/>
  <c r="AF205" i="3"/>
  <c r="AG205" i="3"/>
  <c r="AF206" i="3"/>
  <c r="AG206" i="3"/>
  <c r="AF207" i="3"/>
  <c r="AG207" i="3"/>
  <c r="AF208" i="3"/>
  <c r="AG208" i="3"/>
  <c r="AF209" i="3"/>
  <c r="AG209" i="3"/>
  <c r="AF210" i="3"/>
  <c r="AG210" i="3"/>
  <c r="AF211" i="3"/>
  <c r="AG211" i="3"/>
  <c r="AF212" i="3"/>
  <c r="AG212" i="3"/>
  <c r="AF213" i="3"/>
  <c r="AG213" i="3"/>
  <c r="AF214" i="3"/>
  <c r="AG214" i="3"/>
  <c r="AF215" i="3"/>
  <c r="AG215" i="3"/>
  <c r="AF216" i="3"/>
  <c r="AG216" i="3"/>
  <c r="AF217" i="3"/>
  <c r="AG217" i="3"/>
  <c r="AF218" i="3"/>
  <c r="AG218" i="3"/>
  <c r="AF219" i="3"/>
  <c r="AG219" i="3"/>
  <c r="AF220" i="3"/>
  <c r="AG220" i="3"/>
  <c r="AF221" i="3"/>
  <c r="AG221" i="3"/>
  <c r="AF222" i="3"/>
  <c r="AG222" i="3"/>
  <c r="AF223" i="3"/>
  <c r="AG223" i="3"/>
  <c r="AF224" i="3"/>
  <c r="AG224" i="3"/>
  <c r="AF225" i="3"/>
  <c r="AG225" i="3"/>
  <c r="AF226" i="3"/>
  <c r="AG226" i="3"/>
  <c r="AF227" i="3"/>
  <c r="AG227" i="3"/>
  <c r="AF228" i="3"/>
  <c r="AG228" i="3"/>
  <c r="AF229" i="3"/>
  <c r="AG229" i="3"/>
  <c r="AF230" i="3"/>
  <c r="AG230" i="3"/>
  <c r="AF231" i="3"/>
  <c r="AG231" i="3"/>
  <c r="AF232" i="3"/>
  <c r="AG232" i="3"/>
  <c r="AF233" i="3"/>
  <c r="AG233" i="3"/>
  <c r="AF234" i="3"/>
  <c r="AG234" i="3"/>
  <c r="AF235" i="3"/>
  <c r="AG235" i="3"/>
  <c r="AF236" i="3"/>
  <c r="AG236" i="3"/>
  <c r="AF237" i="3"/>
  <c r="AG237" i="3"/>
  <c r="AF238" i="3"/>
  <c r="AG238" i="3"/>
  <c r="AF239" i="3"/>
  <c r="AG239" i="3"/>
  <c r="AF240" i="3"/>
  <c r="AG240" i="3"/>
  <c r="AF241" i="3"/>
  <c r="AG241" i="3"/>
  <c r="AF242" i="3"/>
  <c r="AG242" i="3"/>
  <c r="AF243" i="3"/>
  <c r="AG243" i="3"/>
  <c r="AF244" i="3"/>
  <c r="AG244" i="3"/>
  <c r="AF245" i="3"/>
  <c r="AG245" i="3"/>
  <c r="AF246" i="3"/>
  <c r="AG246" i="3"/>
  <c r="AF247" i="3"/>
  <c r="AG247" i="3"/>
  <c r="AF248" i="3"/>
  <c r="AG248" i="3"/>
  <c r="AF249" i="3"/>
  <c r="AG249" i="3"/>
  <c r="AF250" i="3"/>
  <c r="AG250" i="3"/>
  <c r="AF251" i="3"/>
  <c r="AG251" i="3"/>
  <c r="AF252" i="3"/>
  <c r="AG252" i="3"/>
  <c r="AF253" i="3"/>
  <c r="AG253" i="3"/>
  <c r="AF254" i="3"/>
  <c r="AG254" i="3"/>
  <c r="AF255" i="3"/>
  <c r="AG255" i="3"/>
  <c r="AF256" i="3"/>
  <c r="AG256" i="3"/>
  <c r="AF257" i="3"/>
  <c r="AG257" i="3"/>
  <c r="AF258" i="3"/>
  <c r="AG258" i="3"/>
  <c r="AF259" i="3"/>
  <c r="AG259" i="3"/>
  <c r="AF260" i="3"/>
  <c r="AG260" i="3"/>
  <c r="AF261" i="3"/>
  <c r="AG261" i="3"/>
  <c r="AF262" i="3"/>
  <c r="AG262" i="3"/>
  <c r="AF263" i="3"/>
  <c r="AG263" i="3"/>
  <c r="AF264" i="3"/>
  <c r="AG264" i="3"/>
  <c r="AF265" i="3"/>
  <c r="AG265" i="3"/>
  <c r="AF266" i="3"/>
  <c r="AG266" i="3"/>
  <c r="AF267" i="3"/>
  <c r="AG267" i="3"/>
  <c r="AF268" i="3"/>
  <c r="AG268" i="3"/>
  <c r="AF269" i="3"/>
  <c r="AG269" i="3"/>
  <c r="AF270" i="3"/>
  <c r="AG270" i="3"/>
  <c r="AF271" i="3"/>
  <c r="AG271" i="3"/>
  <c r="AF272" i="3"/>
  <c r="AG272" i="3"/>
  <c r="AF273" i="3"/>
  <c r="AG273" i="3"/>
  <c r="AF274" i="3"/>
  <c r="AG274" i="3"/>
  <c r="AF275" i="3"/>
  <c r="AG275" i="3"/>
  <c r="AF276" i="3"/>
  <c r="AG276" i="3"/>
  <c r="AF277" i="3"/>
  <c r="AG277" i="3"/>
  <c r="AF278" i="3"/>
  <c r="AG278" i="3"/>
  <c r="AF279" i="3"/>
  <c r="AG279" i="3"/>
  <c r="AF280" i="3"/>
  <c r="AG280" i="3"/>
  <c r="AG6" i="3"/>
  <c r="AG7" i="3"/>
  <c r="AG8" i="3"/>
  <c r="AG9" i="3"/>
  <c r="AG10" i="3"/>
  <c r="AG11" i="3"/>
  <c r="AG12" i="3"/>
  <c r="AG13" i="3"/>
  <c r="AG14" i="3"/>
  <c r="AG15" i="3"/>
  <c r="AG16" i="3"/>
  <c r="AG17" i="3"/>
  <c r="AG18" i="3"/>
  <c r="AG19" i="3"/>
  <c r="AG20" i="3"/>
  <c r="AG21" i="3"/>
  <c r="AG22" i="3"/>
  <c r="AG23" i="3"/>
  <c r="AF6" i="3"/>
  <c r="AF7" i="3"/>
  <c r="AF8" i="3"/>
  <c r="AF9" i="3"/>
  <c r="AF10" i="3"/>
  <c r="AF11" i="3"/>
  <c r="AF12" i="3"/>
  <c r="AF13" i="3"/>
  <c r="AF14" i="3"/>
  <c r="AF15" i="3"/>
  <c r="AF16" i="3"/>
  <c r="AF17" i="3"/>
  <c r="AF18" i="3"/>
  <c r="AF19" i="3"/>
  <c r="AF20" i="3"/>
  <c r="AF21" i="3"/>
  <c r="AF22" i="3"/>
  <c r="AF23" i="3"/>
  <c r="AF5" i="3"/>
  <c r="AH6" i="3"/>
  <c r="AH8" i="3"/>
  <c r="AH9" i="3"/>
  <c r="AH10" i="3"/>
  <c r="AH11" i="3"/>
  <c r="AH12" i="3"/>
  <c r="AH13" i="3"/>
  <c r="AH14" i="3"/>
  <c r="AG5" i="3"/>
  <c r="V229" i="3"/>
  <c r="AQ277" i="3"/>
  <c r="AQ276" i="3"/>
  <c r="AQ188" i="3"/>
  <c r="AQ181" i="3"/>
  <c r="AQ178" i="3"/>
  <c r="AQ138" i="3"/>
  <c r="AQ102" i="3"/>
  <c r="AQ99" i="3"/>
  <c r="AQ81" i="3"/>
  <c r="AQ80" i="3"/>
  <c r="AQ61" i="3"/>
  <c r="AQ57" i="3"/>
  <c r="AQ55" i="3"/>
  <c r="AQ40" i="3"/>
  <c r="AQ34" i="3"/>
  <c r="AQ21" i="3"/>
  <c r="AQ13" i="3"/>
  <c r="AQ9" i="3"/>
  <c r="AQ8" i="3"/>
  <c r="AQ7" i="3"/>
  <c r="AB34" i="3"/>
  <c r="Y138" i="3"/>
  <c r="V137" i="3"/>
  <c r="V135" i="3"/>
  <c r="V138" i="3" s="1"/>
  <c r="F43" i="4"/>
  <c r="E43" i="4"/>
  <c r="D43" i="4"/>
  <c r="C43" i="4"/>
  <c r="B43" i="4"/>
  <c r="AD4" i="4"/>
  <c r="AC4" i="4"/>
  <c r="AB4" i="4"/>
  <c r="AA4" i="4"/>
  <c r="Z4" i="4"/>
  <c r="Y4" i="4"/>
  <c r="X4" i="4"/>
  <c r="AG281" i="3"/>
  <c r="AF281" i="3"/>
  <c r="AE281" i="3"/>
  <c r="AB281" i="3"/>
  <c r="Y281" i="3"/>
  <c r="V281" i="3"/>
  <c r="AH280" i="3"/>
  <c r="AE280" i="3"/>
  <c r="AB280" i="3"/>
  <c r="Y280" i="3"/>
  <c r="V280" i="3"/>
  <c r="AH279" i="3"/>
  <c r="AE279" i="3"/>
  <c r="AB279" i="3"/>
  <c r="Y279" i="3"/>
  <c r="V279" i="3"/>
  <c r="AE278" i="3"/>
  <c r="AB278" i="3"/>
  <c r="Y278" i="3"/>
  <c r="V278" i="3"/>
  <c r="AH277" i="3"/>
  <c r="AE277" i="3"/>
  <c r="AB277" i="3"/>
  <c r="Y277" i="3"/>
  <c r="V277" i="3"/>
  <c r="AH276" i="3"/>
  <c r="AE276" i="3"/>
  <c r="AB276" i="3"/>
  <c r="Y276" i="3"/>
  <c r="V276" i="3"/>
  <c r="AH275" i="3"/>
  <c r="AE275" i="3"/>
  <c r="AB275" i="3"/>
  <c r="Y275" i="3"/>
  <c r="V275" i="3"/>
  <c r="AE274" i="3"/>
  <c r="AB274" i="3"/>
  <c r="Y274" i="3"/>
  <c r="V274" i="3"/>
  <c r="AE273" i="3"/>
  <c r="AB273" i="3"/>
  <c r="Y273" i="3"/>
  <c r="V273" i="3"/>
  <c r="AE272" i="3"/>
  <c r="AB272" i="3"/>
  <c r="Y272" i="3"/>
  <c r="V272" i="3"/>
  <c r="AE271" i="3"/>
  <c r="AB271" i="3"/>
  <c r="Y271" i="3"/>
  <c r="V271" i="3"/>
  <c r="AE270" i="3"/>
  <c r="AB270" i="3"/>
  <c r="Y270" i="3"/>
  <c r="V270" i="3"/>
  <c r="AE269" i="3"/>
  <c r="AB269" i="3"/>
  <c r="Y269" i="3"/>
  <c r="V269" i="3"/>
  <c r="AE268" i="3"/>
  <c r="AB268" i="3"/>
  <c r="Y268" i="3"/>
  <c r="V268" i="3"/>
  <c r="AE267" i="3"/>
  <c r="AB267" i="3"/>
  <c r="Y267" i="3"/>
  <c r="V267" i="3"/>
  <c r="AE266" i="3"/>
  <c r="AB266" i="3"/>
  <c r="Y266" i="3"/>
  <c r="V266" i="3"/>
  <c r="AE265" i="3"/>
  <c r="AB265" i="3"/>
  <c r="Y265" i="3"/>
  <c r="V265" i="3"/>
  <c r="AE264" i="3"/>
  <c r="AB264" i="3"/>
  <c r="Y264" i="3"/>
  <c r="V264" i="3"/>
  <c r="AE263" i="3"/>
  <c r="AB263" i="3"/>
  <c r="Y263" i="3"/>
  <c r="V263" i="3"/>
  <c r="AE262" i="3"/>
  <c r="AB262" i="3"/>
  <c r="Y262" i="3"/>
  <c r="V262" i="3"/>
  <c r="AE261" i="3"/>
  <c r="AB261" i="3"/>
  <c r="Y261" i="3"/>
  <c r="V261" i="3"/>
  <c r="AE260" i="3"/>
  <c r="AB260" i="3"/>
  <c r="Y260" i="3"/>
  <c r="V260" i="3"/>
  <c r="AE259" i="3"/>
  <c r="AB259" i="3"/>
  <c r="Y259" i="3"/>
  <c r="V259" i="3"/>
  <c r="AE258" i="3"/>
  <c r="AB258" i="3"/>
  <c r="Y258" i="3"/>
  <c r="V258" i="3"/>
  <c r="AE257" i="3"/>
  <c r="AB257" i="3"/>
  <c r="Y257" i="3"/>
  <c r="V257" i="3"/>
  <c r="AH256" i="3"/>
  <c r="AE256" i="3"/>
  <c r="AB256" i="3"/>
  <c r="Y256" i="3"/>
  <c r="V256" i="3"/>
  <c r="AH255" i="3"/>
  <c r="AE255" i="3"/>
  <c r="AB255" i="3"/>
  <c r="Y255" i="3"/>
  <c r="V255" i="3"/>
  <c r="AH254" i="3"/>
  <c r="AE254" i="3"/>
  <c r="AB254" i="3"/>
  <c r="Y254" i="3"/>
  <c r="V254" i="3"/>
  <c r="AE253" i="3"/>
  <c r="AB253" i="3"/>
  <c r="Y253" i="3"/>
  <c r="V253" i="3"/>
  <c r="AE252" i="3"/>
  <c r="AB252" i="3"/>
  <c r="Y252" i="3"/>
  <c r="V252" i="3"/>
  <c r="AE251" i="3"/>
  <c r="AB251" i="3"/>
  <c r="Y251" i="3"/>
  <c r="V251" i="3"/>
  <c r="AE250" i="3"/>
  <c r="AB250" i="3"/>
  <c r="Y250" i="3"/>
  <c r="V250" i="3"/>
  <c r="AE249" i="3"/>
  <c r="AB249" i="3"/>
  <c r="Y249" i="3"/>
  <c r="V249" i="3"/>
  <c r="AE248" i="3"/>
  <c r="AB248" i="3"/>
  <c r="Y248" i="3"/>
  <c r="V248" i="3"/>
  <c r="AE247" i="3"/>
  <c r="AB247" i="3"/>
  <c r="Y247" i="3"/>
  <c r="V247" i="3"/>
  <c r="AE246" i="3"/>
  <c r="AB246" i="3"/>
  <c r="Y246" i="3"/>
  <c r="V246" i="3"/>
  <c r="AE245" i="3"/>
  <c r="AB245" i="3"/>
  <c r="Y245" i="3"/>
  <c r="V245" i="3"/>
  <c r="AE244" i="3"/>
  <c r="AB244" i="3"/>
  <c r="Y244" i="3"/>
  <c r="V244" i="3"/>
  <c r="AE243" i="3"/>
  <c r="AB243" i="3"/>
  <c r="Y243" i="3"/>
  <c r="V243" i="3"/>
  <c r="AE242" i="3"/>
  <c r="AB242" i="3"/>
  <c r="Y242" i="3"/>
  <c r="V242" i="3"/>
  <c r="AE241" i="3"/>
  <c r="AB241" i="3"/>
  <c r="Y241" i="3"/>
  <c r="V241" i="3"/>
  <c r="AE240" i="3"/>
  <c r="AB240" i="3"/>
  <c r="Y240" i="3"/>
  <c r="V240" i="3"/>
  <c r="AE239" i="3"/>
  <c r="AB239" i="3"/>
  <c r="Y239" i="3"/>
  <c r="V239" i="3"/>
  <c r="AE238" i="3"/>
  <c r="AB238" i="3"/>
  <c r="Y238" i="3"/>
  <c r="V238" i="3"/>
  <c r="AE237" i="3"/>
  <c r="AB237" i="3"/>
  <c r="Y237" i="3"/>
  <c r="V237" i="3"/>
  <c r="AE236" i="3"/>
  <c r="AB236" i="3"/>
  <c r="Y236" i="3"/>
  <c r="V236" i="3"/>
  <c r="AE235" i="3"/>
  <c r="AB235" i="3"/>
  <c r="Y235" i="3"/>
  <c r="V235" i="3"/>
  <c r="AE234" i="3"/>
  <c r="AB234" i="3"/>
  <c r="Y234" i="3"/>
  <c r="V234" i="3"/>
  <c r="AE233" i="3"/>
  <c r="AB233" i="3"/>
  <c r="Y233" i="3"/>
  <c r="V233" i="3"/>
  <c r="AE232" i="3"/>
  <c r="AB232" i="3"/>
  <c r="Y232" i="3"/>
  <c r="V232" i="3"/>
  <c r="AE231" i="3"/>
  <c r="AB231" i="3"/>
  <c r="Y231" i="3"/>
  <c r="V231" i="3"/>
  <c r="AE230" i="3"/>
  <c r="AB230" i="3"/>
  <c r="Y230" i="3"/>
  <c r="V230" i="3"/>
  <c r="AH229" i="3"/>
  <c r="AE229" i="3"/>
  <c r="AB229" i="3"/>
  <c r="Y229" i="3"/>
  <c r="AH228" i="3"/>
  <c r="AE228" i="3"/>
  <c r="AB228" i="3"/>
  <c r="Y228" i="3"/>
  <c r="V228" i="3"/>
  <c r="AH227" i="3"/>
  <c r="AE227" i="3"/>
  <c r="AB227" i="3"/>
  <c r="Y227" i="3"/>
  <c r="V227" i="3"/>
  <c r="AH226" i="3"/>
  <c r="AE226" i="3"/>
  <c r="AB226" i="3"/>
  <c r="Y226" i="3"/>
  <c r="V226" i="3"/>
  <c r="AH225" i="3"/>
  <c r="AE225" i="3"/>
  <c r="AB225" i="3"/>
  <c r="Y225" i="3"/>
  <c r="V225" i="3"/>
  <c r="AH224" i="3"/>
  <c r="AE224" i="3"/>
  <c r="AB224" i="3"/>
  <c r="Y224" i="3"/>
  <c r="V224" i="3"/>
  <c r="AH223" i="3"/>
  <c r="AE223" i="3"/>
  <c r="AB223" i="3"/>
  <c r="Y223" i="3"/>
  <c r="V223" i="3"/>
  <c r="AE222" i="3"/>
  <c r="AB222" i="3"/>
  <c r="Y222" i="3"/>
  <c r="V222" i="3"/>
  <c r="AE221" i="3"/>
  <c r="AB221" i="3"/>
  <c r="Y221" i="3"/>
  <c r="V221" i="3"/>
  <c r="AH220" i="3"/>
  <c r="AE220" i="3"/>
  <c r="AB220" i="3"/>
  <c r="Y220" i="3"/>
  <c r="V220" i="3"/>
  <c r="AE219" i="3"/>
  <c r="AB219" i="3"/>
  <c r="Y219" i="3"/>
  <c r="V219" i="3"/>
  <c r="AE218" i="3"/>
  <c r="AB218" i="3"/>
  <c r="Y218" i="3"/>
  <c r="V218" i="3"/>
  <c r="AE217" i="3"/>
  <c r="AB217" i="3"/>
  <c r="Y217" i="3"/>
  <c r="V217" i="3"/>
  <c r="AE216" i="3"/>
  <c r="AB216" i="3"/>
  <c r="Y216" i="3"/>
  <c r="V216" i="3"/>
  <c r="AE215" i="3"/>
  <c r="AB215" i="3"/>
  <c r="Y215" i="3"/>
  <c r="V215" i="3"/>
  <c r="AE214" i="3"/>
  <c r="AB214" i="3"/>
  <c r="Y214" i="3"/>
  <c r="V214" i="3"/>
  <c r="AE213" i="3"/>
  <c r="AB213" i="3"/>
  <c r="Y213" i="3"/>
  <c r="V213" i="3"/>
  <c r="AE212" i="3"/>
  <c r="AB212" i="3"/>
  <c r="Y212" i="3"/>
  <c r="V212" i="3"/>
  <c r="AE211" i="3"/>
  <c r="AB211" i="3"/>
  <c r="Y211" i="3"/>
  <c r="V211" i="3"/>
  <c r="AE210" i="3"/>
  <c r="AB210" i="3"/>
  <c r="Y210" i="3"/>
  <c r="V210" i="3"/>
  <c r="AE209" i="3"/>
  <c r="AB209" i="3"/>
  <c r="Y209" i="3"/>
  <c r="V209" i="3"/>
  <c r="AE208" i="3"/>
  <c r="AB208" i="3"/>
  <c r="Y208" i="3"/>
  <c r="V208" i="3"/>
  <c r="AE207" i="3"/>
  <c r="AB207" i="3"/>
  <c r="Y207" i="3"/>
  <c r="V207" i="3"/>
  <c r="AE206" i="3"/>
  <c r="AB206" i="3"/>
  <c r="Y206" i="3"/>
  <c r="V206" i="3"/>
  <c r="AE205" i="3"/>
  <c r="AB205" i="3"/>
  <c r="Y205" i="3"/>
  <c r="V205" i="3"/>
  <c r="AE204" i="3"/>
  <c r="AB204" i="3"/>
  <c r="Y204" i="3"/>
  <c r="V204" i="3"/>
  <c r="AE203" i="3"/>
  <c r="AB203" i="3"/>
  <c r="Y203" i="3"/>
  <c r="V203" i="3"/>
  <c r="AE202" i="3"/>
  <c r="AB202" i="3"/>
  <c r="Y202" i="3"/>
  <c r="V202" i="3"/>
  <c r="AE201" i="3"/>
  <c r="AB201" i="3"/>
  <c r="Y201" i="3"/>
  <c r="V201" i="3"/>
  <c r="AE200" i="3"/>
  <c r="AB200" i="3"/>
  <c r="Y200" i="3"/>
  <c r="V200" i="3"/>
  <c r="AE199" i="3"/>
  <c r="AB199" i="3"/>
  <c r="Y199" i="3"/>
  <c r="V199" i="3"/>
  <c r="AE198" i="3"/>
  <c r="AB198" i="3"/>
  <c r="Y198" i="3"/>
  <c r="V198" i="3"/>
  <c r="AE197" i="3"/>
  <c r="AB197" i="3"/>
  <c r="Y197" i="3"/>
  <c r="V197" i="3"/>
  <c r="AE196" i="3"/>
  <c r="AB196" i="3"/>
  <c r="Y196" i="3"/>
  <c r="V196" i="3"/>
  <c r="AE195" i="3"/>
  <c r="AB195" i="3"/>
  <c r="Y195" i="3"/>
  <c r="V195" i="3"/>
  <c r="AE194" i="3"/>
  <c r="AB194" i="3"/>
  <c r="Y194" i="3"/>
  <c r="V194" i="3"/>
  <c r="AE193" i="3"/>
  <c r="AB193" i="3"/>
  <c r="Y193" i="3"/>
  <c r="V193" i="3"/>
  <c r="AE192" i="3"/>
  <c r="AB192" i="3"/>
  <c r="Y192" i="3"/>
  <c r="V192" i="3"/>
  <c r="AE191" i="3"/>
  <c r="AB191" i="3"/>
  <c r="Y191" i="3"/>
  <c r="V191" i="3"/>
  <c r="AH190" i="3"/>
  <c r="AE190" i="3"/>
  <c r="AB190" i="3"/>
  <c r="Y190" i="3"/>
  <c r="V190" i="3"/>
  <c r="AH189" i="3"/>
  <c r="AE189" i="3"/>
  <c r="AB189" i="3"/>
  <c r="Y189" i="3"/>
  <c r="V189" i="3"/>
  <c r="AH188" i="3"/>
  <c r="AE188" i="3"/>
  <c r="AB188" i="3"/>
  <c r="Y188" i="3"/>
  <c r="V188" i="3"/>
  <c r="AH187" i="3"/>
  <c r="AE187" i="3"/>
  <c r="AB187" i="3"/>
  <c r="Y187" i="3"/>
  <c r="V187" i="3"/>
  <c r="AH186" i="3"/>
  <c r="AE186" i="3"/>
  <c r="AB186" i="3"/>
  <c r="Y186" i="3"/>
  <c r="V186" i="3"/>
  <c r="AH185" i="3"/>
  <c r="AE185" i="3"/>
  <c r="AB185" i="3"/>
  <c r="Y185" i="3"/>
  <c r="V185" i="3"/>
  <c r="AH184" i="3"/>
  <c r="AE184" i="3"/>
  <c r="AB184" i="3"/>
  <c r="Y184" i="3"/>
  <c r="V184" i="3"/>
  <c r="AH183" i="3"/>
  <c r="AE183" i="3"/>
  <c r="AB183" i="3"/>
  <c r="Y183" i="3"/>
  <c r="V183" i="3"/>
  <c r="AH182" i="3"/>
  <c r="AE182" i="3"/>
  <c r="AB182" i="3"/>
  <c r="Y182" i="3"/>
  <c r="V182" i="3"/>
  <c r="AH181" i="3"/>
  <c r="AE181" i="3"/>
  <c r="AB181" i="3"/>
  <c r="Y181" i="3"/>
  <c r="V181" i="3"/>
  <c r="AH180" i="3"/>
  <c r="AE180" i="3"/>
  <c r="AB180" i="3"/>
  <c r="Y180" i="3"/>
  <c r="V180" i="3"/>
  <c r="AH179" i="3"/>
  <c r="AE179" i="3"/>
  <c r="AB179" i="3"/>
  <c r="Y179" i="3"/>
  <c r="V179" i="3"/>
  <c r="AH178" i="3"/>
  <c r="AE178" i="3"/>
  <c r="AB178" i="3"/>
  <c r="Y178" i="3"/>
  <c r="V178" i="3"/>
  <c r="AH177" i="3"/>
  <c r="AE177" i="3"/>
  <c r="AB177" i="3"/>
  <c r="Y177" i="3"/>
  <c r="V177" i="3"/>
  <c r="AH176" i="3"/>
  <c r="AE176" i="3"/>
  <c r="AB176" i="3"/>
  <c r="Y176" i="3"/>
  <c r="V176" i="3"/>
  <c r="AE175" i="3"/>
  <c r="AB175" i="3"/>
  <c r="Y175" i="3"/>
  <c r="V175" i="3"/>
  <c r="AH174" i="3"/>
  <c r="AE174" i="3"/>
  <c r="AB174" i="3"/>
  <c r="Y174" i="3"/>
  <c r="AH173" i="3"/>
  <c r="AE173" i="3"/>
  <c r="AB173" i="3"/>
  <c r="Y173" i="3"/>
  <c r="AH172" i="3"/>
  <c r="AE172" i="3"/>
  <c r="AB172" i="3"/>
  <c r="Y172" i="3"/>
  <c r="AH171" i="3"/>
  <c r="AE171" i="3"/>
  <c r="AB171" i="3"/>
  <c r="Y171" i="3"/>
  <c r="AH170" i="3"/>
  <c r="AE170" i="3"/>
  <c r="AB170" i="3"/>
  <c r="Y170" i="3"/>
  <c r="AH169" i="3"/>
  <c r="AE169" i="3"/>
  <c r="AB169" i="3"/>
  <c r="Y169" i="3"/>
  <c r="AH168" i="3"/>
  <c r="AE168" i="3"/>
  <c r="AB168" i="3"/>
  <c r="Y168" i="3"/>
  <c r="AH167" i="3"/>
  <c r="AE167" i="3"/>
  <c r="AB167" i="3"/>
  <c r="Y167" i="3"/>
  <c r="V167" i="3"/>
  <c r="AH166" i="3"/>
  <c r="AE166" i="3"/>
  <c r="AB166" i="3"/>
  <c r="Y166" i="3"/>
  <c r="V166" i="3"/>
  <c r="AH165" i="3"/>
  <c r="AE165" i="3"/>
  <c r="AB165" i="3"/>
  <c r="Y165" i="3"/>
  <c r="AH164" i="3"/>
  <c r="AE164" i="3"/>
  <c r="AB164" i="3"/>
  <c r="Y164" i="3"/>
  <c r="AH163" i="3"/>
  <c r="AE163" i="3"/>
  <c r="AB163" i="3"/>
  <c r="Y163" i="3"/>
  <c r="V163" i="3"/>
  <c r="AH162" i="3"/>
  <c r="AE162" i="3"/>
  <c r="AB162" i="3"/>
  <c r="Y162" i="3"/>
  <c r="V162" i="3"/>
  <c r="AH161" i="3"/>
  <c r="AE161" i="3"/>
  <c r="AB161" i="3"/>
  <c r="Y161" i="3"/>
  <c r="V161" i="3"/>
  <c r="AH160" i="3"/>
  <c r="AE160" i="3"/>
  <c r="AB160" i="3"/>
  <c r="Y160" i="3"/>
  <c r="V160" i="3"/>
  <c r="AH159" i="3"/>
  <c r="AE159" i="3"/>
  <c r="AB159" i="3"/>
  <c r="Y159" i="3"/>
  <c r="V159" i="3"/>
  <c r="AH158" i="3"/>
  <c r="AE158" i="3"/>
  <c r="AB158" i="3"/>
  <c r="Y158" i="3"/>
  <c r="AH157" i="3"/>
  <c r="AE157" i="3"/>
  <c r="AB157" i="3"/>
  <c r="Y157" i="3"/>
  <c r="V157" i="3"/>
  <c r="AH156" i="3"/>
  <c r="AE156" i="3"/>
  <c r="AB156" i="3"/>
  <c r="Y156" i="3"/>
  <c r="V156" i="3"/>
  <c r="AH155" i="3"/>
  <c r="AE155" i="3"/>
  <c r="AB155" i="3"/>
  <c r="Y155" i="3"/>
  <c r="V155" i="3"/>
  <c r="AH154" i="3"/>
  <c r="AE154" i="3"/>
  <c r="AB154" i="3"/>
  <c r="Y154" i="3"/>
  <c r="V154" i="3"/>
  <c r="AH153" i="3"/>
  <c r="AE153" i="3"/>
  <c r="AB153" i="3"/>
  <c r="Y153" i="3"/>
  <c r="V153" i="3"/>
  <c r="AH152" i="3"/>
  <c r="AE152" i="3"/>
  <c r="AB152" i="3"/>
  <c r="Y152" i="3"/>
  <c r="V152" i="3"/>
  <c r="AH151" i="3"/>
  <c r="AE151" i="3"/>
  <c r="AB151" i="3"/>
  <c r="Y151" i="3"/>
  <c r="V151" i="3"/>
  <c r="AH150" i="3"/>
  <c r="AE150" i="3"/>
  <c r="AB150" i="3"/>
  <c r="Y150" i="3"/>
  <c r="V150" i="3"/>
  <c r="AH149" i="3"/>
  <c r="AE149" i="3"/>
  <c r="AB149" i="3"/>
  <c r="Y149" i="3"/>
  <c r="V149" i="3"/>
  <c r="AH148" i="3"/>
  <c r="AE148" i="3"/>
  <c r="AB148" i="3"/>
  <c r="Y148" i="3"/>
  <c r="V148" i="3"/>
  <c r="AH147" i="3"/>
  <c r="AE147" i="3"/>
  <c r="AB147" i="3"/>
  <c r="Y147" i="3"/>
  <c r="V147" i="3"/>
  <c r="AH146" i="3"/>
  <c r="AE146" i="3"/>
  <c r="AB146" i="3"/>
  <c r="Y146" i="3"/>
  <c r="V146" i="3"/>
  <c r="AH145" i="3"/>
  <c r="AE145" i="3"/>
  <c r="AB145" i="3"/>
  <c r="Y145" i="3"/>
  <c r="V145" i="3"/>
  <c r="AH144" i="3"/>
  <c r="AE144" i="3"/>
  <c r="AB144" i="3"/>
  <c r="Y144" i="3"/>
  <c r="V144" i="3"/>
  <c r="AH143" i="3"/>
  <c r="AE143" i="3"/>
  <c r="AB143" i="3"/>
  <c r="Y143" i="3"/>
  <c r="V143" i="3"/>
  <c r="AH142" i="3"/>
  <c r="AE142" i="3"/>
  <c r="AB142" i="3"/>
  <c r="Y142" i="3"/>
  <c r="V142" i="3"/>
  <c r="AH141" i="3"/>
  <c r="AE141" i="3"/>
  <c r="AB141" i="3"/>
  <c r="Y141" i="3"/>
  <c r="V141" i="3"/>
  <c r="AH140" i="3"/>
  <c r="AE140" i="3"/>
  <c r="AB140" i="3"/>
  <c r="Y140" i="3"/>
  <c r="V140" i="3"/>
  <c r="AH139" i="3"/>
  <c r="AE139" i="3"/>
  <c r="AB139" i="3"/>
  <c r="Y139" i="3"/>
  <c r="V139" i="3"/>
  <c r="AH138" i="3"/>
  <c r="AE138" i="3"/>
  <c r="AB138" i="3"/>
  <c r="AH137" i="3"/>
  <c r="AE137" i="3"/>
  <c r="AB137" i="3"/>
  <c r="Y137" i="3"/>
  <c r="AH136" i="3"/>
  <c r="AE136" i="3"/>
  <c r="AB136" i="3"/>
  <c r="Y136" i="3"/>
  <c r="V136" i="3"/>
  <c r="AH135" i="3"/>
  <c r="AE135" i="3"/>
  <c r="AB135" i="3"/>
  <c r="Y135" i="3"/>
  <c r="AH134" i="3"/>
  <c r="AE134" i="3"/>
  <c r="AB134" i="3"/>
  <c r="Y134" i="3"/>
  <c r="V134" i="3"/>
  <c r="AH133" i="3"/>
  <c r="AE133" i="3"/>
  <c r="AB133" i="3"/>
  <c r="Y133" i="3"/>
  <c r="AH132" i="3"/>
  <c r="AE132" i="3"/>
  <c r="AB132" i="3"/>
  <c r="Y132" i="3"/>
  <c r="V132" i="3"/>
  <c r="AH131" i="3"/>
  <c r="AE131" i="3"/>
  <c r="AB131" i="3"/>
  <c r="Y131" i="3"/>
  <c r="V131" i="3"/>
  <c r="AH130" i="3"/>
  <c r="AE130" i="3"/>
  <c r="AB130" i="3"/>
  <c r="Y130" i="3"/>
  <c r="V130" i="3"/>
  <c r="AH129" i="3"/>
  <c r="AE129" i="3"/>
  <c r="AB129" i="3"/>
  <c r="Y129" i="3"/>
  <c r="V129" i="3"/>
  <c r="AH128" i="3"/>
  <c r="AE128" i="3"/>
  <c r="AB128" i="3"/>
  <c r="Y128" i="3"/>
  <c r="V128" i="3"/>
  <c r="AH127" i="3"/>
  <c r="AE127" i="3"/>
  <c r="AB127" i="3"/>
  <c r="Y127" i="3"/>
  <c r="V127" i="3"/>
  <c r="AH126" i="3"/>
  <c r="AE126" i="3"/>
  <c r="AB126" i="3"/>
  <c r="Y126" i="3"/>
  <c r="V126" i="3"/>
  <c r="AH125" i="3"/>
  <c r="AE125" i="3"/>
  <c r="AB125" i="3"/>
  <c r="Y125" i="3"/>
  <c r="V125" i="3"/>
  <c r="AH124" i="3"/>
  <c r="AE124" i="3"/>
  <c r="AB124" i="3"/>
  <c r="Y124" i="3"/>
  <c r="V124" i="3"/>
  <c r="AH123" i="3"/>
  <c r="AE123" i="3"/>
  <c r="AB123" i="3"/>
  <c r="Y123" i="3"/>
  <c r="V123" i="3"/>
  <c r="AH122" i="3"/>
  <c r="AE122" i="3"/>
  <c r="AB122" i="3"/>
  <c r="Y122" i="3"/>
  <c r="V122" i="3"/>
  <c r="AH121" i="3"/>
  <c r="AE121" i="3"/>
  <c r="AB121" i="3"/>
  <c r="Y121" i="3"/>
  <c r="V121" i="3"/>
  <c r="AE120" i="3"/>
  <c r="AB120" i="3"/>
  <c r="Y120" i="3"/>
  <c r="V120" i="3"/>
  <c r="AH119" i="3"/>
  <c r="AE119" i="3"/>
  <c r="AB119" i="3"/>
  <c r="Y119" i="3"/>
  <c r="V119" i="3"/>
  <c r="AH118" i="3"/>
  <c r="AE118" i="3"/>
  <c r="AB118" i="3"/>
  <c r="Y118" i="3"/>
  <c r="AH117" i="3"/>
  <c r="AE117" i="3"/>
  <c r="AB117" i="3"/>
  <c r="Y117" i="3"/>
  <c r="V117" i="3"/>
  <c r="AH116" i="3"/>
  <c r="AE116" i="3"/>
  <c r="AB116" i="3"/>
  <c r="Y116" i="3"/>
  <c r="V116" i="3"/>
  <c r="AH115" i="3"/>
  <c r="AE115" i="3"/>
  <c r="AB115" i="3"/>
  <c r="Y115" i="3"/>
  <c r="V115" i="3"/>
  <c r="AH114" i="3"/>
  <c r="AE114" i="3"/>
  <c r="AB114" i="3"/>
  <c r="Y114" i="3"/>
  <c r="V114" i="3"/>
  <c r="AH113" i="3"/>
  <c r="AE113" i="3"/>
  <c r="AB113" i="3"/>
  <c r="Y113" i="3"/>
  <c r="V113" i="3"/>
  <c r="AH112" i="3"/>
  <c r="AE112" i="3"/>
  <c r="AB112" i="3"/>
  <c r="Y112" i="3"/>
  <c r="V112" i="3"/>
  <c r="AH111" i="3"/>
  <c r="AE111" i="3"/>
  <c r="AB111" i="3"/>
  <c r="Y111" i="3"/>
  <c r="V111" i="3"/>
  <c r="AH110" i="3"/>
  <c r="AE110" i="3"/>
  <c r="AB110" i="3"/>
  <c r="Y110" i="3"/>
  <c r="V110" i="3"/>
  <c r="AH109" i="3"/>
  <c r="AE109" i="3"/>
  <c r="AB109" i="3"/>
  <c r="Y109" i="3"/>
  <c r="V109" i="3"/>
  <c r="AH108" i="3"/>
  <c r="AE108" i="3"/>
  <c r="AB108" i="3"/>
  <c r="Y108" i="3"/>
  <c r="V108" i="3"/>
  <c r="AH107" i="3"/>
  <c r="AE107" i="3"/>
  <c r="AB107" i="3"/>
  <c r="Y107" i="3"/>
  <c r="V107" i="3"/>
  <c r="AH106" i="3"/>
  <c r="AE106" i="3"/>
  <c r="AB106" i="3"/>
  <c r="Y106" i="3"/>
  <c r="V106" i="3"/>
  <c r="AH105" i="3"/>
  <c r="AE105" i="3"/>
  <c r="AB105" i="3"/>
  <c r="Y105" i="3"/>
  <c r="V105" i="3"/>
  <c r="AH104" i="3"/>
  <c r="AE104" i="3"/>
  <c r="AB104" i="3"/>
  <c r="Y104" i="3"/>
  <c r="V104" i="3"/>
  <c r="AH103" i="3"/>
  <c r="AE103" i="3"/>
  <c r="AB103" i="3"/>
  <c r="Y103" i="3"/>
  <c r="V103" i="3"/>
  <c r="AH102" i="3"/>
  <c r="AE102" i="3"/>
  <c r="AB102" i="3"/>
  <c r="Y102" i="3"/>
  <c r="V102" i="3"/>
  <c r="AH101" i="3"/>
  <c r="AE101" i="3"/>
  <c r="AB101" i="3"/>
  <c r="Y101" i="3"/>
  <c r="V101" i="3"/>
  <c r="AH100" i="3"/>
  <c r="AE100" i="3"/>
  <c r="AB100" i="3"/>
  <c r="Y100" i="3"/>
  <c r="V100" i="3"/>
  <c r="AH99" i="3"/>
  <c r="AE99" i="3"/>
  <c r="AB99" i="3"/>
  <c r="Y99" i="3"/>
  <c r="V99" i="3"/>
  <c r="AH98" i="3"/>
  <c r="AE98" i="3"/>
  <c r="AB98" i="3"/>
  <c r="Y98" i="3"/>
  <c r="V98" i="3"/>
  <c r="AH97" i="3"/>
  <c r="AE97" i="3"/>
  <c r="AB97" i="3"/>
  <c r="Y97" i="3"/>
  <c r="V97" i="3"/>
  <c r="AH96" i="3"/>
  <c r="AE96" i="3"/>
  <c r="AB96" i="3"/>
  <c r="Y96" i="3"/>
  <c r="V96" i="3"/>
  <c r="AH95" i="3"/>
  <c r="AE95" i="3"/>
  <c r="AB95" i="3"/>
  <c r="Y95" i="3"/>
  <c r="V95" i="3"/>
  <c r="AH94" i="3"/>
  <c r="AE94" i="3"/>
  <c r="AB94" i="3"/>
  <c r="Y94" i="3"/>
  <c r="V94" i="3"/>
  <c r="AH93" i="3"/>
  <c r="AE93" i="3"/>
  <c r="AB93" i="3"/>
  <c r="Y93" i="3"/>
  <c r="V93" i="3"/>
  <c r="AH92" i="3"/>
  <c r="AE92" i="3"/>
  <c r="AB92" i="3"/>
  <c r="Y92" i="3"/>
  <c r="V92" i="3"/>
  <c r="AH91" i="3"/>
  <c r="AE91" i="3"/>
  <c r="AB91" i="3"/>
  <c r="Y91" i="3"/>
  <c r="V91" i="3"/>
  <c r="AH90" i="3"/>
  <c r="AE90" i="3"/>
  <c r="AB90" i="3"/>
  <c r="Y90" i="3"/>
  <c r="V90" i="3"/>
  <c r="AH89" i="3"/>
  <c r="AE89" i="3"/>
  <c r="AB89" i="3"/>
  <c r="Y89" i="3"/>
  <c r="V89" i="3"/>
  <c r="AH88" i="3"/>
  <c r="AE88" i="3"/>
  <c r="AB88" i="3"/>
  <c r="Y88" i="3"/>
  <c r="V88" i="3"/>
  <c r="AH87" i="3"/>
  <c r="AE87" i="3"/>
  <c r="AB87" i="3"/>
  <c r="Y87" i="3"/>
  <c r="V87" i="3"/>
  <c r="AH86" i="3"/>
  <c r="AE86" i="3"/>
  <c r="AB86" i="3"/>
  <c r="Y86" i="3"/>
  <c r="V86" i="3"/>
  <c r="AH85" i="3"/>
  <c r="AE85" i="3"/>
  <c r="AB85" i="3"/>
  <c r="Y85" i="3"/>
  <c r="V85" i="3"/>
  <c r="AH84" i="3"/>
  <c r="AE84" i="3"/>
  <c r="AB84" i="3"/>
  <c r="Y84" i="3"/>
  <c r="V84" i="3"/>
  <c r="AH83" i="3"/>
  <c r="AE83" i="3"/>
  <c r="AB83" i="3"/>
  <c r="Y83" i="3"/>
  <c r="V83" i="3"/>
  <c r="AH82" i="3"/>
  <c r="AE82" i="3"/>
  <c r="AB82" i="3"/>
  <c r="Y82" i="3"/>
  <c r="V82" i="3"/>
  <c r="AH81" i="3"/>
  <c r="AE81" i="3"/>
  <c r="AB81" i="3"/>
  <c r="Y81" i="3"/>
  <c r="V81" i="3"/>
  <c r="AH80" i="3"/>
  <c r="AE80" i="3"/>
  <c r="AB80" i="3"/>
  <c r="Y80" i="3"/>
  <c r="V80" i="3"/>
  <c r="AH79" i="3"/>
  <c r="AE79" i="3"/>
  <c r="AB79" i="3"/>
  <c r="Y79" i="3"/>
  <c r="V79" i="3"/>
  <c r="AH78" i="3"/>
  <c r="AE78" i="3"/>
  <c r="AB78" i="3"/>
  <c r="Y78" i="3"/>
  <c r="V78" i="3"/>
  <c r="AH77" i="3"/>
  <c r="AE77" i="3"/>
  <c r="AB77" i="3"/>
  <c r="Y77" i="3"/>
  <c r="V77" i="3"/>
  <c r="AH76" i="3"/>
  <c r="AE76" i="3"/>
  <c r="AB76" i="3"/>
  <c r="Y76" i="3"/>
  <c r="V76" i="3"/>
  <c r="AH75" i="3"/>
  <c r="AE75" i="3"/>
  <c r="AB75" i="3"/>
  <c r="Y75" i="3"/>
  <c r="V75" i="3"/>
  <c r="AH74" i="3"/>
  <c r="AE74" i="3"/>
  <c r="AB74" i="3"/>
  <c r="Y74" i="3"/>
  <c r="V74" i="3"/>
  <c r="AH73" i="3"/>
  <c r="AE73" i="3"/>
  <c r="AB73" i="3"/>
  <c r="Y73" i="3"/>
  <c r="V73" i="3"/>
  <c r="AH72" i="3"/>
  <c r="AE72" i="3"/>
  <c r="AB72" i="3"/>
  <c r="Y72" i="3"/>
  <c r="V72" i="3"/>
  <c r="AH71" i="3"/>
  <c r="AE71" i="3"/>
  <c r="AB71" i="3"/>
  <c r="Y71" i="3"/>
  <c r="V71" i="3"/>
  <c r="AH70" i="3"/>
  <c r="AE70" i="3"/>
  <c r="AB70" i="3"/>
  <c r="Y70" i="3"/>
  <c r="V70" i="3"/>
  <c r="AH69" i="3"/>
  <c r="AE69" i="3"/>
  <c r="AB69" i="3"/>
  <c r="Y69" i="3"/>
  <c r="V69" i="3"/>
  <c r="AH68" i="3"/>
  <c r="AE68" i="3"/>
  <c r="AB68" i="3"/>
  <c r="Y68" i="3"/>
  <c r="AH67" i="3"/>
  <c r="AE67" i="3"/>
  <c r="AB67" i="3"/>
  <c r="Y67" i="3"/>
  <c r="AH66" i="3"/>
  <c r="AE66" i="3"/>
  <c r="AB66" i="3"/>
  <c r="Y66" i="3"/>
  <c r="V66" i="3"/>
  <c r="AH65" i="3"/>
  <c r="AE65" i="3"/>
  <c r="AB65" i="3"/>
  <c r="Y65" i="3"/>
  <c r="V65" i="3"/>
  <c r="AH64" i="3"/>
  <c r="AE64" i="3"/>
  <c r="AB64" i="3"/>
  <c r="Y64" i="3"/>
  <c r="V64" i="3"/>
  <c r="AH63" i="3"/>
  <c r="AE63" i="3"/>
  <c r="AB63" i="3"/>
  <c r="Y63" i="3"/>
  <c r="V63" i="3"/>
  <c r="AH62" i="3"/>
  <c r="AE62" i="3"/>
  <c r="AB62" i="3"/>
  <c r="Y62" i="3"/>
  <c r="V62" i="3"/>
  <c r="AH61" i="3"/>
  <c r="AE61" i="3"/>
  <c r="AB61" i="3"/>
  <c r="Y61" i="3"/>
  <c r="V61" i="3"/>
  <c r="AH60" i="3"/>
  <c r="AE60" i="3"/>
  <c r="AB60" i="3"/>
  <c r="Y60" i="3"/>
  <c r="V60" i="3"/>
  <c r="AH59" i="3"/>
  <c r="AE59" i="3"/>
  <c r="AB59" i="3"/>
  <c r="Y59" i="3"/>
  <c r="V59" i="3"/>
  <c r="AH58" i="3"/>
  <c r="AE58" i="3"/>
  <c r="AB58" i="3"/>
  <c r="Y58" i="3"/>
  <c r="V58" i="3"/>
  <c r="AH57" i="3"/>
  <c r="AE57" i="3"/>
  <c r="AB57" i="3"/>
  <c r="Y57" i="3"/>
  <c r="V57" i="3"/>
  <c r="AH56" i="3"/>
  <c r="AE56" i="3"/>
  <c r="AB56" i="3"/>
  <c r="Y56" i="3"/>
  <c r="V56" i="3"/>
  <c r="AH55" i="3"/>
  <c r="AE55" i="3"/>
  <c r="AB55" i="3"/>
  <c r="Y55" i="3"/>
  <c r="V55" i="3"/>
  <c r="AH54" i="3"/>
  <c r="AE54" i="3"/>
  <c r="AB54" i="3"/>
  <c r="Y54" i="3"/>
  <c r="V54" i="3"/>
  <c r="AH53" i="3"/>
  <c r="AE53" i="3"/>
  <c r="AB53" i="3"/>
  <c r="Y53" i="3"/>
  <c r="AH52" i="3"/>
  <c r="AE52" i="3"/>
  <c r="AB52" i="3"/>
  <c r="Y52" i="3"/>
  <c r="V52" i="3"/>
  <c r="AH51" i="3"/>
  <c r="AE51" i="3"/>
  <c r="AB51" i="3"/>
  <c r="Y51" i="3"/>
  <c r="AH50" i="3"/>
  <c r="AE50" i="3"/>
  <c r="AB50" i="3"/>
  <c r="Y50" i="3"/>
  <c r="AH49" i="3"/>
  <c r="AE49" i="3"/>
  <c r="AB49" i="3"/>
  <c r="Y49" i="3"/>
  <c r="AH48" i="3"/>
  <c r="AE48" i="3"/>
  <c r="AB48" i="3"/>
  <c r="Y48" i="3"/>
  <c r="AH47" i="3"/>
  <c r="AE47" i="3"/>
  <c r="AB47" i="3"/>
  <c r="Y47" i="3"/>
  <c r="AH46" i="3"/>
  <c r="AE46" i="3"/>
  <c r="AB46" i="3"/>
  <c r="Y46" i="3"/>
  <c r="AH45" i="3"/>
  <c r="AE45" i="3"/>
  <c r="AB45" i="3"/>
  <c r="Y45" i="3"/>
  <c r="AH44" i="3"/>
  <c r="AE44" i="3"/>
  <c r="AB44" i="3"/>
  <c r="Y44" i="3"/>
  <c r="V44" i="3"/>
  <c r="AH43" i="3"/>
  <c r="AE43" i="3"/>
  <c r="AB43" i="3"/>
  <c r="Y43" i="3"/>
  <c r="V43" i="3"/>
  <c r="AH42" i="3"/>
  <c r="AE42" i="3"/>
  <c r="AB42" i="3"/>
  <c r="Y42" i="3"/>
  <c r="V42" i="3"/>
  <c r="AH41" i="3"/>
  <c r="AE41" i="3"/>
  <c r="AB41" i="3"/>
  <c r="Y41" i="3"/>
  <c r="V41" i="3"/>
  <c r="AH40" i="3"/>
  <c r="AE40" i="3"/>
  <c r="AB40" i="3"/>
  <c r="Y40" i="3"/>
  <c r="V40" i="3"/>
  <c r="AH39" i="3"/>
  <c r="AE39" i="3"/>
  <c r="AB39" i="3"/>
  <c r="Y39" i="3"/>
  <c r="V39" i="3"/>
  <c r="AH38" i="3"/>
  <c r="AE38" i="3"/>
  <c r="AB38" i="3"/>
  <c r="Y38" i="3"/>
  <c r="AH37" i="3"/>
  <c r="AE37" i="3"/>
  <c r="AB37" i="3"/>
  <c r="Y37" i="3"/>
  <c r="V37" i="3"/>
  <c r="AH36" i="3"/>
  <c r="AE36" i="3"/>
  <c r="AB36" i="3"/>
  <c r="Y36" i="3"/>
  <c r="V36" i="3"/>
  <c r="AH35" i="3"/>
  <c r="AE35" i="3"/>
  <c r="AB35" i="3"/>
  <c r="Y35" i="3"/>
  <c r="V35" i="3"/>
  <c r="AE34" i="3"/>
  <c r="Y34" i="3"/>
  <c r="V34" i="3"/>
  <c r="AH33" i="3"/>
  <c r="AE33" i="3"/>
  <c r="AB33" i="3"/>
  <c r="Y33" i="3"/>
  <c r="V33" i="3"/>
  <c r="AH32" i="3"/>
  <c r="AE32" i="3"/>
  <c r="AB32" i="3"/>
  <c r="Y32" i="3"/>
  <c r="V32" i="3"/>
  <c r="AH31" i="3"/>
  <c r="AE31" i="3"/>
  <c r="AB31" i="3"/>
  <c r="Y31" i="3"/>
  <c r="V31" i="3"/>
  <c r="AH30" i="3"/>
  <c r="AE30" i="3"/>
  <c r="AB30" i="3"/>
  <c r="Y30" i="3"/>
  <c r="V30" i="3"/>
  <c r="AH29" i="3"/>
  <c r="AE29" i="3"/>
  <c r="AB29" i="3"/>
  <c r="Y29" i="3"/>
  <c r="V29" i="3"/>
  <c r="AH28" i="3"/>
  <c r="AE28" i="3"/>
  <c r="AB28" i="3"/>
  <c r="Y28" i="3"/>
  <c r="V28" i="3"/>
  <c r="AH27" i="3"/>
  <c r="AE27" i="3"/>
  <c r="AB27" i="3"/>
  <c r="Y27" i="3"/>
  <c r="V27" i="3"/>
  <c r="AH26" i="3"/>
  <c r="AE26" i="3"/>
  <c r="AB26" i="3"/>
  <c r="Y26" i="3"/>
  <c r="V26" i="3"/>
  <c r="AH25" i="3"/>
  <c r="AE25" i="3"/>
  <c r="AB25" i="3"/>
  <c r="Y25" i="3"/>
  <c r="AH24" i="3"/>
  <c r="AE24" i="3"/>
  <c r="AB24" i="3"/>
  <c r="Y24" i="3"/>
  <c r="V24" i="3"/>
  <c r="AH23" i="3"/>
  <c r="AE23" i="3"/>
  <c r="AB23" i="3"/>
  <c r="Y23" i="3"/>
  <c r="V23" i="3"/>
  <c r="AH22" i="3"/>
  <c r="AE22" i="3"/>
  <c r="AB22" i="3"/>
  <c r="Y22" i="3"/>
  <c r="V22" i="3"/>
  <c r="AE21" i="3"/>
  <c r="Y21" i="3"/>
  <c r="V21" i="3"/>
  <c r="AH20" i="3"/>
  <c r="AE20" i="3"/>
  <c r="AB20" i="3"/>
  <c r="Y20" i="3"/>
  <c r="V20" i="3"/>
  <c r="AH19" i="3"/>
  <c r="AE19" i="3"/>
  <c r="AB19" i="3"/>
  <c r="Y19" i="3"/>
  <c r="V19" i="3"/>
  <c r="AE18" i="3"/>
  <c r="AB18" i="3"/>
  <c r="Y18" i="3"/>
  <c r="V18" i="3"/>
  <c r="AH17" i="3"/>
  <c r="AE17" i="3"/>
  <c r="AB17" i="3"/>
  <c r="Y17" i="3"/>
  <c r="V17" i="3"/>
  <c r="AH16" i="3"/>
  <c r="AE16" i="3"/>
  <c r="AB16" i="3"/>
  <c r="Y16" i="3"/>
  <c r="V16" i="3"/>
  <c r="AH15" i="3"/>
  <c r="AE15" i="3"/>
  <c r="AB15" i="3"/>
  <c r="Y15" i="3"/>
  <c r="V15" i="3"/>
  <c r="AE14" i="3"/>
  <c r="AB14" i="3"/>
  <c r="Y14" i="3"/>
  <c r="V14" i="3"/>
  <c r="AE13" i="3"/>
  <c r="AB13" i="3"/>
  <c r="Y13" i="3"/>
  <c r="V13" i="3"/>
  <c r="AE12" i="3"/>
  <c r="AB12" i="3"/>
  <c r="Y12" i="3"/>
  <c r="V12" i="3"/>
  <c r="AE11" i="3"/>
  <c r="AB11" i="3"/>
  <c r="Y11" i="3"/>
  <c r="V11" i="3"/>
  <c r="AE10" i="3"/>
  <c r="AB10" i="3"/>
  <c r="Y10" i="3"/>
  <c r="V10" i="3"/>
  <c r="AE9" i="3"/>
  <c r="AB9" i="3"/>
  <c r="Y9" i="3"/>
  <c r="V9" i="3"/>
  <c r="AE8" i="3"/>
  <c r="AB8" i="3"/>
  <c r="Y8" i="3"/>
  <c r="V8" i="3"/>
  <c r="AE7" i="3"/>
  <c r="AB7" i="3"/>
  <c r="Y7" i="3"/>
  <c r="V7" i="3"/>
  <c r="AE6" i="3"/>
  <c r="AB6" i="3"/>
  <c r="Y6" i="3"/>
  <c r="V6" i="3"/>
  <c r="AE5" i="3"/>
  <c r="AB5" i="3"/>
  <c r="Y5" i="3"/>
  <c r="V5" i="3"/>
  <c r="AH222" i="3" l="1"/>
  <c r="AF282" i="3"/>
  <c r="AG282" i="3"/>
  <c r="AH18" i="3"/>
  <c r="AH233" i="3"/>
  <c r="AH268" i="3"/>
  <c r="AH192" i="3"/>
  <c r="AH34" i="3"/>
  <c r="AH278" i="3"/>
  <c r="AH274" i="3"/>
  <c r="AH272" i="3"/>
  <c r="AH270" i="3"/>
  <c r="AH266" i="3"/>
  <c r="AH264" i="3"/>
  <c r="AH262" i="3"/>
  <c r="AH260" i="3"/>
  <c r="AH258" i="3"/>
  <c r="AH252" i="3"/>
  <c r="AH250" i="3"/>
  <c r="AH248" i="3"/>
  <c r="AH246" i="3"/>
  <c r="AH244" i="3"/>
  <c r="AH242" i="3"/>
  <c r="AH240" i="3"/>
  <c r="AH238" i="3"/>
  <c r="AH236" i="3"/>
  <c r="AH234" i="3"/>
  <c r="AH232" i="3"/>
  <c r="AH230" i="3"/>
  <c r="AH218" i="3"/>
  <c r="AH216" i="3"/>
  <c r="AH214" i="3"/>
  <c r="AH212" i="3"/>
  <c r="AH210" i="3"/>
  <c r="AH208" i="3"/>
  <c r="AH206" i="3"/>
  <c r="AH204" i="3"/>
  <c r="AH202" i="3"/>
  <c r="AH200" i="3"/>
  <c r="AH198" i="3"/>
  <c r="AH196" i="3"/>
  <c r="AH194" i="3"/>
  <c r="AH7" i="3"/>
  <c r="AH5" i="3"/>
  <c r="AH273" i="3"/>
  <c r="AH271" i="3"/>
  <c r="AH269" i="3"/>
  <c r="AH267" i="3"/>
  <c r="AH265" i="3"/>
  <c r="AH263" i="3"/>
  <c r="AH261" i="3"/>
  <c r="AH259" i="3"/>
  <c r="AH257" i="3"/>
  <c r="AH253" i="3"/>
  <c r="AH251" i="3"/>
  <c r="AH249" i="3"/>
  <c r="AH247" i="3"/>
  <c r="AH245" i="3"/>
  <c r="AH243" i="3"/>
  <c r="AH241" i="3"/>
  <c r="AH239" i="3"/>
  <c r="AH237" i="3"/>
  <c r="AH235" i="3"/>
  <c r="AH231" i="3"/>
  <c r="AH221" i="3"/>
  <c r="AH219" i="3"/>
  <c r="AH217" i="3"/>
  <c r="AH215" i="3"/>
  <c r="AH213" i="3"/>
  <c r="AH211" i="3"/>
  <c r="AH209" i="3"/>
  <c r="AH207" i="3"/>
  <c r="AH205" i="3"/>
  <c r="AH203" i="3"/>
  <c r="AH201" i="3"/>
  <c r="AH199" i="3"/>
  <c r="AH197" i="3"/>
  <c r="AH195" i="3"/>
  <c r="AH193" i="3"/>
  <c r="AH191" i="3"/>
  <c r="AH175" i="3"/>
  <c r="AH120" i="3"/>
  <c r="AH21" i="3"/>
  <c r="AH281" i="3"/>
  <c r="AH282"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 Esther Castillo Bolaño</author>
  </authors>
  <commentList>
    <comment ref="AX4" authorId="0" shapeId="0" xr:uid="{E4F61FC1-8173-4EA2-ACD8-71D38B769BEE}">
      <text>
        <r>
          <rPr>
            <b/>
            <sz val="9"/>
            <color indexed="81"/>
            <rFont val="Tahoma"/>
          </rPr>
          <t>Adriana Esther Castillo Bolaño:</t>
        </r>
        <r>
          <rPr>
            <sz val="9"/>
            <color indexed="81"/>
            <rFont val="Tahoma"/>
          </rPr>
          <t xml:space="preserve">
NOMBRE COMPLETO</t>
        </r>
      </text>
    </comment>
    <comment ref="AY4" authorId="0" shapeId="0" xr:uid="{9B28A29D-FB20-4858-9906-3AEE667509D0}">
      <text>
        <r>
          <rPr>
            <b/>
            <sz val="9"/>
            <color indexed="81"/>
            <rFont val="Tahoma"/>
          </rPr>
          <t>Adriana Esther Castillo Bolaño:</t>
        </r>
        <r>
          <rPr>
            <sz val="9"/>
            <color indexed="81"/>
            <rFont val="Tahoma"/>
          </rPr>
          <t xml:space="preserve">
PLANTA / CONTRATISTA</t>
        </r>
      </text>
    </comment>
    <comment ref="P248" authorId="0" shapeId="0" xr:uid="{0586D0CF-F235-4008-ACE9-FCE4CB1FCD65}">
      <text>
        <r>
          <rPr>
            <b/>
            <sz val="9"/>
            <color indexed="81"/>
            <rFont val="Tahoma"/>
            <family val="2"/>
          </rPr>
          <t>Adriana Esther Castillo Bolaño:</t>
        </r>
        <r>
          <rPr>
            <sz val="9"/>
            <color indexed="81"/>
            <rFont val="Tahoma"/>
            <family val="2"/>
          </rPr>
          <t xml:space="preserve">
QUEDO A ACARGO DE MARCO DONADO Y JUAN SIERRA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Adriana Esther Castillo Bolaño</author>
  </authors>
  <commentList>
    <comment ref="D9" authorId="0" shapeId="0" xr:uid="{0210BB1F-130A-4E37-8A97-32B938B18DB1}">
      <text>
        <r>
          <rPr>
            <b/>
            <sz val="9"/>
            <color indexed="81"/>
            <rFont val="Tahoma"/>
            <family val="2"/>
          </rPr>
          <t>registra en planta como slaud mental y papsivi</t>
        </r>
      </text>
    </comment>
    <comment ref="C28" authorId="0" shapeId="0" xr:uid="{68CC88B2-6A8E-4705-AD91-137C36895870}">
      <text>
        <r>
          <rPr>
            <b/>
            <sz val="9"/>
            <color indexed="81"/>
            <rFont val="Tahoma"/>
            <family val="2"/>
          </rPr>
          <t>Adriana Esther Castillo Bolaño:ENFERMEDADES CRONICA NO TRANSMISIBLES</t>
        </r>
        <r>
          <rPr>
            <sz val="9"/>
            <color indexed="81"/>
            <rFont val="Tahoma"/>
            <family val="2"/>
          </rPr>
          <t xml:space="preserve">
</t>
        </r>
      </text>
    </comment>
    <comment ref="D44" authorId="0" shapeId="0" xr:uid="{151DF56A-F8D1-4CF0-A410-CA2B71F94FA2}">
      <text>
        <r>
          <rPr>
            <sz val="9"/>
            <color indexed="81"/>
            <rFont val="Tahoma"/>
            <family val="2"/>
          </rPr>
          <t xml:space="preserve">Registra en nomina como salud publica
</t>
        </r>
      </text>
    </comment>
    <comment ref="G93" authorId="0" shapeId="0" xr:uid="{78412DE5-C26A-46D1-B4AE-DD6CE4E1CF72}">
      <text>
        <r>
          <rPr>
            <b/>
            <sz val="9"/>
            <color indexed="81"/>
            <rFont val="Tahoma"/>
            <family val="2"/>
          </rPr>
          <t>Adriana Esther Castillo Bolaño:</t>
        </r>
        <r>
          <rPr>
            <sz val="9"/>
            <color indexed="81"/>
            <rFont val="Tahoma"/>
            <family val="2"/>
          </rPr>
          <t xml:space="preserve">
PAMEC - SIST INFORMACION</t>
        </r>
      </text>
    </comment>
    <comment ref="G94" authorId="0" shapeId="0" xr:uid="{C540C657-855F-420D-9C71-E149A9BDBA0A}">
      <text>
        <r>
          <rPr>
            <b/>
            <sz val="9"/>
            <color indexed="81"/>
            <rFont val="Tahoma"/>
            <family val="2"/>
          </rPr>
          <t>Adriana Esther Castillo Bolaño:</t>
        </r>
        <r>
          <rPr>
            <sz val="9"/>
            <color indexed="81"/>
            <rFont val="Tahoma"/>
            <family val="2"/>
          </rPr>
          <t xml:space="preserve">
SEGURIDAD DEL PACIENTE</t>
        </r>
      </text>
    </comment>
    <comment ref="D101" authorId="0" shapeId="0" xr:uid="{3DA2D4D8-2ABE-4E6E-977D-E63A89E1D8E8}">
      <text>
        <r>
          <rPr>
            <b/>
            <sz val="9"/>
            <color indexed="81"/>
            <rFont val="Tahoma"/>
            <family val="2"/>
          </rPr>
          <t>Adriana Esther Castillo Bolaño:</t>
        </r>
        <r>
          <rPr>
            <sz val="9"/>
            <color indexed="81"/>
            <rFont val="Tahoma"/>
            <family val="2"/>
          </rPr>
          <t xml:space="preserve">
PENDIENTE LEGALIZACION DE CONTRATO</t>
        </r>
      </text>
    </comment>
    <comment ref="D104" authorId="0" shapeId="0" xr:uid="{12475CBB-A04D-4EAB-9EEB-D12FB0DB6EB6}">
      <text>
        <r>
          <rPr>
            <b/>
            <sz val="9"/>
            <color indexed="81"/>
            <rFont val="Tahoma"/>
            <family val="2"/>
          </rPr>
          <t>Adriana Esther Castillo Bolaño:</t>
        </r>
        <r>
          <rPr>
            <sz val="9"/>
            <color indexed="81"/>
            <rFont val="Tahoma"/>
            <family val="2"/>
          </rPr>
          <t xml:space="preserve">
PENDIENTE LEGALIZACION DEL CONTRATO</t>
        </r>
      </text>
    </comment>
    <comment ref="G106" authorId="0" shapeId="0" xr:uid="{21ACD1AE-0949-464F-8F6B-27FD86008A38}">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G107" authorId="0" shapeId="0" xr:uid="{B3969827-1285-4CA2-A879-327CC3FE3271}">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G108" authorId="0" shapeId="0" xr:uid="{5FA813F2-98CF-4F2D-8EE3-2EC0C362001C}">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G109" authorId="0" shapeId="0" xr:uid="{84555874-D3C2-434A-B4D5-E4549B8515D9}">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D110" authorId="0" shapeId="0" xr:uid="{3F902C52-9B8C-40C9-B7FA-688916242398}">
      <text>
        <r>
          <rPr>
            <b/>
            <sz val="9"/>
            <color indexed="81"/>
            <rFont val="Tahoma"/>
            <family val="2"/>
          </rPr>
          <t>Adriana Esther Castillo Bolaño:</t>
        </r>
        <r>
          <rPr>
            <sz val="9"/>
            <color indexed="81"/>
            <rFont val="Tahoma"/>
            <family val="2"/>
          </rPr>
          <t xml:space="preserve">
NO APARECE EN LISTADO DECONTRATISTAS TERMINA 15 12-26</t>
        </r>
      </text>
    </comment>
    <comment ref="G110" authorId="0" shapeId="0" xr:uid="{03144637-A007-4602-A492-C4672238C848}">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G111" authorId="0" shapeId="0" xr:uid="{15D71842-3BAA-4C76-9DBD-9FE2F199208C}">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G112" authorId="0" shapeId="0" xr:uid="{D00AE8F7-449C-4260-A148-F5726E709C78}">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G113" authorId="0" shapeId="0" xr:uid="{0695C50D-7CFF-40B1-B04F-64C913F60F8B}">
      <text>
        <r>
          <rPr>
            <b/>
            <sz val="9"/>
            <color indexed="81"/>
            <rFont val="Tahoma"/>
            <family val="2"/>
          </rPr>
          <t>Adriana Esther Castillo Bolaño:</t>
        </r>
        <r>
          <rPr>
            <sz val="9"/>
            <color indexed="81"/>
            <rFont val="Tahoma"/>
            <family val="2"/>
          </rPr>
          <t xml:space="preserve">
PQR-POLITICAS DE PAT SOCIAL - MECANISMOS DE PART SOCIAL - ENCUESTAS DE SATISFACCION</t>
        </r>
      </text>
    </comment>
    <comment ref="D145" authorId="0" shapeId="0" xr:uid="{F174398A-0E5E-4D41-83DD-4191050710FC}">
      <text>
        <r>
          <rPr>
            <b/>
            <sz val="9"/>
            <color indexed="81"/>
            <rFont val="Tahoma"/>
            <family val="2"/>
          </rPr>
          <t>Adriana Esther Castillo Bolaño:</t>
        </r>
        <r>
          <rPr>
            <sz val="9"/>
            <color indexed="81"/>
            <rFont val="Tahoma"/>
            <family val="2"/>
          </rPr>
          <t xml:space="preserve">
RADIO OPERADOR</t>
        </r>
      </text>
    </comment>
    <comment ref="D149" authorId="0" shapeId="0" xr:uid="{AF4C1641-AE9B-4130-A6C4-C72ED739D169}">
      <text>
        <r>
          <rPr>
            <b/>
            <sz val="9"/>
            <color indexed="81"/>
            <rFont val="Tahoma"/>
            <family val="2"/>
          </rPr>
          <t>Adriana Esther Castillo Bolaño:</t>
        </r>
        <r>
          <rPr>
            <sz val="9"/>
            <color indexed="81"/>
            <rFont val="Tahoma"/>
            <family val="2"/>
          </rPr>
          <t xml:space="preserve">
RADIO OPERADOR</t>
        </r>
      </text>
    </comment>
    <comment ref="D150" authorId="0" shapeId="0" xr:uid="{3722A8C8-7CAD-4EA9-8829-E46231BA504E}">
      <text>
        <r>
          <rPr>
            <b/>
            <sz val="9"/>
            <color indexed="81"/>
            <rFont val="Tahoma"/>
            <family val="2"/>
          </rPr>
          <t>Adriana Esther Castillo Bolaño:</t>
        </r>
        <r>
          <rPr>
            <sz val="9"/>
            <color indexed="81"/>
            <rFont val="Tahoma"/>
            <family val="2"/>
          </rPr>
          <t xml:space="preserve">
RADIO OPERADOR</t>
        </r>
      </text>
    </comment>
  </commentList>
</comments>
</file>

<file path=xl/sharedStrings.xml><?xml version="1.0" encoding="utf-8"?>
<sst xmlns="http://schemas.openxmlformats.org/spreadsheetml/2006/main" count="12871" uniqueCount="2616">
  <si>
    <t>INSTRUCTIVO  "PLANEACIÓN INTEGRAL PARA LA SALUD" - PLAN TERRITORIAL DE SALUD "PTS"</t>
  </si>
  <si>
    <t xml:space="preserve">MINISTERIO DE SALUD Y PROTECCION SOCIAL - DIRECCIÓN DE EPIDEMIOLOGÍA Y DEMOGRAFÍA
GRUPO DE PLANEACION DE SALUD PÚBLICA </t>
  </si>
  <si>
    <t>PLAN DECENAL DE SALUD PÚBLICA "PDSP 2022-2031"</t>
  </si>
  <si>
    <t>Nota: Todas las columnas de tipo texto deben tener una extensión de mínimo 10 caracteres, registre el año de la vigencia y el trimestre a reportar</t>
  </si>
  <si>
    <t xml:space="preserve">V. PLAN DE ACCIÓN EN SALUD </t>
  </si>
  <si>
    <t>tipo de dato</t>
  </si>
  <si>
    <t>Observación</t>
  </si>
  <si>
    <r>
      <rPr>
        <b/>
        <sz val="11"/>
        <color theme="1"/>
        <rFont val="Arial"/>
        <family val="2"/>
      </rPr>
      <t xml:space="preserve">0. Id Actividad: </t>
    </r>
    <r>
      <rPr>
        <sz val="11"/>
        <color theme="1"/>
        <rFont val="Arial"/>
        <family val="2"/>
      </rPr>
      <t>Número consecutivo identificador único de la actividad.</t>
    </r>
  </si>
  <si>
    <t>Número entero</t>
  </si>
  <si>
    <t>En el caso de las actividades asociadas a varias fuentes de financiación, se debe repetir la fila y el unico valor que cambia es la nueva fuente de financiación y su respectivo código de fuente</t>
  </si>
  <si>
    <r>
      <rPr>
        <b/>
        <sz val="11"/>
        <color theme="1"/>
        <rFont val="Arial"/>
        <family val="2"/>
      </rPr>
      <t>1. Núcleo de inequidad socio sanitaria:</t>
    </r>
    <r>
      <rPr>
        <sz val="11"/>
        <color theme="1"/>
        <rFont val="Arial"/>
        <family val="2"/>
      </rPr>
      <t xml:space="preserve"> Coloque  la redacción corta del Núcleo de Inequidad Sociosanitaria</t>
    </r>
  </si>
  <si>
    <t>Texto Maximo 4000 caracteres</t>
  </si>
  <si>
    <r>
      <rPr>
        <b/>
        <sz val="11"/>
        <color theme="1"/>
        <rFont val="Arial"/>
        <family val="2"/>
      </rPr>
      <t>2. Eje PDSP 2022-2031</t>
    </r>
    <r>
      <rPr>
        <sz val="11"/>
        <color theme="1"/>
        <rFont val="Arial"/>
        <family val="2"/>
      </rPr>
      <t>: Seleccione el eje estratégico del PDSP 2022-2031</t>
    </r>
  </si>
  <si>
    <t>Lista desplegable</t>
  </si>
  <si>
    <r>
      <rPr>
        <b/>
        <sz val="11"/>
        <color theme="1"/>
        <rFont val="Arial"/>
        <family val="2"/>
      </rPr>
      <t>3. Pilares del modelo salud preventivo, predictivo y resolutivo</t>
    </r>
    <r>
      <rPr>
        <sz val="11"/>
        <color theme="1"/>
        <rFont val="Arial"/>
        <family val="2"/>
      </rPr>
      <t xml:space="preserve">: Selección el pilar del modelo de salud preventivo, predictivo y resolutivo que le apunta al eje estratégico del PDSP 2022-2031, que seleccionó anteriormente. </t>
    </r>
  </si>
  <si>
    <t>Los valores de esta lista dependen del eje seleccionado</t>
  </si>
  <si>
    <r>
      <rPr>
        <b/>
        <sz val="11"/>
        <color theme="1"/>
        <rFont val="Arial"/>
        <family val="2"/>
      </rPr>
      <t>4. Resultado esperado por eje PDSP 2022-2031:</t>
    </r>
    <r>
      <rPr>
        <sz val="11"/>
        <color theme="1"/>
        <rFont val="Arial"/>
        <family val="2"/>
      </rPr>
      <t xml:space="preserve"> De acuerdo con el eje estratégico del PDSP 2022-2031 seleccione el resultado esperado correspondiente.</t>
    </r>
  </si>
  <si>
    <t>Los valores de esta lista dependen del pilar seleccionado</t>
  </si>
  <si>
    <r>
      <rPr>
        <b/>
        <sz val="11"/>
        <color theme="1"/>
        <rFont val="Arial"/>
        <family val="2"/>
      </rPr>
      <t>5. Estrategia del Plan Territorial de Salud</t>
    </r>
    <r>
      <rPr>
        <sz val="11"/>
        <color theme="1"/>
        <rFont val="Arial"/>
        <family val="2"/>
      </rPr>
      <t xml:space="preserve">: Escriba la estrategia del Plan territorial de Salud a la que va a apuntar, teniendo en cuenta el nucleo de inequidad socio sanitaria y que guarde coherencia con la actividad que se define en el numeral 9 de la misma fila </t>
    </r>
  </si>
  <si>
    <r>
      <rPr>
        <b/>
        <sz val="11"/>
        <color theme="1"/>
        <rFont val="Arial"/>
        <family val="2"/>
      </rPr>
      <t>6. Meta estratégica el PDSP 2022-2031:</t>
    </r>
    <r>
      <rPr>
        <sz val="11"/>
        <color theme="1"/>
        <rFont val="Arial"/>
        <family val="2"/>
      </rPr>
      <t xml:space="preserve"> Seleccione en la lista desplegable la meta estratégica acorde al eje estratégico del PDSP a la cual aporta la actividad definida. Tenga en cuenta que debe ser coherente con el nucleo de inequidad socio sanitaria</t>
    </r>
  </si>
  <si>
    <r>
      <rPr>
        <b/>
        <sz val="11"/>
        <color theme="1"/>
        <rFont val="Arial"/>
        <family val="2"/>
      </rPr>
      <t>6.1 Meta estratégica del PTS adaptada al territorio:</t>
    </r>
    <r>
      <rPr>
        <sz val="11"/>
        <color theme="1"/>
        <rFont val="Arial"/>
        <family val="2"/>
      </rPr>
      <t xml:space="preserve"> Escriba la meta estratégica del Plan territorial de salud correspondiente. Tenga en cuenta que esta debe ser adaptada al territorio, coherente con la meta estratégica del PDSP 2022-2031 y debe apuntar al nucleo de inequidad.</t>
    </r>
  </si>
  <si>
    <r>
      <rPr>
        <b/>
        <sz val="11"/>
        <color theme="1"/>
        <rFont val="Arial"/>
        <family val="2"/>
      </rPr>
      <t xml:space="preserve">7. Meta de resultado en salud del PDSP 2022-2031: </t>
    </r>
    <r>
      <rPr>
        <sz val="11"/>
        <color theme="1"/>
        <rFont val="Arial"/>
        <family val="2"/>
      </rPr>
      <t>Seleccione en la lista desplegable la meta de resultado del PDSP 2022-2031 a la que apunta la actividad definida. Tenga en cuenta que debe ser coherente con el nucleo de inequidad socio sanitaria</t>
    </r>
  </si>
  <si>
    <r>
      <rPr>
        <b/>
        <sz val="11"/>
        <color theme="1"/>
        <rFont val="Arial"/>
        <family val="2"/>
      </rPr>
      <t>7.1. Meta de resultado en salud del PTS adaptada al territorio:</t>
    </r>
    <r>
      <rPr>
        <sz val="11"/>
        <color theme="1"/>
        <rFont val="Arial"/>
        <family val="2"/>
      </rPr>
      <t xml:space="preserve"> Escriba la meta de resultado del Plan territorial de salud correspondiente. Tenga en cuenta que esta debe ser adaptada al territorio, coherente con la meta de resultado del PDSP 2022-2031 y debe apuntar al nucleo de inequidad.</t>
    </r>
  </si>
  <si>
    <r>
      <rPr>
        <b/>
        <sz val="11"/>
        <color theme="1"/>
        <rFont val="Arial"/>
        <family val="2"/>
      </rPr>
      <t>8. Programa:</t>
    </r>
    <r>
      <rPr>
        <sz val="11"/>
        <color theme="1"/>
        <rFont val="Arial"/>
        <family val="2"/>
      </rPr>
      <t xml:space="preserve"> Registre el nombre del programa del Plan Territorial de Salud-PTS a ejecutar en el periodo de gobierno, cuyo logro contribuirá a alcanzar las metas sanitarias. (Salud Pública, Inspección, Vigilancia y Control, Aseguramiento y Prestación de Servicios). DNP Catalogo de Productos. </t>
    </r>
  </si>
  <si>
    <r>
      <rPr>
        <b/>
        <sz val="11"/>
        <color theme="1"/>
        <rFont val="Arial"/>
        <family val="2"/>
      </rPr>
      <t xml:space="preserve">9. Subrograma: </t>
    </r>
    <r>
      <rPr>
        <sz val="11"/>
        <color theme="1"/>
        <rFont val="Arial"/>
        <family val="2"/>
      </rPr>
      <t xml:space="preserve">Escriba el nombre del subprograma del Plan territorial de salud que corresponde a ejecutar en el periodo de gobierno y que sea  coherente con la estrategia y la actividad definida. Para aquellos territorios que no cuenten con subprograma registre " No aplica"  </t>
    </r>
  </si>
  <si>
    <r>
      <rPr>
        <b/>
        <sz val="11"/>
        <color theme="1"/>
        <rFont val="Arial"/>
        <family val="2"/>
      </rPr>
      <t>10. Proyecto BPI:</t>
    </r>
    <r>
      <rPr>
        <sz val="11"/>
        <color theme="1"/>
        <rFont val="Arial"/>
        <family val="2"/>
      </rPr>
      <t xml:space="preserve"> Corresponde al nombre del Proyecto de Inversión registrado en el banco de programas y proyectos de inversión territorial y que está programado para la correspondiente vigencia fiscal. </t>
    </r>
  </si>
  <si>
    <r>
      <rPr>
        <b/>
        <sz val="11"/>
        <color theme="1"/>
        <rFont val="Arial"/>
        <family val="2"/>
      </rPr>
      <t>11. Meta de Producto:</t>
    </r>
    <r>
      <rPr>
        <sz val="11"/>
        <color theme="1"/>
        <rFont val="Arial"/>
        <family val="2"/>
      </rPr>
      <t xml:space="preserve"> Escriba la meta de producto teniendo en cuenta el Catalogo de productos de Metodologia General Ajustada-MGA del Departamento Nacional de Planeación. </t>
    </r>
  </si>
  <si>
    <r>
      <rPr>
        <b/>
        <sz val="11"/>
        <color theme="1"/>
        <rFont val="Arial"/>
        <family val="2"/>
      </rPr>
      <t xml:space="preserve">12. Línea Operativa PDSP 2022-2031: </t>
    </r>
    <r>
      <rPr>
        <sz val="11"/>
        <color theme="1"/>
        <rFont val="Arial"/>
        <family val="2"/>
      </rPr>
      <t xml:space="preserve">Seleccione de la lista despelagable la linea operativa correspondiente. Tenga en cuenta que esta sea coherente con la actividad definida. </t>
    </r>
  </si>
  <si>
    <r>
      <rPr>
        <b/>
        <sz val="11"/>
        <color theme="1"/>
        <rFont val="Arial"/>
        <family val="2"/>
      </rPr>
      <t xml:space="preserve">13. Gestion territorial integral para la salud pública: </t>
    </r>
    <r>
      <rPr>
        <sz val="11"/>
        <color theme="1"/>
        <rFont val="Arial"/>
        <family val="2"/>
      </rPr>
      <t xml:space="preserve">Seleccione de la lista desplegable el tipo de actividad que va a desarrollar según corresponda ( Plan de Intervenciones Colectivas, Procesos Transversales de la Gestión de la Salud Pública, No Aplica) </t>
    </r>
  </si>
  <si>
    <r>
      <rPr>
        <b/>
        <sz val="11"/>
        <color theme="1"/>
        <rFont val="Arial"/>
        <family val="2"/>
      </rPr>
      <t xml:space="preserve">14. Actividad: </t>
    </r>
    <r>
      <rPr>
        <sz val="11"/>
        <color theme="1"/>
        <rFont val="Arial"/>
        <family val="2"/>
      </rPr>
      <t xml:space="preserve">Escriba la actividad que va a desarrollar que apunte a resolver o mitigar el nucleo de inequidad en salud, y que sea coherente con la estrategia, el programa, el subprograma y el proyecto. Recuerde que la actividad debe tener verbo en infinitivo+objeto directo+frase descriptiva ( ejemplo: Desarrollar  taller práctico con el talento humano de IPS del municipio en la identificación del riesgo cardiovascular y metabólico y en asesoría según perfil de riesgo). </t>
    </r>
    <r>
      <rPr>
        <b/>
        <sz val="11"/>
        <color theme="1"/>
        <rFont val="Arial"/>
        <family val="2"/>
      </rPr>
      <t>Si una actividad tiene más de una fuente de financiación, a partir del segundo registro de la misma actividad, NO diligencie las casillas 15,16,17 y 18.</t>
    </r>
  </si>
  <si>
    <r>
      <rPr>
        <b/>
        <sz val="11"/>
        <color theme="1"/>
        <rFont val="Arial"/>
        <family val="2"/>
      </rPr>
      <t>15. Cantidad:</t>
    </r>
    <r>
      <rPr>
        <sz val="11"/>
        <color theme="1"/>
        <rFont val="Arial"/>
        <family val="2"/>
      </rPr>
      <t xml:space="preserve"> Escriba el numero de actividades que se van a realizar en la vigencia. </t>
    </r>
  </si>
  <si>
    <r>
      <rPr>
        <b/>
        <sz val="11"/>
        <color theme="1"/>
        <rFont val="Arial"/>
        <family val="2"/>
      </rPr>
      <t xml:space="preserve">16. Unidad de medida: </t>
    </r>
    <r>
      <rPr>
        <sz val="11"/>
        <color theme="1"/>
        <rFont val="Arial"/>
        <family val="2"/>
      </rPr>
      <t>Escriba el objeto a cuantificar de la actividad propuesta. Ejemplo: Asistencias tecnicas, jornadas, capacitaciones, sesiones, personas, etc…</t>
    </r>
  </si>
  <si>
    <t>Texto Maximo 500 caracteres</t>
  </si>
  <si>
    <r>
      <rPr>
        <b/>
        <sz val="11"/>
        <color theme="1"/>
        <rFont val="Arial"/>
        <family val="2"/>
      </rPr>
      <t xml:space="preserve">17. Actividades seguimiento: </t>
    </r>
    <r>
      <rPr>
        <sz val="11"/>
        <color theme="1"/>
        <rFont val="Arial"/>
        <family val="2"/>
      </rPr>
      <t xml:space="preserve">
</t>
    </r>
    <r>
      <rPr>
        <u/>
        <sz val="11"/>
        <color theme="1"/>
        <rFont val="Arial"/>
        <family val="2"/>
      </rPr>
      <t>Programado</t>
    </r>
    <r>
      <rPr>
        <sz val="11"/>
        <color theme="1"/>
        <rFont val="Arial"/>
        <family val="2"/>
      </rPr>
      <t xml:space="preserve">: Ingrese el número de actividades programadas para cada trimestre.
</t>
    </r>
    <r>
      <rPr>
        <u/>
        <sz val="11"/>
        <color theme="1"/>
        <rFont val="Arial"/>
        <family val="2"/>
      </rPr>
      <t>Ejecutado:</t>
    </r>
    <r>
      <rPr>
        <sz val="11"/>
        <color theme="1"/>
        <rFont val="Arial"/>
        <family val="2"/>
      </rPr>
      <t xml:space="preserve"> Ingrese el número de actividades ejecutadas por trimestre.
</t>
    </r>
    <r>
      <rPr>
        <u/>
        <sz val="11"/>
        <color theme="1"/>
        <rFont val="Arial"/>
        <family val="2"/>
      </rPr>
      <t>% cumplimiento trimestra</t>
    </r>
    <r>
      <rPr>
        <sz val="11"/>
        <color theme="1"/>
        <rFont val="Arial"/>
        <family val="2"/>
      </rPr>
      <t xml:space="preserve">l: Esta casilla no debe diligenciarse, el cálculo se hace de forma automática. Expresa la proporción de actividades ejecutadas en cada trimestre que le brindará el resultado semaforizado.
</t>
    </r>
    <r>
      <rPr>
        <u/>
        <sz val="11"/>
        <color theme="1"/>
        <rFont val="Arial"/>
        <family val="2"/>
      </rPr>
      <t>Programado total</t>
    </r>
    <r>
      <rPr>
        <sz val="11"/>
        <color theme="1"/>
        <rFont val="Arial"/>
        <family val="2"/>
      </rPr>
      <t xml:space="preserve">: Esta casilla no debe diligenciarse, el cálculo se hace de forma automática. Corresponde a la sumatoria acumulada de actividades programadas en cada trimestre. El número debe ser igual al total de actividades para el año ingresado en la variable 15.
</t>
    </r>
    <r>
      <rPr>
        <u/>
        <sz val="11"/>
        <color theme="1"/>
        <rFont val="Arial"/>
        <family val="2"/>
      </rPr>
      <t>Ejecutado total</t>
    </r>
    <r>
      <rPr>
        <sz val="11"/>
        <color theme="1"/>
        <rFont val="Arial"/>
        <family val="2"/>
      </rPr>
      <t xml:space="preserve">: Esta casilla no debe diligenciarse, el cálculo se hace de forma automática. Corresponde a la sumatoria acumulada de actividades ejecutadas en cada trimestre.
</t>
    </r>
    <r>
      <rPr>
        <u/>
        <sz val="11"/>
        <color theme="1"/>
        <rFont val="Arial"/>
        <family val="2"/>
      </rPr>
      <t>% Cumplimiento Acumulado</t>
    </r>
    <r>
      <rPr>
        <sz val="11"/>
        <color theme="1"/>
        <rFont val="Arial"/>
        <family val="2"/>
      </rPr>
      <t xml:space="preserve">: Esta casilla no debe diligenciarse, el cálculo se hace de forma automática. Corresponde al cumplimiento acumulado para el año de acuerdo al trimestre de reporte y le brindará el resultado semaforizado.
</t>
    </r>
  </si>
  <si>
    <t>Numero entero</t>
  </si>
  <si>
    <r>
      <rPr>
        <b/>
        <sz val="11"/>
        <color rgb="FF000000"/>
        <rFont val="Arial"/>
        <family val="2"/>
      </rPr>
      <t xml:space="preserve">18. Cronograma: </t>
    </r>
    <r>
      <rPr>
        <sz val="11"/>
        <color rgb="FF000000"/>
        <rFont val="Arial"/>
        <family val="2"/>
      </rPr>
      <t xml:space="preserve">Escriba la fecha de inicio de la actividad y la fecha de terminación. </t>
    </r>
  </si>
  <si>
    <t>fecha</t>
  </si>
  <si>
    <r>
      <rPr>
        <b/>
        <sz val="11"/>
        <color rgb="FF000000"/>
        <rFont val="Arial"/>
        <family val="2"/>
      </rPr>
      <t xml:space="preserve">19.  Recursos: </t>
    </r>
    <r>
      <rPr>
        <sz val="11"/>
        <color rgb="FF000000"/>
        <rFont val="Arial"/>
        <family val="2"/>
      </rPr>
      <t xml:space="preserve">
</t>
    </r>
    <r>
      <rPr>
        <u/>
        <sz val="11"/>
        <color rgb="FF000000"/>
        <rFont val="Arial"/>
        <family val="2"/>
      </rPr>
      <t>Rubro presupuesta</t>
    </r>
    <r>
      <rPr>
        <sz val="11"/>
        <color rgb="FF000000"/>
        <rFont val="Arial"/>
        <family val="2"/>
      </rPr>
      <t xml:space="preserve">l: Corresponde al nombre y código del objeto de gasto o ingreso.
</t>
    </r>
    <r>
      <rPr>
        <u/>
        <sz val="11"/>
        <color rgb="FF000000"/>
        <rFont val="Arial"/>
        <family val="2"/>
      </rPr>
      <t>Fuente de Financiación</t>
    </r>
    <r>
      <rPr>
        <sz val="11"/>
        <color rgb="FF000000"/>
        <rFont val="Arial"/>
        <family val="2"/>
      </rPr>
      <t xml:space="preserve">: Seleccione de la lista desplegable la fuente de financiación de la actividad.
</t>
    </r>
    <r>
      <rPr>
        <u/>
        <sz val="11"/>
        <color rgb="FF000000"/>
        <rFont val="Arial"/>
        <family val="2"/>
      </rPr>
      <t>Código de Fuente</t>
    </r>
    <r>
      <rPr>
        <sz val="11"/>
        <color rgb="FF000000"/>
        <rFont val="Arial"/>
        <family val="2"/>
      </rPr>
      <t xml:space="preserve">: Esta casilla no debe diligenciarse, carga de manera automatica de acuerdo a la fuente de financiación.
</t>
    </r>
    <r>
      <rPr>
        <u/>
        <sz val="11"/>
        <color rgb="FF000000"/>
        <rFont val="Arial"/>
        <family val="2"/>
      </rPr>
      <t>Total de recursos programados</t>
    </r>
    <r>
      <rPr>
        <sz val="11"/>
        <color rgb="FF000000"/>
        <rFont val="Arial"/>
        <family val="2"/>
      </rPr>
      <t xml:space="preserve">: Corresponde al valor del recurso programado.
</t>
    </r>
    <r>
      <rPr>
        <u/>
        <sz val="11"/>
        <color rgb="FF000000"/>
        <rFont val="Arial"/>
        <family val="2"/>
      </rPr>
      <t>Apropiación</t>
    </r>
    <r>
      <rPr>
        <sz val="11"/>
        <color rgb="FF000000"/>
        <rFont val="Arial"/>
        <family val="2"/>
      </rPr>
      <t xml:space="preserve">: Corresponde al presupuesto definitivo asignado.
</t>
    </r>
    <r>
      <rPr>
        <u/>
        <sz val="11"/>
        <color rgb="FF000000"/>
        <rFont val="Arial"/>
        <family val="2"/>
      </rPr>
      <t>Compromiso</t>
    </r>
    <r>
      <rPr>
        <sz val="11"/>
        <color rgb="FF000000"/>
        <rFont val="Arial"/>
        <family val="2"/>
      </rPr>
      <t xml:space="preserve">: Corresponde al registro de afectación  del presupuesto.
</t>
    </r>
    <r>
      <rPr>
        <u/>
        <sz val="11"/>
        <color rgb="FF000000"/>
        <rFont val="Arial"/>
        <family val="2"/>
      </rPr>
      <t>Obligaciones</t>
    </r>
    <r>
      <rPr>
        <sz val="11"/>
        <color rgb="FF000000"/>
        <rFont val="Arial"/>
        <family val="2"/>
      </rPr>
      <t xml:space="preserve">: Corresponde al registro que se produce  sobre los compromisos cuando se recibe el bien o servicio.
</t>
    </r>
    <r>
      <rPr>
        <u/>
        <sz val="11"/>
        <color rgb="FF000000"/>
        <rFont val="Arial"/>
        <family val="2"/>
      </rPr>
      <t>Pagado</t>
    </r>
    <r>
      <rPr>
        <sz val="11"/>
        <color rgb="FF000000"/>
        <rFont val="Arial"/>
        <family val="2"/>
      </rPr>
      <t xml:space="preserve">: Corresponde al registro que se hace  cuando se cancela el bien o servicio prestado. </t>
    </r>
  </si>
  <si>
    <t>Numero decimal</t>
  </si>
  <si>
    <r>
      <rPr>
        <b/>
        <sz val="11"/>
        <color rgb="FF000000"/>
        <rFont val="Arial"/>
        <family val="2"/>
      </rPr>
      <t>20. Población sujeto:</t>
    </r>
    <r>
      <rPr>
        <sz val="11"/>
        <color rgb="FF000000"/>
        <rFont val="Arial"/>
        <family val="2"/>
      </rPr>
      <t xml:space="preserve"> Es la población a quien se dirigirán  las intervenciones, seleccione entre las siguientes opciones:
- Familias, colectivos y comunidades ( cuando la intervención no se diriga a una población en especial seleccione esta opción que le permite un alcance general)
- Población materno perinatal
- Primera Infancia
- Infancia
- Adolescencia
- Juventud
- Adultez
- Persona Mayor
- Personas con discapacidad
- Victimas del conflicto armado
- Población Habitante de Calle
- Población Migrante
- Población Campesina
- Mujeres
- Población LGBTIQ+
- Indigenas
- Negros, afrocolombianos, raizales y palenqueros-NARP
- Pueblo Rrom-Gitano
- Personal de salud
- Varias poblaciones de protección constitucional especifica
</t>
    </r>
  </si>
  <si>
    <r>
      <rPr>
        <b/>
        <sz val="11"/>
        <color rgb="FF000000"/>
        <rFont val="Arial"/>
        <family val="2"/>
      </rPr>
      <t xml:space="preserve">21. Concepto de gasto: </t>
    </r>
    <r>
      <rPr>
        <sz val="11"/>
        <color rgb="FF000000"/>
        <rFont val="Arial"/>
        <family val="2"/>
      </rPr>
      <t xml:space="preserve">Registre el componente del gasto correspondiente (regimen subsidiado,salud pública, prestación, otros gastos en salud), revisando previamente en la pestaña "ValoresListasDesplegables" columna J, fila 699, el valor asignado en la columna "Concepto 2" del CUIPO resaltada en color verde y registre el dato correspondiente. ( Ejemplo: SPC - E1 Gobernabilidad y Gobernanza - L1 Desarrollo Institucional y Sectorial - Planeación Integral en Salud)
</t>
    </r>
  </si>
  <si>
    <r>
      <rPr>
        <b/>
        <sz val="11"/>
        <color rgb="FF000000"/>
        <rFont val="Arial"/>
        <family val="2"/>
      </rPr>
      <t xml:space="preserve">22. Responsables del cumplimiento: </t>
    </r>
    <r>
      <rPr>
        <sz val="11"/>
        <color rgb="FF000000"/>
        <rFont val="Arial"/>
        <family val="2"/>
      </rPr>
      <t xml:space="preserve"> Escriba el nombre, apellido y cargo del responsable en la Entidad Territorial.</t>
    </r>
  </si>
  <si>
    <r>
      <rPr>
        <b/>
        <sz val="11"/>
        <color rgb="FF000000"/>
        <rFont val="Arial"/>
        <family val="2"/>
      </rPr>
      <t>23. Avance cualitativo</t>
    </r>
    <r>
      <rPr>
        <sz val="11"/>
        <color rgb="FF000000"/>
        <rFont val="Arial"/>
        <family val="2"/>
      </rPr>
      <t xml:space="preserve">: Se debe registrar la justificación de la realización o no de las actividades programadas y/o las especificaciones  de las actividades definidas o ejecutadas según sea pertinente ( máximo 3000 caracteres) </t>
    </r>
    <r>
      <rPr>
        <b/>
        <u/>
        <sz val="11"/>
        <color rgb="FF000000"/>
        <rFont val="Arial"/>
        <family val="2"/>
      </rPr>
      <t>OBLIGATORIO</t>
    </r>
  </si>
  <si>
    <t xml:space="preserve">AÑO DE EJECUCIÓN: </t>
  </si>
  <si>
    <t xml:space="preserve">TRIMESTRE DE EJECUCIÓN: </t>
  </si>
  <si>
    <t xml:space="preserve">PLAN TERRITORIAL DE SALUD - PLAN DE ACCION EN SALUD </t>
  </si>
  <si>
    <t>17. Actividades seguimiento</t>
  </si>
  <si>
    <t>18. Cronograma</t>
  </si>
  <si>
    <t>19.  Recursos</t>
  </si>
  <si>
    <t>0.Id Actividad</t>
  </si>
  <si>
    <t>1. Núcleo de Inequidad Socio-Sanitaria</t>
  </si>
  <si>
    <t>2. Eje estrátegico PDSP 2022-2031</t>
  </si>
  <si>
    <t>3. Pilares del Modelo de salud preventivo, predictivo y resolutivo</t>
  </si>
  <si>
    <t>4. Resultado esperado por Eje PDSP 2022-2031</t>
  </si>
  <si>
    <t>5. Estrategia del Plan Territorial de Salud</t>
  </si>
  <si>
    <t>6. Meta estratégica del PDSP 2022-2031</t>
  </si>
  <si>
    <t>6.1 Meta estratégica del PTS adaptada al territorio</t>
  </si>
  <si>
    <t>7. Meta de resultado en salud del PDSP 2022-2031</t>
  </si>
  <si>
    <t>7.1 Meta de resultado en salud del PTS adaptada al territorio</t>
  </si>
  <si>
    <t xml:space="preserve">8. Programa </t>
  </si>
  <si>
    <t>9. Subprograma</t>
  </si>
  <si>
    <t>10. Proyecto BPI</t>
  </si>
  <si>
    <t>11. Meta de Producto</t>
  </si>
  <si>
    <t>12. Línea Operativa PDSP 2022-2031</t>
  </si>
  <si>
    <t>13. Gestion territorial integral para la salud pública</t>
  </si>
  <si>
    <t>14. Actividad</t>
  </si>
  <si>
    <t>15. Cantidad</t>
  </si>
  <si>
    <t>16. Unidad de medida</t>
  </si>
  <si>
    <t>Programado I</t>
  </si>
  <si>
    <t>Ejecutado I</t>
  </si>
  <si>
    <t>% Cumplimiento 
I Trimestre</t>
  </si>
  <si>
    <t>Programado II</t>
  </si>
  <si>
    <t>Ejecutado II</t>
  </si>
  <si>
    <t>% cumplimiento 
II Trimestre</t>
  </si>
  <si>
    <t>Programado III</t>
  </si>
  <si>
    <t>Ejecutado III</t>
  </si>
  <si>
    <t>% Cumplimiento 
III Trimestre</t>
  </si>
  <si>
    <t>Programado IV</t>
  </si>
  <si>
    <t>Ejecutado IV</t>
  </si>
  <si>
    <t>% Cumplimiento 
IV Trimestre</t>
  </si>
  <si>
    <t>Programado TOTAL</t>
  </si>
  <si>
    <t>Ejecutado TOTAL</t>
  </si>
  <si>
    <t>% Cumplimiento
Acumulado</t>
  </si>
  <si>
    <t>Fecha de inicio de la actividad (digite mes/dia/año numerico)</t>
  </si>
  <si>
    <t>Fecha de terminación de la actividad (digite mes/dia/año numerico)</t>
  </si>
  <si>
    <t>Rubro Presupuestal</t>
  </si>
  <si>
    <t>Fuente de Financiación</t>
  </si>
  <si>
    <t>Codigo de Fuente</t>
  </si>
  <si>
    <t xml:space="preserve">Apropiación </t>
  </si>
  <si>
    <t>Compromiso</t>
  </si>
  <si>
    <t>Obligaciones</t>
  </si>
  <si>
    <t>Pagado</t>
  </si>
  <si>
    <t>20. Población sujeto</t>
  </si>
  <si>
    <r>
      <rPr>
        <b/>
        <sz val="10"/>
        <color theme="1"/>
        <rFont val="Arial"/>
        <family val="2"/>
      </rPr>
      <t>21. Concepto de gasto</t>
    </r>
    <r>
      <rPr>
        <b/>
        <sz val="8"/>
        <color theme="1"/>
        <rFont val="Arial"/>
        <family val="2"/>
      </rPr>
      <t xml:space="preserve"> </t>
    </r>
    <r>
      <rPr>
        <b/>
        <sz val="8"/>
        <color theme="4"/>
        <rFont val="Arial"/>
        <family val="2"/>
      </rPr>
      <t>(Antes de registrar verifique en la hoja “valores listas desplegables” a que componente corresponde el gasto y registre el valor asignado en la Fila 699 Columna J “Concepto 2”)</t>
    </r>
  </si>
  <si>
    <t xml:space="preserve">22. Responsables del cumplimiento </t>
  </si>
  <si>
    <t>23. Avance Cualitativo</t>
  </si>
  <si>
    <t>Inadecuada e insuficiente infraestructura hospitalaria y débil institucionalidad para la prestación del servicio de salud que se evidencian en el incumplimiento de la aplicación de las guías clínicas de atención, la inoportunidad del servicio y baja imple</t>
  </si>
  <si>
    <t>Atención Primaria en Salud</t>
  </si>
  <si>
    <t>ii) Redes Integrales e Integradas Territoriales de Salud - RIITS</t>
  </si>
  <si>
    <t>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t>
  </si>
  <si>
    <t>Fortalecimiento de capacidades a las comunidades para el desarrollo de la APS con
  acciones territorializadas, universales, sistemáticas, permanentes y participativas bajo un enfoque
  familiar y comunitario.</t>
  </si>
  <si>
    <t>a 2031 el 100% de las entidades territoriales del orden departamental, distrital y municipal han desarrollado procesos de ajuste institucional para el fortalecimiento de las capacidades de la autoridad sanitaria y la apropiacion territorial del modelo de salud basado en APS</t>
  </si>
  <si>
    <t>a 2027 el 100% de las entidades territoriales del orden departamental, han desarrollado procesos de ajuste institucional para el fortalecimiento de las capacidades de la autoridad sanitaria y la apropiacion territorial del modelo de salud basado en APS</t>
  </si>
  <si>
    <t>98-Actividad trasversal a Resultados</t>
  </si>
  <si>
    <t>Salud Pública</t>
  </si>
  <si>
    <t>Médico en tu casa</t>
  </si>
  <si>
    <t>Fortalecimiento de Estrategias para la Promoción de la Salud y Prevención de Enfermedades en Comunidades, mediante acciones Integrales, Participativas y Sostenibles en el Departamento del Magdalena.</t>
  </si>
  <si>
    <t>Desarrollar acrividades de promoción y mantenimiento de la salud y prevención de la enfermedad en la poblacion diferencial, en los 29 municipios del departamento</t>
  </si>
  <si>
    <t>Cuidado de la salud en el territorio</t>
  </si>
  <si>
    <t>Implementar el plan de cuidado e intervencion de las personas y familias por microterritorio en el entorno hogar de acuerdo al curso de vida, garantizando la canalizacion oportuna a los servicios de salud y el seguimiento de manera permanente hasta lograr su recuperacion o estabilidad de su enfermedad</t>
  </si>
  <si>
    <t>PIC(Anexo técnico)</t>
  </si>
  <si>
    <t>Número</t>
  </si>
  <si>
    <t>N/A</t>
  </si>
  <si>
    <t>SGP-SALUD-SALUD PUBLICA (1.2.4.2.02)</t>
  </si>
  <si>
    <t>1.2.4.2.02</t>
  </si>
  <si>
    <t>Familias, colectivos y comunidades</t>
  </si>
  <si>
    <t>Laura Viveros Paez</t>
  </si>
  <si>
    <t>Deficiencias en la infraestructura sanitaria que se ve reflejada en bajas coberturas de alcantarillado y prestación del servicio de aseo así como la mala calidad del agua que condiciona la incidencia de</t>
  </si>
  <si>
    <t>Gobernabilidad y gobernanza de la salud pública</t>
  </si>
  <si>
    <t>i). Gobernabilidad, Gobernanza y Territorialización</t>
  </si>
  <si>
    <t>Entidades Territoriales Departamentales, Distritales y Municipales con mecanismos fortalecidos para el ejercicio de la Rectoría en Salud.</t>
  </si>
  <si>
    <t>Alineación y armonización al ordenamiento jurídico en materia de salud publica de cada entidad territorial de acuerdo con cada categoria administrativa y fiscal en el marco de las competencias fijadas por la ley</t>
  </si>
  <si>
    <t>A 2031 el 100% de las entidades territoriales del orden departamental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</si>
  <si>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</si>
  <si>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68-A 2031, el 80% de los municipios contará con la Certificación Sanitaria expedida mediante el Sistema de Información de la Vigilancia de la Calidad del Agua para Consumo Humano-SIVICAP</t>
  </si>
  <si>
    <t>Al 2027, el 80% de los municipios contará con la Certificación Sanitaria expedida mediante el Sistema de Información de la Vigilancia de la Calidad del Agua para Consumo Humano-SIVICAP</t>
  </si>
  <si>
    <t>Ejecutar el plan de IVC sanitario dando alcance a la resolución 1229 de 2013</t>
  </si>
  <si>
    <t>Desarrollo institucional y sectorial para el ejercicio de la autoridad sanitaria</t>
  </si>
  <si>
    <t>Realizar 397 toma de muestra de agua en la red de distribución del departamento, de acuerdo con los articulos 24 y 26 de la resolución 2115 de 2007.</t>
  </si>
  <si>
    <t>Procesos transversales de la Gestion de la Salud Pública</t>
  </si>
  <si>
    <t>Personal de Salud</t>
  </si>
  <si>
    <t>Rafael Tapias</t>
  </si>
  <si>
    <t>Aumento de la Tasa de Incidencia de las enfermedades transmitidas por vectores como el dengue;</t>
  </si>
  <si>
    <t>Conocimiento en salud pública y Soberanía Sanitaria</t>
  </si>
  <si>
    <t>Capacidades fortalecidas para la gestión del conocimiento en salud pública</t>
  </si>
  <si>
    <t>Fortlecimiento de capacidades tecnicas para el ejercicio en la rectoria en salud.</t>
  </si>
  <si>
    <t>A 2031 se fortalecerá en el 100% de los territorios la apropiación social del conocimiento en salud pública y el desarrollo de investigaciones que den respuesta a las necesidades en salud de cada territorio</t>
  </si>
  <si>
    <t>A 2027 se fortalecerá en el 100% de los territorios la apropiación social del conocimiento en salud pública y el desarrollo de investigaciones que den respuesta a las necesidades en salud de cada territorio</t>
  </si>
  <si>
    <t>A 2031, el 100% las DTS departamentales, distritales y municipios habrán implementado las estrategias de Entornos Saludables</t>
  </si>
  <si>
    <t>A 2027, el 100% las DTS departamentales, distritales y municipios habrán implementado las estrategias de Entornos Saludables</t>
  </si>
  <si>
    <t>Desarrollar capacidades a los entes territoriales en gestion de riesgo quimico</t>
  </si>
  <si>
    <t>Desarrollar duarnte la vigencia una jornada de formación de 3 dias a las alcaldias municipales en la implementacion del modelo de seguridad quimica para el desarrollo de capacidades municipales.</t>
  </si>
  <si>
    <t>Políticas en salud pública para contribuir a la mitigación y adaptación al cambio climático.</t>
  </si>
  <si>
    <t>Fortalecimiento de las capacidades del personal de salud en todo lo relacionado con los posibles efectos de la variabilidad del cambio climático</t>
  </si>
  <si>
    <t>A 2031 se incorporará en el 100% de los departamentos y distritos, el plan de gestión en sistemas de alerta temprana para la identificación del riesgos por el cambio climático y la posible vulnerabilidad de la población desde un enfoque territorial</t>
  </si>
  <si>
    <t>Al 2027 se incorporará en el 100% de los municipios, el plan de gestión en sistemas de alerta temprana para la identificación del riesgos por el cambio climático y la posible vulnerabilidad de la población desde un enfoque territorial</t>
  </si>
  <si>
    <t>Al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</si>
  <si>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A 2027,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</si>
  <si>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Implementar el PACCSA</t>
  </si>
  <si>
    <t>Desarrollar durante la vigencia una jornada de formación de 3 dias a las alcaldias municipales en medidas de adaptacion al cambio climatico para el desarrollo de capacidades municipales</t>
  </si>
  <si>
    <t xml:space="preserve">Deficiencias en la infraestructura sanitaria que se ve reflejada en bajas coberturas de alcantarillado y prestación del servicio de aseo así como la mala calidad del agua que condiciona la incidencia de </t>
  </si>
  <si>
    <t>Entoros laborales saludables que promueven la salud, mejoran las condiciones de trabajo y disminuyen los riesgos laborales</t>
  </si>
  <si>
    <t>A 2027 se incorporará en el 100% de los municipios, el plan de gestión en sistemas de alerta temprana para la identificación del riesgos por el cambio climático y la posible vulnerabilidad de la población desde un enfoque territorial</t>
  </si>
  <si>
    <t>69-A 2031, el 100% las DTS departamentales, distritales y municipios habrán implementado las estrategias de Entornos Saludables</t>
  </si>
  <si>
    <t>Desarrollar una jornada de capacitación de 3 dias a las alcaldias municipales en el modelo de IVC y fomento de conciencia sanitaria para el desarrollo de capacidades municipales</t>
  </si>
  <si>
    <t>Entidades Territoriales Departamentales, Distritales y Municipales fortalecidas como autoridad sanitaria local para la Gobernanza en Salud Pública.</t>
  </si>
  <si>
    <t>Desarrollo y fortalecimiento de capacidade para la planeación integral en salud y la gestión territorial en el marco del modelo de salud preventivo, predictivo y resolutivo basado en APS</t>
  </si>
  <si>
    <t>formular e Implementar el  plan de fortalecimiento de capacidades de gestion en salud ambiental a partir del diagnostico realizado con base en la informacion de la vigencia 2025  (GETSA)</t>
  </si>
  <si>
    <t>Porcentaje</t>
  </si>
  <si>
    <t xml:space="preserve">Personal de Salud
</t>
  </si>
  <si>
    <t>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t>
  </si>
  <si>
    <t>A 2027 el 100% de las entidades territoriales del orden  municipal desarrollan mecanismos para el fortalecimiento de la rectoría en salud en su territorio, conforme a las competencias establecidas</t>
  </si>
  <si>
    <t>Tomar muestras de agua en 30 puntos definidos para monitorear Cristosporidium , entregar resultados e informe</t>
  </si>
  <si>
    <t>Ejecutar al 100% el plan de adquisisiones de insumos parea la vigilancia sanitaria de la calidad del agua y alimentos</t>
  </si>
  <si>
    <t>A 2031 el 100% de los Departamentos, Distritos y Municipios del País integran en su Planes de Desarrollo Territoriales estrategias para afectar de manera positiva los determinantes sociales de la salud en sus territorios.</t>
  </si>
  <si>
    <t>A 2027 el 100% de Municipios del País integran en su Planes de Desarrollo Territoriales estrategias para afectar de manera positiva los determinantes sociales de la salud en sus territorios.</t>
  </si>
  <si>
    <t xml:space="preserve">Desarrollo de capacidades a los facilitadores de la red com (capacitadores), en coordinacion con el area de VSP </t>
  </si>
  <si>
    <t>Ejecutar al 100% el plan de IVC formulado para la vigencia para dar respuesta a lo dispuesto en al Resolucion 1229 de 2013</t>
  </si>
  <si>
    <t>Apoyar la ejecucion del plan de IVC con servicio de transporte disponiendo de 2 vehiculos 24x7</t>
  </si>
  <si>
    <t>Abogacía e incidencia técnica y política en la agenda de otros sectores, a fin de generar accioens intersectoriales y transecvtoriales definiendo temas transcversales y objetivos comunes</t>
  </si>
  <si>
    <t>Realizar Gestión transectorial a través de 32 reuniones del COTSA y las mesas de calidad de agua, Comité de residuos, comité de cárceles, comité de entornos saludables y movilidad segura, comité de plaguicidas, comité de sanidad portuaria, comité seccional de zoonosis</t>
  </si>
  <si>
    <t>Ejecutar al 100% los planes de accion de las mesas y comites asociados al COTSA</t>
  </si>
  <si>
    <t>Desarrollo de estrategias de comunicación, educación, para el cambio de comportamiento y de acción colectiva que favorezcan la transformación de la cultura de seguridad social en salud y promover los entornos saludables y protectores</t>
  </si>
  <si>
    <t>9-A 2031, reducir en 50% la tasa de mortalidad por EDA en menores de 5 años</t>
  </si>
  <si>
    <t>Implementar la estrategia de prevencion de ETA mediante la educacion a 88160 famlias sobre manual basico de manipulaciond e alimentos</t>
  </si>
  <si>
    <t>Capacitar a 30000 familias del departamento en las 10 normas basicas de manipulacion de alimentos en el marco de las visitas familiares.</t>
  </si>
  <si>
    <t>Fortalecimiento de las capacidades institucionales y sociales para la gestión territorial de la salud pública, en el marco de la Estrategia Nacional de Formación Territorial, Intercultural de Atención Primaria en Salud, Salud Pública y Salud Colectiva</t>
  </si>
  <si>
    <t>A 2031 el 100% de las entidades territoriales sociales del orden departamental y municipal desarrollan mecanismos para el fortalecimiento de la rectoría en salud en su territorio, conforme a las competencias establecidas</t>
  </si>
  <si>
    <t>A 2027 el 100% de las entidades territoriales sociales del orden departamental y municipal desarrollan mecanismos para el fortalecimiento de la rectoría en salud en su territorio, conforme a las competencias establecidas</t>
  </si>
  <si>
    <t>Desarrollar de capacidades los equipos municipales y departamental en prevencion y manejo de ETAS</t>
  </si>
  <si>
    <t>Desarrollo e implementación de otras estrategias para la generación de conocimiento acerca de las condiciones en salud de la población y sus DSS a nivel territorial tales como observatorios, ASIS, unidades de análisis, seminarios, evaluaciones de riesgo ambientales de la salud, entre otros</t>
  </si>
  <si>
    <t>Realizar la reunion departamental de salud ambiental de dos dias de duracion, con el tema central de entorno educativo saludable</t>
  </si>
  <si>
    <t>Las agresiones por animales potencialmente transmisores de la rabia</t>
  </si>
  <si>
    <t>Salud Publica</t>
  </si>
  <si>
    <t xml:space="preserve">Desarrollo de capacidades a los miembros del comite SAN en practicas de inocuidad de alimentos </t>
  </si>
  <si>
    <t>Espacios e instancias intersectoriales que incluyen en sus planes de acción la transversalización de los enfoques de pueblos y comunidades, género y diferencial e integran los sistemas de conocimiento propio de los pueblos y comunidades étnicas y campesinas</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</si>
  <si>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</si>
  <si>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</si>
  <si>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90-A 2031, 50% de departamentos y distritos logran condiciones de eliminación de la rabia transmitida por perros.</t>
  </si>
  <si>
    <t>Garantizar coberturas utiles de vacunación antirrabica, aplicando un total de 958363 dosis de vacunas</t>
  </si>
  <si>
    <t>Desarrollar jornada de vacunación antirrábica canina y felina masiva casa a casa (entorno hogar), en los 29 municipios del departamento del Magdalena en zona urbana, rural y rural disperso, garantizando cobertura del 90% en animales mayores de tres meses, Con una duración máxima de 45 días</t>
  </si>
  <si>
    <t>familias, colectivos y comunidades</t>
  </si>
  <si>
    <t>Realizar mantenimiento a  la vacunación antirrábica de perros y gatos durante los meses que no se esté realizando la masiva, mediante la busqueda de animales que no se pudieron vacunar en la masiva, animales nuevos que ingresen o nazcan en el periodo, vacunación en las zonas de foco y perifoco de los brotes de rabia que se presenten en su municipio y puntos fijos de vacunación. Cobertura mínima del 1%.</t>
  </si>
  <si>
    <t>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t>
  </si>
  <si>
    <t>Fortalecimiento de la red de frio para la vacunacion antirrábica canina y felina</t>
  </si>
  <si>
    <t>Pueblos y comunidades étnicas y campesinas, mujeres, sectores LGBTIQ+ y otras poblaciones por condición y/o situación</t>
  </si>
  <si>
    <t>i) Gobernabilidad, Gobernanza y Territorialización.</t>
  </si>
  <si>
    <t>Implementación de acciones dirigidas a mejorar la
 relación salud-ambiente-territorio para promover
 acciones dirigidas a mejorar las condiciones de vida.</t>
  </si>
  <si>
    <t xml:space="preserve">Desarrollar la vacunacion de perros y gatos en municipios con poblacion indigena Cienaga, Fundación, Aracataca y San Angel) y actividades de información, educación y  comuncicación de riesgo  de la rabia en IED indígena o mixta </t>
  </si>
  <si>
    <t>Realizar monitoreo de cobertura en en 100% de  los municipios que se prioricen.</t>
  </si>
  <si>
    <t>Carlos Escobar</t>
  </si>
  <si>
    <t>Suministrar insumos para la vacunación antirrábica de perros y gatos y control de rabia de acuerdo al plan de adquisiciones</t>
  </si>
  <si>
    <t>Gestión territorial para el cuidado de la salud basado
 en la atención primaria en salud.</t>
  </si>
  <si>
    <t>A 2027 el 100% de los Municipios integran en su Planes de Desarrollo Territoriales estrategias para afectar de manera positiva los determinantes sociales de la salud en sus territorios.</t>
  </si>
  <si>
    <t xml:space="preserve"> Desarrollar un programa radial sobre la prevención de la rabia y otras zoonosis (accidente Ofídico, leptospira, toxoplasmosis) en cada uno de los 29 municipios </t>
  </si>
  <si>
    <t xml:space="preserve">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t>
  </si>
  <si>
    <t xml:space="preserve">Conmemorar el dia mundial contra la rabia realizando actividad de información educación y comunicación de riesgo de la rabia en (1) una institución educativa   de cada uno de los 29 municipios </t>
  </si>
  <si>
    <t>Indigenas</t>
  </si>
  <si>
    <t xml:space="preserve">Desarrollar actividad de información educación y comunicación de riesgo sobre la TENENCIA RESPONSABLE DE MASCOTAS, en una institución educativa de cada uno de los 29 municipios </t>
  </si>
  <si>
    <t>Seguimiento al 50% de los casos de exposicion leve y grave a rabia</t>
  </si>
  <si>
    <t>88-A 2031, el 100% de las DTS departamentales, distritales y municipios categorías especial, 1, 2 y 3 a riesgo, implementan los planes estratégicos para la vigilancia y control de zoonosis (brucelosis bovina, toxoplasmosis congénita y gestacional, accidente ofídico).</t>
  </si>
  <si>
    <t>Realizar monitoreo al 100% de la red publica y privada que cuente con servicio de urgencias en la disponibilidad de sueros antiofidicos</t>
  </si>
  <si>
    <t>Decisiones en salud pública basadas en información, investigación y el máximo desarrollo del conocimiento científico lo que incluye reconocer la cosmovisión y los saberes propios los pueblos y comunidades.</t>
  </si>
  <si>
    <t>desarrollar capacidades al recurso humano en salud para la atencion integral de accidente ofidico y APTR para medicos de area rural y EBS</t>
  </si>
  <si>
    <t>desarrollar capacidades institucionales con el fin de mejorar las habilidades individuales en la prevención y control de de zoonosis al nivel municipal</t>
  </si>
  <si>
    <t xml:space="preserve">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t>
  </si>
  <si>
    <t>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t>
  </si>
  <si>
    <t>Conformación de las Redes Integrales e Integradas
 Territoriales de Salud con base en la aplicación de
 criterios determinantes incluyendo el reconocimiento
 de las condiciones de vida y salud de personas,
 familias y comunidades bajo el liderazgo de las
 Entidades Territoriales Departamentales y
 Distritales,</t>
  </si>
  <si>
    <t>61-A 2031, la prevalencia de caries se reduce al menos en 10 puntos porcentuales en primera infancia, en infancia y en adolescencia.</t>
  </si>
  <si>
    <t>Implementar en el 100% de los municipios del Departamento la estrategia CERSS</t>
  </si>
  <si>
    <t>Promover la adopcion de habitos saludables relacionados con higiene visual, cuidado auditivo y autocuidado oral en niños, niñas y adolescentes, mediante estrategias ludicas y educativas que fomenten el aprendizaje práctico y participativo en los ambitos urbano o rural del departamento, en los cursos de vida de primera infancia, infancia y adolescencia del entorno educativo.</t>
  </si>
  <si>
    <t>Merly Bonett - Mary Luz Cabrera - Linda Acosta-Rossana Cormane</t>
  </si>
  <si>
    <t>40-A 2031, se garantiza que entre la sospecha médica y la confirmación diagnóstica de cáncer de cuello uterino transcurran en promedio 30 días o menos</t>
  </si>
  <si>
    <t>Jornadas de salud que permitan identificar el riesgo haciendo promocion de la salud bucal, auditiva, comunicatva, tamizaje de riesgo cardiovascular, tamizaje para CCU, autoexamen de seno, aplicacion de barniz de fluor, de acuerdo al curso de vida en el entorno comunitario en los microcroterritorios definidos.</t>
  </si>
  <si>
    <t>54-A 2031, reducir la mortalidad prematura por ENT en un 25% en la población de 30 a 70 años.</t>
  </si>
  <si>
    <t>Conmemorar la semana de hábitos y estilos de vida saludables a través de actividades educativas, recreativas y de sensibilización enfocadas en la alimentación balanceada, la actividad física, el bienestar emocional y la prevención de enfermedades, fortaleciendo la cultura del autocuidado, en los diferentes cursos de vida, en el entorno comunitario y educativo del ambito urbano y rural de los territorios priorizados.</t>
  </si>
  <si>
    <t>Implementación de mecanismos para la
 coordinación y gestión de la operación de las redes
 integrales e integradas territoriales de salud en el
 marco de un modelo preventivo,</t>
  </si>
  <si>
    <t>62-A 2031, las personas sin pérdida dental (dentición permanente) por enfermedad bucodental prevenible, se incrementa en 5 puntos porcentuales (mínimo) en las edades de 20-34 años; 35-44 años; 45-64 años y 65-79 y más años</t>
  </si>
  <si>
    <t>Alianzas transectoriales, que busquen fortalecer la promoción de la salud bucal mediante el desarrollo de actividades y estrategias de prevención, educación, detección temprana, atención integral y oportuna.</t>
  </si>
  <si>
    <t>Merly Bonett - Mary Luz Cabrera - Linda Acosta</t>
  </si>
  <si>
    <t>DESARROLLO Y FORTALECIMIENTO DE CAPACIDADES PARA LA PLANEACION INTEGRAL EN SALUD Y LA GESTION TERRITTORIAL EN EL MARCO DEL MODELO DE SALUD PTREVENTIVO, PREDICTIVO Y RESOLUTIVO BASADO EN APS</t>
  </si>
  <si>
    <t>Alcanzar una cobertura del 20% con esquema completo de aplicación de barniz de flúor en la población entre 1 y 17 años para avanzar en la mejora de las condiciones de salud bucal.</t>
  </si>
  <si>
    <t>Brindar asistencia Tecnica a todos los actores del sistema en todos los componentes de Promocion Y prevencion de las enfermedades crónicas no transmisibles mediante levantamiento de linea base de total de personas que padecen HTA . DM y ERC  ( incidencia ) como de estrategias para deteccion temprana y seguimiento de personas con dicho riesgos.</t>
  </si>
  <si>
    <t>primera infancia, infancia y adolescencia.</t>
  </si>
  <si>
    <t>50-A 2031, se reducirá la tasa ajustada de mortalidad por cáncer infantil a menos de 4,00 x 100000 niños, niñas y adolescentes</t>
  </si>
  <si>
    <t>Consolidar los planes de choque en Cancer de mama, cáncer cervicouterino y cáncer infantil de los 29 municipios y EAPB del departamento del Magdalena</t>
  </si>
  <si>
    <t>Realizar 4 sesiones del Consejo Departamental Asesor en Cancer Infantil de la mano de los actores definidos en la resolucion 1101 del 15 de noviembre de 2012 y el reglamento interno del CODACAI</t>
  </si>
  <si>
    <t>Realizar promocion activa de CERSS - fase de ejecucion, monitoreo y evaluacion (Herramientas: Implementacion de CERSS, monitoreo y evaluacion en los 29 municipios. Realizacion de taller para la implementacion, monitoreo y evaluacion de la estrategias CERSS en los 29 municipios del departamento del Magdalena.</t>
  </si>
  <si>
    <t>Desarrollo de capacidades en enfermedades cronicas dirigido a medicos y enfermeros jefes de las entidades prestadoras de servicios en el departamento del Magdalena.</t>
  </si>
  <si>
    <t>La pérdida de valores, falta de involucramiento parental, mitos y creencias que naturalizan el maltrato se relaciona con el deterioro de la salud mental</t>
  </si>
  <si>
    <t>Gestión territorial para el cuidado de la salud basado en la atención primaria en salud.</t>
  </si>
  <si>
    <t>A 2031 el 80% de las necesidades en salud de la población Colombiana se resuelven en el nivel primario de atención en salud.</t>
  </si>
  <si>
    <t>A 2027 el 80% de las necesidades en salud de la población Colombiana se resuelven en el nivel primario de atención en salud.</t>
  </si>
  <si>
    <t>95-A 2031, mantener la tasa de mortalidad de suicidio por debajo de 5</t>
  </si>
  <si>
    <t>Implementar la estrategia nacional para la prevencion de la conducta suicida en las 33 ESE públicas del departamento</t>
  </si>
  <si>
    <t>Implementar las Zonas de Orientación y/o Centros de Escucha en el entorno educativo en cada uno de los 29 municipios, fortaleciendo la promoción y atención primaria de la salud mental, la prevención del consumo de SPA, la conducta suicida y las violencias sexuales y de género; el cuidado de pacientes con discapacidad mental, trastornos de la conducta alimentaria, involucramiento parental y convivencia pacífica y la canalización a las rutas integrales de atención.</t>
  </si>
  <si>
    <t>Talento Humano en salud</t>
  </si>
  <si>
    <t>Luz Mary García Agudelo</t>
  </si>
  <si>
    <t>Promover la educación e información en salud en el entorno familiar y educativo orientado hacia la promocion de la salud mental, prevencion del consumo de spa, prevencion de la conducta suicida, prevencion de la violencia en el entorno escolar en los 29 Municipios del departamento del Magdalena.</t>
  </si>
  <si>
    <t xml:space="preserve">Realizar la conmemoración de: Día Mundial de la Salud Mental, Dia Internacional y semana  de la Prevención de la conducta suicida, Dia Internacional de la Eliminación de la violencia contra la mujer,  semana de la prevención del consumo de sustancias psicoactivas y reducción de riesgos y daños, siguiendo los lineamientos técnicos del Ministerio de Salud y Protección Social, que promueva la salud mental y reducción del estigma. 
</t>
  </si>
  <si>
    <t xml:space="preserve">La pérdida de valores, falta de involucramiento parental, mitos y creencias que naturalizan el maltrato se relaciona con el deterioro de la salud mental, </t>
  </si>
  <si>
    <t>Fortalecimiento de las capacidades del Talento Humano en la implementación de estrategias para la generación de conocimiento de las condiciones de salud de la población y sus determinantes tales como observatorios, ASIS, unidades de análisis, seminarios, entre otras.</t>
  </si>
  <si>
    <t>A 2031 el 100% las entidades territoriales Departamentales, Distritales han implementado las medidas de atención para la atención a las mujeres víctimas de violencia de género.</t>
  </si>
  <si>
    <t>A 2027 el 100% las entidades territoriales han implementado las medidas de atención para la atención a las mujeres víctimas de violencia de género.</t>
  </si>
  <si>
    <t>97-A 2031, disminuir la tasa de violencia interpersonal a 230 por 100.000 habitantes</t>
  </si>
  <si>
    <t>Mantener por debajo de 161.9 por 100.000 habitantes la tasa de violencia intrafamiliar.</t>
  </si>
  <si>
    <t>Desarrollar capacidades del Talento Humano en salud de las EAPB y ESE mediante talleres en Salud mental comunitaria e intervención temprana, atención en salud para las mujeres víctimas de violencias de genero e intrafamiliar, ruta de atención integral en salud mental, y socialización del del sistema de responsabilidad penal para adolescentes en los 29 municipios del departamento del Magdalena incluyendo IPS Indígena.</t>
  </si>
  <si>
    <t>Fortalecimiento de las capacidades del Talento Humano en la irnplementación de estrategias para la generación de conocimiento de las condiciones de salud de la población y sus determinantes tales como bservatorios, ASIS, unidades de análisis, seminarios, entre otras.</t>
  </si>
  <si>
    <t>A 2031, mantener la tasa de mortalidad de suicidio</t>
  </si>
  <si>
    <t>A 2027, mantener la tasa de mortalidad de suicidio</t>
  </si>
  <si>
    <t>Mantener por debajo de 2,7 por 100.000 habitantes la tasa de suicidio</t>
  </si>
  <si>
    <t>Desarrollo de capacidades a través de un taller por subregión, referente a primeros auxilios psicológicos, dirigido a los equipos de profesionales de las ESE, equipos básicos en atención primaria en salud y docentes orientadores de los 29 municipios que conforman el departamento del Magdalena; que permita brindar atención oportun frente a los eventos de salud mental.</t>
  </si>
  <si>
    <t xml:space="preserve">Familias, colectivos y comunidades;  Población materno perinatal; 
Primera infancia; Infancia;  Adolescencia;  Juventud; Adultez; 
Persona mayor, Personas con discapacidad, Victimas del conflicto armado, Población migrante
Población campesina, Mujeres, Población LGBTIQ+, Indígenas, Negros, afrocolombianos, raizales y palenqueros-NARP, Pueblo rrom- gitano
</t>
  </si>
  <si>
    <t xml:space="preserve">Desarrollo y fortalecimiento de capacidades a través de un taller por subregión, referente  a Promover la salud integral e integrada y prevenir el consumo de SPA,  rutas de atención para garantizar el acceso a la detección, tratamiento y atención de los problemas por consumo de sustancias psicoactivas, de acuerdo a resoluciones vigentes y la nueva Política Nacional De Drogas. </t>
  </si>
  <si>
    <t>Desarrollo y fortalecimiento de capacidades a través de un taller referente a reducir la conducta suicida en el departamento, con estrategias locales y en contexto, diferenciadas por curso de vida y entornos de desarrollo. Fortalecer las rutas de promoción de la salud mental, identificación del riesgo y atención integral a la conducta suicida, de acuerdo al Decreto 0729 de 2025 y normativas vigentes.</t>
  </si>
  <si>
    <t>A 2031, disminuir la tasa de violencia interpersonal a 230 por 100.000 habitantes</t>
  </si>
  <si>
    <t>A 2027, disminuir la tasa de violencia interpersonal a 230 por 100.000 habitantes</t>
  </si>
  <si>
    <t>Realizar encuentro departamental de referentes de convivencia social y salud mental de los 29 municipios del departamento</t>
  </si>
  <si>
    <t>Desarrollo y fortalecimiento de capacidades para la implmentación integral en salud y la gestion territorial en el marco del modelo de salud preventivo y predictivo y resolución basado en APS.</t>
  </si>
  <si>
    <t xml:space="preserve">Realizar 2 sesiones de Comités de Departamental de Drogas; 2 de Consejo Seccional de Estupefacientes; 2 de consejos de departamental de salud mental.  2 mesas de articulación para la atención integral de las violencias basadas en genero. </t>
  </si>
  <si>
    <t>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t>
  </si>
  <si>
    <t>Desarrollo de estrategias para la organización y acompañamiento de la participación ciudadana dirigida a la identificación de problemáticas, análisis, comprensión y definición de decisiones que impacten de manera positiva la salud</t>
  </si>
  <si>
    <t>A 2031 el 100% de los Departamentos, Distritos y Municipios del País integran en su Planes de Desarrollo Territoriales estrategias para afectar de manera positiva los determinantes sociales de la salud en sus territorios</t>
  </si>
  <si>
    <t>A 2027 el 100% de los Municipios  integran en su Planes de Desarrollo Territoriales estrategias para afectar de manera positiva los determinantes sociales de la salud en sus territorios</t>
  </si>
  <si>
    <t>15-A 2031, reducir en un 20% la prevalencia de anemia en los niños, niñas menores de 5 años</t>
  </si>
  <si>
    <t xml:space="preserve"> Implementar la ruta de atencion a la desnutricion en menores de 5 años en los municpios e IPS publicas</t>
  </si>
  <si>
    <t>Cuidado de la Salud en el Territorio.</t>
  </si>
  <si>
    <t xml:space="preserve"> implementación de huertas en megacolegios con continuidad, capacitación en las nuevas GABAS con enfoque diferencial dirigido a docentes y rectores de colegios la promoción de loncheras saludables con articulación intersectorial </t>
  </si>
  <si>
    <t xml:space="preserve">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t>
  </si>
  <si>
    <t xml:space="preserve">"A  2031 el 100% de entidades territoriales  Departamentales, Distritales y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</si>
  <si>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 xml:space="preserve">A  2027 el 100% de entidades territoriales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</si>
  <si>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14-A 2031, disminuir 20% la prevalencia por retraso en talla en menores de 5 años.</t>
  </si>
  <si>
    <t xml:space="preserve">Realizar Busqueda activa comunitaria mensual de niños(as) menores de cinco años; en el  entorno hogar, en los territorios y microterritorios de los 4 municipios a cada familia se le debe educar en el código internacional de Sucedáneos, implementacion de plato saludable   </t>
  </si>
  <si>
    <t>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t>
  </si>
  <si>
    <t xml:space="preserve">Gestión territorial para el cuidado de la salud basado en la atención primaria en salud. </t>
  </si>
  <si>
    <t>10-A 2031, reducir a 5 por cada 100.000 menores de 5 años la tasa de mortalidad asociada a desnutrición aguda.</t>
  </si>
  <si>
    <t>Implementar  y operativizar  el Plan de Seguridad Alimentaria y Nutricional  en  los 29 municipios del  Departamento.</t>
  </si>
  <si>
    <t xml:space="preserve">Cuidado de la salud en el territorio  </t>
  </si>
  <si>
    <t xml:space="preserve">Realizar Busqueda activa comunitaria bimensual de niños(as) menores de cinco años en riesgo de desnutricion aguda en el entorno hogar, agrupados , IED y Programas de ICBF en los territorios y microterritorios totales en los 29 municpios a cada familia se le debe educar en el código internacional de Sucedáneos, implementacion de plato saludable   </t>
  </si>
  <si>
    <t xml:space="preserve">Entidades Territoriales Departamentales, Distritales y Municipales fortalecidas como autoridad sanitaria local para la Gobernanza en Salud Pública.  </t>
  </si>
  <si>
    <t>" A 2031 el 100% de las Entidades Territoriales del orden departamental, distrital y municipal desarrollan mecanismos para el fortalecimiento de la rectoría en salud en su territorio, conforme a las competencias establecidas"</t>
  </si>
  <si>
    <t>A 2031, el 40% de los niños menores de 6 meses tienen lactancia materna exclusiva</t>
  </si>
  <si>
    <t>A 2027, el 40% de los niños menores de 6 meses tienen lactancia materna exclusiva</t>
  </si>
  <si>
    <t xml:space="preserve">Desarrollo institucional y sectorial para el ejercicio de la autoridad sanitaria  </t>
  </si>
  <si>
    <t xml:space="preserve">Capacitar al talento humano de las EPS, IPS, EBS  y PIC de los 29 municipios del departamento del Magdalena sobre lactancia y relactancia materna y Código Internacional de Comercialización de Sucedáneos de la Leche materna (CICSLM) </t>
  </si>
  <si>
    <t>12-A 2031, el 40% de los niños menores de 6 meses tienen lactancia materna exclusiva</t>
  </si>
  <si>
    <t>Conmemorar la semana mundial de la LM realizar por sub-región en articulación del comité SAN municipal, líderes, líderesas y gestores comunitarios acciones de movilización y sensibilización a mujeres gestantes y lactantes y sus familias a cerca de la importancia de la protección, promoción y apoyo a la Lactancia Materna LM exclusiva y la importancia de la Donación de Leche Humana siguiendo los lineamientos del Ministerio de Salud.</t>
  </si>
  <si>
    <t xml:space="preserve">Primera infancia;
 Infancia; Adolescencia; Juventud;  Adultez; 
</t>
  </si>
  <si>
    <t xml:space="preserve">Miriam Eusse </t>
  </si>
  <si>
    <t>Desarrollo de capacidades teorico practico de dos dias para la construcción de Planes de SAN Municipales en los 29 municipios del departamento del Magdalena.</t>
  </si>
  <si>
    <t xml:space="preserve">Desarrollo y fortalecimiento de capacidades para la 
planeación integral en salud y la gestión territorial en el marco 
del Modelo de Salud preventivo, predictivo y resolutivo basado 
en Atención Primaria en Salud - APS. </t>
  </si>
  <si>
    <t>A 2027 el 100% de las Entidades Territoriales del orden municipal desarrollan mecanismos para el fortalecimiento de la rectoría en salud en su territorio, conforme a las competencias establecidas"</t>
  </si>
  <si>
    <t>Realizar el acompañamiento técnico a las EAPB priorizadas la implementación de la Resolución 3280 de 2018  énfasis en las atenciones que promuevan la lactancia materna y adecuada alimentación complementaria, el seguimiento y monitoreo a la consulta particular de consejería sobre LM y GABAS para el menor de dos años, la entrega de micronutrientes y seguimiento a niños con bajo peso al nacer hasta su adecuado peso.</t>
  </si>
  <si>
    <t>Primera infancia;
 Infancia</t>
  </si>
  <si>
    <t xml:space="preserve">Sesionar 4 Mesas de trabajo durante el año con el comité departamental SAN para evaluar y ajustar la ejecución de la politica departamental mediante plan de acción con Matriz de monitoreo para el cumplimiento del derecho humano a la alimentacion Adecuada y Sostenible (DHAAS), con la revision del documento, esta debe ser realizada por experto en el tema de politica publicas con el objetivo de definir la situacion actual de la politica departamental (DHAAS). </t>
  </si>
  <si>
    <t>Desarrollar Capacidades técnicas, científicas y operativas al RH de la DTS, IPS, EAPB en la Resolución 2465 /2016 y resolucion 2350/2020, con la revison de los planes de la desaceleracion de la desnutricon en los 29 municipios.</t>
  </si>
  <si>
    <t>Familias, colectivos y comunidades
Población materno perinatal; 
Primera infancia;</t>
  </si>
  <si>
    <t xml:space="preserve">Desarrollo de capacidades teórico práctico al talento humano de las Secretarías de Salud, Profesionales de la Salud de IPS, EPS, EBS, Madres FAMI, ICBF, rectores y docentes de colegios y Alcaldias de los 29 municipios sobre las nuevas GABA con enfoque diferencial, étnico y Afro, GABA para el menor de dos años y la creación de huertas caseras y la implementación de loncheras saludables .
</t>
  </si>
  <si>
    <t>Desarrollo de capacidades teorico practico, certificado sobre la estrategia Instituciones Amiga de la Mujer y la Infacia- IAMII, Salas Amigas de Extracción Manual de la leche materna, código internacional de sucedáneos de la leche materna, RIAS 3280, RIAS Materno Perinatal y Banco de Leche Humana dirigido  al talento humano de la salud, médicos, pediatras, nutricionistas, enfermeras, auxiliares de las IPS, EPS, y hospitales de los 29 municipios del departamento del Magdalena.</t>
  </si>
  <si>
    <t xml:space="preserve">Claudia Chi </t>
  </si>
  <si>
    <t>Desarrollo de capacidades en Resolucion 3280 dirigido al TH de las ESE, IPS; DTS de los 29 municipios</t>
  </si>
  <si>
    <t>4-A 2031, mantener en &lt; 9% la proporción de Bajo Peso al Nacer</t>
  </si>
  <si>
    <t>3-A 2031, reducir a 6 por cada 1.000 nacidos vivos la tasa de mortalidad neonatal</t>
  </si>
  <si>
    <t>Realizar comité trimestral del  plan  desaceleracion de muerte por desnutricion haciendo seguimientos mensuales a las EAPB Y MUNICIPIOS sobre la busquedad activa de niños reportados en la base sivigila ,según la resolucion 2350 y 2465  y realizar asistencias tecnicas a las EAPB y municipios del departamento en resolucion 2350 ,2465 y 3280</t>
  </si>
  <si>
    <t xml:space="preserve"> María Fernanda Larios - Margareth Pinto</t>
  </si>
  <si>
    <t xml:space="preserve">Entidades Territoriales Departamentales, Distritales y Municipales que conforman territorios de salud de acuerdo con las particularidades geográficas, socioculturales, político administrativas y ambientales donde se produce el proceso de salud.  </t>
  </si>
  <si>
    <t xml:space="preserve">Gestión territorial para el cuidado de la salud basado en la atención primaria en salud.  </t>
  </si>
  <si>
    <t xml:space="preserve">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t>
  </si>
  <si>
    <t>20-A 2031, disminuir la tasa especifica de fecundidad adolescente de 15 a 19 años a menos de 40 nacimientos por cada 1000 mujeres adolescentes de 15 a 19 años.</t>
  </si>
  <si>
    <t>Realizar estrategias de educación en salud sexual y reproductiva en 58 IED priorizadas en el departamento</t>
  </si>
  <si>
    <t xml:space="preserve">Educacion en salud en el componente de prevencion de embarazo en adolescentes, prevencion de las violencias, planificacion familiar, prevencion de las enfermedades de transmisión sexual ETS (VIH/SIDA)) en el entorno escolar jovenes y adolescentes (6 a 11 de bachillerato) de las Instituciones educativas de los territorios proiorizados con enfoque preventivo </t>
  </si>
  <si>
    <t>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t>
  </si>
  <si>
    <t>Educacion en salud a padres de familia, maestros, lideres comunitarios y otros actores, en la promoción de la salud sexual y reproductiva;  fomentando un entorno de apoyo, comprensión promover relaciones respetuosas, igualitarias y libres de violencia; con el fin aumentar la gobernanza de salud y toma de decisiones para el logro de bienestar colectivo de los territorios proiorizados con enfoque preventivo en el ambito urbano de los 29 municipios</t>
  </si>
  <si>
    <t xml:space="preserve">A 2027 el 100 % de las Entidades Territoriales del orden municipal han desarrollado procesos de ajuste institucional para el fortalecimiento de las capacidades de la autoridad sanitaria y la apropiación territorial del modelo de salud basado en la atención primaria.  </t>
  </si>
  <si>
    <t>1-A 2031, reducir a 32 por 100.000 nacidos vivos la razón de mortalidad materna</t>
  </si>
  <si>
    <t>Fortalecer la implementación de la ruta materno perinatal, en los 29 municipios del magdalena, desarrollando cacidades sociales e individuales en las 33 ESE públicas que atienden gestantes</t>
  </si>
  <si>
    <t xml:space="preserve">Realizar educación en salud materna y neonatal, a mujeres en edad fertil, parteras y jefes del hogar en las comunidades priorizadas, sobre factores de riesgo y desarmonías, reporte oportuno y atención en salud para evitar complicaciones en la madre y en su hijo </t>
  </si>
  <si>
    <t>Educacion en salud para la promocion y prevencion de la salud materno perinatal dirigida a mamos, medicos, parteras y lideres con el fin de fortalecer el manejo de la guia materno perinatal</t>
  </si>
  <si>
    <t>Desarrollo de capacidades bajo escenario de simulacion presencial teorico practicos al talento humano en salud de las ESE e IPS del Departamento del Magdalena,  sobre Ruta Materno Perinatal,  emergencias obstetricas, Planificacion Familiar dirigido a medicos generales, ginecologos y enfermeras, que ejerce funciones en consultas de control prenatal y sala de maternidad.</t>
  </si>
  <si>
    <t>Adolesencia y Juventud</t>
  </si>
  <si>
    <t>rina Marquez-Doraine Guerrero-Paola Gale</t>
  </si>
  <si>
    <t>Desarrollar capacidades  del Talento Humano  en salud  de las EAPB y ESE mediante taller en atencion en salud para las mujeres victimas de violencias de genero e intrafamiliar, ruta de atención integral de los 29 municipios del departamento del Magdalena incluyendo IPS Indígena.</t>
  </si>
  <si>
    <t xml:space="preserve"> Familias, colectivos y comunidades</t>
  </si>
  <si>
    <t>Asistencia Tecnica Seguimiento y monitoreo a la operativizacion de la ruta de atención en salud para víctimas de violencias sexuales y violencias de genero al entorno institucional, en el marco del Modelo Atención Integral de Salud en los 29 Municipios del Departamento.</t>
  </si>
  <si>
    <t xml:space="preserve">Realizar la conmemoracion de la semana andina de prevencion de embarazo en adolescentes y niñas en los 29 municipios del  departamento de magdalena </t>
  </si>
  <si>
    <t>19-A 2031, disminuir la tasa especifica de fecundidad adolescente de 10 a 14 años a cero nacimientos por cada 1.000 niñas de 10 a 14 años.</t>
  </si>
  <si>
    <t xml:space="preserve">Educación En Salud Sexual y Reproductiva con Enfoque Diferencial (Lgbtiq+) y de Género en las IED de cada microterritorio dirigida a los grados 10 y 11 </t>
  </si>
  <si>
    <t>5-A 2031, reducir a 15,3 por mil nacidos vivos la tasa de mortalidad infantil</t>
  </si>
  <si>
    <t>Desarrollo de capacidades del Departamento del Magdalena, sobre la estrategia ETMIPLUS</t>
  </si>
  <si>
    <t>A 2027 se incorporará en el 100% de los municipios el plan de gestión en sistemas de alerta temprana para la identificación del riesgos por el cambio climático y la posible vulnerabilidad de la población desde un enfoque territorial</t>
  </si>
  <si>
    <t>74-A 2031, se reducirá la letalidad acumulada (2022-2031) por dengue a menos del 0,1%.</t>
  </si>
  <si>
    <t>Desarrollar la estrategia de gestión integral de ETV, en las 29 ET del departamento</t>
  </si>
  <si>
    <t>Adquisicion de suministro insumo criticos para el control integral de vectores (sujeto a auotorizacion del ministerio)</t>
  </si>
  <si>
    <t>Desarrollo y fortalecimiento de capacidades para la planeación integral en salud y la gestión territorial en el marco del modelo de salud preventivo, predictivo y resolutivo basado en APS</t>
  </si>
  <si>
    <t>A 2031 el 100% de las Entidades Territoriales del orden departamental, desarrollan mecanismos para el fortalecimiento de la rectoría en salud en su territorio, conforme a las competencias establecidas.</t>
  </si>
  <si>
    <t>A 2027 el 100% de las Entidades Territoriales desarrollan mecanismos para el fortalecimiento de la rectoría en salud en su territorio, conforme a las competencias establecidas.</t>
  </si>
  <si>
    <t>84-A 2031, se reduce en 40% las muertes por malaria en el periodo 2022- 2031.</t>
  </si>
  <si>
    <t>Garantizar el acceso y disponibilidad a medicamentos para el tratamiento de Malaria, Leishmaniasis y Enfermedad de Chagas.</t>
  </si>
  <si>
    <t>Abogacia e incidencia tecnica y politica en la agenda de otros sectores , a fin de generar acciones intersectoriales y transectoriales definiendo temas transversales y objetivos comunes</t>
  </si>
  <si>
    <t>Fortalecer la articulación intersectorial mediante reuniones de la mesa sectorial de ETV .</t>
  </si>
  <si>
    <t>Fortalecimiento de capacidades tecnicas para el ejercicio de la rectoria en salud</t>
  </si>
  <si>
    <t>Realizar mantenimiento preventivo y correctivo las maquinas del programa que lo requieran según diagnostico</t>
  </si>
  <si>
    <t>Realizar mantenimiento preventivo y correctivo de dos (2) vehiculos al servicio del programa según terminos de referencia, compra de SOAT y seguros</t>
  </si>
  <si>
    <t>Eliecer Peñaranda</t>
  </si>
  <si>
    <t>Fortalecimiento de las capacidades institucionales y sociales para la gestión territorial de la salud pública, en el marco de la Estrategia Nacional de Formación Territorial, Intercultural de Atención Primaria en Salud, Salud Pública y Salud Colectiva.</t>
  </si>
  <si>
    <t>A 2031 el 100% de las Entidades Territoriales del orden departamental, han desarrollado procesos de ajuste institucional para el fortalecimiento de lad capacidades de la autoridad sanitaria y la apropiación territorial del modelo de salud basado en APS</t>
  </si>
  <si>
    <t>A 2027 el 100% de las Entidades Territoriales han desarrollado procesos de ajuste institucional para el fortalecimiento de lad capacidades de la autoridad sanitaria y la apropiación territorial del modelo de salud basado en APS</t>
  </si>
  <si>
    <t xml:space="preserve">Taller teórico-práctico de 5 días para ingenieros ambientales y técnicos de E.S.E. y hospitales, enfocado en la identificación y control de criaderos, captura entomológica de arbovirosis y uso de la plataforma Epicollect para la recolección y visualización de datos georreferenciados, realizado por tres (3) profesionales con experiencia y experticia en el tema. </t>
  </si>
  <si>
    <t>Desarrollo de capacidades de ocho (8) horas sobre la socialización de la estrategia de Manejo Integrado de Vectores, dirigido a funcionarios de las alcaldías municipales y E.S.E. Hospitales públicos del departamento (una persona por entidad). La actividad se orienta al fortalecimiento de conocimientos y competencias técnicas en vigilancia, prevención y control de vectores. El cual debe ser desarrollado por un profesional de la Salud que cuente con experiencia en el tema.</t>
  </si>
  <si>
    <t>A 2031 el 100% de las Entidades Territoriales del distrital y orden departamental, municipal desarrollan mecanismos para el fortalecimiento de la rectoría en salud en su territorio, conforme a las competencias establecidas</t>
  </si>
  <si>
    <t>Asistencia ténica al talento humano por parte del medico del área de prestación de servicios (presencial o virtual) para la adherencia a guías de atención integral de casos (Dengue / Chikunguña / Zika), Fiebre amarilla, Leishmaniasis, Malaria y Chagas en el 100% de las IPS publicas</t>
  </si>
  <si>
    <t>A 2031 el 100% de los espacios e instancias intersectoriales inlcuyen en sus planes de accion la transversalizacion de los enfoques de puebos y comunidades . Genero y diferencial e integran los sistemas de conocimiento propio d elos pueblos y comunidades etnicas</t>
  </si>
  <si>
    <t>A 2027 el 100% de los espacios e instancias intersectoriales inlcuyen en sus planes de accion la transversalizacion de los enfoques de puebos y comunidades Genero y diferencial e integran los sistemas de conocimiento propio d elos pueblos y comunidades etnicas</t>
  </si>
  <si>
    <t>Abogacia con las comunidades etnicas para la implementacion de acciones de promocion y prevencion de las ETV</t>
  </si>
  <si>
    <t>a 2031 el 100% de las entidades territoriales del orden departaental, distrital y municipal han desarrollado procesos de ajuste inatitucional para el fortalecimiento de las capacidades de la autoridad sanitaria y la apropiacion territorial del modelo de salud basado en APS</t>
  </si>
  <si>
    <t>A 2027 el 100% de las entidades territoriales del orden municipal han desarrollado procesos de ajuste inatitucional para el fortalecimiento de las capacidades de la autoridad sanitaria y la apropiacion territorial del modelo de salud basado en APS</t>
  </si>
  <si>
    <t>Prevenir la transmisión de ETV mediante uso de control químico en municipios en brote según analisis de la informacion epidemiologica (a demanda)</t>
  </si>
  <si>
    <t>Realizar levantamiento de indices aédicos, control larvario, destruccion de criadros y captura entomologica de larvas y adultos en el entorno hogar beneficiando a las familias en 29 municipios según programacion de los tecnicos de ETV y en los cementerios .</t>
  </si>
  <si>
    <t>Levantar indices aedicos, destruccion de criaderos, control larvario y captura entomologica de larvas y adultos y educacion en signos y sintomas de alarma en el entorno educativo</t>
  </si>
  <si>
    <t>Instalación de cuatro (4) larvitrampas, captura de larvas y seguimiento de las mismas según lineamiento ubicados en terminales de transporte fluviales, aereos, y terrestres en los 29 municipios del departamento del Magdalena</t>
  </si>
  <si>
    <t>Desarrollo de estrategias de comunicación para la difusión y el uso adecuado de la información en salud pública</t>
  </si>
  <si>
    <t>A 2027 el 100% de las Entidades Territoriales del orden  municipal desarrollan mecanismos para el fortalecimiento de la rectoría en salud en su territorio, conforme a las competencias establecidas</t>
  </si>
  <si>
    <t>Realizar un (1) programa radial en los 29 municipios del departamento del Magdalena sobre las ETV, dando a conocer el ciclo vectorial, habito de los vectores transmisores de arbovirosis, malaria, chagas y leishmania</t>
  </si>
  <si>
    <t>Desarrollo de macanismos para el fortalecimiento d ela conduccion y articulación sectorial e intersectorial, la conformación y operación de redes integrales e integradas territoriales de servicios de salud y la rendicion de cuentas conforme a las competencias establecidas</t>
  </si>
  <si>
    <t>75-A 2031, se reduce 20% la letalidad acumulada (2022-2031) por enfermedad de Chagas agudo.</t>
  </si>
  <si>
    <t>Abogacia con las EAPB para el tamizaje de chagas para maternas e hijos de maternas positivas en el marco de la estrategia MPLUS y seguimiento nominal de los casos</t>
  </si>
  <si>
    <t>A 2027 el 100% de las Entidades Territoriales del orden municipal desarrollan mecanismos para el fortalecimiento de la rectoría en salud en su territorio, conforme a las competencias establecidas</t>
  </si>
  <si>
    <t>Desarrollar capacidades al talento humano (profesionales de apoyo) en capacitación en identificación taxonomica de Culicidos y montaje de especimenes para la colección de referencia entomologica.</t>
  </si>
  <si>
    <t>Fortalecimiento de capacidades institucionales y comunitarias para el desarrollo de la APS con acciones territorializadas, universales, sistemáticas, permanentes y participativas bajo un enfoque familiar y comunitario.</t>
  </si>
  <si>
    <t>16-A 2031, Colombia logrará coberturas útiles de vacunación (95% -biológicos trazadores).</t>
  </si>
  <si>
    <t>Desarrollar actividades de promoción y mantenimiento de la salud y prevención de la enfermedad en la poblacion diferencial, en los 29 municipios del departamento</t>
  </si>
  <si>
    <t>Desarrollar Un (1) encuentro lúdico de saberes con todas las Madres ICBF, padres de familia, los docentes y las madres lideres de Mas familias en acción cuyo énfasis sean estrategias asertivas en vacunación para la identificación de niños y niñas menores de 6 años con esquemas de vacunación incompletos para la edad profesional idóneo. En el entorno educativo y Comunitario en los ámbitos urbano.</t>
  </si>
  <si>
    <t>Gissell Zamora</t>
  </si>
  <si>
    <t>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t>
  </si>
  <si>
    <t xml:space="preserve">Programa comunicacional mensual en los 29 municipios donde se informe: esquema de vacunacion, jornadas, vacunacion segura, entre otros los 12 meses del año pueden usar medio radial de cobertura municipal o perifoneo demostrado en todo el municipio </t>
  </si>
  <si>
    <t xml:space="preserve">Familias, colectivos y comunidades 
</t>
  </si>
  <si>
    <t>Establecimiento de mecanismos institucionales, sectoriales, intersectoriales y comunitarios que garanticen la participación de las diferentes formas y expresiones organizativas de los pueblos y comunidades en la planeación y la respuesta en salud</t>
  </si>
  <si>
    <t>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t>
  </si>
  <si>
    <t>A 2027 el 100% de entidades territoriales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t>
  </si>
  <si>
    <t>Desarrollar un (1) encuentro didactico de saberes con comunidad indígena de los municipios de Ciénaga, Fundación, Aracataca y Sabana de San Ángel, con énfasis en estrategias asertivas de vacunación para la identificación de niños y niñas menores de seis (6) años, con la participación de un profesional idóneo con experiencia PAI. La actividad se realizará en los entornos educativos y comunitarios, tanto en áreas urbanas como rurales.</t>
  </si>
  <si>
    <t>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t>
  </si>
  <si>
    <t>Implementación de mecanismos para la coordinación y gestión de la operación de las redes integrales e integradas territoriales de salud en el marco de un modelo preventivo, predictivo y resolutivo basado en la APS.</t>
  </si>
  <si>
    <t>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t>
  </si>
  <si>
    <t>A 2027 el 100 % de las Entidades Territoriales del orden municipal han desarrollado procesos de ajuste institucional para el fortalecimiento de las capacidades de la autoridad sanitaria y la apropiación territorial del modelo de salud basado en la atención primaria.</t>
  </si>
  <si>
    <t>18-A 2031, Colombia aumentará a un 90%, la cobertura de vacunación de VPH en niños y niñas de 9 años de edad</t>
  </si>
  <si>
    <t>Garantizar el inicio, continuidad y finalizacion de los esquemas de vacunación según la edad, mediante jornadas dirigidas al 100% de las familias intervenidas por la estrategia de Atención Primaria en Salud que cuenten con miembros objeto del PAI, a través del trabajo de un vacunador y un anotador, con una meta de productividad mensual de 40 personas.</t>
  </si>
  <si>
    <t>Educacion en Salud sobre Vacunacion segura y esquema gratuito, Realizar búsqueda activa de la poblacion objetivo del programa y la puesta al día de coberturas de vacunación en los 29 Municipios y de esta manera gestionar el cumplimiento de las metas programáticas</t>
  </si>
  <si>
    <t>0,25</t>
  </si>
  <si>
    <t>Desarrollo y fortalecimiento de capacidades para la planeación integral en salud y la gestión territorial en el marco del Modelo de Salud preventivo, predictivo y resolutivo basado en Atención Primaria en Salud - APS.</t>
  </si>
  <si>
    <t>Desarrollar capacidades en los diferentes componentes del programa dirigido al talento humano Vacunadores de los equipos y unidades vacunadoras de 29 municipios incluida IPS Indigena</t>
  </si>
  <si>
    <t>11-A 2031, reducir a 10,3 por mil nacidos vivos la tasa de mortalidad en menores de 5 años</t>
  </si>
  <si>
    <t>Desarrollar capacidades en los diferentes componentes del programa dirigido al talento humano coordinadores de los equipos y unidades vacunadoras de 29 municipios incluida IPS Indigena</t>
  </si>
  <si>
    <t>Fortalecimiento de las capacidades del Talento Humano para la generación de conocimiento con enfoques diferenciales, de género y diversidad y para pueblos y 
  comunidades étnicas.</t>
  </si>
  <si>
    <t>Articulacion con el SENA para garantizar la certificacion en las 2 competencias laborales (Adminstracion de Inmunobiologicos y Atencion al usuario) a los tecnicos (auxiliares) y profesionales (enfermeras) de las IPS de los 29 municipios, incluida la IPS Indigena .</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</si>
  <si>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t>
  </si>
  <si>
    <t>A 2031 el 100% de las entidades terriitoriales de orden departamental, distrital y municipal desarrollaran mecanismos para el fortalecimiento de la rectoria en salud en su territorio, conforme a las competencias establecidas</t>
  </si>
  <si>
    <t>A 2027 el 100% de las entidades terriitoriales de orden municipal desarrollaran mecanismos para el fortalecimiento de la rectoria en salud en su territorio, conforme a las competencias establecidas</t>
  </si>
  <si>
    <t>Realizar la gestión de los insumos críticos del programa de la red de frio</t>
  </si>
  <si>
    <t>Gestion de insumos de interes en salud publica para garantizar la implementacion de la estrategia de vacunacion sin barreras a los 29 Municipios</t>
  </si>
  <si>
    <t>Realizar Mantenimiento preventivo y correctivo a la red de frio departamental</t>
  </si>
  <si>
    <t>Garantizar el traslado de insumos y biologicos del esquema regular y contra covid19 los 12 meses del año 2025 a los 29 muicipios conservando su red de frio</t>
  </si>
  <si>
    <t>Garantizar la proteccion y vida util de los biologicos e insumos criticos para el programa ampliado de inmunizaciones PAI a traves de una poliza de seguros todo riesgo</t>
  </si>
  <si>
    <t>Abogacía e incidencia técnica y política en la agenda de otros sectores, a fin de generar acciones intersectoriales y transectoñales definiendo temas transversales y objetivos
  comunes.</t>
  </si>
  <si>
    <t>99-No relación</t>
  </si>
  <si>
    <t>Realizar cuatro (4) Comites del Programa Ampliado de Inmunizaciones PAI según lineamientos del MSPS, que garantice la participación de los actores del sector salud y otros sectores con el objetivo de lograr la meta de cobertura propuesta.</t>
  </si>
  <si>
    <t>Posicionamiento del sistema único de información en salud parametrizado y estandarizado acorde con la normatividad
  vigente, que tenga la capacidad de articular los sistemas propios de información en salud de los pueblos y comunidades existentes.</t>
  </si>
  <si>
    <t>Realizar seguimiento y elaborar informe de un monitoreo rápido de coberturas realizados por los 29 municipios, conforme a lo establecido en los lineamientos del MSPS.</t>
  </si>
  <si>
    <t>Realizar asistencias tècnicas y seguimientos, para la implementación y fortalecimiento deI Programa Ampliado de Inmunizaciones en todos sus componentes en las IPS/ESE ,IPS de atención al recien nacidos y EAPB de los 29 municipios.</t>
  </si>
  <si>
    <t>Desarrollo de mecanismos para el fortalecimiento de la conducción y articulación sectorial e intersectorial, la regulación, la conformación y operación de redes integrales e integradas territoriales de servicios de salud y la rendición de cuentas conforme a las competencias establecidas.</t>
  </si>
  <si>
    <t>Articular las acciones con el equipo de vigilancia en salud pública, así como participar en las salas de análisis de riesgo, comités de vigilancia epidemiológica, equipos de respuesta inmediata, sala situacional, unidad de analisis ESAVI, comite de expertos de EAPV, entre otras.</t>
  </si>
  <si>
    <t>Diseño e implementación de estrategias para la transversafización de los enfoques diferencial, de género y diversidad, curso de vida, salud familiar y comunitaria y
  psicosocial para pueblos y comunidades.</t>
  </si>
  <si>
    <t>Programar y gerenciar las estrategias del programa ampliado de inmunizaciones PAI del Departamento (Informes ejecutivos del programa, jornadas de vacunación ESQUEMA REGULAR a las que haya lugar grarantizando el control de los bilógicos e insumos, sistema de información, formulación planes de acción, desarrollo de capacidades y seguimientos en entorno educativa ,entre otros)</t>
  </si>
  <si>
    <t>Fortalecimiento de capacidades institucionales y comunitarias para el desarrollo de la APS con acciones territoizalizadas universales sistematica participativas bajo un enfoque territorial y comunitario.</t>
  </si>
  <si>
    <t>93-A 2031, se logra el 90% de tratamiento exitoso en pacientes con tuberculosis</t>
  </si>
  <si>
    <t>Medico en tu casa</t>
  </si>
  <si>
    <t>Realizar Seguimiento al cumplimiento del plan estrategico fin de la tuberculosis Colombia, en los 29 municipios del departamento</t>
  </si>
  <si>
    <t>Educacion en salud a los pacientes privados de la libertad (carceles y estacion de policia) sobre Identificación de signos y síntomas de tuberculosis.Realizar busqueda activa de sintomaticos respiratorios y su canalizacion respectiva para diagnostico oportuno</t>
  </si>
  <si>
    <t>Marly Sierra/ Jacqueline Garcìa M.</t>
  </si>
  <si>
    <t>Análisis de la información que permita la comprensión de las situaciones de salud de la poblacion y sus determinantes sociales a nivel territorial</t>
  </si>
  <si>
    <t>A 2031 el 100% de las entidades territoriales del orden departamental , distrital y municipal han desarrollado procesos de ajuste institucional para el fortalecimiento de las capacidades de las autoridades sanitarias y apropiacion territorial del modelo de salud basado en la APS</t>
  </si>
  <si>
    <t>A 2027 el 100% de las entidades territoriales del orden municipal han desarrollado procesos de ajuste institucional para el fortalecimiento de las capacidades de las autoridades sanitarias y apropiacion territorial del modelo de salud basado en la APS</t>
  </si>
  <si>
    <t>Mèdico en tu casa</t>
  </si>
  <si>
    <t>Desarrollo de capacidades al Talento Humano del SGSSS en tuberculosis en los temas de gestión, diagnostico, sistema de información, análisis y seguimiento de indicadores y prevención y manejo de la coinfeccion TB/VIH y manejo programático de TB-MDR y socializacion del plan estrategico a los actores del sistema</t>
  </si>
  <si>
    <t>A 2031 el 100% de las entidades territoriales del orden departamental , distrital y municipal  han  desarrollado procesos de ajuste institucional para el fortalecimiento de las capacidades de las autoridades sanitarias y apropiacion territorial del modelo de salud basado en la APS</t>
  </si>
  <si>
    <t xml:space="preserve">cuidado de la salud en el territorio  </t>
  </si>
  <si>
    <t>Educación en salud de TB para la promoción y la gestión del riesgo y la transformación positiva de los diferentes entornos (hogar, comunitario) de los pacientes, ex-pacientes, sus familias</t>
  </si>
  <si>
    <t>Personal de salud</t>
  </si>
  <si>
    <t>iii) Trabajo digno y decente para el talento humano en salud y otros trabajadores del sector</t>
  </si>
  <si>
    <t>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t>
  </si>
  <si>
    <t>94-A 2031, se logra reducir el 50% la tasa de mortalidad por 100mil habitantes, causada por la tuberculosis en Colombia.</t>
  </si>
  <si>
    <t>Realizar un plan de asistencia tecnica a los diferentes actores del sistema de los 29 Municipios en el programa de tuberculosis y Apoyar la adopcion del Plan Estrategico post 2015 facia el fin el la Tuberculosis. PLAN ESTRATEGICO 2025</t>
  </si>
  <si>
    <t>Realizar investigacion operativa de acuerdo a lineamiento de la red de investigacion nacional en tuberculosis resolucion 227 de 2020.</t>
  </si>
  <si>
    <t>Fomentar la inversión en investigación, desarrollo innovaciòn y produccion local de TES</t>
  </si>
  <si>
    <t>A 2027 el 100% de las entidades territoriales del orden departamental, municipal  han  desarrollado procesos de ajuste institucional para el fortalecimiento de las capacidades de las autoridades sanitarias y apropiacion territorial del modelo de salud basado en la APS</t>
  </si>
  <si>
    <t xml:space="preserve">Adquisicion de insumos de laboratorios para apoyo de la red </t>
  </si>
  <si>
    <t>Fortalecer acciones de protección en infancia: rastreo de contactos en niños expuestos a casos de TB bacilífera para asegurar profilaxis según lineamiento nacional, educación a familias de los niños intervenidos en ESE municipales – EPS</t>
  </si>
  <si>
    <t>A 2027 el 100% de los Municipios integran en su Planes de Desarrollo Territoriales estrategias para afectar de manera positiva los determinantes sociales de la salud en sus territorios</t>
  </si>
  <si>
    <t>Realizar seguimiento a la implementación del programa nacional de prevención, manejo y control de IRA en las 33 ESE del departamento</t>
  </si>
  <si>
    <t>Desarrollar un proceso de fortalecimiento de capacidades dirigido a líderes comunitarios, representantes de instituciones educativas, madres y líderes de hogares del ICBF de los ámbitos urbano y rural de los municipios. Este proceso se llevará a cabo en las unidades comunitarias UROC-UAIRAC (Unidades de Rehidratación Oral Comunitaria y Unidades de Atención Integral a las Infecciones Respiratorias Agudas), e incluirá las 18 prácticas clave del AIEPI Comunitario, con el fin de facilitar su implementación, funcionamiento y los procesos de referencia y contrarreferencia en el entorno comunitario.</t>
  </si>
  <si>
    <t>Evelyn Gutierrez</t>
  </si>
  <si>
    <t>A 2031 el 100% de las Entidades Territoriales del orden departamental, dlstrltal y municipal desarrollan mecanismos para el fortalecimiento de la rectoría en salud en su territorio, conforme a las competencias establecidas</t>
  </si>
  <si>
    <t>77-A 2031 departamentos y distritos con población en riesgo, logran alcanzar y mantener las coberturas anuales de desparasitación antihelmíntica iguales o superiores al 75%, en niños elegibles en edad preescolar y escolar.</t>
  </si>
  <si>
    <t>Realizar jornadas de desparasitación antihelmíntica, acompañadas de actividades de educación en salud en los entornos comunitario y escolar, dirigidas a niñas, niños y adolescentes de 1 a 14 años. Estas acciones estarán enfocadas en sensibilizar sobre la importancia de la desparasitación antihelmíntica en los 29 municipios del Departamento del Magdalena.</t>
  </si>
  <si>
    <t>Gestión territorial para el cuidado de la salud basado
en la atención primaria en salud.</t>
  </si>
  <si>
    <t>Realizar jornadas de desparasitación antihelmíntica, acompañado de Educacion en salud en la población etnica (indígena) en todos los entornos, a niños(as) y adolescentes de 1 a 14 años, sobre la importancia de la desparasitación antihelmíntica en los municipios de Aracataca, Ciénaga, Fundación y Sabanas de San Angel.</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</si>
  <si>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t>
  </si>
  <si>
    <t>A 2031 el 100% de las Entidades Territoriales del orden departamental, distrital y municipal desarrollan mecanismos para el fortalecimiento de la rectoría en salud en su territorio, conforme a las competencias establecidas</t>
  </si>
  <si>
    <t>Desarrollar un fortalecimiento de capacidades certificado para la adecuada aplicación de la Escala Abreviada de Desarrollo-3 (EAD-3), cuestionarios e instrumentos de la Ruta para la Promocion y Mantenimiento de la salud mediante una actividad de entrenamiento, dirigido al Talento Humano en Salud de las ESE e IPS de los 29 municipios del Departamento del Magdalena.</t>
  </si>
  <si>
    <t xml:space="preserve">Primera infancia, Infancia </t>
  </si>
  <si>
    <t>Implementación de mecanismos para la</t>
  </si>
  <si>
    <t>Desarrollo de un taller teórico práctico en AIEPI clinico, dirigido al Talento Humano en Salud de las ESE e IPS de los 29 municipios del Departamento del Magdalena.</t>
  </si>
  <si>
    <t>Familias, colectivos y comunidades;</t>
  </si>
  <si>
    <t>coordinación y gestión de la operación de las redes integrales e integradas territoriales de salud en el marco de un modelo preventivo, predictivo y resolutivo basado en la APS.</t>
  </si>
  <si>
    <t>Realizar asistencia tecnica en la estrategia de desparasitacion antihelmintica (Lineamientos desparasitacion antihelmintica quimioterapia preventiva), en los 29 Municipios</t>
  </si>
  <si>
    <t>Primera infancia, Infancia y adolescencia</t>
  </si>
  <si>
    <t xml:space="preserve">Capacidades fortalecidas para la gestión del conocimiento en salud pública  </t>
  </si>
  <si>
    <t xml:space="preserve">coordinación y gestión de la operación de las redes integrales e integradas territoriales de salud en el marco de un modelo preventivo, predictivo y resolutivo basado en la APS. </t>
  </si>
  <si>
    <t>2-A 2031, reducir a 13,5 por cada 1.000 nacidos vivos la tasa de mortalidad perinatal</t>
  </si>
  <si>
    <t xml:space="preserve">Desarrollar actividades de promoción y mantenimiento de la salud y prevención de la enfermedad en la poblacion diferencial, en los 29 municipios del departamento </t>
  </si>
  <si>
    <t xml:space="preserve">Desarrollo institucional y sectorial para el ejercicio de la autoridad sanitaria </t>
  </si>
  <si>
    <t>Desarrollo de capacidades teórico práctico al Talento Humano en Salud de las ESE e IPS de los 29 mumicipios del Departamento del Magdalena en Reanimación Neonatal Básica-Programa de Resucitación Neonatal (PRN).</t>
  </si>
  <si>
    <t>Evelyn Gutierrez, Jairo Santos</t>
  </si>
  <si>
    <t>99- No relación</t>
  </si>
  <si>
    <t>Educacion en salud a familias en el uso adecuado de antimicrobianos y el correcto lavado de manos</t>
  </si>
  <si>
    <t>82-A 2031, se logra disminuir en un 50% la tasa de discapacidad grado severo en las personas con diagnóstico nuevo de lepra.</t>
  </si>
  <si>
    <t>Realizar Busqueda activa permanente mediante la Revisión Clinica de los convivientes de pacientes y expacientes de hansen, para la detecciön temprana, canalizacion a la IPS para diagnostico precoz, notificacion , registro y seguimiento, en el ambito urbano y rural de los 29 Municipios del magdalena.</t>
  </si>
  <si>
    <t>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t>
  </si>
  <si>
    <t>Desarrollar capacidades en el entorno institucional al talento humano de la DTS en temas como: gestión, Dx, sistema de información, analisis y seguimiento de indicadores en la prevencion y control de la enfermedad de hansen</t>
  </si>
  <si>
    <t>Yamina Yañez, Mayra Cantillo</t>
  </si>
  <si>
    <t xml:space="preserve">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t>
  </si>
  <si>
    <t xml:space="preserve">A 2031 el 100% de las Entidades Territoriales del orden departamental, distrital y municipal desarrollan mecanismos para el fortalecimiento de la rectoría en salud en su territorio, conforme a las competencias establecidas.  </t>
  </si>
  <si>
    <t xml:space="preserve">A 2027 el 100% de las Entidades Territoriales del orden municipal desarrollan mecanismos para el fortalecimiento de la rectoría en salud en su territorio, conforme a las competencias establecidas.  </t>
  </si>
  <si>
    <t>Evitar que la tasa de la de incidencia de la enfermedad de hansen este por encima del 1,39%.</t>
  </si>
  <si>
    <t>Realizar un plan de  asistencia tecnica a los diferentes actores del entorno institucional de los 29 Municipios en el programa de lepra y Apoyar la formulacion del plan Magdalena libre de Hansen</t>
  </si>
  <si>
    <t>Gestio territorial para el cuidado de la salud basado en la atencion primaria en salud.</t>
  </si>
  <si>
    <t>Evitar que la tasa de incidencia de la enfermedad de hansen este por encima del 1,39%.</t>
  </si>
  <si>
    <t>educacion en salud en el entorno educativo de los ambitos rural y urbano de los territorios priorizados dirigido a jovener de 9,10 y 11 en deteccion y prevencion de la enfermedad, prevencion del estigma y discriminacion de hansen de los 29 municipios del departamento del magdalena.</t>
  </si>
  <si>
    <t>Prácticas, saberes y conocimientos para la salud pública reconocidos y fortalecidos para Pueblos y comunidades étnicas, mujeres, población campesina, LBGTIQ+ y otras poblaciones por condición y/o situación</t>
  </si>
  <si>
    <t>Garantizar los mecanismos para salvaguardar el conocimiento relacionado con las formas, experiencias, prácticas y acciones en salud de las personas y colectivos, con el fin de fortalecer la transmisión intergeneracional.</t>
  </si>
  <si>
    <t>A 2031 el 100% de las Entidades Territoriales del orden departamental, distrital y municipal desarrollan mecanismos para el fortalecimiento de la rectoría en salud en su territorio, conforme a las competencias establecidas"</t>
  </si>
  <si>
    <t xml:space="preserve">Desarrollar acrividades de promoción y mantenimiento de la salud y prevención de la enfermedad en la poblacion diferencial, en los 29 municipios del departamento </t>
  </si>
  <si>
    <t>Acuerdos sociales y comunitarios para la transformación de las inequidades en salud y la incidencia sobre los DSS en el territorio </t>
  </si>
  <si>
    <t xml:space="preserve">realizar seguimiento del plan de acción de la RED de RBC para la implementación de la estrategia RBC (rehabilitación basada en comunidad), como un proceso de desarrollo local inclusivo de caracter intersectorial de las personas con discapacidad y sus cuidadores en los entornos institucional y comunitario en el area urbana y/o rural de los microterritorios priorizados de los 29 municicipios </t>
  </si>
  <si>
    <t>Promoción de capacidades y mecanismos para la gobernanza en salud pública y la incidencia sobre los determinantes sociales de la salud desde las diferentes instancias intersectoriales del orden nacional y territorial.</t>
  </si>
  <si>
    <t>Certificar a 4.600 personas con discapacidad en el departamento</t>
  </si>
  <si>
    <t>Desarrollo institucional y sectorial para el ejercicio de la autoridad sanitaria  </t>
  </si>
  <si>
    <t xml:space="preserve">Desarrollo de capacidades para preescripción de ayudas tecnicas para bancos municipales (SSM) de las personas con discapacidad en el departamento del Magdalena </t>
  </si>
  <si>
    <t>Desarrollo y fortalecimiento de capacidades para la
planeación integral en salud y la gestión territorial en el marco
del Modelo de Salud preventivo, predictivo y resolutivo basado
en Atención Primaria en Salud - APS</t>
  </si>
  <si>
    <t xml:space="preserve">Desarrollar acrividades de promoción y mantenimiento de la salud y prevención de la enfermedad en la  poblacion diferencial, en los 29 municipios del departamento </t>
  </si>
  <si>
    <t xml:space="preserve">Mesa de articulación intersectorial para la prestación de servicios en salud de la población con discapacidad y trastornos mentales </t>
  </si>
  <si>
    <t xml:space="preserve">Establecimiento de mecanismos de participación basada en
atención primaria en salud — APS para la gobernanza propia
en salud de los pueblos y comunidades. </t>
  </si>
  <si>
    <t>Certificar a 2.200 personas con discapacidad en el departamento</t>
  </si>
  <si>
    <t xml:space="preserve">Desarrollo de capacidad en valoraciones de apoyo -certificado (SSM, personeria, comesaria de familia) y fortalecimiento de la atención diferencial en salud ((SSM, personeria, comesaria de familia, IPS y EPS)para las personas con discapacidad </t>
  </si>
  <si>
    <t xml:space="preserve"> 2031 el 100% de las Entidades Territoriales del orden departamental, distrital y municipal desarrollan mecanismos para el fortalecimiento de la rectoría en salud en su territorio, conforme a las competencias establecidas"</t>
  </si>
  <si>
    <t xml:space="preserve"> 2027 el 100% de las Entidades Territoriales del orden municipal desarrollan mecanismos para el fortalecimiento de la rectoría en salud en su territorio, conforme a las competencias establecidas"</t>
  </si>
  <si>
    <t>Certificar a  2.200 personas con discapacidad en el departamento</t>
  </si>
  <si>
    <t>Desarrollo institucional y sectorial para el ejercicio de la autoridad sanitaria </t>
  </si>
  <si>
    <t xml:space="preserve">Asistencia tecnica y acompañamiento sobre el componente de discapacidad  (Rehabilitación basada en la comunidad (RBC) - certificación de discapacidad y RLCPD  </t>
  </si>
  <si>
    <t>Personas con discapacidad</t>
  </si>
  <si>
    <t>RUBY PONCE BALDOVINO</t>
  </si>
  <si>
    <t>2031 el 100% de las Entidades Territoriales del orden departamental, distrital y municipal desarrollan mecanismos para el fortalecimiento de la rectoría en salud en su territorio, conforme a las competencias establecidas"</t>
  </si>
  <si>
    <t>Asistencia tecnica para la implementación del modelo de infancia a los actores que hacen parte del sistema de salud en los 29 municipios del departamento</t>
  </si>
  <si>
    <t>promoción de capacidades y mecanismos para la gobernanza en salud pública y la incidencia sobre los determinantes sociales de la salud desde las diferentes instancias intersectoriales del orden nacional y territorial.</t>
  </si>
  <si>
    <t>Asistencia tecnica y articulación intersectorial con los diferentes actores para la prevención del trabajo infantil en los 29 municipios del departamento</t>
  </si>
  <si>
    <t>promoción de capacidades y mecanismos para la gobernanza en salud pública y la incidencia sobre los determinantes sociales de la salud desde las diferentes instancias intersectoriales del orden nacional y territorial</t>
  </si>
  <si>
    <t>Mesa  Departamental  de  Salud  y Nutricion para el desarrollo Integral de Niños, Niñas y Adolescentes</t>
  </si>
  <si>
    <t>Desarrollo y fortalecimiento de capacidades para la planeación integral en salud y la gestión territorial en el marco del Modelo de Salud preventivo, predictivo y resolutivo basado en Atención Primaria en Salud - APS</t>
  </si>
  <si>
    <t>31 el 100% de las Entidades Territoriales del orden departamental, distrital y municipal desarrollan mecanismos para el fortalecimiento de la rectoría en salud en su territorio, conforme a las competencias establecidas"</t>
  </si>
  <si>
    <t>Desarrollar acrividades de promoción y mantenimiento de la salud y prevención de la enfermedad en la poblacion diferencial, en los 29 municipios del departament</t>
  </si>
  <si>
    <t>Asistencia tecnica y seguimiento para la implementación del modelo de envejecimiento activo en los 29 municipios del departamento</t>
  </si>
  <si>
    <t>Generación y adecuación de estrategias que promuevan capacidades institucionales para la garantía del derecho a la</t>
  </si>
  <si>
    <t>Visita de seguimiento semestral para verificación de condiciones mínimas que dignifiquen la estadía de los adultos mayores en los centros de protección, centros de día e instituciones</t>
  </si>
  <si>
    <t>Articular acciones con los diferentes ejes estratégicos para el seguimiento de casos de interes en salud publica de los adultos mayores</t>
  </si>
  <si>
    <t>Asistencia tecnica sobre politica publica de envejecimiento y vejez 2022- 2031 en los 29 municipios del departamento</t>
  </si>
  <si>
    <t>Desarrollo de capacidades cognitiva dirigida a los adultos mayores de los 4 centros de bienestar del adulto mayor, en los municipios de banco, guamal, santa barbara de pinto y Sabanas de san Angel</t>
  </si>
  <si>
    <t>Desarrollo de capacidades para atención integral del adulto mayor con entidades territoriales, IPS, EAPB por subregiones</t>
  </si>
  <si>
    <t>Reconocimiento y legitimación de los espacios e instancias de diálogo y concertación para para la construcción colectiva de sistemas propios, a través de saberes, prácticas y conocimientos de y con las personas y colectivos.</t>
  </si>
  <si>
    <t>31 el 100% de las Entidades Territoriales del orden departamental, distrital y municipal desarrollan mecanismos para el fortalecimiento de la rectoría en salud en su territorio, conforme a las competencias establecidas</t>
  </si>
  <si>
    <t>Actividad ludico - recreatico para adultos mayores, familiares y cuidadores para loa Promocion del Envejecimiento Activo y Saludable y Prevencion del Maltrato a los Adultos Mayores y habitancia en calle en el entorno comunitario , hogar centro de vida y centros de bienestar donde aplique en el area urbana y/o rural de los microterritorios priorizados en los 29 munipios del Depar4tamento del Magdalena</t>
  </si>
  <si>
    <t>Fortalecimiento de capacidades técnicas para el ejercicio de la rectoría en salud.</t>
  </si>
  <si>
    <t>Desarrollar actividades de promoción y mantenimiento de la salud y prevención de la enfermedad en la población diferencial, en los 29 municipios del departamento</t>
  </si>
  <si>
    <t>Asistencia técnica y seguimiento de las acciones de la política pública para habitantes de calle, fenómeno de habitanza en calle, las características y necesidades de la población habitante de la calle, en las entidades territoriales</t>
  </si>
  <si>
    <t>Asistencia técnica con el fin de sensibilizar sobre prestación de servicios hacia la población habitante de calle para reducir el estigma y discriminación, dirigida a las entidades e instituciones a cargo de los servicios sociales y de salud</t>
  </si>
  <si>
    <t>Persona mayor</t>
  </si>
  <si>
    <t>Abogacía e incidencia técnica y política en la agenda de otros sectores, a fin de generar acciones intersectoriales y transectoñales definiendo temas transversales y objetivos comunes.</t>
  </si>
  <si>
    <t>Realizar 2 mesa para el desarrollo de rutas sectoriales de atención integral para Personas Habitantes de la Calle</t>
  </si>
  <si>
    <t>Prácticas, saberes Y conocimientos para la salud pública reconocidos y fortalecidos para Pueblos y comunidades étnicas, mujeres, población campesina, LBGTIQ+ y otras poblaciones por condición y/o situación.</t>
  </si>
  <si>
    <t>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el marco del Plan Territorial de Salud.</t>
  </si>
  <si>
    <t>A 2031 el 100%de entidades territoriales, Deoparatamentales, Distritales y Municipales han implementado la estrategia de transversalización del enfoque de género en la planeacion integral en salud</t>
  </si>
  <si>
    <t>A 2027 el 100% de entidades territoriales Municipales han implementado la estrategia de transversalización del enfoque de género en la planeacion integral en salud</t>
  </si>
  <si>
    <t>Taller educativo para generar sensibilización en el entorno comunitario sobre factores de riesgo asociados a la habitanza en calle, características de la población habitante de calle y su estilo de vida, así como la orientación hacia rutas y servicios sociales y de salud con el fin de reducir el estigma y la discriminación.</t>
  </si>
  <si>
    <t>Realizar asistencia tecnica sobre acciones para la prevencion de trata de personas violencias basadas en género y diversidad en los 29 Municipios del departamento</t>
  </si>
  <si>
    <t>Realizar asistencia tecnica sobre humanizacion para la atencion sin discriminación y trato digno en los servicios en salud a población OSIG diversa y/o LGBTIQ+</t>
  </si>
  <si>
    <t>Implementacion de estatregia "Ruta Segura" simulacro de atencion en casos de trata de personas y violencias basadas en género. como actuar ante sospecha, situación y canalizacion de casos, con capacidad instalada en la creacion e implementacion de rutas de atención</t>
  </si>
  <si>
    <t>A 2027 el 100%de entidades territoriales,  Municipales han implementado la estrategia de transversalización del enfoque de género en la planeacion integral en salud</t>
  </si>
  <si>
    <t>Desarrollar un programa radial sobre el ejercicio ciudadano de la participación social para cogestionar la garantía del derecho a la salud y desarrollar acciones para la prevención de no discriminación o estigmatización por causa o condición y  prevencion de violencia de cualquier tipo  y promocion de los entornos seguros en cada uno de los 29 municipios</t>
  </si>
  <si>
    <t>Habitante de Calle</t>
  </si>
  <si>
    <t>Políticas, planes, programas y estrategias en salud con transversalización de los enfoques de pueblos y comunidades, género y diferencial e integración de los sistemas de conocimiento propio y saberes de los pueblos y comunidades étnicas y campesinas</t>
  </si>
  <si>
    <t>Establecimiento de los mecanismos institucionales, sectoriales, intersectoriales y comunitarios que garanticen la participación de las diferentes formas y expresiones organizativas de los pueblos y comunidades en la planeación y la respuesta en salud.</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</si>
  <si>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</si>
  <si>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</si>
  <si>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Construccion de protocolo de atencion diferencial a la poblacion negra-afrodesciente- raizal y palanquero</t>
  </si>
  <si>
    <t>Realizar Busqueda activa comunitaria mensual de niños(as) menores de cinco años; en el  entorno hogar, en los territorios y microterritorios con su respectivo tamizaje, a cada familia se le debe educar en el código internacional de Sucedáneos</t>
  </si>
  <si>
    <t>4 mesas para la implemetacion piloto de atencion entre la salud ancestral y salud occidental</t>
  </si>
  <si>
    <t xml:space="preserve">A  2027 el 100% de entidades territoriales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</si>
  <si>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Realizar jornadas educativas de socialización para promover hábitos de alimentación saludable, destacando la variedad de alimentos y su aporte nutricional en cada microterritorio en el entorno hogar utulizando el plato saludable</t>
  </si>
  <si>
    <t>Realizar educación en salud materna y neonatal, a mujeres en edad fertil, parteras y jefes del hogar en las comunidades priorizadas, sobre factores de riesgo de la gestante, reporte oportuno y atención en salud para evitar complicaciones en la madre y en su hijo</t>
  </si>
  <si>
    <t xml:space="preserve">Realizar jornadas de desparasitación antihelmíntica, acompañado de Educacion en salud en la población en el entorno escolar a niños(as) y adolescentes de 1 a 14 años, sobre la importancia de la desparasitación antihelmíntica en los municipios  priorizados </t>
  </si>
  <si>
    <t>Negros, Afrocolombianos, raizal y palanques</t>
  </si>
  <si>
    <t>Realizar fortalecimiento en salud de las Unidades de atención integral comunitaria (UAIC) a población Negros- afrocolombianos-raizales-palenqueros para difundir los tres mensajes claves del programa de prevención, manejo y control de la IRA/EDA y la identificacion de signos de alarma de la Enfermedad diarreica aguda y enfermedad respiratoria aguda</t>
  </si>
  <si>
    <t>Coordinar sectorial e inetrsectorialmente acciones que incentiven la demanda  de las atenciones defenidas en la resolucion 3280 de 2018 del Ministerio de Salud y Proteccion Socialm relacionadascon la primera infancia o la norma que la modifique , adicdion o sustituya</t>
  </si>
  <si>
    <t xml:space="preserve">Realizar caracterizacion del territorio y poblacion negros, afrocolombianos, raizales y palenqueros asentada en el departamento con reconocimiento de la etnia en diferentes entornos en el area urbana y/o rural para la comunidad negros, afrocolombianos, raizales y palenqueros  en los microterritorios priorizados </t>
  </si>
  <si>
    <t>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t>
  </si>
  <si>
    <t>Fortalecimiento de capacidades técnicas para el ejercicio de la rectoría en salud</t>
  </si>
  <si>
    <t>Fortalecer las capacidades en los actores del sector salud y sector social en las entidades territoriales de los 29 munipicipios  del Departamento del Magdalena para gestionar de manera adecuada la atención de la población migrante y favorecer la convivencia social.</t>
  </si>
  <si>
    <t>Mesas de trabajo con cooperantes para la atención en salud de la población migrante en el departamento</t>
  </si>
  <si>
    <t xml:space="preserve">Fortalecimiento del desarrollo de capacidades en el talento humano en salud para la identificación, diagnóstico y prevención de los riesgos relacionados con la ocupación.
</t>
  </si>
  <si>
    <t xml:space="preserve">Desarrollar acrividades de promoción y mantenimiento de la salud y prevención de la enfermedad en la  poblacion diferencial, en los 29 municipios del departamento 
</t>
  </si>
  <si>
    <t>Primer foro de salud intercultural de los pueblos y comunidades indígenas del Magdalena: kogui, wiwa, arhuacos, chimila (SSM, IPS, EPS, Defensoría del Pueblo, promotores de salud, gremios en salud y académia)</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</si>
  <si>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</si>
  <si>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</si>
  <si>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Relizar 4 mesas tematicas en territorio con la población etnica del departamento para fortalecer los procesos y practicas de salud de las comunidades y pueblos indigenas.</t>
  </si>
  <si>
    <t>A 2027 el 100% de las Entidades
 Territoriales del orden municipal desarrollan  ecanismos para el fortalecimiento de la rectoría en salud en su territorio, conforme a las competencias establecidas</t>
  </si>
  <si>
    <t>Conformar, priorizar y desarrollar actividades educativas en GOTIS y UTIS en los 29 municipios del departamento</t>
  </si>
  <si>
    <t>Taller con las entidades de salud, los trabajadores informales, UTI y GOTIS para promover prácticas para el mejoramiento de las condiciones de salud de esta población identificación y gestión de sus riesgos a la salud asociados a los determinantes ambientales, sanitarios, ocupacionales de la salud.</t>
  </si>
  <si>
    <t>Intevenidos determinantes sociales individuales que mitigan morbilidad y mortalidad  prematuras por enfermdades no trasmisibles</t>
  </si>
  <si>
    <t xml:space="preserve">Reaizar Pruebas SRQ para la detección temprana de trastornos mentales en adultos en la poblacion infomal de los 29 munipios 
</t>
  </si>
  <si>
    <t>gestion territorial para el cuidado de la salud basado en la atención primaria en salud</t>
  </si>
  <si>
    <t>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t>
  </si>
  <si>
    <t>A 2027 el 100% de las entidades territoriales del orden municipal han desarrollado procesos de ajuste institucional para el fortalecimiento de las capacidades de la autoridad sanitaria y la apropiación territorial del modelo de salud basado en la atención primaria en salud</t>
  </si>
  <si>
    <t>Realizar fortalecimiento en salud de las unidades de atención integral comunitaria (UAIC) a población etnica indígena en los 4 municipios (Aracataca, Ciénaga, Fundación y Sabanas de San Angel) para difudinr los tres mensajes claves del programa de prevención, manejo y control de la IRA/EDA y la identificación de signos de alarma de la enfermedad diarreica aguda y enfermedad respiratoria aguda, donde se le entregara al promotor de la comunidad</t>
  </si>
  <si>
    <t>Actividades de Promoción, Prevención, Educación y Saneamiento tradicional (salud tradicional - salud intercultural - salud occidental)</t>
  </si>
  <si>
    <t>Realizar educación integral en salud materna y neonatal a Mujeres en edad fertil, gestantes en periodo de lactancia, sus familias, parteras, jefes del hogar, promotores de salud sobre la  lactancia materna y la adecuada alimentación complementaria en los microterritorios priorizados.</t>
  </si>
  <si>
    <t xml:space="preserve"> Garantizar una atención integral, intercultural y continua a la población, a través de un equipo multidisciplinario que intervenga de manera articulada en la promoción, prevención, diagnóstico y tratamiento en salud, desde la implementación del Plan de Cuidado, adaptado a la cosmovisión territorial de las comunidades indígenas, este plan se pondrá en marcha en los cuatro municipios del Departamento con reconocimiento de las etnias en diferentes entornos en el área urbana y/o rural. </t>
  </si>
  <si>
    <t>Poblacion Trabajadora Inforrmal</t>
  </si>
  <si>
    <t>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t>
  </si>
  <si>
    <t xml:space="preserve">Desarrollo de capacidades al TH Indigena manejo de la DNT aguda </t>
  </si>
  <si>
    <t>Fortalecimiento de las capacidades del Talento Humano en
 la irnplementación de estrategias para la generación de
 conocimiento de las condiciones de salud de la población
 y sus determinantes tales como observatorios, ASIS,
 unidades de análisis, seminarios, entre otras.</t>
  </si>
  <si>
    <t>A 2031, mantener la tasa de mortalidad de suicidio por debajo de 5</t>
  </si>
  <si>
    <t>A 2027, mantener la tasa de mortalidad de suicidio por debajo de 5</t>
  </si>
  <si>
    <t>Garantizar la atención a 1.992 personas victimas de vilencia de género intrafamiliar, intentos de suicidio, entre otros trastornos relacionados con la salud mental, a traves de la línea telefónica de atención de emergencias en salud mental</t>
  </si>
  <si>
    <t>Desarrollo de capacidades a través de un taller para los actores del sistema de salud en atención integral en salud y psicosocial, para las victimas del conflicto armado (SSM, IPS, EAPB) - Normatividad - protocolo/ implementación - retos y avances.</t>
  </si>
  <si>
    <t>99-no relación</t>
  </si>
  <si>
    <t>desarrollar capacidades en la vigilancia sobre el uso, conservacion y aplicacion de los medicamentos dentro de los servicios farmaceuticos dependientes e independientes para minimizar errores en recpcion y dispensacion, a traves de 4 talleres</t>
  </si>
  <si>
    <t xml:space="preserve">Articulacion Intersectorial para debatir politicas sobre el uso y conservacion de los medicamentos dentro de los servicios farmaceuticos dependientes e independientes para minimizar errores en recpcion y dispensacion, a traves de 5 reuniones </t>
  </si>
  <si>
    <t xml:space="preserve">Realizar una compra al Fondo Nacional de Estupefacientes ,para adquirir los medicamentos monopolio del estado, para garantizar la disponibilidad a la póblación, de conforidad con el plan de adquisiciones </t>
  </si>
  <si>
    <t>Adquirir 1000 recetarios oficiales para la prescripcion de medicamentos monopolio del Fondo Rotatorio de Estupefacientes</t>
  </si>
  <si>
    <t>Fortalecer el sistema de informacion institucional, para garantizar respuestas oportunas, completas y trazables a los requerimientos de los entes de control atraves de la actualizacion del Sistema Integrado de Vigilancia Sanitaria. Que permitan cantralizar, organizar y hacer seguimiento a cada solicitud desde su recepcion hasta su cierre.</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</si>
  <si>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t>
  </si>
  <si>
    <t xml:space="preserve">A 2031 el 100% de los Departamentos, Distritos y Municipios del País integran en su Planes de Desarrollo Territoriales estrategias para afectar de manera positiva los determinantes sociales de la salud en sus territorios.    </t>
  </si>
  <si>
    <t>Garantizar la vigilancia epidemiologica al los eventos de Interes en Salud Publica, en los 29 municipios del departamento</t>
  </si>
  <si>
    <t>Generar espacios de encuentro y coordinación intersectorial con actores del sistema de vigilancia en salud pública una vez por mes (cove), reuniones de estadisticas vitales y reuniones bimensuales para fortalecer la respuesta, control y seguimiento a los EISP del departamento con otros actores.</t>
  </si>
  <si>
    <t>Leydy Constanza Cuellar 
 Coordinadora VSP</t>
  </si>
  <si>
    <t>Realizar la gestión de los insumos necesarios para dar respuesta de manera oportuna y eficiente a los EISP y EISPII del departamento</t>
  </si>
  <si>
    <t>RECURSOS PROPIOS DE ESTABLECIMIENTOS PUBLICOS O UNIDADES ADMINISTRATIVAS ESPECIALES (1.2.5.1.00)</t>
  </si>
  <si>
    <t>1.2.5.1.00</t>
  </si>
  <si>
    <t>Realizar encuesta de evaluación de coberturas de vacunación en zona urbana y rural de los 29 Municipios de Departamento</t>
  </si>
  <si>
    <t>Documento</t>
  </si>
  <si>
    <t>Brindar asistencia técnica a las 29 direcciones territoriales de salud para verificar y fortalecer el funcionamiento del Sistema de Vigilancia en Salud Pública, con énfasis en la calidad de la notificación de los Eventos de Interés en Salud Pública (EISP), la implementación de los lineamientos nacionales del INS y la aplicación estandarizada de los protocolos vigentes.</t>
  </si>
  <si>
    <t>Actualizar y divulgar una vez al año el analisis de situacion en salud del departamento incluyendo la poblacion pertenecinete a grupos Etnicos, para conocer y comprender la complejidad en que se desarrollan los procesos de salud, enfermedad y calidad de vida de las poblaciones, permitiendo la adecuada y pertinente planeación de intervenciones.</t>
  </si>
  <si>
    <t>Realizar el 100% de unidades de análisis de las mortalidades por EISP y de casos de morbilidad por EISP según lineamientos del INS</t>
  </si>
  <si>
    <t>Fortalecimiento de las capacidades del Talento Humano en el acceso y uso de la oferta actual de información pública de salud y de otros sectores.</t>
  </si>
  <si>
    <t>Desarrollar procesos de capacitación dirigidos al talento humano operativo de la Secretaría de Salud, orientados al fortalecimiento de competencias técnicas en vigilancia en salud pública, con el fin de mejorar la calidad del análisis, la notificación y la respuesta institucional frente a los eventos de interés en salud pública</t>
  </si>
  <si>
    <t>Nivel Nacional y entes territoriales preparados y fortalecidos para la gestión del conocimiento, prevención, y atención sectorial e intersectorial de emergencias, desastres y pandemias.</t>
  </si>
  <si>
    <t>Fortalecimiento de capacidades comunitarias en la gestión del riesgo de emergencias y desastres que afecten la salud de la población.</t>
  </si>
  <si>
    <t>A 2031 se establecerán en el 100% de los Departamentos y Distritos, sistemas de alerta temprana para la identificación del riesgo por el cambio climático y la posible vulnerabilidad de la población desde un enfoque territorial.</t>
  </si>
  <si>
    <t>A 2027 se establecerán en el 100% sistemas de alerta temprana para la identificación del riesgo por el cambio climático y la posible vulnerabilidad de la población desde un enfoque territorial.</t>
  </si>
  <si>
    <t>Realizar talleres de REVCOM para fortalecer la participación social y comunitaria en la identificación oportuna de EISP o situaciones de riesgo en salud de la población general y poblacion migrante.</t>
  </si>
  <si>
    <t>Producción, organización, depuración y reporte de la información en salud pública</t>
  </si>
  <si>
    <t>Elaborar, analisar y divulgar boletines epidemiológicos quincenales con información actualizada sobre la dinámica de los Eventos de Interés en Salud Pública (EISP) notificados a la Unidad Notificadora Departamental (UND), incorporando el análisis diferencial por etnia, con el propósito de fortalecer la respuesta intersectorial, orientar las políticas, apoyar la planeación en salud y facilitar la toma oportuna de decisiones.</t>
  </si>
  <si>
    <t>Socializar periódicamente con cada área de la Secretaría de Salud los datos específicos relacionados con los Eventos de Interés en Salud Pública (EISP) y los principales fenómenos epidemiológicos de los municipios, con el fin de fortalecer la planificación, ejecución y evaluación de las intervenciones en salud pública a nivel departamental; mediante reuniones de articulación interáreas y la realización de salas de análisis de riesgo.</t>
  </si>
  <si>
    <t>67-A 2031, el 100% de las entidades territoriales habrán implementado la Política Integral de Salud Ambiental (PISA)</t>
  </si>
  <si>
    <t>Realizar 1,280 asistencias técnicas a la red de laboratorios del departamento</t>
  </si>
  <si>
    <t>Garantizar la recoleccion mensual de los residuos peligrosos y químicos en el laboratorio de salud publica del Magdalena</t>
  </si>
  <si>
    <t>Garantizar el transporte aéreo y terrestre de sustancias infecciosas, aguas , alimentos y material entomologico al Instituto Nacional de Salud, INVIMA y otros laboratorios del País.</t>
  </si>
  <si>
    <t>Realizar cursos de entrenamiento para profesionales de la salud, en montaje y lectura de pruebas rapidas de VIH, Hepatitis y sifilis en el marco del cumplimiento de la Resolución 1314/2020</t>
  </si>
  <si>
    <t>Realizar el Curso teórico Práctico de herramientas diagnósticas de eventos de interés de Salud Pública a toda la red departamental</t>
  </si>
  <si>
    <t>Realizar el plan de mantenimiento preventivo, correctivo, calibración y calificación de los equipos del Laboratorio de Salud Publica, asegurando el cumplimiento de los requisitos del Organismo Nacional de Acreditación de Colombia ONAC y su documento normativo CEA-4.1-02 de Los proveedores.</t>
  </si>
  <si>
    <t>Guillermo Valencia</t>
  </si>
  <si>
    <t>Realizar el Plan de Mantenimiento Preventivo y Correctivo de la Planta Electrica del Laboratorio de Salud Publica Departamental del Magdalena; el cual debe llevarlo a cabo una empresa cuyo domicilio principal y razon social este en la ciudad de Santa Marta ( Magdalena).</t>
  </si>
  <si>
    <t>Realizar la compra de equipos biomedicos, de sistema de informacion, para cumplir con los procesos misionales y para la bioseguridad en el LSP que garantice las acciones de vigilancia de salud Pública por el LSP .</t>
  </si>
  <si>
    <t>Realizar la compra de insumos y reactivos para cumplir con los procesos misionales y para la bioseguridad en el LSP que garantice las acciones de vigilancia de salud Pública por el LSP .</t>
  </si>
  <si>
    <t>Mantenimiento y actualizacion de software para el Laboratorio de Salud Publica para el manejo del sistema de gestion de la calidad</t>
  </si>
  <si>
    <t>Adquisicion de software para gestionar las muestras en el area Microbiologia de Alimentos para laboratorio de salud publica</t>
  </si>
  <si>
    <t>Realizar el Plan de control de plagas del Laboratorio de Salud Publica Departamental del Magdalena; el cual debe llevarlo a cabo una empresa cuyo domicilio principal y razon social este en la ciudad de Santa Marta ( Magdalena).</t>
  </si>
  <si>
    <t>Garantizar el analisis de vertimientos de acuerdo a la resolucion Resolución 0631 de 2015 el cual debe llevarlo a cabo una laboratorio acreditado.</t>
  </si>
  <si>
    <t>Garantizar el mantenimiento de motobombas y limpieza y desinfeccion del sistema de suministro de agua del laboratorio de salud Publica el cual debe llevarlo a cabo 2 veces al año una empresa cuyo domicilio principal y razon social este en la ciudad de Santa Marta (Magdalena).</t>
  </si>
  <si>
    <t>Garantizar la migracion de la Norma ISO/IEC 17025 2005 a Norma ISO/IEC 17025 2017 para dar cumplimiento a los halazgos del INS e INVIMA y actualizar el sistema de Gestion de la Calidad del laboratorio de Salud Publica</t>
  </si>
  <si>
    <t>Realizar el encuentro de laboratorios de Banco Sangre departamental para la concertar estrategias para la concientizacion de la donacion de sangre</t>
  </si>
  <si>
    <t>85-A 2031, 15% de municipios endémicos para malaria pasan de categoría de riesgo 4 a 3</t>
  </si>
  <si>
    <t>Hacer captura de material entomologico para malaria, chagas y leishmaniasis en municipios priorizados según programacion definida</t>
  </si>
  <si>
    <t>Realizar la vigilancia por laboratorio de la calidad de agua para consumo humano (IRCA ) de los municipios del departamento del Magdalena con reporte a SIVICAP</t>
  </si>
  <si>
    <t>Realizar la Vigilancia por laboratorio de los alimentos y ETAS en los municipios del Departamento del Magdalena y su reporte al Epiinfo.</t>
  </si>
  <si>
    <t>Realizar la Vigilancia por laboratorio de las Intoxicación ocasionadas por plaguicidas, organofosforados y carbamatos en Municipios priorizados del Departamento del Magdalena.</t>
  </si>
  <si>
    <t>Realizar control de Calidad por laboratorio de los eventos de interes en salud publica de las muestras enviadas por la red de laboratorios del Distrito y del Departamento</t>
  </si>
  <si>
    <t>79-A 2031, 50% de las personas que son confirmadas por banco de sangre para HTLV, VIH, Hepatitis B y C, enfermedad de Chagas y sífilis acceden a la atención integral en salud.</t>
  </si>
  <si>
    <t>Realizar visitas e inspeccion y asistencia tecnicas a los Bancos de sangre del Departamento del Magdalena</t>
  </si>
  <si>
    <t>Gestionar la contratación del talento humano operativo para el desarrollo de los procesos a cargo de la Entidad territorial como autoridad sanitaria, orientados a que las estrategias, procedimientos e intervenciones de Salud Pública se realicen de manera efectiva, coordinada y organizada entre los diferentes actores del SGSSS, otros sectores y la comunidad.</t>
  </si>
  <si>
    <t>Desarrollo de capacidades frente a la planeacion integral en salud, la Formulacion coherente, pertinente y oportuna de las intervenciones del PIC/GSP Resolucion 1597/25</t>
  </si>
  <si>
    <t>Desarrollo de capacidades los EBS para la optima ejecucion de las acciones en campo</t>
  </si>
  <si>
    <t>Desarrollo de capacidades en Plan Terrirotial de Salud</t>
  </si>
  <si>
    <t>Mejorar la dotacion del Fondo Rotatorio de Estupefacientes con la adquisicion de 4 aires acondicionados ( 2 de 24000 BTU, 2 12000 BTU), desmonte de aires viejos e instalación de los nuevos.</t>
  </si>
  <si>
    <t>Diana Celedon</t>
  </si>
  <si>
    <t>Determinantes Sociales de la Salud</t>
  </si>
  <si>
    <t>Transformación cultural, movilización y organización social y popular por la vida, salud y la equidad en salud.</t>
  </si>
  <si>
    <t xml:space="preserve">Avance en la superación de barreras de acceso para la atención primaria en salud con énfasis en la rehabilitación integral en salud de las poblaciones víctimas del conflicto armado interno y de las personas en procesos de reincorporación y dejación de armas.  </t>
  </si>
  <si>
    <t xml:space="preserve">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t>
  </si>
  <si>
    <t>Mantener por debajo de 5 por 100.000 habitantes la tasa de suicidio</t>
  </si>
  <si>
    <t>Implementar la línea telefonica de atencion en salud mental en el departamento del Magdalena</t>
  </si>
  <si>
    <t>DESARROLLO INSTITUCIONAL Y SECTORIAL PARA EL EJERCICIO DE LA AUTORIDAD SANITARIA.</t>
  </si>
  <si>
    <t>Diseñar y formalizar el protocolo técnico-operativo de la línea telefónica departamental de atención en salud mental por parte de la Secretaría Seccional de Salud del Magdalena mediante acto administrativo que defina ruta de atención, perfiles del talento humano, articulación intersectorial y sistema de monitoreo</t>
  </si>
  <si>
    <t>Andrea Palacios</t>
  </si>
  <si>
    <t>ACUERDOS SOCIALES Y COMUNITARIOS PARA LA TRANSFORMACIÓN DE LAS INEQUIDADES EN SALUD  Y LA INCIDENCIA SOBRE LOS DETERMINANTES SOCIALES DE LA SALUD EN EL TERRITORIO.</t>
  </si>
  <si>
    <t>Concertar acuerdos territoriales de promoción y uso de la línea telefónica de salud mental con actores comunitarios, educativos y sociales del departamento del Magdalena mediante mesas de trabajo que definan estrategias de difusión, enfoque diferencial y canales de referencia comunitaria.</t>
  </si>
  <si>
    <t>Porcentaaje de gestión</t>
  </si>
  <si>
    <t>CUIDADO DE LA SALUD EN EL TERRITORIO.</t>
  </si>
  <si>
    <t>Implementar la operación continua de la línea telefónica departamental de atención en salud mental por el equipo interdisciplinario contratado mediante prestación de servicio 24/7 que garantice orientación, intervención en crisis y activación oportuna de la ruta de atención en el territorio.</t>
  </si>
  <si>
    <t>dias</t>
  </si>
  <si>
    <t>Disminuir la Tasa de mortalidad por EDA a 4,3 por 100.000 menores de 5 años</t>
  </si>
  <si>
    <t>Realizar estrategias de educomunicacion en salud sexual y reproductiva en IED priorizadas en el departamento</t>
  </si>
  <si>
    <t>Diseñar y adoptar el plan técnico departamental de comunicación en salud sexual y reproductiva para IED priorizadas por la Secretaría Seccional de Salud del Magdalena mediante acto administrativo que defina lineamientos pedagógicos, enfoque diferencial, articulación con sector educación y sistema de seguimiento.</t>
  </si>
  <si>
    <t>Documento( Plan )</t>
  </si>
  <si>
    <t>Concertar acuerdos intersectoriales de implementación de estrategias de educomunicación en salud sexual y reproductiva con directivos docentes, asociaciones de padres y líderes juveniles en los municipios del departamento mediante mesas territoriales que definan compromisos, rutas de participación y mecanismos de corresponsabilidad.</t>
  </si>
  <si>
    <t>municipios</t>
  </si>
  <si>
    <t>Jesus rebolledo</t>
  </si>
  <si>
    <t>Implementar jornadas pedagógicas y campañas educomunicativas en salud sexual y reproductiva en IED priorizadas por el equipo técnico de salud pública en cada municipio  del Deparatemento para la activación de rutas de orientación y acceso a servicios amigables.</t>
  </si>
  <si>
    <t>NA</t>
  </si>
  <si>
    <t xml:space="preserve">A 2031 Disminuir a 32 x 100.000 NVla razón de mortalidad materna a </t>
  </si>
  <si>
    <t>Implementación de la estrategia nacional para la prevencion de la conducta suicida en las IPS publicas del departamento</t>
  </si>
  <si>
    <t>Adoptar y reglamentar la estrategia nacional de prevención de la conducta suicida en las IPS públicas del departamento por la Secretaría Seccional de Salud del Magdalena mediante acto administrativo que defina lineamientos técnicos, responsabilidades institucionales, indicadores de seguimiento y sistema de reporte obligatorio</t>
  </si>
  <si>
    <t>Estrategia</t>
  </si>
  <si>
    <t>Articular compromisos intersectoriales de prevención de la conducta suicida con sector educativo, comisarías de familia y organizaciones comunitarias del departamento mediante mesas territoriales que establezcan rutas de detección temprana, referencia y acompañamiento psicosocial.</t>
  </si>
  <si>
    <t>mplementar la estrategia nacional de prevención de la conducta suicida en las IPS públicas del departamento por los equipos interdisciplinarios de salud mental mediante capacitación al talento humano, tamizaje sistemático de riesgo y activación oportuna de la ruta integral de atención.</t>
  </si>
  <si>
    <t>Adolescencia</t>
  </si>
  <si>
    <t>Aumento de la Tasa de Incidencia de las enfermedades transmitidas por vectores como el dengue</t>
  </si>
  <si>
    <t>Cambio climático, emergencias, desastres y pandemias</t>
  </si>
  <si>
    <t xml:space="preserve">A 2031 se establecerán en el 100% de los Departamentos y Distritos, sistemas de alerta temprana para la identificación del riesgo por el cambio climático y la posible vulnerabilidad de la población desde un enfoque territorial.  </t>
  </si>
  <si>
    <t xml:space="preserve">Fortalecimiento de capacidades comunitarias en la gestión del riesgo de emergencias y desastres que afecten la salud de la población.  </t>
  </si>
  <si>
    <t xml:space="preserve">A 2031 se incorporará en el 100% de los Departamentos y Distritos, el Plan de gestión integral de riesgos de emergencias y desastres en salud (PGIRED)  </t>
  </si>
  <si>
    <t>Reducir a 10% las muertes por dengue grave en el departamento</t>
  </si>
  <si>
    <t xml:space="preserve">A 2027 Garantizar la vigilancia epidemiologica al los eventos de Interes en Salud Publica, en los 29 municipios del departamento </t>
  </si>
  <si>
    <t xml:space="preserve">Garantizar la vigilancia epidemiologica al los eventos de Interes en Salud Publica, en los 29 municipios del departamento </t>
  </si>
  <si>
    <t>Articular compromisos comunitarios de apoyo a la vigilancia epidemiológica con actores sociales y educativos de los 29 municipios mediante jornadas participativas que promuevan la identificación temprana de eventos y la activación de rutas institucionales.</t>
  </si>
  <si>
    <t>Deficiencias en la infraestructura sanitaria que se ve reflejada en bajas coberturas de alcantarillado y prestación del servicio de aseo, así como la mala calidad del agua, que condiciona la incidencia de enfermedades transmitidas por el agua y los alimentos, infecciones gastrointestinales, parasitosis y otras enfermedades de origen hídrico.</t>
  </si>
  <si>
    <t>a 2031 se incorporará en el 100% de los departamentos y distritos, el plan de gestion en sistemas de alerta temprana para la identificación del riesgo por el cambio climático y la posible vulnerabilidad de la población desde un enfoque territorial</t>
  </si>
  <si>
    <t>fortalecimiento de las capacidades del personal de la salud en todo lo relacionado con los posibles efectos de la variabilidad del cambio climático</t>
  </si>
  <si>
    <t>A 2027 Lograr la formulación  y socialización de Planes municipales de Gestion integrl de riesgos de desastres en los 29 municipios</t>
  </si>
  <si>
    <t>Lograr la formulación  y socialización de Planes municipales de Gestion integrl de riesgos de desastres en los 29 municipios</t>
  </si>
  <si>
    <t>Implementar procesos territoriales de acompañamiento técnico para la formulación y socialización de los Planes Municipales de Gestión Integral del Riesgo de Desastres en los 29 municipios por el equipo departamental de salud pública mediante asistencia técnica directa, simulacros comunitarios y validación participativa de rutas de respuesta en salud.</t>
  </si>
  <si>
    <t>Personal de Salud.</t>
  </si>
  <si>
    <t>A 2027 Fortalecer 100% de los departamentos y Distritos los sistemas de alerta temprana y la infraestructura sanitaria en zonas rurales para garantizar una respuesta rápida y efectiva ante emergencias climáticas</t>
  </si>
  <si>
    <t>a 2031 Contener la tasa de Mortalidad en menores de 5 años</t>
  </si>
  <si>
    <t>Lograr que los 29 municipios conozcan y apliquen el reglamento sanitario internacional 2005</t>
  </si>
  <si>
    <t>Implementar procesos de capacitación y acompañamiento técnico para la aplicación del Reglamento Sanitario Internacional 2005 en los 29 municipios por el equipo departamental de vigilancia en salud pública mediante talleres prácticos, simulacros de eventos de importancia internacional y seguimiento a la activación de capacidades básicas locales</t>
  </si>
  <si>
    <t>socialización RSI 2006</t>
  </si>
  <si>
    <t>A 2027 Lograr promover el conocimiento de riesgos de desastres en los 29 municipios con el fin de que respondan con eficacia ante las emergencias y desastres que enfrenten</t>
  </si>
  <si>
    <t>Lograr promover el conocimiento de riesgos de desastres en los 29 municipios con el fin de que respondan con eficacia ante las emergencias y desastres que enfrenten</t>
  </si>
  <si>
    <t>Implementar programas municipales de preparación y respuesta en gestión del riesgo de desastres en los 29 municipios por el equipo departamental de emergencias en salud mediante realización de mínimo un simulacro anual por municipio, capacitación certificada a líderes comunitarios y evaluación técnica de planes de respuesta sanitaria.</t>
  </si>
  <si>
    <t>transversal  a todos los nucleos</t>
  </si>
  <si>
    <t xml:space="preserve">Transformación cultural, movilización y organización social y popular por la vida, salud y la
equidad en salud. </t>
  </si>
  <si>
    <t>Actualización del sistema nacional de vigilancia incluye la redefinición de eventos objeto de vigilancia, indicadores específicos de seguimiento, modelos de vigilancia de cada uno y flujos de información en doble vía. Con participación de autoridades sanitarias nacionales, distritales y locales, aseguradoras y prestadores, así como de la comunidad y entidades de otros sectores.</t>
  </si>
  <si>
    <t xml:space="preserve">A 2031 las Entidades Municipales, Departamentales y Distritales responden a las necesidades en salud de la población con participación de los actores estratégicos del territorio.  </t>
  </si>
  <si>
    <t>1.    "A 2027 Garantizar el acceso a los servicios de salud a la población pobre y vulnerable con la financiación de los recursos propios para la afiliación del régimen subsidiado en el departamento del Magdalena</t>
  </si>
  <si>
    <t>98. actvidad transversal a resultados</t>
  </si>
  <si>
    <t>REGIMEN SUBSIDIADO</t>
  </si>
  <si>
    <t>FORTALECIMIENTO_DE_LA_AUTORIDAD_SANITARIA</t>
  </si>
  <si>
    <t>Mantener la Cofinanciación del Régimen Subsidiado en Salud</t>
  </si>
  <si>
    <t>Realizar 4 Mesas de Saneamiento de Cartera trimestral (Circular conjunta 030 de 2013) con su respectivo seguimiento a la red prestadora de salud del Departamento del Magdalena.</t>
  </si>
  <si>
    <t>MARIA JOSEFA LÓPEZ</t>
  </si>
  <si>
    <t>Actualización del sistema nacional de vigilancia incluye la redefinición de eventos objeto de vigilancia, indicadores específicos de seguimiento, modelos de vigilancia de cada uno y flujos de información en doble vía. Con participación de autoridades sani</t>
  </si>
  <si>
    <t>1. "A 2027 Garantizar el acceso a los servicios de salud a la población pobre y vulnerable con la financiación de los recursos propios para la afiliación del régimes subsidiado en el departamento del Magdalena</t>
  </si>
  <si>
    <t>Realizar 60 asistencias tecnicas  presenciales y/o virtuales en materia de aseguramiento a los entes territoriales municipales del Departamento del Magdalena. Realizar 4 Mesas de Saneamiento de Cartera trimestral (Circular conjunta 030 de 2013) con su respectivo seguimiento a la red prestadora de salud del Departamento del Magdalena</t>
  </si>
  <si>
    <t>Realizar  60 acciones de Inspección, Vigilancia y Control - IVC en materia de Aseguramiento (Base de Datos, Flujo de Recursos, Contratación Red, Auditorias, Régimen Subsidiado, Regimen Contributivo y Especial), del Departamento del Magdalena</t>
  </si>
  <si>
    <t>Realizar verificación a los informes de Inspección y Vigilancias a las Entidades Promotoras de Salud - EPS realizados por los 29 Entes Territoriales Municipales. D emanera semestral.</t>
  </si>
  <si>
    <t>Lograr afiliación de 68986 personas en e departamento al año 2026</t>
  </si>
  <si>
    <t>SGP-SALUD-REGIMEN SUBSIDIADO (1.2.4.2.01)</t>
  </si>
  <si>
    <t>1.3.3.7.01</t>
  </si>
  <si>
    <t>RS - E4 Atención Primaria Salud - L3 Cuidado de la Salud - Transferencias Afiliación</t>
  </si>
  <si>
    <t>Transversal a todos los núcleos</t>
  </si>
  <si>
    <t>Territorios saludables articulados y trabajando por la paz, la convivencia pacífica y la
resiliencia.</t>
  </si>
  <si>
    <t>Promocion de los mecanismos de participacion ciudadana para el control de la provicion de servicios de salud.</t>
  </si>
  <si>
    <t xml:space="preserve">1.    A 2027 las Entidades Municipales, Departamentales y Distritales responden a las necesidades en salud de la población con participación de los actores estratégicos del territorio.  </t>
  </si>
  <si>
    <t>CAMBIO EN LOS SERVICIOS DE SALUD</t>
  </si>
  <si>
    <t>Na</t>
  </si>
  <si>
    <t>Seguimiento y vigilancia a las Ese, EAPB,  SAC y SIAU municipales</t>
  </si>
  <si>
    <t>Realizar acciones de seguimiento y asistencias técnicas a los 29 munipios para garantizar la adecuada operatividad y cumplimiento de funciones en la atención al usuario y la gestión de servicios de salud.</t>
  </si>
  <si>
    <t>Realizar 14 asistencias técnicas, control , vigilancia y Seguimiento  a las Secretarias de Salud , ESES y EPS  en los 29 municipios del Departamento del Magdalena en el componente del SAC y SIAU en relacion a la operatividad en el marco de sus funciones.</t>
  </si>
  <si>
    <t>NUMERO</t>
  </si>
  <si>
    <t>MARIA HILARIA GONZALES</t>
  </si>
  <si>
    <t>Seguimiento  a la implementación de la Política de Participación Social en Salud ( PPSS</t>
  </si>
  <si>
    <t xml:space="preserve">Apoyo a la ejecución de las acciones colectivas y gestión de la salud pública para el cumplimento y fortalecimiento de Participación Social en Salud al 100% de los SIAU Y SAC municipales </t>
  </si>
  <si>
    <t>Creación y seguiiento de la PPSS vigente según decreto 2063 del 2017 con los actores involucrados en el proceso enfatizando los SAC y SIAU en los 29 municipios del departamento del Magdalena.</t>
  </si>
  <si>
    <t>NÚMERO</t>
  </si>
  <si>
    <t>Aplicación y análisis de ecuentras de satisfacción</t>
  </si>
  <si>
    <t>Seguimiento de la PPSS vigente según decreto 2063 del 2017 con 100% de  los actores involucrados en el proceso enfatizando los SAC y SIAU en los 29 municipios del departamento del Magdalena.</t>
  </si>
  <si>
    <t>porcentaje</t>
  </si>
  <si>
    <t>Ejercer seguimiento y control  en el 100%, a la conformación  y activación de los mecanismos de participación social en salud (COPACOS, veedurías, comités de ética hospitalaria y consejo territoriales) en los 29 municipios del departamento del Magdalena.</t>
  </si>
  <si>
    <t>PORCENTAJE</t>
  </si>
  <si>
    <t xml:space="preserve">Evaluar la calidad de la atención en salud y servicio prestado por 100% de las Instituciones Prestadoras de Servicios de Salud y Entidades Administradoras de Planes de Beneficio 
</t>
  </si>
  <si>
    <t>Aplicar, consolidar y hacer análisis de las 400 encuestas de satisfacción aplicada  al usuarios del Departamento del Magdalena y mujeres en estado de embarazo para conocer la calidad en la atención en salud  brindada por las ESE, EPS e IPS,  asimismo, ejercer el control  y velar  por la aplicación de las mismas en los 29 municipio de  manera trimestral.</t>
  </si>
  <si>
    <t>SPC - E1 Gobernabilidad y Gobernanza - L1 Desarrollo Institucional y Sectorial - Planeación Integral en Salud</t>
  </si>
  <si>
    <t>Ejercer el seguimiento y dar respuesta a 100 de las PQRD radicadas ante la secretaría seccional de salud, asimismo, realizar acciones de control al cumplimiento del mismo las oficinas SAC y SIAU de los  29 Municipios del Departamento del Magdalena, con base en  los lineamientos vigentes.</t>
  </si>
  <si>
    <t>Inseguridad alimentaria y Desnutrición</t>
  </si>
  <si>
    <t xml:space="preserve">Gestión territorial para el cuidado de la salud basado
en la atención primaria en salud. </t>
  </si>
  <si>
    <t>CAMBIO POR LA SALUD</t>
  </si>
  <si>
    <t xml:space="preserve">CAMBIO EN LA RED PÚBLICA HOSPITALARIA </t>
  </si>
  <si>
    <t>Ejecutar el 80% las actividades contempladas en el Plan de reducción de la mortalidad en menores de 5 años por Desnutrición, de competencia del área de prestación de servicios</t>
  </si>
  <si>
    <t xml:space="preserve">Realizar una  asistencia técnica por subregión, en lo relacionado con las acciones contempladas en la Resolución 2350 de 2020 y 2465 de 2016, en las E.S.E / IPS y EPS                                                                                                                                                                                 </t>
  </si>
  <si>
    <t>ARIADGNA CASTRO</t>
  </si>
  <si>
    <t>Realizar visitas de I.V.C , en lo relacionado con las acciones contempladas en la Resolución 2350 de 2020 y 2465 de 2016, en las E.S.E / IPS, Secretarías municipales de salud y EPS, y a las instituciones que presenten mortalidad por DNT en menores de 5 años</t>
  </si>
  <si>
    <t>Prestación y Calidad de servicios</t>
  </si>
  <si>
    <t xml:space="preserve">A 2027, reducir a 52 por 100.000 nacidos vivos la
razón de mortalidad materna </t>
  </si>
  <si>
    <t>Operativizar el Plan de Desaceleración de la Mortalidad Materna -PARE MM, en las E.S.Es de los 29 Municipios del Departamento del Magdalena</t>
  </si>
  <si>
    <t>Ejecutar el 80% de las actividades contempladas en las 6 líneas del PARE-MM 2026, aprobado por el MSPS</t>
  </si>
  <si>
    <t>Condiciones de vida, estilos de vida saludables y enfermedades crónicas</t>
  </si>
  <si>
    <t xml:space="preserve">Implementación de mecanismos para la coordinación y gestión de la operación de las redes integrales e integradas territoriales de salud en el marco de un modelo preventivo, predictivo y resolutivo basado en la APS.  </t>
  </si>
  <si>
    <t xml:space="preserve">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t>
  </si>
  <si>
    <t xml:space="preserve">A 2031 el 100% de los Departamentos y Distritos tendrán en operación una red integral e integrada territorial de salud – RIITS conforme al modelo de salud preventivo, predictivo y resolutivo basado en la Atención Primaria en Salud – APS  </t>
  </si>
  <si>
    <t>23-A 2031, el 70% de las mujeres entre 25 y 29 años son tamizadas para cáncer de cuello uterino con citología cervicouterina.</t>
  </si>
  <si>
    <t>A 2031 el 80% de las necesidades en salud de la población Colombiana se resuelven en el nivel primario de atención en salud</t>
  </si>
  <si>
    <t>Realizar seguimiento a los indicadores de oportunidad de los procesos de detección temprana de cancer de cancer de cuello uterino en las EAPB e IPS, teniendo en cuenta la Ruta de Promoción y Mantenimiento de la Salud.</t>
  </si>
  <si>
    <t>Realizar seguimiento trimestral a los indicadores de oportunidad de los procesos de detección temprana de cancer de cancer de cuello uterino en las EAPB e IPS, teniendo en cuenta la Ruta de Promoción y Mantenimiento de la Salud.</t>
  </si>
  <si>
    <t>Enfermedades transmisibles por vectores y cambio climático</t>
  </si>
  <si>
    <t xml:space="preserve">A 2027 el 100% de los Departamentos y Distritos tendrán en operación una red integral e integrada territorial de salud – RIITS conforme al modelo de salud preventivo, predictivo y resolutivo basado en la Atención Primaria en Salud – APS  </t>
  </si>
  <si>
    <t xml:space="preserve">A 2027, en el Departamento del Magdalena se reducirá la letalidad por dengue grave al 10%. </t>
  </si>
  <si>
    <t>Realizar  acciones de I.V para la evaluación de la adherencia a los lineamientos y GPC, para la atención de los eventos de Enfermedades Transmitidas por Vectores -E.T.V, priorizando la red pública</t>
  </si>
  <si>
    <t>Realizar visitas de I.V a los prestadores de servicios de salud de los 29 municipios del departamento, para la evaluación de la adherencia a los lineamientos y GPC, para la atención de los eventos de Enfermedades Transmitidas por Vectores -E.T.V, priorizando la red pública</t>
  </si>
  <si>
    <t>Primera infancia</t>
  </si>
  <si>
    <t>RICARDO RUIZ ROMERO</t>
  </si>
  <si>
    <t>Realizar  visitas para la verificación de disposición de insumos necesarios para la atención de los eventos de Enfermedades Transmitidas por Vectores -E.T.V, priorizando la red pública</t>
  </si>
  <si>
    <t>Realizar visitas de I.V a los prestadores de servicios de salud de los 29 municipios del departamento, para  la verificación de disposición de insumos necesarios para la atención de los eventos de Enfermedades Transmitidas por Vectores -E.T.V, priorizando la red pública</t>
  </si>
  <si>
    <t>Realizar, mínimo el 70% de las visitas de verificación de condiciones de habilitación, contempladas en el Plan anual,  a los prestadores de servicios de salud que operen en el Departamento del Magdalena</t>
  </si>
  <si>
    <t>Realizar visitas de verificación de condiciones de habilitación al 70% de entidades contempladas en el Plan anual,  de los prestadores de servicios de salud que operen en el Departamento del Magdalena.</t>
  </si>
  <si>
    <t>Población materno perinatal</t>
  </si>
  <si>
    <t>LIZETH AGUIRRE</t>
  </si>
  <si>
    <t xml:space="preserve">Realizar el 100% de las  visitas de IVC , de acuerdo a las solicitudes recibidas y/o de oficio </t>
  </si>
  <si>
    <t>Realizar visitas de IVC , de acuerdo a 100 % de las solicitudes recibidas por entes competentes y/o de oficio, PQR, y demas situaciones que impliquen la vigilancia y control del ente territorial</t>
  </si>
  <si>
    <t>LIZETH AGUIRRE -RICARDO RUIZ ROMERO</t>
  </si>
  <si>
    <t xml:space="preserve">Realizar Asistencias Técnica a los Prestadores de Servicios de Salud del Departamente en el Sistema Obligatorio de Garantía de Calidad </t>
  </si>
  <si>
    <t xml:space="preserve">Realizar cuatro (4) Asistencias Técnica a los Prestadores de Servicios de Salud del Departamente en el Sistema Obligatorio de Garantía de Calidad </t>
  </si>
  <si>
    <t>Realizar seguimiento períodico al reporte y resultados de los indicadores de calidad establecidos en la Resolución 256 de 2016,   al 100% de las  Instituciones Prestadoras de Servicios de Salud y los servicios de transporte especial de pacientes del Departamento</t>
  </si>
  <si>
    <t>Consolidar y analizar la información de 100% de los Prestadores de Servicios de Salud-IPS y Transporte Asistencial de Pacientes; en lo relacionado con  el reporte y resultados de los indicadores de calidad establecidos en la Resolución 256 de 2016.</t>
  </si>
  <si>
    <t>MARI LUZ CABRERA</t>
  </si>
  <si>
    <t>Realizar  asistencia técnica por subregión para la implementación del Programa de Auditoria para el Mejoramiento de la Calidad en la Atención en Salud -PAMEC, a las Instituciones Prestadoras de Servicios de Salud del Departamento</t>
  </si>
  <si>
    <t>Realizar  asistencia técnica por subregión para la implementación del Programa de Auditoria para el Mejoramiento de la Calidad en la Atención en Salud -PAMEC, a las 100% de Instituciones Prestadoras de Servicios de Salud del Departamento</t>
  </si>
  <si>
    <t>Realizar  seguimiento a la implementación del Programa de Auditoria para el Mejoramiento de la Calidad en la Atención en Salud PAMEC, mínimo al 80% de los prestadores de servicios de salud de los 29 Municipios del Departamento</t>
  </si>
  <si>
    <t>Realizar  seguimiento a la implementación del Programa de Auditoria para el Mejoramiento de la Calidad en la Atención en Salud PAMEC del 80% o más de los prestadores de los 29 Municipios del Departamento</t>
  </si>
  <si>
    <t xml:space="preserve">Talento Humano en Salud formado para la gestión integral de la salud pública  </t>
  </si>
  <si>
    <t>Realizar la identificación y caracterización del Talento Humano en salud, de la red hospitalaria del Departamento del Magdalena</t>
  </si>
  <si>
    <t>Realizar y consolidar el censo del Talento Humano en salud, de cada una de las E.S.Es de la red hospitalaria del departamento del Magdalena</t>
  </si>
  <si>
    <t>PIEDAD DE LA HOZ</t>
  </si>
  <si>
    <t>Lograr el fortalecimiento de la autoridad sanitaria en los 29 municipios del departamento del Magdalena</t>
  </si>
  <si>
    <t>Seguimiento al sistema de transporte asistencial de la red publica y privada del Departamento del Magdalena</t>
  </si>
  <si>
    <t>No aplica</t>
  </si>
  <si>
    <t>tranversal a todos los nucleos</t>
  </si>
  <si>
    <t>Dotar y activar equipos de radiocomunicaciones al CRUE y a las 5 IPS de la red pública y activación de la antena repetidora</t>
  </si>
  <si>
    <t>Brindar asistencia tecnica, y seguimiento a la implementación de equipos de radio comunicación</t>
  </si>
  <si>
    <t xml:space="preserve">Abogacía e incidencia técnica y política en la agenda de otros sectores, a fin de generar acciones intersectoriales y transectoriales definiendo temas transversales y objetivos comunes.  </t>
  </si>
  <si>
    <t>Gestionar la adecuación y/o construcción de (12) puestos y centros de salud.</t>
  </si>
  <si>
    <t>Realizar apoyo al proceso de Planeación integral en salud a los 29 Municipios del Departamento del Magdalena  en las fases de  formulacion,implementacion  desarrollo, monitoreo y evaluacion  el Plan territorial de salud.</t>
  </si>
  <si>
    <t>Desarrollar una estretegia para que los hospitales y puestos y centro  de salud priorizados en el departamento del Magdalena cumplan con los estándares de infraestructura y dotación de 17 ambulancias del cambio para entornos seguros, funcionales y dignos.</t>
  </si>
  <si>
    <t>Desarrollar una estretegia para que los prestadores públicos de salud priorizados en el departamento del Magdalena, cumplan con los estándares de infraestructura y dotación de hospitales para entornos seguros, funcionales y dignos, adecuaciones menores a 2 Hospitales, en construccion de 2 hospitales nuevos</t>
  </si>
  <si>
    <t>Varias poblaciones de protección constitucional específica</t>
  </si>
  <si>
    <t>Desarrollar una estretegia de adecuaiones menores a 32  puestos y centro  de salud y seguimiento a 3 puestos de salud priorizados de zona rural, dispersa y urbana en el departamento del Magdalena cumplan con los estándares de infraestructura y dotación de puestos de salud para entornos seguros, funcionales y dignos</t>
  </si>
  <si>
    <t>Formular, Coordinar y desarrollar el COAI y PAS de la vigencia 2026 del departamento, relizar monitoreo, seguimiento, control y cargue al portal web del MSPS de manera trimestral, con el equipo integral de la Secretaria de Salud por cada una de las dimensiones del PDSP.</t>
  </si>
  <si>
    <t>MARCO DONADO</t>
  </si>
  <si>
    <t>Someter a la aprobaciòn por  el Consejo de Gobierno y la sensibilizacion del CTSS  del COAI y PAS de la vigencia 2026 del departamento,  ejercer los reportes y entrega de la informaciòn del desarrollo y ejecuciòn de los mismos a la Oficina Asesora de Planeaciòn del departamento, oficina de control interno, cargue al portal Web -SISPRO del MSPS de manera trimestral, con el equipo integral de la Secretaria de Salud por cada una de las dimensiones del PDSP, para su monitoreo, control, segimiento por los entes del nivel nacional, territorial y la propia seretaria de salud y demas autoidades que ejercen control y evalauciòn incluido las veedurias y  el control social.</t>
  </si>
  <si>
    <t>Brindar Asistencia Tecnica, desarrollo de capacidades, monitoreo y seguimiento, a los planes de accion Municipales de la vigencia 2026 al 100% de los 29 municpios del departamento por subregiones, por demanda individual y vigilancia y control por municipio.</t>
  </si>
  <si>
    <t>Apoyar el proceso de rendicion de cuentas del sector Salud   Departamental  mediante la operativizacion del 100%  los mecanismos de transparencia en la evaluacion y el control social, por lo menos una vez al año.</t>
  </si>
  <si>
    <t>Desarrollar capacidades al talento humano al 100% de las 29 entidades territoriales  responsables de la planificacion en salud; para la construcciòn, formulación, implementación, seguimiento, monitoreo y evaluación de políticas, planes, programas, estrategias y proyectos en salud y del PDSP 2022 -2031</t>
  </si>
  <si>
    <t>Ejercer el monitoreo, seguimiento, control y evaluacion trimestral a los planes de accion Municipales de la vigencia 2026, incluido al cargue en el portal Web del MSPS al 100% de los 29 municipios del departamento por subregiones, por demanda individual y vigilancia y control por municipios.</t>
  </si>
  <si>
    <t>Ejercer la vigilancia y el control de la capacidad de gestion de los 5 municpios certificados en salud decreto 780 DE 2016 ART. 5 Y SIGUEIENTES, con base en los lineamientos y la herramienta implementada para su evaluaciòn en la prestacion de los servicios de salud vigencia 2022.</t>
  </si>
  <si>
    <t>mantener actulalizada las repuestas y de manera oportuna a los procesos juridicos, respuestas de las acciones de tutela y los procesos administartativos sansionatorios y de cumplimineto a las visitas de verifcacioón de la red de prestadores dell departamento</t>
  </si>
  <si>
    <t>JURIDICA</t>
  </si>
  <si>
    <t xml:space="preserve">Mantener actualizado el flujo, analisis y cargue de los sistemas de informacion para la salud, los RIPS  del 100% de las empresas prestadoras y los informes de  en la prestacion de los servicios de salud a la PPNA del departamento de manera eficiente y oportuna. </t>
  </si>
  <si>
    <t>KAREN RAMIREZ</t>
  </si>
  <si>
    <t>Brindar Asistencia Tecnica y Capacitación  del flujo, analisis y cargue de los sistemas de información para la salud, los RIPS  de las empresas prestadoras y los informes de la resolución  202 en la prestación de los servicios de salud a la PPNA del departamento de manera eficiente y oportuna a 100% de prestadores del departameto y municpios certificados que prestan servicios de salud.</t>
  </si>
  <si>
    <t>Ejercer monitoreo, seguimiento y control al flujo ,analisis y cargue de los sistemas de informacion para la salud de la circular única, círcular 030 y 2193 en los proceos de inversion de infraestrutura, el plan bienal, Plan de Mantenimienrto, proyectos de inversion y actualizacion Catastro Fisico del deparatamento de manera eficiente y oportuna a todos los prestadores y municpios certificados que prestan servicios de salud.plan bienal AT y Control dos veces al año</t>
  </si>
  <si>
    <t>Ejercer monitoreo, seguimiento y control al flujo, análisis  plan de mantenimiento del departamento de manera eficiente y oportuna a todos los prestadores de los municipios Control dos veces al año.</t>
  </si>
  <si>
    <t>número</t>
  </si>
  <si>
    <t xml:space="preserve">Ejercer al catastro fisico de los municpios y ESE; AT e IVC y formulaciòn, viabiidad y evaluaciòn de proyectos  de infraestructura y dotacion de los 29 municpios semestralmente </t>
  </si>
  <si>
    <t>númeo</t>
  </si>
  <si>
    <t>ANDRES BELTRAN</t>
  </si>
  <si>
    <t>revisar y viabilizar 100 % de los proyectos presentados por las ESE hospitales de infraestructura y dotacion. Con base en la normatividad vigente</t>
  </si>
  <si>
    <t>revisar y viabilizar  los proyectos presentados por las ESE hospitales de infraestructura y dotacion de 22 Ese con dotación de ambulancias. Con base en la normatividad vigente</t>
  </si>
  <si>
    <t>A 2027 el 100% de las entidades territoriales del orden departamental y municipal desarrollan mecanismos para el fortalecimiento de la rectoría en salud en su territorio, conforme a las competencias establecidas</t>
  </si>
  <si>
    <t>Apoyar la ejecucion del plan de IVC con servicio de transporte disponiendo de 1 vehiculos 24x7</t>
  </si>
  <si>
    <t>A 2027 el 100% de las entidades terriitoriales de orden departamental, distrital y municipal desarrollaran mecanismos para el fortalecimiento de la rectoria en salud en su territorio, conforme a las competencias establecidas</t>
  </si>
  <si>
    <t>Realizar inducción y reinducción para todo funcionario que ingrese al equipo PAI, dirigidos al talento humano y demás actores según su competencia, abarcando todos los módulos del PAI.</t>
  </si>
  <si>
    <t>Socializar los lineamientos para las jornadas nacionales de
 vacunación y planes de intensificación emitidos por el nivel nacional</t>
  </si>
  <si>
    <t>La falta de talento humano de planta, la alta rotación de personal contratista, la falta de vehículos, la falta de adherencia a lineamientos programáticos y misionales por parte del talento humano para brindar asistencia técnica a los actores, la complejidad y de organización de procesos administrativos que generan reprocesos; dificultan la ejecución de las acciones de orden misional perdiendo gobernanza y autoridad frente a os vigilados</t>
  </si>
  <si>
    <t>Realizar una auditoria externa para verificar el cumoplimiento de los requisitos de la norma NTC-ISO/IEC 17025 version vigente y/o criterios ONC</t>
  </si>
  <si>
    <t>Numero</t>
  </si>
  <si>
    <t>Realizar asistencias técnicas en las subregiones del Departamento sobre abordaje a trabajadores de la economia popular y cominitaria Magdalena UTIS Y GOTIS en: Riesgos – peligros, actos y condiciones seguras Incentivar la afiliación al sistema de riesgos laborales Prevención de enfermedades y accidentes relacionados con el trabajo Socialización de la ruta de atención en servicios de salud
  Socialización de factores de riesgo para condiciones crónicas no transmisibles y salud mental</t>
  </si>
  <si>
    <t>Realizar asistencia tecnica y mesas de trabajo con las EAPB, IPS, SSM y ESE de los 29 municipios del departamento en el desarrollo de jornadas de salud y seguimiento a los reportes de accidentes laborales en trabajadores informales</t>
  </si>
  <si>
    <t>No. de Estrategias del PTS que aportan por eje del PDSP 2022-2023</t>
  </si>
  <si>
    <t>% de Cumplimento Trimestral PAS</t>
  </si>
  <si>
    <t>(%) Porcentaje</t>
  </si>
  <si>
    <t>I Trimestre</t>
  </si>
  <si>
    <t>II Trimestre</t>
  </si>
  <si>
    <t>III Trimestre</t>
  </si>
  <si>
    <t>IV Trimestre</t>
  </si>
  <si>
    <t>Total Acumulado</t>
  </si>
  <si>
    <t>% Cumplimiento</t>
  </si>
  <si>
    <t>Naranja</t>
  </si>
  <si>
    <t>Amarillo</t>
  </si>
  <si>
    <t>Verde</t>
  </si>
  <si>
    <t>Morado</t>
  </si>
  <si>
    <t>% Cumplimiento del PAS según Eje del PDSP 2022 -2031</t>
  </si>
  <si>
    <t>Reporte de errores de validación</t>
  </si>
  <si>
    <t>Fila</t>
  </si>
  <si>
    <t>Columna</t>
  </si>
  <si>
    <t>Mensaje</t>
  </si>
  <si>
    <t>Campo Núcleo de Inequidad Socio-Sanitaria está vacio</t>
  </si>
  <si>
    <t>Campo Eje estrátegico  está vacio</t>
  </si>
  <si>
    <t>Campo Estrategias del Plan Territorial está vacio</t>
  </si>
  <si>
    <t>Campo Meta stratégica está vacio</t>
  </si>
  <si>
    <t>Campo Meta estratégica adaptada al territorio está vacio</t>
  </si>
  <si>
    <t>Campo Meta de resultados está vacio</t>
  </si>
  <si>
    <t>Campo Meta de resultados adaptadas al territorio está vacio</t>
  </si>
  <si>
    <t>Campo programa está vacio</t>
  </si>
  <si>
    <t>Campo subprograma está vacio</t>
  </si>
  <si>
    <t>Campo Proyecto BPI está vacio</t>
  </si>
  <si>
    <t>Campo Meta de Producto está vacio</t>
  </si>
  <si>
    <t>Campo linea operativa vacio</t>
  </si>
  <si>
    <t>Campo Cantidad está vacio</t>
  </si>
  <si>
    <t>Campo Cantidad no es número</t>
  </si>
  <si>
    <t>Campo unidad de medida está vacio</t>
  </si>
  <si>
    <t>Campo programado 1 está vacio</t>
  </si>
  <si>
    <t>Campo ejecutado 1 está vacio</t>
  </si>
  <si>
    <t>Campo programado 2 está vacio</t>
  </si>
  <si>
    <t>Campo ejecutado 2 está vacio</t>
  </si>
  <si>
    <t>Campo programado 3 está vacio</t>
  </si>
  <si>
    <t>Campo ejecutado 3 está vacio</t>
  </si>
  <si>
    <t>Campo programado 4 está vacio</t>
  </si>
  <si>
    <t>Campo ejecutado 4 está vacio</t>
  </si>
  <si>
    <t>Campo fecha inicio esta vacio</t>
  </si>
  <si>
    <t>Campo fecha inicio no es valido</t>
  </si>
  <si>
    <t>Campo fecha de terminación está vacio</t>
  </si>
  <si>
    <t>Campo fecha de terminación no es valido</t>
  </si>
  <si>
    <t>Campo rubro está vacio</t>
  </si>
  <si>
    <t>Campo fuente de financiación está vacio</t>
  </si>
  <si>
    <t>Campo total recursos está vacio</t>
  </si>
  <si>
    <t>Campo apropiación está vacio</t>
  </si>
  <si>
    <t>Campo compromiso está vacio</t>
  </si>
  <si>
    <t>Campo obligaciones está vacio</t>
  </si>
  <si>
    <t>Campo pagado está vacio</t>
  </si>
  <si>
    <t>Campo población sujeto está vacio</t>
  </si>
  <si>
    <t>Campo concepto gastos está vacio</t>
  </si>
  <si>
    <t>Campo responsable cumplimiento está vacio</t>
  </si>
  <si>
    <t>Campo avance cualitativo está vacio</t>
  </si>
  <si>
    <t>Eje</t>
  </si>
  <si>
    <t>OBJETIVOS</t>
  </si>
  <si>
    <t>NOMBRE_EJE_2024</t>
  </si>
  <si>
    <t>DESCRIPCION_OBJETIVO</t>
  </si>
  <si>
    <t xml:space="preserve">Desarrollar capacidades y liderazgo para la cogestión, y coadministración y cogobierno en un diálogo armónico con las formas organizativas de los pueblos y comunidades, organizaciones ciudadanas, sociales y comunitarias, a través del liderazgo y la generación de alianzas, acciones conjuntas, articuladas e integradas para el logro de resultados en salud, según la naturaleza de los problemas y las circunstancias sociales del territorio.  </t>
  </si>
  <si>
    <t>La gobernanza para alcanzar redes integradas de servicios de salud, con un modelo de atención centrado en las personas y las comunidades, requiere de cambios en la regulación de diferentes relaciones o procesos (Organización Panamericana de la Salud - OPS, s.f.). Para el ejercicio de una gobernanza se requiere fortalecer la gobernabilidad y autonomía en salud de los pueblos y comunidades a partir de las estructuras propias que guían los sistemas propios en salud y se constituyen en las instancias para las diferentes formas de participación y toma de decisiones colectivas</t>
  </si>
  <si>
    <t>Contar con elementos para la acción que le permita aproximarse a las condiciones de vida y salud de las diferentes poblaciones de acuerdo con sus particularidades y necesidades, mediante el respeto a la integridad y la participación social, y como garante en la construcción conjunta de intervenciones desde el dialogo horizontal y respetuoso de sus saberes, prácticas y creencias</t>
  </si>
  <si>
    <t>Transformar las circunstancias injustas relacionadas con peores resultados de salud de la población, mediante la definición de acciones de carácter inter y transectorial en los planes de desarrollo territorial, con el fin de avanzar en la reducción de brechas sociosanitarias</t>
  </si>
  <si>
    <t>Desarrollar acciones sectoriales e intersectoriales dirigidas a promover la salud, prevenir la enfermedad y recuperar la salud de la población, en escenarios como ciudades, espacios periurbanos, rurales, territorios indígenas y otros entornos donde las personas y colectivos desarrollan la vida cotidiana, aportando a la garantía del derecho fundamental a la salud</t>
  </si>
  <si>
    <t>Reducir los impactos de las emergencias, desastres y el cambio climático en la salud humana y ambiental, a través de la gestión integral del riesgo como un proceso que propende por la seguridad sanitaria, el bienestar y la calidad de vida de las personas, por medio de la formulación, ejecución, seguimiento y evaluación de políticas, planes, programas y proyectos; y fortaleciendo la detección, atención y los mecanismos de disponibilidad y acceso de las tecnologías, y servicios en salud necesarias para dar respuesta efectiva orienta la formulación, ejecución, seguimiento y evaluación de políticas, planes, programas y proyectos; y fortalecer la detección, atención y los mecanismos de disponibilidad y acceso a las tecnologías en salud necesaria para dar respuesta efectiva a un nuevo evento pandémico</t>
  </si>
  <si>
    <t>Establecer la soberanía sanitaria y la construcción colectiva de conocimiento en salud como una prioridad en la agenda pública que permita avanzar en la investigación, desarrollo, innovación y producción local de Tecnologías estratégicas en salud y el fortalecimiento de las capacidades en salud a nivel nacional y territorial</t>
  </si>
  <si>
    <t>Crear y desarrollar mecanismos para mejorar la distribución, disponibilidad, formación, educación continua, así como, las condiciones de empleo y trabajo digno y decente del personal de salud</t>
  </si>
  <si>
    <t>RESULTADO ESPERADO</t>
  </si>
  <si>
    <t>DESCRIPCION_RESULTADO</t>
  </si>
  <si>
    <t>Gobiernos departamentales, distritales y municipales que lideran el desarrollo de estrategias para el reconocimiento de contextos de inequidad social, étnica y de género y la generación de respuestas intersectoriales y transectoriales</t>
  </si>
  <si>
    <t>Entorno económico favorable para la salud</t>
  </si>
  <si>
    <t>Territorios saludables articulados y trabajando por la paz, la convivencia pacífica y la resiliencia.</t>
  </si>
  <si>
    <t>Integración del cuidado del ambiente y la salud en el marco de la adaptación al cambio climático.</t>
  </si>
  <si>
    <t>Entidades Territoriales Departamentales, Distritales y Municipales que conforman territorios de salud de acuerdo con las particularidades geográficas, socioculturales, político administrativas y ambientales donde se produce el proceso de salud.</t>
  </si>
  <si>
    <t>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t>
  </si>
  <si>
    <t>Conocimiento producido y difundido y capacidades fortalecidas para prevenir y atender el impacto del cambio climático en la salud pública.</t>
  </si>
  <si>
    <t>Soberanía sanitaria fortalecida con la aplicación de Tecnologías Estratégicas en Salud (TES)</t>
  </si>
  <si>
    <t>Capacidades consolidadas para la gestión territorial de la salud pública</t>
  </si>
  <si>
    <t>Talento Humano en Salud formado para la gestión integral de la salud pública</t>
  </si>
  <si>
    <t>Sabedores ancestrales y personal de salud propio, reconocidos y articulados a los procesos de la gestión de la salud pública en los territorios.</t>
  </si>
  <si>
    <t>Talento humano en salud pública disponible y sostenible con garantía de trabajo digno y decente</t>
  </si>
  <si>
    <t>ESTRATEGIA</t>
  </si>
  <si>
    <t>DESCRIPCION_ESTRATEGIA</t>
  </si>
  <si>
    <t xml:space="preserve">Desarrollo y fortalecimiento de capacidades para la planeación integral en salud y la gestión territorial en el marco del Modelo de Salud preventivo, predictivo y resolutivo basado en Atención Primaria en Salud - APS.  </t>
  </si>
  <si>
    <t xml:space="preserve">Promoción de capacidades y mecanismos para la gobernanza en salud pública y la incidencia sobre los determinantes sociales de la salud desde las diferentes instancias intersectoriales del orden nacional y territorial. </t>
  </si>
  <si>
    <t xml:space="preserve">Establecimiento de mecanismos de participación basada en atención primaria en salud – APS para la gobernanza propia en salud de los pueblos y comunidades.  </t>
  </si>
  <si>
    <t xml:space="preserve">Mecanismos de coordinación, dialogo y concertación con estructuras propias de los pueblos y comunidades indígenas para la gobernanza en salud pública.   </t>
  </si>
  <si>
    <t xml:space="preserve">Mecanismos de coordinación, dialogo y concertación con comunidades Negras, Afrocolombianas, Raizales, Palenqueras, Rrom y Campesinas para la gobernanza en salud pública.  </t>
  </si>
  <si>
    <t xml:space="preserve">Diseño e implementación de estrategias para la transversalización de los enfoques diferencial, de género y diversidad, curso de vida, salud familiar y comunitaria y psicosocial para pueblos y comunidades.   </t>
  </si>
  <si>
    <t xml:space="preserve">Posicionamiento del sistema único de información en salud parametrizado y estandarizado acorde con la normatividad vigente, que tenga la capacidad de articular los sistemas propios de información en salud de los pueblos y comunidades existentes.  </t>
  </si>
  <si>
    <t>Generación y adecuación de estrategias que promuevan capacidades institucionales para la garantía del derecho a la salud de la población de la economía popular y comunitaria en el territorio</t>
  </si>
  <si>
    <t xml:space="preserve">Conformación y fortalecimiento de las instancias organizativas para la participación de la población de economía popular y comunitaria, pueblos indígenas y otros grupos de protección especial.   </t>
  </si>
  <si>
    <t xml:space="preserve">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t>
  </si>
  <si>
    <t>Alineación y armonización del ordenamiento jurídico en materia de salud pública de cada entidad territorial de acuerdo con cada categoría administrativa y fiscal en el marco de las competencias fijadas por la ley</t>
  </si>
  <si>
    <t xml:space="preserve">Fortalecimiento de capacidades técnicas para el ejercicio de la rectoría en salud.   </t>
  </si>
  <si>
    <t xml:space="preserve">Desarrollo de estrategias para la organización y acompañamiento de la participación ciudadana dirigida a la identificación de problemáticas, análisis, comprensión y definición de decisiones que impacten de manera positiva la salud  </t>
  </si>
  <si>
    <t xml:space="preserve">Desarrollo de capacidades institucionales y sectoriales para el ejercicio de la participación social y comunitaria en salud como derecho en el marco de la estrategia de Atención Primaria en Salud, incluido el reconocimiento y respeto por los sistemas de conocimiento propio y los saberes de los pueblos y comunidades étnicas y campesinas acordes con el marco normativo.  </t>
  </si>
  <si>
    <t xml:space="preserve">Generación y fortalecimiento de espacios para la participación de personas y colectivos diferenciales, de género y diversidad y para pueblos y comunidades étnicos acordes con sus procesos políticos y organizativos  </t>
  </si>
  <si>
    <t xml:space="preserve">Conformación y fortalecimiento de las instancias organizativas para la participación de la población de economía popular y comunitaria, pueblos indígenas y otros grupos de protección especial.  </t>
  </si>
  <si>
    <t xml:space="preserve">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el marco del Plan Territorial de Salud.  </t>
  </si>
  <si>
    <t xml:space="preserve">Socialización consulta y concertación con los pueblos indígenas los mecanismos para la expedición de la normativa desde los diferentes sectores de acuerdo con el contexto territorial, teniendo en cuenta la gobernanza propia, la dinámica y la particularidad de cada pueblo indígena.  </t>
  </si>
  <si>
    <t xml:space="preserve">Desarrollo de capacidades institucionales, sectoriales, intersectoriales y comunitarias para la transversalización del enfoque diferencial, de género y diversidad, curso de vida, salud familiar y comunitaria, psicosocial y el reconocimiento y respeto por los sistemas de conocimiento propio de pueblos y comunidades étnicas y campesinas en la planeación, formulación e implementación de planes, programas y estrategias orientados a la garantía del derecho fundamental a la salud.  </t>
  </si>
  <si>
    <t xml:space="preserve">Desarrollo de acciones que promuevan la transversalización de los enfoques para la implementación de políticas públicas, planes, programas y proyectos en salud.  </t>
  </si>
  <si>
    <t xml:space="preserve">Adopción e implementación de la estrategia de transversalización del enfoque de género en el sector salud para el cierre de brechas por razones de sexo, género, identidad de género y orientación sexual  </t>
  </si>
  <si>
    <t xml:space="preserve">Fortalecimiento de capacidades del talento humano para el desarrollo de acciones de cuidado de la salud desde la promoción hasta los cuidados paliativos con enfoque diferencial, de género y diversidad, curso de vida, salud familiar y comunitaria, psicosocial y reconocimiento y respeto por los sistemas de conocimiento propio de pueblos y comunidades étnicas y campesinas considerando además el determinante social relacionado con la ocupación.   </t>
  </si>
  <si>
    <t xml:space="preserve">Identificación, reconocimiento, fortalecimiento, promoción y garantía de la participación como derecho e incidencia de personas y colectivos en los procesos de planeación, implementación, seguimiento y evaluación de políticas públicas, planes, programas, proyectos e intervenciones en salud.  </t>
  </si>
  <si>
    <t>Gestión territorial para la transversalización de los enfoques y la integración de los sistemas de conocimiento propio de pueblos y comunidades étnicas y campesinas en espacios e instancias intersectoriales</t>
  </si>
  <si>
    <t xml:space="preserve">Gestión de los determinantes sociales y ambientales de la salud mediante el reconocimiento de las condiciones de vida y salud.  </t>
  </si>
  <si>
    <t xml:space="preserve">Implementación de un sistema con capacidad de respuesta, comprensión de problemáticas y planteamiento de soluciones en relación con la respuesta intersectorial y transectorial en salud.   </t>
  </si>
  <si>
    <t>Implementación de acciones dirigidas a mejorar la relación salud-ambiente-territorio para promover acciones dirigidas a mejorar las condiciones de vida.</t>
  </si>
  <si>
    <t xml:space="preserve">Reconocimiento de contextos de inequidad social, étnica y de género que afectan a las personas y colectivos en un territorio.  </t>
  </si>
  <si>
    <t xml:space="preserve">Generación de respuestas intersectoriales para la reducción y eliminación de situaciones de inequidad social, étnica y de género en el territorio.  </t>
  </si>
  <si>
    <t xml:space="preserve">Identificación, disminución y superación de barreras de acceso a la atención integral en salud de personas y colectivos.   </t>
  </si>
  <si>
    <t xml:space="preserve">Caracterización de actores comunitarios, estructuras organizativas, y recursos humanos propios entre otros, para la organización y adecuación de los protocolos propios interculturales en el marco de la atención integral.  </t>
  </si>
  <si>
    <t xml:space="preserve">Reconocimiento y legitimación de los espacios e instancias de diálogo y concertación para para la construcción colectiva de sistemas propios, a través de saberes, prácticas y conocimientos de y con las personas y colectivos.   </t>
  </si>
  <si>
    <t xml:space="preserve">Garantizar los mecanismos para salvaguardar el conocimiento relacionado con las formas, experiencias, prácticas y acciones en salud de las personas y colectivos, con el fin de fortalecer la transmisión intergeneracional.  </t>
  </si>
  <si>
    <t xml:space="preserve">Fortalecimiento de la toma de decisiones que conlleven a la prevención de contingencias derivadas de las ocupaciones, considerando los saberes, creencias y prácticas de las personas y los colectivos.  </t>
  </si>
  <si>
    <t xml:space="preserve">Reconocer los riesgos ocupacionales desde las prácticas costumbres y conocimiento propios para incidir en decisiones políticas y técnicas y disminuir el riesgo ocupacional en las personas y colectivos  </t>
  </si>
  <si>
    <t xml:space="preserve">Mejoramiento de las condiciones de vida y trabajo precario de las poblaciones sujeto de los territorios, con especial atención en los municipios PDET y Programa Nacional Integral de Sustitución de Cultivos de Uso Ilícitos -PNIS-.-, y territorios con presencia de pueblos y comunidades indígenas, o aquellos que tengan altos índices de nivel de pobreza y desempleo.    </t>
  </si>
  <si>
    <t xml:space="preserve">Entorno económico favorable para la salud   </t>
  </si>
  <si>
    <t xml:space="preserve">Gestionar los mecanismos administrativos, financieros y de pertinencia sociocultural, para disminuir las barreras de acceso en salud respecto a la atención a los niños, niñas y adolescentes, en particular en escenarios de vulnerabilidad socioeconómica para la permanencia escolar que incluya los pueblos y comunidades de acuerdo con sus planes de vida o el que haga sus veces.  </t>
  </si>
  <si>
    <t xml:space="preserve">Gestionar los mecanismos técnicos, administrativos y políticos para mejorar de las condiciones de trabajo u ocupación que deterioran la salud, en el marco de la política de trabajo decente y para la generación de ingresos a las comunidades con atención particular en las mujeres rurales y de pueblos y comunidades étnicas, población LGBTIQ+, personas con discapacidad y personas de 60 y más años, independiente de la nacionalidad.  </t>
  </si>
  <si>
    <t xml:space="preserve">Caracterización y gestión de las opciones de intervención respecto de las condiciones de salud, ambiente de trabajo u ocupación que se relacionan con peores resultados en la salud y la vulneración de la población, en particular en lo relacionado con procesos de salud mental, enfermedades transmisibles y enfermedades no trasmisibles.  </t>
  </si>
  <si>
    <t xml:space="preserve">Caracterizar y gestionar para mejorar las opciones de intervención respecto a las condiciones de salud de la población que hace parte de la economía popular y  de actividades de auto subsistencia y comunitaria de acuerdo con el contexto territorial   </t>
  </si>
  <si>
    <t xml:space="preserve">Gestión de acuerdos con las instituciones del cuidado no sanitario para ampliar los mecanismos de protección de las cuidadoras en el marco del sistema nacional de cuidado.  </t>
  </si>
  <si>
    <t xml:space="preserve">Establecer acuerdos y gestionar mecanismos de acuerdo  al marco normativo Gestionar acuerdos con los sectores  relacionados con la protección de la inseguridad física, en salud mental y económica de las personas mayores.  </t>
  </si>
  <si>
    <t xml:space="preserve">Gestión de la garantía progresiva del derecho humano a la alimentación, a partir de acuerdos en espacios intersectoriales.  </t>
  </si>
  <si>
    <t xml:space="preserve">Aporte en la generación de competencias sociales para la resolución no violenta de conflictividades comunitarias y la construcción de paz territorial que conlleve a mejores resultados en salud.  </t>
  </si>
  <si>
    <t xml:space="preserve">Creación de mecanismos de acceso a la educación y permanecía escolar de niños, niñas y jóvenes en contextos de prevalencia de grupos armados ilegales y bandas criminales.  </t>
  </si>
  <si>
    <t xml:space="preserve">Establecimiento de acuerdos y gestión de mecanismos para la creación de entornos seguros y saludables respecto de la presencia de trabajo sexual forzado de niños, niñas, mujeres y población LGBTIQ+   </t>
  </si>
  <si>
    <t xml:space="preserve">Generación de condiciones de salud, ambiente de trabajo u ocupación seguras y saludables para jóvenes y mujeres, independiente de su nacionalidad o pertenencia a pueblos o comunidades, en el marco de la Política de Primer Empleo.  </t>
  </si>
  <si>
    <t xml:space="preserve">Fortalecimiento de acciones dirigidas a   la prevención y atención de problemas y trastornos mentales de la población en todos los entornos y momentos del curso de vida (familia, escuela, trabajo y otros escenarios de protección social)  </t>
  </si>
  <si>
    <t xml:space="preserve">Generación de procesos de formación intersectorial y territorial en DDHH con énfasis en el respeto a la Misión Médica.  </t>
  </si>
  <si>
    <t xml:space="preserve">Fortalecimiento de procesos de movilización y organización social y popular en salud en los territorios de salud  </t>
  </si>
  <si>
    <t xml:space="preserve">Generación de procesos de territorios en salud que permitan la gestión para la afectación positiva determinantes sociales y avance en la garantía del derecho a la salud libre de violencias por la vida y la paz  </t>
  </si>
  <si>
    <t xml:space="preserve">Caracterización de modos, condiciones de vida, trabajo y salud en contextos de minería ilegal y otros procesos productivos ilegales establecer las medidas institucionales y socioculturales de cuidado respecto al factor negativo de que dañan y contaminan fuentes hídricas, suelos y subsuelos, cultivos de pan coger y genera impacto negativo sobre la salud de las poblaciones, pueblos y comunidades.  </t>
  </si>
  <si>
    <t xml:space="preserve">Integración del cuidado del ambiente y la salud en el marco de la adaptación al cambio climático. </t>
  </si>
  <si>
    <t xml:space="preserve">Gestión de los mecanismos para adoptar soluciones alternativas de cuidado integral en saneamiento básico,  agua potable, calidad del aire, la tenencia responsable de animales de compañía y de producción, impulsar la transición energética justa, la gestión racional de productos químicas,  la movilidad segura, saludable y sostenible y economías sociales y populares de cuidado comunitario en salud teniendo en cuenta los factores socioculturales del territorio.  </t>
  </si>
  <si>
    <t xml:space="preserve">Gestionar los mecanismos técnicos, políticos y administrativos para el desarrollo de estrategias Gestión del acceso a saneamiento básico y agua apta para consumo humano a través de procesos intersectoriales.  </t>
  </si>
  <si>
    <t xml:space="preserve">Gestión de los mecanismos técnicos, políticos y administrativos para dar alcance e incidencia de manera positiva en la transformación de condiciones de vida, movilidad, trabajo y vivienda para disminuir la producción de gases ambientales y materiales particulados.  </t>
  </si>
  <si>
    <t xml:space="preserve">Gestión de los mecanismos técnicos, políticos y administrativos para el desarrollo de estrategias entornos saludables integrales en contextos rurales, urbanos y periurbanos.  </t>
  </si>
  <si>
    <t xml:space="preserve">Caracterización y gestión del estado actual de los procesos propios del sector salud que producen afectaciones socioambientales que amplifican los efectos de la variabilidad y el cambio climático.   </t>
  </si>
  <si>
    <t xml:space="preserve">Fortalecimiento de la infraestructura, adaptación cultural y la incorporación de nuevas tecnologías y energías alternativas y el cambio de procesos del sector salud que generan impacto negativo socioambiental y amplifican los efectos del cambio climático por medio de estrategias de adaptación, considerando practicas propias de los pueblos y comunidades étnicas para el cuidado y preservación del ambiente.  </t>
  </si>
  <si>
    <t xml:space="preserve">Regionalización y territorialización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t>
  </si>
  <si>
    <t xml:space="preserve">Conformación de las Redes Integrales e Integradas Territoriales de Salud con base en la aplicación de criterios determinantes incluyendo el reconocimiento de las condiciones de vida y salud de personas, familias y comunidades bajo el liderazgo de las Entidades Territoriales Departamentales y Distritales.  </t>
  </si>
  <si>
    <t xml:space="preserve">Establecimiento de un sistema de monitoreo, seguimiento y evaluación del desempeño y resultados en salud de las redes integrales e integradas territoriales de salud – RIITS.  </t>
  </si>
  <si>
    <t xml:space="preserve">Desarrollo de las capacidades estructurales y organizacionales para el ejercicio de la autoridad sanitaria, la gobernanza, la conformación, organización, operación, monitoreo y evaluación de las Redes integrales e integradas territoriales de salud – RIITS.  </t>
  </si>
  <si>
    <t xml:space="preserve">Establecimiento de acuerdos sectoriales, intersectoriales y comunitarios para la concurrencia de recursos orientados a garantizar el acceso de la población, la longitudinalidad, la integralidad y continuidad de la atención en salud.  </t>
  </si>
  <si>
    <t>ortalecimiento de capacidades institucionales y comunitarias para el desarrollo de la APS con acciones territorializadas, universales, sistemáticas, permanentes y participativas bajo un enfoque familiar y comunitario.</t>
  </si>
  <si>
    <t xml:space="preserve">Reorientación de servicios e salud basado en atención primaria en salud.  </t>
  </si>
  <si>
    <t xml:space="preserve">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t>
  </si>
  <si>
    <t xml:space="preserve">Conformación y puesta en funcionamiento de los centros de atención primaria en salud -CAPS.  </t>
  </si>
  <si>
    <t xml:space="preserve">Conformación y operación de equipos básicos de salud o equipos de salud territoriales.  </t>
  </si>
  <si>
    <t xml:space="preserve">Fortalecimiento de la infraestructura pública en salud con condiciones de accesibilidad, aceptabilidad y pertinencia sociocultural   </t>
  </si>
  <si>
    <t xml:space="preserve">Integración de los dispositivos comunitarios, estructuras y formas de cuidados propios en la operación de las redes integrales e integradas territoriales de salud  </t>
  </si>
  <si>
    <t xml:space="preserve">Reorganización de servicios de salud en complejidades y modalidades de prestación para mejoramiento de acceso, integralidad de la atención y continuidad del cuidado.   </t>
  </si>
  <si>
    <t xml:space="preserve">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  </t>
  </si>
  <si>
    <t xml:space="preserve">Fortalecimiento de las modalidades de prestación de servicios de salud de telemedicina y extramuralidad en integración con el nivel primario de atención.  </t>
  </si>
  <si>
    <t xml:space="preserve">Definición e implementación de mecanismos de coordinación asistencial entre el nivel primario y los servicios de mediana y alta complejidad.  </t>
  </si>
  <si>
    <t xml:space="preserve">Definición de estándares y modelos de gestión para el acceso con oportunidad a servicios de mediana y alta complejidad.  </t>
  </si>
  <si>
    <t xml:space="preserve">Diseño de los mecanismos pertinentes para garantizar el acceso y la continuidad de los medicamentos [incluye terapias alternativas que hayan sido reconocidas] en el marco de la red integral e integrada territorial de salud.  </t>
  </si>
  <si>
    <t xml:space="preserve">Redistribución de competencias del talento humano en salud basado en atención primaria en salud.  </t>
  </si>
  <si>
    <t xml:space="preserve">Formulación de políticas, planes, estrategias, lineamientos y guías que permitan establecer y orientar las acciones de adaptación y mitigación al cambio climático que deben implementarse en los diferentes territorios del país.  </t>
  </si>
  <si>
    <t xml:space="preserve">Políticas en salud pública para contribuir a la mitigación y adaptación al cambio climático.  </t>
  </si>
  <si>
    <t xml:space="preserve">Establecimiento de mecanismos para la comunicación del riesgo climático y la posible vulnerabilidad de la población, desde un enfoque territorial, que logre actuar a manera de sistemas de alerta temprana.  </t>
  </si>
  <si>
    <t xml:space="preserve">Fortalecimiento de las capacidades del personal de salud en todo lo relacionado con los posibles efectos de la variabilidad y el cambio climático.  </t>
  </si>
  <si>
    <t xml:space="preserve">Formulación de políticas que permitan la planeación de la gestión integral del riesgo de desastres en salud y el fortalecimiento de la capacidad sectorial y comunitaria para responder a eventos de crisis, emergencias y desastres de importancia nacional e internacional.  </t>
  </si>
  <si>
    <t xml:space="preserve">Socialización e Implementación del Plan de gestión integral de riesgos de emergencia y desastres en salud (PGIRED) en las Entidades Territoriales.  </t>
  </si>
  <si>
    <t xml:space="preserve">Incorporación del plan de gestión integral del riesgo de emergencias y desastres (PGIRED) en los planes Territoriales de Salud y Planes de Acción plurianuales territoriales.  </t>
  </si>
  <si>
    <t xml:space="preserve">Participación en las instancias de orientación y coordinación del Sistema Nacional de Gestión del Riesgo de Desastres, e incorporar las acciones del sector salud en los instrumentos de planificación, tales  cómo, Planes de Gestión del Riesgo y Estrategias de Respuesta a Emergencias.  </t>
  </si>
  <si>
    <t xml:space="preserve">Promoción de la atención en Salud mental al personal  que hace parte de la Misión Médica en situación de riesgo.  </t>
  </si>
  <si>
    <t xml:space="preserve">Implementación de estrategias de comunicación y divulgación sobre la Misión Medica con comunidades, personal sanitario y autoridades territoriales que mitiguen la vulnerabilidad de la misión médica.  </t>
  </si>
  <si>
    <t xml:space="preserve">Garantizar el derecho fundamental a la salud a las personas que han sido o pueden ser potencialmente afectadas por situaciones de urgencia, emergencias, desastres, brotes y epidemias, comprende la operación y fortalecimiento de los Centros Reguladores de Urgencias, Emergencias y Desastres -CRUE, los Sistemas de Emergencias Médicas y las acciones de  conocimiento, reducción del riesgo y manejo de desastres en salud.  </t>
  </si>
  <si>
    <t xml:space="preserve">Fortalecimiento en todos los niveles las capacidades técnicas operativas de alerta y respuesta.  </t>
  </si>
  <si>
    <t xml:space="preserve">Fortalecimiento de la capacidad sectorial, transectorial y comunitaria para detectar y responder a eventos inusuales en salud pública que afecten la salud de la población.  </t>
  </si>
  <si>
    <t xml:space="preserve">Fortalecimiento de la red Nacional de Laboratorios  </t>
  </si>
  <si>
    <t xml:space="preserve">Fortalecimiento de la red Nacional de Toxicología   </t>
  </si>
  <si>
    <t xml:space="preserve">Fortalecimiento de la red Nacional de Bancos de Sangre y Servicios Transfusionales.  </t>
  </si>
  <si>
    <t xml:space="preserve">Fortalecimiento del Programa Hospitales Seguros.  </t>
  </si>
  <si>
    <t xml:space="preserve">Incorporación de la información compilada y analizada en una red integrada de fuentes de información en la planificación estratégica del territorio frente a los riesgos de emergencias y desastres que afecten la salud pública.  </t>
  </si>
  <si>
    <t xml:space="preserve">Conocimiento producido y difundido y capacidades fortalecidas para prevenir y atender el impacto del cambio climático en la salud pública.  </t>
  </si>
  <si>
    <t xml:space="preserve">Análisis, evaluación, monitoreo y seguimiento del riesgo de incidentes e infracciones a la misión médica con enfoque de género.  </t>
  </si>
  <si>
    <t xml:space="preserve">Fortalecimiento de la cooperación internacional frente a la trasferencia de tecnología y capacitación en la preparación y respuesta a pandemias.  </t>
  </si>
  <si>
    <t xml:space="preserve">Fortalecimiento de los Sistemas de Información de vigilancia a nivel nacional, departamental y municipal.  </t>
  </si>
  <si>
    <t xml:space="preserve">Gestión Intersectorial para el mantenimiento y fortalecimiento de las capacidades básicas a nivel departamental frente a la preparación y respuesta necesarias con respecto al Reglamento Sanitario Internacional-RSI 2005, incluyendo el enfoque de “Una Salud”  </t>
  </si>
  <si>
    <t xml:space="preserve">Generación de programas de formación continua de personal en los niveles departamentales y municipales en las acciones de preparación y repuesta ante pandemias.  </t>
  </si>
  <si>
    <t xml:space="preserve">Actualización y prueba de los planes de preparación frente a futuras pandemias en todos los niveles.  </t>
  </si>
  <si>
    <t xml:space="preserve">Producción, organización, depuración y reporte de la información en salud pública  </t>
  </si>
  <si>
    <t xml:space="preserve">Disposición de la información como bien público mediante el acceso a través de bibliotecas virtuales, repositorios virtuales y demás servicios e información.  </t>
  </si>
  <si>
    <t xml:space="preserve">Análisis de la información que permita la comprensión de las condiciones de salud de la población y sus determinantes sociales a nivel territorial.   </t>
  </si>
  <si>
    <t xml:space="preserve">Construcción de forma colectiva e intercultural los saberes que aporten a la producción y análisis de la información en salud pública.  </t>
  </si>
  <si>
    <t xml:space="preserve">Uso de la información para la formulación de la planeación territorial y la toma de decisiones en salud pública (estudios y evaluaciones)  </t>
  </si>
  <si>
    <t xml:space="preserve">Desarrollo de estrategias de comunicación para la difusión y el uso adecuado de la información en salud pública.  </t>
  </si>
  <si>
    <t xml:space="preserve">Desarrollo de estrategias de comunicación, educación para el cambio de comportamiento y de acción colectiva que favorezcan la trasformación de la cultura de seguridad social en salud y promover los entornos saludables y protectores.  </t>
  </si>
  <si>
    <t xml:space="preserve">Desarrollo de otras estrategias de divulgación para la transferencia y apropiación del conocimiento en salud pública a nivel territorial tales como charlas, talleres, seminarios, entre otros.  </t>
  </si>
  <si>
    <t xml:space="preserve">Desarrollo de estrategias de articulación sectorial e intersectorial para la divulgación, traducción social, uso y apropiación de la información en salud pública.  </t>
  </si>
  <si>
    <t xml:space="preserve">Fortalecimiento de los sistemas de información necesarios para la gestión de la información en salud pública, incluyendo alertas tempranas  </t>
  </si>
  <si>
    <t>Fortalecimiento de las capacidades del Talento Humano para un adecuado proceso de producción, organización, depuración y reporte de la información en salud pública</t>
  </si>
  <si>
    <t xml:space="preserve">Fortalecimiento de las capacidades del Talento Humano en el acceso y uso de la oferta actual de información pública de salud y de otros sectores.  </t>
  </si>
  <si>
    <t xml:space="preserve">Fortalecimiento de las capacidades del Talento Humano para la generación de conocimiento a través de herramientas estadísticas y cualitativas de análisis de la información.  </t>
  </si>
  <si>
    <t xml:space="preserve">Fortalecimiento de las capacidades del Talento Humano para la generación de conocimiento con enfoques diferenciales, de género y diversidad y para pueblos y comunidades étnicas.  </t>
  </si>
  <si>
    <t xml:space="preserve">Fortalecimiento de las capacidades del Talento Humano en la implementación de estrategias para la generación de conocimiento de las condiciones de salud de la población y sus determinantes tales como observatorios, ASIS, unidades de análisis, seminarios, entre otras.  </t>
  </si>
  <si>
    <t xml:space="preserve">Fortalecer el papel de la Comisión Intersectorial para el Desarrollo y Producción de Tecnologías Estratégicas en Salud (CIDPTES) como ente de gobernanza que guíe las acciones que lleven a Colombia a convertirse en un centro de desarrollo y producción de TES, a través de la articulación de las propuestas que, desde los diferentes sectores (gobierno, industria, academia y sociedad), puedan aportar para este fin.    </t>
  </si>
  <si>
    <t xml:space="preserve">Soberanía sanitaria fortalecida con la aplicación de Tecnologías Estratégicas en Salud (TES)   </t>
  </si>
  <si>
    <t xml:space="preserve">Fomentar la inversión en investigación, desarrollo, innovación (I+D+i) y producción local de TES.  </t>
  </si>
  <si>
    <t xml:space="preserve">Caracterización del talento humano en salud pública  </t>
  </si>
  <si>
    <t xml:space="preserve">Capacidades consolidadas para la gestión territorial de la salud pública  </t>
  </si>
  <si>
    <t xml:space="preserve">Fortalecimiento de las capacidades institucionales y sociales para la gestión territorial de la salud pública, en el marco de la Estrategia Nacional de Formación Territorial, Intercultural de Atención Primaria en Salud, Salud Pública y Salud Colectiva.  </t>
  </si>
  <si>
    <t xml:space="preserve">Fortalecimiento de la gobernanza sanitaria por medio del acompañamiento regional y la consolidación de alianzas académicas en los territorios formadores del THS  </t>
  </si>
  <si>
    <t>Desarrollo de las capacidades en el Talento Humano en Salud para la identificación, diagnóstico y prevención de los riesgos relacionados con la ocupación</t>
  </si>
  <si>
    <t xml:space="preserve">Concertación de los mínimos de formación del THS y las prácticas pedagógicas a nivel técnico, tecnológico, universitaria, posgradual y formación de formadores con relación a: territorio, territorialidad, interculturalidad en salud, atención primaria en salud, salud pública y salud colectiva.  </t>
  </si>
  <si>
    <t xml:space="preserve">Planificación con enfoque territorial la educación continua del THS con énfasis en territorio, territorialidad, interculturalidad en salud, atención primaria en salud, salud pública y salud colectiva  </t>
  </si>
  <si>
    <t xml:space="preserve">Desarrollo de metodologías pedagógicas específicas para la salud pública  </t>
  </si>
  <si>
    <t xml:space="preserve">Fortalecimiento del desarrollo de capacidades en el Talento Humano en Salud para la identificación, diagnóstico y prevención de los riesgos relacionados con la ocupación.  </t>
  </si>
  <si>
    <t>Concertación de los mínimos de formación del THS y las prácticas pedagógicas a nivel técnico, tecnológico, universitaria, posgradual y formación de formadores con relación a: territorio, territorialidad, interculturalidad en salud, atención primaria en salud, salud pública y salud colectiva.</t>
  </si>
  <si>
    <t xml:space="preserve">Sabedores ancestrales y personal de salud propio, reconocidos y articulados a los procesos de la gestión de la salud pública en los territorios.  </t>
  </si>
  <si>
    <t>Planificación con enfoque territorial la educación continua del THS con énfasis en territorio, territorialidad, interculturalidad en salud, atención primaria en salud, salud pública y salud colectiva</t>
  </si>
  <si>
    <t>Desarrollo de metodologías pedagógicas específicas para la salud pública</t>
  </si>
  <si>
    <t>Fortalecimiento del desarrollo de capacidades en el Talento Humano en Salud para la identificación, diagnóstico y prevención de los riesgos relacionados con la ocupación.</t>
  </si>
  <si>
    <t xml:space="preserve">Definición de estrategias territoriales e intersectoriales para la mejora de la disponibilidad y distribución del THS con énfasis en los que realizan acciones y gestión de la salud pública  </t>
  </si>
  <si>
    <t xml:space="preserve">Talento humano en salud pública disponible y sostenible con garantía de trabajo digno y decente   </t>
  </si>
  <si>
    <t xml:space="preserve">Implementación de acciones intersectoriales con enfoque territorial para la integración de incentivos y mecanismos de retención del THS en el marco del trabajo digno y decente, incluyendo el TH de salud ambiental  </t>
  </si>
  <si>
    <t xml:space="preserve">Avance en la protección del talento humano en contexto de crisis humanitaria  </t>
  </si>
  <si>
    <t xml:space="preserve">Gestión de la apertura territorial de las Instituciones de Educación del THS con los actores de la región para ser parte de la transformación requerida a escala mayor: con prácticas académicas y participación de las comunidades  </t>
  </si>
  <si>
    <t>METAS</t>
  </si>
  <si>
    <t>DESCRIPCION_METAS_ESTRATEGICAS_2024</t>
  </si>
  <si>
    <t xml:space="preserve">A 2031 el 100% de las Entidades Territoriales del orden departamental, distrital y municipal garantizan el derecho a la participación social de acuerdo con las competencias establecidas en la política de participación social en salud.  </t>
  </si>
  <si>
    <t xml:space="preserve">A 2031 el 100% de las Entidades territoriales departamentales y distritales contaran con una participación de organizaciones de base comunitaria y estructuras o formas de cuidado provenientes de saberes populares, tradiciones culturales, y saberes propios de pueblos y comunidades étnicas como parte de la red integral e integrada territorial de salud según disposiciones del Ministerio de Salud y protección Social.   </t>
  </si>
  <si>
    <t xml:space="preserve">A 2031 el 100% de los escenarios de participación existentes en los departamentos, distritos y municipios   inciden en la gestión y la toma de decisiones en la inversión pública del sector salud y la garantía del derecho fundamental a la salud.  </t>
  </si>
  <si>
    <t xml:space="preserve">A 2031 el 100% de entidades territoriales Departamentales, Distritales y Municipales que tienen en su territorio pueblos y comunidades indígenas, comunidades negras, afrocolombianas, raizales y palenqueras y pueblo Rrom han establecido acuerdos para la garantía del derecho fundamental a la salud y la respuesta a las necesidades de la salud propia e intercultural.  </t>
  </si>
  <si>
    <t xml:space="preserve">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t>
  </si>
  <si>
    <t xml:space="preserve">A 2031 el 100% de entidades territoriales Departamentales, Distritales y Municipales han implementado la Estrategia de Transversalización del Enfoque de Género en la Planeación Integral en Salud.  </t>
  </si>
  <si>
    <t xml:space="preserve">A 2031 el 100% de los espacios e instancias intersectoriales incluyen en sus planes de acción la transversalización de los enfoques de pueblos y comunidades, género y diferencial e integran los sistemas de conocimiento propio de los pueblos y comunidades étnicas.  </t>
  </si>
  <si>
    <t xml:space="preserve">A 2031 el 100% de los Gobiernos departamentales, distritales y municipales lideran el desarrollo de estrategias para el reconocimiento de contextos de desventaja social, étnica y de género y la generación de respuestas intersectoriales.  </t>
  </si>
  <si>
    <t xml:space="preserve">A 2031 el 100% las entidades territoriales Departamentales, Distritales han implementado las medidas de atención para la atención a las mujeres víctimas de violencia de género.  </t>
  </si>
  <si>
    <t xml:space="preserve">A 2031 el 100% las entidades territoriales Departamentales, Distritales y Municipales han adoptado la Política de Salud Plena para las Mujeres que Garantice el Goce Pleno de sus Derechos.  </t>
  </si>
  <si>
    <t xml:space="preserve">A 2031 de entidades territoriales Departamentales, Distritales y Municipales han adoptado los Lineamientos para la Superación de Barreras de Acceso y Atención para el Ejercicio del Derecho a la Salud de las Personas OSIGD-LGBTI.  </t>
  </si>
  <si>
    <t xml:space="preserve">A 2031 de entidades territoriales Departamentales, Distritales y Municipales han adoptado la Estrategia Sectorial de Lucha Contra la Trata.  </t>
  </si>
  <si>
    <t xml:space="preserve">A 2031 los Centros de Atención Socio-sanitaria para personas habitantes de la calle, personas mayores, mujeres víctimas de violencia, se encuentran inscritos en el registro de entidades prestadores de servicios socio-sanitarios-REPSO.  </t>
  </si>
  <si>
    <t>A 2031 los Centros de Larga Estancia cuentan con estándares mínimos de funcionamiento para la garantía de los derechos de las personas mayores.</t>
  </si>
  <si>
    <t xml:space="preserve">A 2031 las entidades territoriales implementan el Plan de Atención Sectorial a Población Migrante Colombianos retornados y comunidades de acogida.  </t>
  </si>
  <si>
    <t xml:space="preserve">A 2031, el 100% de las entidades territoriales implementan la estrategia de Rehabilitación Basada en Comunidad (RBC) en los territorios  </t>
  </si>
  <si>
    <t xml:space="preserve">A 2031 se fortalecerá por lo menos el 50 % de la infraestructura pública en salud que se identifique y priorice para incrementar la oferta equitativa de servicios de baja, mediana y alta complejidad fortaleciendo la atención primaria en salud.  </t>
  </si>
  <si>
    <t xml:space="preserve">A 2031 operarán en el territorio nacional el 100% de los equipos básicos interdisciplinarios proyectados con base en las dinámicas poblacionales y territoriales para el fortalecimiento del modelo de salud basado en la atención primaria.  </t>
  </si>
  <si>
    <t xml:space="preserve">A 2031 los servicios de salud de mediana y alta complejidad han mejorado   la eficiencia, efectividad y oportunidad de la atención en salud como dimensiones de la calidad en el marco del Modelo de Salud Preventivo, Predictivo y Resolutivo.   </t>
  </si>
  <si>
    <t xml:space="preserve">A 2031 se fortalecerán en el 100% de los Departamentos y Distritos, las capacidades de los profesionales del sector salud en lo relacionado con los posibles efectos de la variabilidad y el cambio climático.  </t>
  </si>
  <si>
    <t xml:space="preserve">A 2031 se fortalecerá en el 100% de los territorios la apropiación social del conocimiento en salud pública y el desarrollo de investigaciones que den respuesta a las necesidades en salud de cada territorio  </t>
  </si>
  <si>
    <t xml:space="preserve">A 2031 se fortalecerán en el 100% de los Departamentos y Distritos las capacidades técnicas y de investigación en salud pública del personal de salud.  </t>
  </si>
  <si>
    <t xml:space="preserve">A 2031 en el 100% de los departamentos y distritos se fortalecerá la generación, recuperación y divulgación de conocimientos científicos, conocimientos tradicionales y saberes ancestrales.  </t>
  </si>
  <si>
    <t xml:space="preserve">A 2031 estarán en producción el 80 % de las Tecnologías Estratégicas en Salud (TES) para enfermedades desatendidas, huérfanas, tropicales, y transmitidas por vectores, entre otras priorizadas.  </t>
  </si>
  <si>
    <t xml:space="preserve">A 2031 se logrará el abastecimiento del 80% de las tecnologías estratégicas en salud de difícil consecución.  </t>
  </si>
  <si>
    <t xml:space="preserve">Aumentar la densidad a 44,5 profesionales de la salud por 10.000 habitantes en municipios con alta dispersión descritos en la resolución 2809 de 2022  </t>
  </si>
  <si>
    <t xml:space="preserve">Reducir a la mitad la brecha de ingresos entre profesionales de la salud que realizan actividades en municipios con alta dispersión con respecto a zonas urbanas y entre los géneros.  </t>
  </si>
  <si>
    <t xml:space="preserve">Reducir en un 50% la brecha territorial del THS entre áreas urbanas y rurales  </t>
  </si>
  <si>
    <t xml:space="preserve">Incrementar al doble el número de cargos de planta de las Entidades territoriales de orden departamental, distritales y municipales contribuyendo al fortalecimiento de la autoridad sanitaria y la salud pública  </t>
  </si>
  <si>
    <t xml:space="preserve">Incrementar al doble el número de cargos de planta para el Talento Humano en Salud que realiza la prestación de los servicios de salud en las Empresas Sociales del Estado  </t>
  </si>
  <si>
    <t xml:space="preserve">Se contará con al menos un promotor de salud por cada Equipo Básico de Salud reconocidos por las comunidades, formados y vinculados en el marco del fortalecimiento del Modelo de Salud basado en la Atención Primaria en Salud.  </t>
  </si>
  <si>
    <t xml:space="preserve">Lograr que el 100% de las secretarias de salud Departamentales y Distritales establezcan una estructura organizacional para la planificación y gestión estratégica del THS  </t>
  </si>
  <si>
    <t xml:space="preserve">Implementación del 100% de los acuerdos regionales para la definición de los mínimos de formación del THS, enfoques pedagógicos con énfasis en la educación interprofesional y practicas formativos acordes con realidades y necesidades de las poblaciones en el marco de la Estrategia Nacional de Formación territorial, Intercultural de APS, salud pública y salud colectiva.  </t>
  </si>
  <si>
    <t>COD_FUENTE_RECURSOS_2024</t>
  </si>
  <si>
    <t>NOMBRE_FUENTE_RECURSOS_2024</t>
  </si>
  <si>
    <t>SGP</t>
  </si>
  <si>
    <t>TRANSFERECIAS NACIONALES</t>
  </si>
  <si>
    <t>RECUSROS PROPIOS</t>
  </si>
  <si>
    <t>COLJUEGOS</t>
  </si>
  <si>
    <t>REGALÍAS</t>
  </si>
  <si>
    <t>SERVICIOS DE LABORATORIO</t>
  </si>
  <si>
    <t>COOPERACIÓN INTERNACIONAL</t>
  </si>
  <si>
    <t>SISTEMA GENERAL DE PARTICIPACIONES - SALUD PÚBLICA</t>
  </si>
  <si>
    <t>SALUD PÚBLICA</t>
  </si>
  <si>
    <t>SISTEMA GENERAL DE PARTICIPACIONES - SALUD PÚBLICA - RECURSOS NO COMPROMETIDOS DE VIGENCIAS ANTERIORES</t>
  </si>
  <si>
    <t>SISTEMA GENERAL DE PARTICIPACIONES - SALUD PÚBLICA - RENDIMIENTOS FINANCIEROS</t>
  </si>
  <si>
    <t>TRANSFERENCIAS NACIONALES ETV</t>
  </si>
  <si>
    <t>TRANSFERENCIAS NACIONALES LEPRA</t>
  </si>
  <si>
    <t xml:space="preserve">TRANSFERENCIAS NACIONALES TBC </t>
  </si>
  <si>
    <t>TRANSFERENCIAS NACIONALES OTROS ACCIONES EN SALUD PUBLICA</t>
  </si>
  <si>
    <t>INGRESOS VENTA DE SERVICIOS LABORATORIO DE SALUD PÚBLICA</t>
  </si>
  <si>
    <t>RECURSOS PROPIOS</t>
  </si>
  <si>
    <t xml:space="preserve">INGRESOS CORRIENTES DE LIBRE DESTINACIÓN </t>
  </si>
  <si>
    <t>RECURSOS DEL BALANCE DIFERENTES AL SGP SALUD PÚBLICA</t>
  </si>
  <si>
    <t xml:space="preserve">OTROS RECURSOS </t>
  </si>
  <si>
    <t>SISTEMA GENERAL DE PARTICIPACIONES REGIMEN SUBSIDIADO</t>
  </si>
  <si>
    <t>RECURSOS DEL BALANCE DEL SISTEMA GENERAL DE PARTICIPACIONES REGIMEN SUBSIDIADO</t>
  </si>
  <si>
    <t>RENDIMIENTOS FINANCIEROS DEL SISTEMA GENERAL DE PARTICIPACIONES REGIMEN SUBSIDIADO</t>
  </si>
  <si>
    <t>RENTAS CEDIDAS</t>
  </si>
  <si>
    <t>RECURSOS DEL BALANCE DEL RÉGIMEN SUBSIDIADO</t>
  </si>
  <si>
    <t>CAJAS DE COMPENSACIÓN FAMILIAR. (ARTÍCULO 217, LEY 100 DE 1993)</t>
  </si>
  <si>
    <t>ADRES Y PGN</t>
  </si>
  <si>
    <t>OTROS RECURSOS DE LA NACIÓN</t>
  </si>
  <si>
    <t>OTROS RECURSOS</t>
  </si>
  <si>
    <t>SISTEMA GENERAL DE PARTICIPACIONES - PNA</t>
  </si>
  <si>
    <t>SUBCUENTA DE PRESTACIÓN DE SERVICIOS DE SALUD EN LO NO CUBIERTO CON SUBSIDIOS A LA DEMANDA</t>
  </si>
  <si>
    <t>RECURSOS DESTINADOS POR LA LEY 1608 DE 2013</t>
  </si>
  <si>
    <t xml:space="preserve">RECURSOS EXCEDENTES DE FONPET – LOTTO EN LÍNEA (DECRETO 728 DE 2013) </t>
  </si>
  <si>
    <t xml:space="preserve">RECURSOS DEL BALANCE PRESTACIÓN DE SERVICIOS DE SALUD </t>
  </si>
  <si>
    <t>RENTAS TERRITORIALES PARA LA FINANCIACIÓN DE LAS ACCIONES DE SALUD PÚBLICA COLECTIVA</t>
  </si>
  <si>
    <t>SISTEMA GENERAL DE REGALÍAS</t>
  </si>
  <si>
    <t>EXCEDENTES DE LA CUENTA MAESTRA DEL RÉGIMEN SUBSIDIADO</t>
  </si>
  <si>
    <t>SGP - SUBSIDIO A LA OFERTA</t>
  </si>
  <si>
    <t>RECURSOS ASIGNADOS POR LA NACIÓN PARA LA ATENCIÓN DE URGENCIAS DE LA POBLACIÓN MIGRANTE NO AFILIADA</t>
  </si>
  <si>
    <t>RECURSOS DESTINADOS POR LA ET PARA EL PAGO DE LOS SERVICIOS QUE SE PRESTEN POR CONCEPTO DE URGENCIAS A LA POBLACIÓN MIGRANTE NO AFILIADA</t>
  </si>
  <si>
    <t>EXCEDENTES DEL SGP DE PRESTACIÓN DE SERVICIOS</t>
  </si>
  <si>
    <t>EXCEDENTES DE RENTAS CEDIDAS</t>
  </si>
  <si>
    <t>COMPONENTE</t>
  </si>
  <si>
    <t xml:space="preserve">LINEAS OPERATIVAS </t>
  </si>
  <si>
    <t>Urbano</t>
  </si>
  <si>
    <t>Rural</t>
  </si>
  <si>
    <t>FUENTES DE FINANCIACION</t>
  </si>
  <si>
    <t>Descripción</t>
  </si>
  <si>
    <t>Código</t>
  </si>
  <si>
    <t>DISPONIBILIDAD INICIAL (1.1.0.0.00)</t>
  </si>
  <si>
    <t>1.1.0.0.00</t>
  </si>
  <si>
    <t>INGRESOS CORRIENTES DE LIBRE DESTINACION (1.2.1.0.00)</t>
  </si>
  <si>
    <t>1.2.1.0.00</t>
  </si>
  <si>
    <t>INGRESOS CORRIENTES DE DESTINACION ESPECIFICA POR ACTO ADMINISTRATIVO (1.2.2.0.00)</t>
  </si>
  <si>
    <t>1.2.2.0.00</t>
  </si>
  <si>
    <t>SOBRETASA - PARTICIPACION AMBIENTAL - CORPORACIONES AUTONOMAS REGIONALES (1.2.3.1.01)</t>
  </si>
  <si>
    <t>1.2.3.1.01</t>
  </si>
  <si>
    <t>SOBRETASA AMBIENTAL AREAS METROPOLITANAS (1.2.3.1.02)</t>
  </si>
  <si>
    <t>1.2.3.1.02</t>
  </si>
  <si>
    <t>IMPUESTO SOBRE VEHICULOS AUTOMOTORES CON DESTINACION ESPECIFICA LEGAL (1.2.3.1.03)</t>
  </si>
  <si>
    <t>1.2.3.1.03</t>
  </si>
  <si>
    <t>IMPUESTO A GANADORES DE SORTEOS ORDINARIOS Y EXTRAORDINARIOS (1.2.3.1.04)</t>
  </si>
  <si>
    <t>1.2.3.1.04</t>
  </si>
  <si>
    <t>IMPUESTO - SOBRETASA POR EL ALUMBRADO PUBLICO (1.2.3.1.05)</t>
  </si>
  <si>
    <t>1.2.3.1.05</t>
  </si>
  <si>
    <t>IMPUESTO DE REGISTRO (1.2.3.1.06)</t>
  </si>
  <si>
    <t>1.2.3.1.06</t>
  </si>
  <si>
    <t>IMPUESTO DE LOTERIAS FORANEAS (1.2.3.1.07)</t>
  </si>
  <si>
    <t>1.2.3.1.07</t>
  </si>
  <si>
    <t>IMPUESTO AL CONSUMO DE LICORES, VINOS, APERITIVOS Y SIMILARES (1.2.3.1.08)</t>
  </si>
  <si>
    <t>1.2.3.1.08</t>
  </si>
  <si>
    <t>IMPUESTO AL CONSUMO DE CERVEZAS, SIFONES, REFAJOS Y MEZCLAS (1.2.3.1.09)</t>
  </si>
  <si>
    <t>1.2.3.1.09</t>
  </si>
  <si>
    <t>IMPUESTO AL CONSUMO DE CIGARRILLOS Y TABACO (1.2.3.1.10)</t>
  </si>
  <si>
    <t>1.2.3.1.10</t>
  </si>
  <si>
    <t>SOBRETASA FONDO DEPARTAMENTAL DE BOMBEROS (1.2.3.1.11)</t>
  </si>
  <si>
    <t>1.2.3.1.11</t>
  </si>
  <si>
    <t>IMPUESTO DE ESPECTACULOS PUBLICOS NACIONAL CON DESTINO AL DEPORTE (1.2.3.1.12)</t>
  </si>
  <si>
    <t>1.2.3.1.12</t>
  </si>
  <si>
    <t>IMPUESTO SOBRE APUESTAS MUTUAS (1.2.3.1.13)</t>
  </si>
  <si>
    <t>1.2.3.1.13</t>
  </si>
  <si>
    <t>SOBRETASA BOMBERIL (1.2.3.1.14)</t>
  </si>
  <si>
    <t>1.2.3.1.14</t>
  </si>
  <si>
    <t>SOBRETASA FONDO DE SEGURIDAD (1.2.3.1.15)</t>
  </si>
  <si>
    <t>1.2.3.1.15</t>
  </si>
  <si>
    <t>IMPUESTO DE TRANSPORTE POR OLEODUCTOS Y GASODUCTOS (1.2.3.1.16)</t>
  </si>
  <si>
    <t>1.2.3.1.16</t>
  </si>
  <si>
    <t>SOBRETASA DE SOLIDARIDAD SERVICIOS PUBLICOS ACUEDUCTO, ASEO Y ALCANTARILLADO (1.2.3.1.17)</t>
  </si>
  <si>
    <t>1.2.3.1.17</t>
  </si>
  <si>
    <t>TASA PRODEPORTE Y RECREACION (1.2.3.1.18)</t>
  </si>
  <si>
    <t>1.2.3.1.18</t>
  </si>
  <si>
    <t>ESTAMPILLAS (1.2.3.1.19)</t>
  </si>
  <si>
    <t>1.2.3.1.19</t>
  </si>
  <si>
    <t>CONTRIBUCIONES SOCIALES - SALUD (1.2.3.2.01)</t>
  </si>
  <si>
    <t>1.2.3.2.01</t>
  </si>
  <si>
    <t>CONTRIBUCIONES SOCIALES - PENSION (1.2.3.2.02)</t>
  </si>
  <si>
    <t>1.2.3.2.02</t>
  </si>
  <si>
    <t>CONTRIBUCIONES SOCIALES - RIESGOS LABORALES (1.2.3.2.03)</t>
  </si>
  <si>
    <t>1.2.3.2.03</t>
  </si>
  <si>
    <t>CONTRIBUCIONES SOCIALES - SUBSIDIO FAMILIAR (1.2.3.2.04)</t>
  </si>
  <si>
    <t>1.2.3.2.04</t>
  </si>
  <si>
    <t>CONTRIBUCIONES AGROPECUARIAS Y PESQUERAS (1.2.3.2.05)</t>
  </si>
  <si>
    <t>1.2.3.2.05</t>
  </si>
  <si>
    <t>CONTRIBUCION SOBRE CONTRATOS DE OBRA PUBLICA (1.2.3.2.06)</t>
  </si>
  <si>
    <t>1.2.3.2.06</t>
  </si>
  <si>
    <t>CONTRIBUCION DEL SECTOR ELECTRICO (1.2.3.2.07)</t>
  </si>
  <si>
    <t>1.2.3.2.07</t>
  </si>
  <si>
    <t>COPAGOS Y CUOTAS MODERADORAS (1.2.3.2.08)</t>
  </si>
  <si>
    <t>1.2.3.2.08</t>
  </si>
  <si>
    <t>OTRAS CONTRIBUCIONES CON DESTINACION ESPECIFICA LEGAL (1.2.3.2.09)</t>
  </si>
  <si>
    <t>1.2.3.2.09</t>
  </si>
  <si>
    <t>TASAS RETRIBUTIVAS (1.2.3.2.10)</t>
  </si>
  <si>
    <t>1.2.3.2.10</t>
  </si>
  <si>
    <t>TASAS COMPENSATORIAS (1.2.3.2.11)</t>
  </si>
  <si>
    <t>1.2.3.2.11</t>
  </si>
  <si>
    <t>EVALUACION DE LICENCIAS Y TRAMITES AMBIENTALES (1.2.3.2.12)</t>
  </si>
  <si>
    <t>1.2.3.2.12</t>
  </si>
  <si>
    <t>SEGUIMIENTO A LICENCIAS Y TRAMITES AMBIENTALES (1.2.3.2.13)</t>
  </si>
  <si>
    <t>1.2.3.2.13</t>
  </si>
  <si>
    <t>DERECHO DE INGRESO AREAS PROTEGIDAS (1.2.3.2.14)</t>
  </si>
  <si>
    <t>1.2.3.2.14</t>
  </si>
  <si>
    <t>TASA POR EL USO DEL AGUA (1.2.3.2.15)</t>
  </si>
  <si>
    <t>1.2.3.2.15</t>
  </si>
  <si>
    <t>TASA POR APROVECHAMIENTO FORESTAL (1.2.3.2.16)</t>
  </si>
  <si>
    <t>1.2.3.2.16</t>
  </si>
  <si>
    <t>TASA COMPENSATORIA POR CAZA DE FAUNA SILVESTRE (1.2.3.2.17)</t>
  </si>
  <si>
    <t>1.2.3.2.17</t>
  </si>
  <si>
    <t>SOBRETASA AMBIENTAL - PEAJES (1.2.3.2.18)</t>
  </si>
  <si>
    <t>1.2.3.2.18</t>
  </si>
  <si>
    <t>TASA COMPENSATORIA POR LA UTILIZACION PERMANENTE DE LA RESERVA FORESTAL PROTECTORA BOSQUE ORIENTAL DE BOGOTA (1.2.3.2.19)</t>
  </si>
  <si>
    <t>1.2.3.2.19</t>
  </si>
  <si>
    <t>SALVOCONDUCTO UNICO NACIONAL (1.2.3.2.20)</t>
  </si>
  <si>
    <t>1.2.3.2.20</t>
  </si>
  <si>
    <t>DERECHOS DE TRANSITO (1.2.3.2.21)</t>
  </si>
  <si>
    <t>1.2.3.2.21</t>
  </si>
  <si>
    <t>OTRAS TASAS Y DERECHOS ADMINISTRATIVOS CON DESTINACION ESPECIFICA LEGAL (1.2.3.2.22)</t>
  </si>
  <si>
    <t>1.2.3.2.22</t>
  </si>
  <si>
    <t>MULTAS AMBIENTALES (1.2.3.2.23)</t>
  </si>
  <si>
    <t>1.2.3.2.23</t>
  </si>
  <si>
    <t>MULTAS CODIGO NACIONAL DE POLICIA Y CONVIVENCIA (1.2.3.2.24)</t>
  </si>
  <si>
    <t>1.2.3.2.24</t>
  </si>
  <si>
    <t>OTRAS MULTAS, SANCIONES E INTERESES DE MORA CON DESTINACION ESPECIFICA LEGAL (1.2.3.2.25)</t>
  </si>
  <si>
    <t>1.2.3.2.25</t>
  </si>
  <si>
    <t>DERECHOS ECONOMICOS POR USO DE RECURSOS NATURALES  CON DESTINACION ESPECIFICA LEGAL (1.2.3.2.26)</t>
  </si>
  <si>
    <t>1.2.3.2.26</t>
  </si>
  <si>
    <t>VENTA DE BIENES Y SERVICIOS CON DESTINACION ESPECIFICA LEGAL (1.2.3.2.27)</t>
  </si>
  <si>
    <t>1.2.3.2.27</t>
  </si>
  <si>
    <t>DERECHOS POR LA EXPLOTACION JUEGOS DE SUERTE Y AZAR (1.2.3.2.28)</t>
  </si>
  <si>
    <t>1.2.3.2.28</t>
  </si>
  <si>
    <t>PARTICIPACION Y DERECHOS DE EXPLOTACION DEL EJERCICIO DEL MONOPOLIO DE LICORES DESTILADOS Y ALCOHOLES POTABLES (1.2.3.2.29)</t>
  </si>
  <si>
    <t>1.2.3.2.29</t>
  </si>
  <si>
    <t>PARTICIPACIONES DISTINTAS DEL SGP CON DESTINACION ESPECIFICA LEGAL (1.2.3.3.01)</t>
  </si>
  <si>
    <t>1.2.3.3.01</t>
  </si>
  <si>
    <t>COMPENSACIONES DE INGRESOS TRIBUTARIOS Y NO TRIBUTARIOS CON DESTINACION ESPECIFICA LEGAL (1.2.3.3.02)</t>
  </si>
  <si>
    <t>1.2.3.3.02</t>
  </si>
  <si>
    <t>APORTES NACION - ALIMENTACION ESCOLAR (1.2.3.3.03)</t>
  </si>
  <si>
    <t>1.2.3.3.03</t>
  </si>
  <si>
    <t>OTRAS TRANSFERENCIAS CORRIENTES DE OTRAS ENTIDADES CON DESTINACION ESPECIFICA LEGAL DEL GOBIERNO GENERAL (1.2.3.3.04)</t>
  </si>
  <si>
    <t>1.2.3.3.04</t>
  </si>
  <si>
    <t>SUBVENCIONES CON DESTINACION ESPECIFICA LEGAL (1.2.3.3.05)</t>
  </si>
  <si>
    <t>1.2.3.3.05</t>
  </si>
  <si>
    <t>DIFERENTES DE SUBVENCIONES CON DESTINACION ESPECIFICA LEGAL (1.2.3.3.06)</t>
  </si>
  <si>
    <t>1.2.3.3.06</t>
  </si>
  <si>
    <t>SISTEMA GENERAL DE SEGURIDAD SOCIAL EN SALUD - OTROS RECURSOS ADMINISTRADOS POR ADRES (1.2.3.3.07)</t>
  </si>
  <si>
    <t>1.2.3.3.07</t>
  </si>
  <si>
    <t>SISTEMA GENERAL DE SEGURIDAD SOCIAL EN SALUD - RECURSOS DE ENTIDADES TERRITORIALES (1.2.3.3.08)</t>
  </si>
  <si>
    <t>1.2.3.3.08</t>
  </si>
  <si>
    <t>SISTEMA GENERAL DE SEGURIDAD SOCIAL EN SALUD - RECURSOS DE CAJAS DE COMPENSACION (1.2.3.3.09)</t>
  </si>
  <si>
    <t>1.2.3.3.09</t>
  </si>
  <si>
    <t>SISTEMA GENERAL DE SEGURIDAD SOCIAL EN SALUD - FONDOS ESPECIALES DEL MINISTERIO DE SALUD Y PROTECCION SOCIAL (1.2.3.3.10)</t>
  </si>
  <si>
    <t>1.2.3.3.10</t>
  </si>
  <si>
    <t>SISTEMA GENERAL DE SEGURIDAD SOCIAL EN SALUD - RECURSOS DE LA COMPENSACION DEL RC (1.2.3.3.11)</t>
  </si>
  <si>
    <t>1.2.3.3.11</t>
  </si>
  <si>
    <t>SISTEMA GENERAL DE SEGURIDAD SOCIAL EN SALUD - RECURSOS DE LA UPC RS (1.2.3.3.12)</t>
  </si>
  <si>
    <t>1.2.3.3.12</t>
  </si>
  <si>
    <t>SISTEMA GENERAL DE SEGURIDAD SOCIAL EN SALUD - SERVICIOS Y TECNOLOGIAS NO FINANCIADOS CON UPC (1.2.3.3.13)</t>
  </si>
  <si>
    <t>1.2.3.3.13</t>
  </si>
  <si>
    <t>SISTEMA GENERAL DE PENSIONES - CUOTAS PARTES PENSIONALES (1.2.3.3.14)</t>
  </si>
  <si>
    <t>1.2.3.3.14</t>
  </si>
  <si>
    <t>SISTEMA GENERAL DE PENSIONES - OTROS (1.2.3.3.15)</t>
  </si>
  <si>
    <t>1.2.3.3.15</t>
  </si>
  <si>
    <t>SISTEMA GENERAL DE RIESGOS LABORALES (1.2.3.3.16)</t>
  </si>
  <si>
    <t>1.2.3.3.16</t>
  </si>
  <si>
    <t>SENTENCIAS Y CONCILIACIONES (1.2.3.3.17)</t>
  </si>
  <si>
    <t>1.2.3.3.17</t>
  </si>
  <si>
    <t>INDEMNIZACIONES RELACIONADAS CON SEGUROS NO DE VIDA (1.2.3.3.18)</t>
  </si>
  <si>
    <t>1.2.3.3.18</t>
  </si>
  <si>
    <t>ICLD DEPARTAMENTOS PARA FONPET (1.2.3.4.01)</t>
  </si>
  <si>
    <t>1.2.3.4.01</t>
  </si>
  <si>
    <t>ICLD LEY 99 - DESTINO AMBIENTAL (1.2.3.4.02)</t>
  </si>
  <si>
    <t>1.2.3.4.02</t>
  </si>
  <si>
    <t>SAN ANDRES CON DESTINO A PROVIDENCIA (1.2.3.4.03)</t>
  </si>
  <si>
    <t>1.2.3.4.03</t>
  </si>
  <si>
    <t>SGP-EDUCACION-PRESTACION DE SERVICIOS (1.2.4.1.01)</t>
  </si>
  <si>
    <t>1.2.4.1.01</t>
  </si>
  <si>
    <t>SGP-EDUCACION-CANCELACION DE PRESTACIONES SOCIALES DEL MAGISTERIO (1.2.4.1.02)</t>
  </si>
  <si>
    <t>1.2.4.1.02</t>
  </si>
  <si>
    <t>SGP-EDUCACION-CALIDAD  POR MATRICULA OFICIAL (1.2.4.1.03)</t>
  </si>
  <si>
    <t>1.2.4.1.03</t>
  </si>
  <si>
    <t>SGP-EDUCACION-CALIDAD  POR GRATUIDAD (1.2.4.1.04)</t>
  </si>
  <si>
    <t>1.2.4.1.04</t>
  </si>
  <si>
    <t>1.2.4.2.01</t>
  </si>
  <si>
    <t>SGP-SALUD-PRESTACION DEL SERVICIO DE SALUD (1.2.4.2.03)</t>
  </si>
  <si>
    <t>1.2.4.2.03</t>
  </si>
  <si>
    <t>SGP-SALUD-SUBSIDIO A LA OFERTA (1.2.4.2.04)</t>
  </si>
  <si>
    <t>1.2.4.2.04</t>
  </si>
  <si>
    <t>SGP-PROPOSITO GENERAL-DEPORTE Y RECREACION (1.2.4.3.01)</t>
  </si>
  <si>
    <t>1.2.4.3.01</t>
  </si>
  <si>
    <t>SGP-PROPOSITO GENERAL-CULTURA (1.2.4.3.02)</t>
  </si>
  <si>
    <t>1.2.4.3.02</t>
  </si>
  <si>
    <t>SGP-PROPOSITO GENERAL-PROPOSITO GENERAL LIBRE INVERSION (1.2.4.3.03)</t>
  </si>
  <si>
    <t>1.2.4.3.03</t>
  </si>
  <si>
    <t>SGP-PROPOSITO GENERAL-LIBRE DESTINACION MUNICIPIOS CATEGORIAS 4, 5 Y 6 (1.2.4.3.04)</t>
  </si>
  <si>
    <t>1.2.4.3.04</t>
  </si>
  <si>
    <t>SGP-ASIGNACION ESPECIAL-PROGRAMAS DE ALIMENTACION ESCOLAR (1.2.4.4.01)</t>
  </si>
  <si>
    <t>1.2.4.4.01</t>
  </si>
  <si>
    <t>SGP-ASIGNACION ESPECIAL-MUNICIPIOS DE LA RIBERA DEL RIO MAGDALENA (1.2.4.4.02)</t>
  </si>
  <si>
    <t>1.2.4.4.02</t>
  </si>
  <si>
    <t>SGP-ASIGNACION-ATENCION INTEGRAL DE LA PRIMERA INFANCIA (1.2.4.4.03)</t>
  </si>
  <si>
    <t>1.2.4.4.03</t>
  </si>
  <si>
    <t>SGP-AGUA POTABLE Y SANEAMIENTO BASICO (1.2.4.6.00)</t>
  </si>
  <si>
    <t>1.2.4.6.00</t>
  </si>
  <si>
    <t>DISPOSICION DE ACTIVOS (1.3.1.1.01)</t>
  </si>
  <si>
    <t>1.3.1.1.01</t>
  </si>
  <si>
    <t>EXCEDENTES FINANCIEROS (1.3.1.1.02)</t>
  </si>
  <si>
    <t>1.3.1.1.02</t>
  </si>
  <si>
    <t>DIVIDENDOS Y UTILIDADES POR OTRAS INVERSIONES DE CAPITAL (1.3.1.1.03)</t>
  </si>
  <si>
    <t>1.3.1.1.03</t>
  </si>
  <si>
    <t>RECURSOS DE CREDITO EXTERNO (1.3.1.1.04)</t>
  </si>
  <si>
    <t>1.3.1.1.04</t>
  </si>
  <si>
    <t>RECURSOS DE CREDITO INTERNO (1.3.1.1.05)</t>
  </si>
  <si>
    <t>1.3.1.1.05</t>
  </si>
  <si>
    <t>DONACIONES (1.3.1.1.06)</t>
  </si>
  <si>
    <t>1.3.1.1.06</t>
  </si>
  <si>
    <t>TRANSFERENCIAS DE CAPITAL DE OTRAS ENTIDADES DEL GOBIERNO GENERAL (1.3.1.1.07)</t>
  </si>
  <si>
    <t>1.3.1.1.07</t>
  </si>
  <si>
    <t>OTRAS TRANSFERENCIAS DE CAPITAL (1.3.1.1.08)</t>
  </si>
  <si>
    <t>1.3.1.1.08</t>
  </si>
  <si>
    <t>RECUPERACION DE CARTERA - PRESTAMOS (1.3.1.1.09)</t>
  </si>
  <si>
    <t>1.3.1.1.09</t>
  </si>
  <si>
    <t>RETIROS FONPET (1.3.1.1.10)</t>
  </si>
  <si>
    <t>1.3.1.1.10</t>
  </si>
  <si>
    <t>REINTEGROS Y OTROS RECURSOS NO APROPIADOS (1.3.1.1.11)</t>
  </si>
  <si>
    <t>1.3.1.1.11</t>
  </si>
  <si>
    <t>RECURSOS DE TERCEROS (1.3.1.1.12)</t>
  </si>
  <si>
    <t>1.3.1.1.12</t>
  </si>
  <si>
    <t>CAPITALIZACIONES (1.3.1.1.13)</t>
  </si>
  <si>
    <t>1.3.1.1.13</t>
  </si>
  <si>
    <t>R.F. SOBRETASA - PARTICIPACION AMBIENTAL - CORPORACIONES AUTONOMAS REGIONALES (1.3.2.1.01)</t>
  </si>
  <si>
    <t>1.3.2.1.01</t>
  </si>
  <si>
    <t>R.F. CONTRIBUCIONES - SALUD (1.3.2.1.02)</t>
  </si>
  <si>
    <t>1.3.2.1.02</t>
  </si>
  <si>
    <t>R.F. CONTRIBUCIONES - PENSION (1.3.2.1.03)</t>
  </si>
  <si>
    <t>1.3.2.1.03</t>
  </si>
  <si>
    <t>R.F. CONTRIBUCIONES - RIESGOS LABORALES (1.3.2.1.04)</t>
  </si>
  <si>
    <t>1.3.2.1.04</t>
  </si>
  <si>
    <t>R.F. CONTRIBUCIONES - SUBSIDIO FAMILIAR (1.3.2.1.05)</t>
  </si>
  <si>
    <t>1.3.2.1.05</t>
  </si>
  <si>
    <t>R.F. CONTRIBUCIONES - AGROPECUARIAS Y PESQUERAS (1.3.2.1.06)</t>
  </si>
  <si>
    <t>1.3.2.1.06</t>
  </si>
  <si>
    <t>R.F. CONTRIBUCION DEL SECTOR ELECTRICO (1.3.2.1.07)</t>
  </si>
  <si>
    <t>1.3.2.1.07</t>
  </si>
  <si>
    <t>R.F. DE COPAGOS Y CUOTAS MODERADORAS (1.3.2.1.08)</t>
  </si>
  <si>
    <t>1.3.2.1.08</t>
  </si>
  <si>
    <t>R.F. DE OTRAS CONTRIBUCIONES (1.3.2.1.09)</t>
  </si>
  <si>
    <t>1.3.2.1.09</t>
  </si>
  <si>
    <t>R.F. DE TASAS RETRIBUTIVAS (1.3.2.1.10)</t>
  </si>
  <si>
    <t>1.3.2.1.10</t>
  </si>
  <si>
    <t>R.F. DE TASAS COMPENSATORIAS (1.3.2.1.11)</t>
  </si>
  <si>
    <t>1.3.2.1.11</t>
  </si>
  <si>
    <t>R.F.EVALUACION DE LICENCIAS Y TRAMITES AMBIENTALES (1.3.2.1.12)</t>
  </si>
  <si>
    <t>1.3.2.1.12</t>
  </si>
  <si>
    <t>R.F.SEGUIMIENTO A LICENCIAS Y TRAMITES AMBIENTALES (1.3.2.1.13)</t>
  </si>
  <si>
    <t>1.3.2.1.13</t>
  </si>
  <si>
    <t>R.F.DERECHO DE INGRESO AREAS PROTEGIDAS (1.3.2.1.14)</t>
  </si>
  <si>
    <t>1.3.2.1.14</t>
  </si>
  <si>
    <t>R.F.TASA POR EL USO DEL AGUA (1.3.2.1.15)</t>
  </si>
  <si>
    <t>1.3.2.1.15</t>
  </si>
  <si>
    <t>R.F.TASA POR APROVECHAMIENTO FORESTAL (1.3.2.1.16)</t>
  </si>
  <si>
    <t>1.3.2.1.16</t>
  </si>
  <si>
    <t>R.F.TASA COMPENSATORIA POR CAZA DE FAUNA SILVESTRE (1.3.2.1.17)</t>
  </si>
  <si>
    <t>1.3.2.1.17</t>
  </si>
  <si>
    <t>R.F.SOBRETASA AMBIENTAL - PEAJES (1.3.2.1.18)</t>
  </si>
  <si>
    <t>1.3.2.1.18</t>
  </si>
  <si>
    <t>R.F.TASA COMPENSATORIA POR LA UTILIZACION PERMANENTE DE LA RESERVA FORESTAL PROTECTORA BOSQUE ORIENTAL DE BOGOTA (1.3.2.1.19)</t>
  </si>
  <si>
    <t>1.3.2.1.19</t>
  </si>
  <si>
    <t>R.F.SALVOCONDUCTO UNICO NACIONAL (1.3.2.1.20)</t>
  </si>
  <si>
    <t>1.3.2.1.20</t>
  </si>
  <si>
    <t>R.F. DERECHOS DE TRANSITO (1.3.2.1.21)</t>
  </si>
  <si>
    <t>1.3.2.1.21</t>
  </si>
  <si>
    <t>R.F. DE OTRAS TASAS Y DERECHOS ADMINISTRATIVOS (1.3.2.1.22)</t>
  </si>
  <si>
    <t>1.3.2.1.22</t>
  </si>
  <si>
    <t>R.F.MULTAS AMBIENTALES (1.3.2.1.23)</t>
  </si>
  <si>
    <t>1.3.2.1.23</t>
  </si>
  <si>
    <t>R.F. SGP - EDUCACION-PRESTACION DE SERVICIO EDUCATIVO (1.3.2.2.01)</t>
  </si>
  <si>
    <t>1.3.2.2.01</t>
  </si>
  <si>
    <t>R.F. SGP - EDUCACION-CANCELACION DE PRESTACIONES SOCIALES DEL MAGISTERIO (1.3.2.2.02)</t>
  </si>
  <si>
    <t>1.3.2.2.02</t>
  </si>
  <si>
    <t>R.F. SGP - EDUCACION-CALIDAD  POR MATRICULA OFICIAL (1.3.2.2.03)</t>
  </si>
  <si>
    <t>1.3.2.2.03</t>
  </si>
  <si>
    <t>R.F. SGP - EDUCACION-CALIDAD  POR GRATUIDAD (1.3.2.2.04)</t>
  </si>
  <si>
    <t>1.3.2.2.04</t>
  </si>
  <si>
    <t>R.F. SGP - SALUD-REGIMEN SUBSIDIADO (1.3.2.2.05)</t>
  </si>
  <si>
    <t>1.3.2.2.05</t>
  </si>
  <si>
    <t>R.F. SGP - SALUD-SALUD PUBLICA (1.3.2.2.06)</t>
  </si>
  <si>
    <t>1.3.2.2.06</t>
  </si>
  <si>
    <t>R.F. SGP - SALUD-PRESTACION DEL SERVICIO DE SALUD (1.3.2.2.07)</t>
  </si>
  <si>
    <t>1.3.2.2.07</t>
  </si>
  <si>
    <t>R.F. SGP - PROPOSITO GENERAL (1.3.2.2.08)</t>
  </si>
  <si>
    <t>1.3.2.2.08</t>
  </si>
  <si>
    <t>R.F. SGP - ASIGNACION ESPECIAL-PROGRAMAS DE ALIMENTACION ESCOLAR (1.3.2.2.09)</t>
  </si>
  <si>
    <t>1.3.2.2.09</t>
  </si>
  <si>
    <t>R.F. SGP - ASIGNACION ESPECIAL-MUNICIPIOS DE LA RIBERA DEL RIO MAGDALENA (1.3.2.2.10)</t>
  </si>
  <si>
    <t>1.3.2.2.10</t>
  </si>
  <si>
    <t>R.F. SGP - ASIGNACION-ATENCION INTEGRAL DE LA PRIMERA INFANCIA (1.3.2.2.11)</t>
  </si>
  <si>
    <t>1.3.2.2.11</t>
  </si>
  <si>
    <t>R.F. SGP - AGUA POTABLE Y SANEAMIENTO BASICO (1.3.2.2.13)</t>
  </si>
  <si>
    <t>1.3.2.2.13</t>
  </si>
  <si>
    <t>R.F. DISTINTOS AL SGP (1.3.2.3.01)</t>
  </si>
  <si>
    <t>1.3.2.3.01</t>
  </si>
  <si>
    <t>R.F. DE SISTEMA GENERAL DE SEGURIDAD SOCIAL EN SALUD - OTROS RECURSOS ADMINISTRADOS POR ADRES (1.3.2.3.02)</t>
  </si>
  <si>
    <t>1.3.2.3.02</t>
  </si>
  <si>
    <t>R.F. DE SISTEMA GENERAL DE SEGURIDAD SOCIAL EN SALUD - RECURSOS DE ENTIDADES TERRITORIALES (1.3.2.3.03)</t>
  </si>
  <si>
    <t>1.3.2.3.03</t>
  </si>
  <si>
    <t>R.F. DE SISTEMA GENERAL DE SEGURIDAD SOCIAL EN SALUD - RECURSOS DE CAJAS DE COMPENSACION (1.3.2.3.04)</t>
  </si>
  <si>
    <t>1.3.2.3.04</t>
  </si>
  <si>
    <t>R.F. DE SISTEMA GENERAL DE SEGURIDAD SOCIAL EN SALUD - FONDOS ESPECIALES DEL MINISTERIO DE SALUD Y PROTECCION SOCIAL (1.3.2.3.05)</t>
  </si>
  <si>
    <t>1.3.2.3.05</t>
  </si>
  <si>
    <t>R.F. DE SISTEMA GENERAL DE SEGURIDAD SOCIAL EN SALUD - RECURSOS DE LA COMPENSACION DEL RC (1.3.2.3.06)</t>
  </si>
  <si>
    <t>1.3.2.3.06</t>
  </si>
  <si>
    <t>R.F. DE SISTEMA GENERAL DE SEGURIDAD SOCIAL EN SALUD - RECURSOS DE LA UPC RS (1.3.2.3.07)</t>
  </si>
  <si>
    <t>1.3.2.3.07</t>
  </si>
  <si>
    <t>R.F. DE SISTEMA GENERAL DE SEGURIDAD SOCIAL EN SALUD - SERVICIOS Y TECNOLOGIAS NO FINANCIADOS CON UPC (1.3.2.3.08)</t>
  </si>
  <si>
    <t>1.3.2.3.08</t>
  </si>
  <si>
    <t>R.F. DE SISTEMA GENERAL DE PENSIONES (1.3.2.3.09)</t>
  </si>
  <si>
    <t>1.3.2.3.09</t>
  </si>
  <si>
    <t>R.F. DE SISTEMA GENERAL DE RIESGOS LABORALES (1.3.2.3.10)</t>
  </si>
  <si>
    <t>1.3.2.3.10</t>
  </si>
  <si>
    <t>OTROS RENDIMIENTOS FINANCIEROS (1.3.2.3.11)</t>
  </si>
  <si>
    <t>1.3.2.3.11</t>
  </si>
  <si>
    <t>RECURSOS DEL BALANCE DE LIBRE DESTINACION (1.3.3.1.00)</t>
  </si>
  <si>
    <t>1.3.3.1.00</t>
  </si>
  <si>
    <t>R.B. SGP-AGUA POTABLE Y SANEAMIENTO BASICO (1.3.3.10.00)</t>
  </si>
  <si>
    <t>1.3.3.10.00</t>
  </si>
  <si>
    <t>R.B. DISPOSICION DE ACTIVOS (1.3.3.11.01)</t>
  </si>
  <si>
    <t>1.3.3.11.01</t>
  </si>
  <si>
    <t>R.B. EXCEDENTES FINANCIEROS (1.3.3.11.02)</t>
  </si>
  <si>
    <t>1.3.3.11.02</t>
  </si>
  <si>
    <t>R.B. DIVIDENDOS Y UTILIDADES POR OTRAS INVERSIONES DE CAPITAL (1.3.3.11.03)</t>
  </si>
  <si>
    <t>1.3.3.11.03</t>
  </si>
  <si>
    <t>R.B. RECURSOS DE CREDITO EXTERNO (1.3.3.11.04)</t>
  </si>
  <si>
    <t>1.3.3.11.04</t>
  </si>
  <si>
    <t>R.B. RECURSOS DE CREDITO INTERNO (1.3.3.11.05)</t>
  </si>
  <si>
    <t>1.3.3.11.05</t>
  </si>
  <si>
    <t>R.B. DONACIONES (1.3.3.11.06)</t>
  </si>
  <si>
    <t>1.3.3.11.06</t>
  </si>
  <si>
    <t>R.B. TRANSFERENCIAS DE CAPITAL DE OTRAS ENTIDADES DEL GOBIERNO GENERAL (1.3.3.11.07)</t>
  </si>
  <si>
    <t>1.3.3.11.07</t>
  </si>
  <si>
    <t>R.B. OTRAS TRANSFERENCIAS DE CAPITAL (1.3.3.11.08)</t>
  </si>
  <si>
    <t>1.3.3.11.08</t>
  </si>
  <si>
    <t>R.B. RECUPERACION DE CARTERA - PRESTAMOS (1.3.3.11.09)</t>
  </si>
  <si>
    <t>1.3.3.11.09</t>
  </si>
  <si>
    <t>R.B. RETIROS FONPET (1.3.3.11.10)</t>
  </si>
  <si>
    <t>1.3.3.11.10</t>
  </si>
  <si>
    <t>R.B. REINTEGROS Y OTROS RECURSOS NO APROPIADOS (1.3.3.11.11)</t>
  </si>
  <si>
    <t>1.3.3.11.11</t>
  </si>
  <si>
    <t>RECURSOS DEL BALANCE DE DESTINACION ESPECIFICA POR ACTO ADMINISTRATIVO (1.3.3.2.00)</t>
  </si>
  <si>
    <t>1.3.3.2.00</t>
  </si>
  <si>
    <t>R.B. SOBRETASA - PARTICIPACION AMBIENTAL - CORPORACIONES AUTONOMAS REGIONALES (1.3.3.3.01)</t>
  </si>
  <si>
    <t>1.3.3.3.01</t>
  </si>
  <si>
    <t>R.B. SOBRETASA AMBIENTAL AREAS METROPOLITANAS (1.3.3.3.02)</t>
  </si>
  <si>
    <t>1.3.3.3.02</t>
  </si>
  <si>
    <t>R.B. IMPUESTO SOBRE VEHICULOS AUTOMOTORES (1.3.3.3.03)</t>
  </si>
  <si>
    <t>1.3.3.3.03</t>
  </si>
  <si>
    <t>R.B. IMPUESTO A GANADORES DE SORTEOS ORDINARIOS Y EXTRAORDINARIOS (1.3.3.3.04)</t>
  </si>
  <si>
    <t>1.3.3.3.04</t>
  </si>
  <si>
    <t>R.B. SOBRETASA POR EL ALUMBRADO PUBLICO (1.3.3.3.05)</t>
  </si>
  <si>
    <t>1.3.3.3.05</t>
  </si>
  <si>
    <t>R.B. IMPUESTO DE REGISTRO (1.3.3.3.06)</t>
  </si>
  <si>
    <t>1.3.3.3.06</t>
  </si>
  <si>
    <t>R.B. IMPUESTO DE LOTERIAS FORANEAS (1.3.3.3.07)</t>
  </si>
  <si>
    <t>1.3.3.3.07</t>
  </si>
  <si>
    <t>R.B. IMPUESTO AL CONSUMO DE LICORES, VINOS, APERITIVOS Y SIMILARES (1.3.3.3.08)</t>
  </si>
  <si>
    <t>1.3.3.3.08</t>
  </si>
  <si>
    <t>R.B. IMPUESTO AL CONSUMO DE CERVEZAS, SIFONES, REFAJOS Y MEZCLAS (1.3.3.3.09)</t>
  </si>
  <si>
    <t>1.3.3.3.09</t>
  </si>
  <si>
    <t>R.B. IMPUESTO AL CONSUMO DE CIGARRILLOS Y TABACO (1.3.3.3.10)</t>
  </si>
  <si>
    <t>1.3.3.3.10</t>
  </si>
  <si>
    <t>R.B. SOBRETASA FONDO DEPARTAMENTAL DE BOMBEROS (1.3.3.3.11)</t>
  </si>
  <si>
    <t>1.3.3.3.11</t>
  </si>
  <si>
    <t>R.B. IMPUESTO DE ESPECTACULOS PUBLICOS NACIONAL CON DESTINO AL DEPORTE (1.3.3.3.12)</t>
  </si>
  <si>
    <t>1.3.3.3.12</t>
  </si>
  <si>
    <t>R.B. IMPUESTO SOBRE APUESTAS MUTUAS (1.3.3.3.13)</t>
  </si>
  <si>
    <t>1.3.3.3.13</t>
  </si>
  <si>
    <t>R.B. IMPUESTO DE ALUMBRADO PUBLICO (1.3.3.3.14)</t>
  </si>
  <si>
    <t>1.3.3.3.14</t>
  </si>
  <si>
    <t>R.B. SOBRETASA BOMBERIL (1.3.3.3.15)</t>
  </si>
  <si>
    <t>1.3.3.3.15</t>
  </si>
  <si>
    <t>R.B. SOBRETASA FONDO DE SEGURIDAD (1.3.3.3.16)</t>
  </si>
  <si>
    <t>1.3.3.3.16</t>
  </si>
  <si>
    <t>R.B. IMPUESTO DE TRANSPORTE POR OLEODUCTOS Y GASODUCTOS (1.3.3.3.17)</t>
  </si>
  <si>
    <t>1.3.3.3.17</t>
  </si>
  <si>
    <t>R.B. SOBRETASA DE SOLIDARIDAD SERVICIOS PUBLICOS ACUEDUCTO, ASEO Y ALCANTARILLADO (1.3.3.3.18)</t>
  </si>
  <si>
    <t>1.3.3.3.18</t>
  </si>
  <si>
    <t>R.B. TASA PRO DEPORTE (1.3.3.3.19)</t>
  </si>
  <si>
    <t>1.3.3.3.19</t>
  </si>
  <si>
    <t>R.B. ESTAMPILLAS (1.3.3.3.20)</t>
  </si>
  <si>
    <t>1.3.3.3.20</t>
  </si>
  <si>
    <t>R.B. CONTRIBUCION SOBRE CONTRATOS DE OBRA PUBLICA (1.3.3.4.01)</t>
  </si>
  <si>
    <t>1.3.3.4.01</t>
  </si>
  <si>
    <t>R.B.CONTRIBUCION DEL SECTOR ELECTRICO (1.3.3.4.02)</t>
  </si>
  <si>
    <t>1.3.3.4.02</t>
  </si>
  <si>
    <t>R.B. OTRAS CONTRIBUCIONES (1.3.3.4.03)</t>
  </si>
  <si>
    <t>1.3.3.4.03</t>
  </si>
  <si>
    <t>R.B. TASAS RETRIBUTIVAS (1.3.3.4.04)</t>
  </si>
  <si>
    <t>1.3.3.4.04</t>
  </si>
  <si>
    <t>R.B. TASAS COMPENSATORIAS (1.3.3.4.05)</t>
  </si>
  <si>
    <t>1.3.3.4.05</t>
  </si>
  <si>
    <t>R.B.EVALUACION DE LICENCIAS Y TRAMITES AMBIENTALES (1.3.3.4.06)</t>
  </si>
  <si>
    <t>1.3.3.4.06</t>
  </si>
  <si>
    <t>R.B.SEGUIMIENTO A LICENCIAS Y TRAMITES AMBIENTALES (1.3.3.4.07)</t>
  </si>
  <si>
    <t>1.3.3.4.07</t>
  </si>
  <si>
    <t>R.B.DERECHO DE INGRESO AREAS PROTEGIDAS (1.3.3.4.08)</t>
  </si>
  <si>
    <t>1.3.3.4.08</t>
  </si>
  <si>
    <t>R.B.TASA POR EL USO DEL AGUA (1.3.3.4.09)</t>
  </si>
  <si>
    <t>1.3.3.4.09</t>
  </si>
  <si>
    <t>R.B.TASA POR APROVECHAMIENTO FORESTAL (1.3.3.4.10)</t>
  </si>
  <si>
    <t>1.3.3.4.10</t>
  </si>
  <si>
    <t>R.B.TASA COMPENSATORIA POR CAZA DE FAUNA SILVESTRE (1.3.3.4.11)</t>
  </si>
  <si>
    <t>1.3.3.4.11</t>
  </si>
  <si>
    <t>R.B.SOBRETASA AMBIENTAL - PEAJES (1.3.3.4.12)</t>
  </si>
  <si>
    <t>1.3.3.4.12</t>
  </si>
  <si>
    <t>R.B.TASA COMPENSATORIA POR LA UTILIZACION PERMANENTE DE LA RESERVA FORESTAL PROTECTORA BOSQUE ORIENTAL DE BOGOTA (1.3.3.4.13)</t>
  </si>
  <si>
    <t>1.3.3.4.13</t>
  </si>
  <si>
    <t>R.B.SALVOCONDUCTO UNICO NACIONAL (1.3.3.4.14)</t>
  </si>
  <si>
    <t>1.3.3.4.14</t>
  </si>
  <si>
    <t>R.B.DERECHOS DE TRANSITO (1.3.3.4.15)</t>
  </si>
  <si>
    <t>1.3.3.4.15</t>
  </si>
  <si>
    <t>R.B. OTRAS TASAS Y DERECHOS ADMINISTRATIVOS (1.3.3.4.16)</t>
  </si>
  <si>
    <t>1.3.3.4.16</t>
  </si>
  <si>
    <t>R.B. MULTAS CODIGO NACIONAL DE POLICIA Y CONVIVENCIA (1.3.3.4.17)</t>
  </si>
  <si>
    <t>1.3.3.4.17</t>
  </si>
  <si>
    <t>R.B.MULTAS AMBIENTALES (1.3.3.4.18)</t>
  </si>
  <si>
    <t>1.3.3.4.18</t>
  </si>
  <si>
    <t>R.B. OTRAS MULTAS, SANCIONES E INTERESES DE MORA (1.3.3.4.19)</t>
  </si>
  <si>
    <t>1.3.3.4.19</t>
  </si>
  <si>
    <t>R.B. DERECHOS ECONOMICOS POR USO DE RECURSOS NATURALES (1.3.3.4.20)</t>
  </si>
  <si>
    <t>1.3.3.4.20</t>
  </si>
  <si>
    <t>R.B. VENTA DE BIENES Y SERVICIOS (1.3.3.4.21)</t>
  </si>
  <si>
    <t>1.3.3.4.21</t>
  </si>
  <si>
    <t>R.B. DERECHOS POR LA EXPLOTACION JUEGOS DE SUERTE Y AZAR (1.3.3.4.22)</t>
  </si>
  <si>
    <t>1.3.3.4.22</t>
  </si>
  <si>
    <t>R.B. PARTICIPACION Y DERECHOS DE EXPLOTACION DEL EJERCICIO DEL MONOPOLIO DE LICORES DESTILADOS Y ALCOHOLES POTABLES (1.3.3.4.23)</t>
  </si>
  <si>
    <t>1.3.3.4.23</t>
  </si>
  <si>
    <t>R.B. PARTICIPACIONES DISTINTAS DEL SGP (1.3.3.5.01)</t>
  </si>
  <si>
    <t>1.3.3.5.01</t>
  </si>
  <si>
    <t>R.B. COMPENSACIONES DE INGRESOS TRIBUTARIOS Y NO TRIBUTARIOS (1.3.3.5.02)</t>
  </si>
  <si>
    <t>1.3.3.5.02</t>
  </si>
  <si>
    <t>R.B. APORTES NACION - ALIMENTACION ESCOLAR (1.3.3.5.03)</t>
  </si>
  <si>
    <t>1.3.3.5.03</t>
  </si>
  <si>
    <t>R.B. OTRAS TRANSFERENCIAS CORRIENTES DE OTRAS ENTIDADES DEL GOBIERNO GENERAL (1.3.3.5.04)</t>
  </si>
  <si>
    <t>1.3.3.5.04</t>
  </si>
  <si>
    <t>R.B. SUBVENCIONES (1.3.3.5.05)</t>
  </si>
  <si>
    <t>1.3.3.5.05</t>
  </si>
  <si>
    <t>R.B. DIFERENTES DE SUBVENCIONES (1.3.3.5.06)</t>
  </si>
  <si>
    <t>1.3.3.5.06</t>
  </si>
  <si>
    <t>R.B. RECURSOS DEL SISTEMA DE SEGURIDAD SOCIAL INTEGRAL - SALUD (1.3.3.5.07)</t>
  </si>
  <si>
    <t>1.3.3.5.07</t>
  </si>
  <si>
    <t>R.B. RECURSOS DEL SISTEMA DE SEGURIDAD SOCIAL INTEGRAL - PENSIONES (1.3.3.5.08)</t>
  </si>
  <si>
    <t>1.3.3.5.08</t>
  </si>
  <si>
    <t>R.B. RECURSOS DEL SISTEMA DE SEGURIDAD SOCIAL INTEGRAL - RIESGOS LABORALES (1.3.3.5.09)</t>
  </si>
  <si>
    <t>1.3.3.5.09</t>
  </si>
  <si>
    <t>R.B. SENTENCIAS Y CONCILIACIONES (1.3.3.5.10)</t>
  </si>
  <si>
    <t>1.3.3.5.10</t>
  </si>
  <si>
    <t>R.B. INDEMNIZACIONES RELACIONADAS CON SEGUROS NO DE VIDA (1.3.3.5.11)</t>
  </si>
  <si>
    <t>1.3.3.5.11</t>
  </si>
  <si>
    <t>R.B. SGP-EDUCACION-PRESTACIÓN DE SERVICIO EDUCATIVO (1.3.3.6.01)</t>
  </si>
  <si>
    <t>1.3.3.6.01</t>
  </si>
  <si>
    <t>R.B. SGP-EDUCACION-CANCELACION DE PRESTACIONES SOCIALES DEL MAGISTERIO (1.3.3.6.02)</t>
  </si>
  <si>
    <t>1.3.3.6.02</t>
  </si>
  <si>
    <t>R.B. SGP-EDUCACION-CALIDAD  POR MATRICULA OFICIAL (1.3.3.6.03)</t>
  </si>
  <si>
    <t>1.3.3.6.03</t>
  </si>
  <si>
    <t>R.B. SGP-EDUCACION-CALIDAD  POR GRATUIDAD (1.3.3.6.04)</t>
  </si>
  <si>
    <t>1.3.3.6.04</t>
  </si>
  <si>
    <t>R.B. SGP-SALUD-REGIMEN SUBSIDIADO (1.3.3.7.01)</t>
  </si>
  <si>
    <t>R.B. SGP-SALUD-SALUD PUBLICA (1.3.3.7.02)</t>
  </si>
  <si>
    <t>1.3.3.7.02</t>
  </si>
  <si>
    <t>R.B. SGP-SALUD-PRESTACION DEL SERVICIO DE SALUD (1.3.3.7.03)</t>
  </si>
  <si>
    <t>1.3.3.7.03</t>
  </si>
  <si>
    <t>R.B. SGP-SALUD-SUBSIDIO A LA OFERTA (1.3.3.7.04)</t>
  </si>
  <si>
    <t>1.3.3.7.04</t>
  </si>
  <si>
    <t>R.B. SGP-PROPOSITO GENERAL-DEPORTE Y RECREACION (1.3.3.8.01)</t>
  </si>
  <si>
    <t>1.3.3.8.01</t>
  </si>
  <si>
    <t>R.B. SGP-PROPOSITO GENERAL-CULTURA (1.3.3.8.02)</t>
  </si>
  <si>
    <t>1.3.3.8.02</t>
  </si>
  <si>
    <t>R.B. SGP-PROPOSITO GENERAL-PROPOSITO GENERAL LIBRE INVERSION (1.3.3.8.03)</t>
  </si>
  <si>
    <t>1.3.3.8.03</t>
  </si>
  <si>
    <t>R.B. SGP-PROPOSITO GENERAL-LIBRE DESTINACION MUNICIPIOS CATEGORIAS 4, 5 Y 6 (1.3.3.8.04)</t>
  </si>
  <si>
    <t>1.3.3.8.04</t>
  </si>
  <si>
    <t>R.B. SGP-ASIGNACION ESPECIAL-PROGRAMAS DE ALIMENTACION ESCOLAR (1.3.3.9.01)</t>
  </si>
  <si>
    <t>1.3.3.9.01</t>
  </si>
  <si>
    <t>R.B. SGP-ASIGNACION ESPECIAL-MUNICIPIOS DE LA RIBERA DEL RIO MAGDALENA (1.3.3.9.02)</t>
  </si>
  <si>
    <t>1.3.3.9.02</t>
  </si>
  <si>
    <t>R.B. SGP-ASIGNACION-ATENCION INTEGRAL DE LA PRIMERA INFANCIA (1.3.3.9.03)</t>
  </si>
  <si>
    <t>1.3.3.9.03</t>
  </si>
  <si>
    <t>Población sujeto</t>
  </si>
  <si>
    <t>Infancia</t>
  </si>
  <si>
    <t>Juventud</t>
  </si>
  <si>
    <t>Adultez</t>
  </si>
  <si>
    <t>Victimas del conflicto armado</t>
  </si>
  <si>
    <t>Población habitante de calle</t>
  </si>
  <si>
    <t>Población migrante</t>
  </si>
  <si>
    <t>Población campesina</t>
  </si>
  <si>
    <t>Mujeres</t>
  </si>
  <si>
    <t>Población LGBTIQ+</t>
  </si>
  <si>
    <t>Indígenas</t>
  </si>
  <si>
    <t>Negros, afrocolombianos, raizales y palenqueros-NARP</t>
  </si>
  <si>
    <t>Pueblo Rrom- gitano</t>
  </si>
  <si>
    <t>Metas (Campo 20)</t>
  </si>
  <si>
    <t>MR= Meta Resultados</t>
  </si>
  <si>
    <t>6-A 2031, se logra reducir la tasa de incidencia de la sífilis congénita (incluidos los mortinatos) a 0,5 casos o menos por cada 1.000 nacidos vivos</t>
  </si>
  <si>
    <t>7-A 2031, se logra mantener el porcentaje de transmisión materno infantil del VIH al 2% o menos, en niños y niñas menores de 2 años</t>
  </si>
  <si>
    <t>8-A 2031, reducir en 50% la tasa de mortalidad por IRA en menores de 5 años</t>
  </si>
  <si>
    <t>13-A 2031, contar con 600 Entidades públicas y empresas que según la Ley 1823 de 2007, adaptan espacios para la implementación de las salas de lactancia materna en el entorno laboral.</t>
  </si>
  <si>
    <t>21-A 2031, Colombia reducirá a menos del 14 % el porcentaje de embarazos subsiguientes en adolescentes de 15 a 19 años.</t>
  </si>
  <si>
    <t>22-A 2031, la prevalencia del uso actual de métodos anticonceptivos de larga duración reversibles en mujeres de 13 a 49 años será superior al 25 %.</t>
  </si>
  <si>
    <t>24-A 2031, el 55% de hombres entre 50 y 75 años son tamizados para cáncer de próstata</t>
  </si>
  <si>
    <t>25-A 2031, el 40% de personas entre 50 y 75 años son tamizadas para cáncer de colon y recto con sangre oculta en heces por inmunoquímica</t>
  </si>
  <si>
    <t>26-A 2031 incrementar a 60% la proporción de casos de cáncer de mama detectados en estadios tempranos I a IIA</t>
  </si>
  <si>
    <t>27-A 2031, el 70% de las mujeres de 30 a 65 años son tamizadas para cáncer de cuello uterino con pruebas de ADN-VPH</t>
  </si>
  <si>
    <t>28-A 2031, el 70% de las mujeres de 50 a 69 años son tamizadas para cáncer de mama con mamografía bienal.</t>
  </si>
  <si>
    <t>29-A 2031, incrementar por encima del 35% la proporción de casos de cáncer de colon y recto diagnosticados en estadios tempranos</t>
  </si>
  <si>
    <t>30-A 2031, aumentar al 80% las personas diabetes controladas</t>
  </si>
  <si>
    <t>31-A 2031, aumentar en un 70% el porcentaje de captación de personas con hipertensión arterial.</t>
  </si>
  <si>
    <t>32-A 2031 garantizar la supervivencia global en niños, niñas y adolescentes con leucemias por encima del 70%.</t>
  </si>
  <si>
    <t>33-A 2031 garantizar la supervivencia global en niños, niñas y adolescentes con linfoma por encima del 85%.</t>
  </si>
  <si>
    <t>34-A 2031 garantizar la supervivencia global en niños, niñas y adolescentes con cáncer infantil del sistema nervioso central por encima de 60%.</t>
  </si>
  <si>
    <t>35-A 2031, se garantiza que entre la sospecha médica y la confirmación diagnóstica de cáncer de colon y recto transcurran en promedio 30 días o menos</t>
  </si>
  <si>
    <t>36-A 2031, garantizar la oportunidad de acceso al tratamiento en 5 días en los menores de 18 años con diagnóstico de LAP.</t>
  </si>
  <si>
    <t>37-A 2031 incrementar a 69% la proporción de casos de cáncer de próstata diagnosticados en estadios tempranos</t>
  </si>
  <si>
    <t>38-A 2031, se garantiza que entre la confirmación diagnóstica y el inicio de tratamiento de cáncer de colon y recto transcurran en promedio 30 días o menos</t>
  </si>
  <si>
    <t>39-A 2031, reducir la tasa ajustada de mortalidad por cáncer de colon y recto a 5 por 100.000 habitantes</t>
  </si>
  <si>
    <t>41-A 2031, se garantiza que entre la confirmación diagnóstica y el inicio de tratamiento de cáncer de cuello uterino transcurran en promedio 30 días o menos</t>
  </si>
  <si>
    <t>42-A 2031, reducir la tasa ajustada de mortalidad por cáncer de cuello uterino a 5,5 por 100.000</t>
  </si>
  <si>
    <t>43-A 2031, se garantiza que entre la confirmación diagnóstica y el inicio de tratamiento de cáncer de mama transcurran en promedio 30 días o menos</t>
  </si>
  <si>
    <t>44-A 2031, mantener la tasa ajustada de mortalidad por cáncer de mama en 14 por 100.000</t>
  </si>
  <si>
    <t>45-A 2031, se garantiza que entre la sospecha médica y la confirmación diagnóstica de cáncer de próstata transcurran en promedio 30 días o menos</t>
  </si>
  <si>
    <t>46-A 2031, se garantiza que entre la confirmación diagnóstica y el inicio de tratamiento de cáncer de próstata transcurran en promedio 30 días o menos</t>
  </si>
  <si>
    <t>47-A 2031, reducir a 10,9 casos por 100.000 habitantes la mortalidad de cáncer de próstata</t>
  </si>
  <si>
    <t>48-A 2031, mantener la tasa ajustada de mortalidad por melanoma en 0,7 por 100.000 habitantes</t>
  </si>
  <si>
    <t>49-A 2031, reducir la tasa ajustada de mortalidad por cáncer de pulmón a 7 por 100.000 habitantes</t>
  </si>
  <si>
    <t>51-A 2031, reducir la mortalidad ajustada por cáncer de estómago a 8 por 100.000 habitantes</t>
  </si>
  <si>
    <t>52-A 2031, garantizar al 50% que las personas con cáncer accedan a consulta inicial de cuidado paliativo</t>
  </si>
  <si>
    <t>53-A 2031 garantizar la supervivencia global en niños, niñas y adolescentes con leucemias por encima del 70%.</t>
  </si>
  <si>
    <t>55-A 2031, reducir la prevalencia de consumo de tabaco en población general de 12 a 65 años por debajo de 6%</t>
  </si>
  <si>
    <t>56-A 2031, triplicar los impuestos específicos indexados al IPC para productos de tabaco y sus derivados.</t>
  </si>
  <si>
    <t>57-A 2031, Colombia aumentará la edad de inicio de consumo de sustancias ilícitas a más de 14 años en población en edad escolar.</t>
  </si>
  <si>
    <t>58-A 2031, Colombia aumentará la edad inicio de consumo de alcohol a más de 14 años en población en edad escolar.</t>
  </si>
  <si>
    <t>59-A 2031, Colombia reducirá en 10% la prevalencia de último año el consumo de marihuana en población escolar</t>
  </si>
  <si>
    <t>60-A 2031, Colombia disminuirá en 10% la prevalencia año del consumo de alcohol en población escolar.</t>
  </si>
  <si>
    <t>63-A 2031 el 30% de los niños y niñas entre 3 y 5 años cumplen las recomendaciones de actividad física a través del juego activo</t>
  </si>
  <si>
    <t>64-A 2031, incrementar el 10% de los niños y niñas entre 6 y 12 años cumplan las recomendaciones de actividad física</t>
  </si>
  <si>
    <t>65-A 2031, el 17.3% de los adolescentes cumplen las recomendaciones de actividad física</t>
  </si>
  <si>
    <t>66-A 2031, el 25% de la población entre 18 y 64 años cumple las recomendaciones de actividad física en tiempo libre</t>
  </si>
  <si>
    <t>70-A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</si>
  <si>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71-A 2031, en el 100 % de las entidades territoriales departamentales y distritales implementarán el Plan Nacional de Gestión Enfermedades Huérfanas/Raras</t>
  </si>
  <si>
    <t>72-A 2031, el 15% de municipios logran condiciones de eliminación de enfermedad de Chagas congénito acorde a los lineamientos emitidos por la OPS</t>
  </si>
  <si>
    <t>73-A 2031 se alcanzarán coberturas de desparasitación masiva para el complejo teniasis/cisticercosis en la población en riesgo de cada foco priorizado, de al menos el 80% en cada ronda anual de tratamiento.</t>
  </si>
  <si>
    <t>76-A 2031, 130 municipios han logrado la certificación internacional de la interrupción de la transmisión de T. cruzi por vectores domiciliados acorde a los lineamientos emitidos por la OPS.</t>
  </si>
  <si>
    <t>78-A 2031, el 100% de las IPS de mediana y alta complejidad, implementan las estrategias de prevención y control de las IAAS y RAM, en todos sus componentes.</t>
  </si>
  <si>
    <t>80-A 2031, el 20% de los municipios de los focos de leishmaniasis visceral logran condiciones de eliminación como problema de salud pública acorde a los lineamientos emitidos por la OPS.</t>
  </si>
  <si>
    <t>81-A 2031, se reduce el 15% los casos de Leishmaniasis cutánea acumulados (2022-2031) en menores de 10 años de edad.</t>
  </si>
  <si>
    <t>83-A 2031, se logra disminuir en un 50%, la tasa de incidencia de lepra o enfermedad de Hansen</t>
  </si>
  <si>
    <t>86-A 2031, 30% de Departamentos desarrollan acciones de control relacionadas con la rabia humana asociada a los linajes del ciclo silvestre</t>
  </si>
  <si>
    <t>87-A 2031, 25% de municipios endémicos para malaria pasan de categoría de riesgo 5 a 4</t>
  </si>
  <si>
    <t>89-A 2031, el 100% de los departamentos endémicos realizan la caracterización epidemiológica y serológica del pian y se realizan intervenciones.</t>
  </si>
  <si>
    <t>91-A 2031, el 100% de las entidades territoriales departamentales, endémicas para tracoma, logran cada año coberturas de administración masiva de azitromicina iguales o superiores al 80% según lineamiento nacional</t>
  </si>
  <si>
    <t>92-A 2031, se reducirá el 20% la prevalencia anual acumulada de personas con Triquiasis Tracomatosa (TT)</t>
  </si>
  <si>
    <t>96-A 2031, disminuir la tasa de homicidios a 16,4 por 100.000 habitantes.</t>
  </si>
  <si>
    <t>EJE PDSP 2022-2031</t>
  </si>
  <si>
    <t>PILARES DEL MODELOS DE SALUD PREVENTIVO, PREDICTIVO Y RESOLUTIVO</t>
  </si>
  <si>
    <t>OBJETIVO POR EJE ESTRATÉGICO</t>
  </si>
  <si>
    <t>RESULTADOS ESPERADOS POR EJE PDSP  2022-2031</t>
  </si>
  <si>
    <t>Gobernabilidad y gobernanza de la Salud Pública</t>
  </si>
  <si>
    <t>i) Gobernabilidad, Gobernanza y Territorialización</t>
  </si>
  <si>
    <t>Desarrollar capacidades y liderazgo para la cogestión, coadministración y
cogobierno en un diálogo armónico con las formas organizativas de los pueblos
y comunidades, organizaciones ciudadanas, sociales y comunitarias, a través del
liderazgo y la generación de alianzas, acciones conjuntas, articuladas e
integradas para el logro de resultados en salud, según la naturaleza de los problemas y las circunstancias sociales del territorio.</t>
  </si>
  <si>
    <t xml:space="preserve">Entidades Territoriales Departamentales, Distritales y Municipales con mecanismos fortalecidos para el ejercicio de la Rectoría en Salud. </t>
  </si>
  <si>
    <t>Pueblos y comunidades étnicas y campesina, mujeres, sectores LGBTIQ+ y otras poblaciones por condicion y/o situación.</t>
  </si>
  <si>
    <t xml:space="preserve">Políticas, planes, programas y estrategias en salud con transversalización de los
enfoques de pueblos y comunidades, género y diferencial e integración de los
sistemas de conocimiento  propio y saberes de los pueblos y comunidades étnicas y
campesinas. 
</t>
  </si>
  <si>
    <t xml:space="preserve">Gobiernos departamentales, distritales y municipales que lideran el desarrollo de
estrategias para el reconocimiento de contextos de inequidad social, étnica y de
género y la generación de respuestas I ntersectoriales v - transectori ales. </t>
  </si>
  <si>
    <t>Espacios e instancias intersectoriales que incluyen en sus planes de acción la
transversal izaci ón de los .enfoques de pueblos y comunidades, género y
diferencial e integran los sistemas de conocimiento propio de los pueblos y
comunidades étnicas  y campesinas.</t>
  </si>
  <si>
    <t xml:space="preserve">Prácticas, saberes y conocimientos para la salud pública reconocidos y
fortalecidos para Pueblos y comunidades étnicas, mujeres, población campesina, LBGTIQ+
y otras poblaciones por condición y/o situación. </t>
  </si>
  <si>
    <t>Determinantes sociales de la salud</t>
  </si>
  <si>
    <t>Transformar las circunstancias injustas relacionadas con peores resultados de salud de la población, mediante la definición de acciones de carácter inter y transectorial en los planes de desarrollo territorial, con el fin de avanzar en la reducción de brechas sociosanitarias.</t>
  </si>
  <si>
    <t xml:space="preserve">Entorno económico favorable para la salud  </t>
  </si>
  <si>
    <t>Desarrollar acciones sectoriales e intersectoriales dirigidas a promover la salud, prevenir la enfermedad y recuperar la salud de la población, en escenarios como ciudades, espacios periurbanos, rurales, territorios indígenas y otros entornos donde las personas y colectivos desarrollan la vida cotidiana, aportando a la garantía del derecho fundamental a la salud.</t>
  </si>
  <si>
    <t xml:space="preserve">Entidades Territoriales Departamentales, Distritales y Municipales que conforman territorios de salud de acuerdo con las particularidades geográficas, socioculturales, político administrativas y ambientales donde se produce el proceso de salud. </t>
  </si>
  <si>
    <t xml:space="preserve">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t>
  </si>
  <si>
    <t xml:space="preserve">Agentes del sistema de salud que garantizan el acceso de la población con criterios de
longitudinalidad, continuidad, puerta de entrada, enfoques familiar y comunitario con
acciones, universales,sistemáticas, permanentes y participativas bajo un enfoque
familiar y comunitario fundamentado en la Atención Primaria en Salud - APS. </t>
  </si>
  <si>
    <t>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t>
  </si>
  <si>
    <t xml:space="preserve">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 </t>
  </si>
  <si>
    <t>iv) Soberanía sanitaria y gestión del conocimiento</t>
  </si>
  <si>
    <t>Reducir los impactos de las emergencias, desastres y el cambio climático en la salud humana y ambiental, a través de la gestión integral del riesgo (como un proceso que propende por la seguridad sanitaria, el bienestar y la calidad de vida de las personas), por medio de la formulación, ejecución, seguimiento y evaluación de políticas, planes, programas y proyectos; y fortaleciendo la detección, atención y los mecanismos de disponibilidad y acceso de las tecnologías, y servicios en salud necesarias para dar respuesta efectiva   a un nuevo evento pandémico.</t>
  </si>
  <si>
    <t xml:space="preserve"> Políticas en salud pública para contribuir a la mitigación y adaptación al cambio climático.</t>
  </si>
  <si>
    <t xml:space="preserve">Nivel Nacional y entes territoriales preparados y fortalecidos para la gestión del conocimiento, prevención, y atención sectorial e intersectorial de emergencias, desastres y pandemias. </t>
  </si>
  <si>
    <t xml:space="preserve">Conocimiento producido y difundido y capacidades fortalecidas para prevenir y atender el impacto del cambio climático en la salud pública, </t>
  </si>
  <si>
    <t>Conocimiento en Salud Pública y soberanía sanitaria</t>
  </si>
  <si>
    <t>iv) Soberanía sanitaria y gestión del conocimiento.</t>
  </si>
  <si>
    <t>Establecer la soberanía sanitaria y la construcción colectiva de conocimiento en salud como una prioridad en la agenda pública que permita avanzar en la investigación, desarrollo, innovación y producción local de Tecnologías estratégicas en salud y el fortalecimiento de las capacidades en salud a nivel nacional y territorial.</t>
  </si>
  <si>
    <t>Decisiones en salud públicabasadas en información, investigación y el máximo desarrollo del conocimiento científico lo que incluye reconocer la cosmovisión y los saberes propios los pueblos y comunidades,</t>
  </si>
  <si>
    <t>Soberanía sanitaria fortalecida con tecnologías  estratégicas en salud-TES.</t>
  </si>
  <si>
    <t>v) Calidad y Sistema Integrado de Información de la Atención Primaria en Salud SI-APS.</t>
  </si>
  <si>
    <t xml:space="preserve">Capacidades fortalecidas para la gestión del conocimiento en salud pública </t>
  </si>
  <si>
    <t>Crear y desarrollar mecanismos para mejorar la distribución, disponibilidad, formación, educación continua, así como, las condiciones de empleo y trabajo digno y decente del personal de salud.</t>
  </si>
  <si>
    <t xml:space="preserve">Capacidades consolidadas para la gestión territorial de la salud pública </t>
  </si>
  <si>
    <t xml:space="preserve">Sabedores ancestrales y personal de salud propio, reconocidos y articulados a los procesos de la gestión de la salud pública en los territorios, </t>
  </si>
  <si>
    <t>Talento humano en Salud  Publica disponible y sostenible con garantía de trabajo digno y decente</t>
  </si>
  <si>
    <t>Gestion territorial integral para la salud pública</t>
  </si>
  <si>
    <r>
      <rPr>
        <sz val="11"/>
        <color theme="1"/>
        <rFont val="Calibri"/>
        <family val="2"/>
      </rPr>
      <t>PIC(</t>
    </r>
    <r>
      <rPr>
        <b/>
        <sz val="11"/>
        <color theme="1"/>
        <rFont val="Calibri"/>
        <family val="2"/>
      </rPr>
      <t>Anexo técnico</t>
    </r>
    <r>
      <rPr>
        <sz val="11"/>
        <color theme="1"/>
        <rFont val="Calibri"/>
        <family val="2"/>
      </rPr>
      <t>)</t>
    </r>
  </si>
  <si>
    <t>Información para el campo Concepto de Gasto</t>
  </si>
  <si>
    <t>Componente Fondo de Salud</t>
  </si>
  <si>
    <t>Programa</t>
  </si>
  <si>
    <t>Componente</t>
  </si>
  <si>
    <t>Régimen Subsidiado</t>
  </si>
  <si>
    <t>01</t>
  </si>
  <si>
    <t>02</t>
  </si>
  <si>
    <t>Prestación de Servicios</t>
  </si>
  <si>
    <t>03</t>
  </si>
  <si>
    <t>04</t>
  </si>
  <si>
    <t>Otros Gastos en Salud</t>
  </si>
  <si>
    <t>05</t>
  </si>
  <si>
    <r>
      <rPr>
        <sz val="11"/>
        <color theme="1"/>
        <rFont val="Calibri"/>
        <family val="2"/>
      </rPr>
      <t>PIC(</t>
    </r>
    <r>
      <rPr>
        <b/>
        <sz val="11"/>
        <color theme="1"/>
        <rFont val="Calibri"/>
        <family val="2"/>
      </rPr>
      <t>Anexo técnico</t>
    </r>
    <r>
      <rPr>
        <sz val="11"/>
        <color theme="1"/>
        <rFont val="Calibri"/>
        <family val="2"/>
      </rPr>
      <t>)</t>
    </r>
  </si>
  <si>
    <t>Consecutivo</t>
  </si>
  <si>
    <t>Subcuenta</t>
  </si>
  <si>
    <t>Línea</t>
  </si>
  <si>
    <t>Concepto</t>
  </si>
  <si>
    <t>Concepto 2</t>
  </si>
  <si>
    <t>Definición</t>
  </si>
  <si>
    <t>Sustento Legal</t>
  </si>
  <si>
    <t>17</t>
  </si>
  <si>
    <t>19.01.17</t>
  </si>
  <si>
    <t>RS</t>
  </si>
  <si>
    <t>E4 Atención Primaria Salud</t>
  </si>
  <si>
    <t>L3 Cuidado de la Salud</t>
  </si>
  <si>
    <t>Transferencias Afiliación</t>
  </si>
  <si>
    <t>Corresponde a los recursos ejecutados para financiar y cofinanciar la UPC de los afiliados al Régimen Subsidiado y girados a la ADRES, de acuerdo con lo establecido en el Decreto 780 de 2016 adicionado por el Decreto 2265 de 2017 y sus modificatorias. Atendiendo los lineamientos para la administración de los recursos  en el Fondo Local de Salud de acuerdo con lo establecido en los artículos 11 y 14 de la Resolución 3042 de 2007 y sus modificatorias.
Corresponde a los recursos ejecutados para financiar y cofinanciar la UPC de los afiliados al Régimen Subsidiado y girados directamente a la red, cuando no se cumpla con el giro a la ADRES o la entidad que la sustituya, en los términos definidos en el Decreto 780 de 2016 adicionado por el Decreto 2265 de 2017 y sus modificatorias.
Corresponde a los recursos ejecutados para financiar y cofinanciar la UPC de los afiliados al régimen subsidiado y girados a sus municipios, cuando no se cumpla con el giro a la adres o la entidad que la sustituya. Aplica cuando el departamento no tiene implementando el modelo de giro directo.</t>
  </si>
  <si>
    <t>Ley 1438 de 2011
Decreto 971 de 2011
Decreto 780 de 2016
Decreto 2265 de 2017
Decreto 1355 de 2018
Decreto 2497 de 2018
Decreto 1437 de 2021</t>
  </si>
  <si>
    <t>18</t>
  </si>
  <si>
    <t>19.01.18</t>
  </si>
  <si>
    <t>E1 Gobernabilidad y Gobernanza</t>
  </si>
  <si>
    <t>L1 Desarrollo Institucional y Sectorial</t>
  </si>
  <si>
    <t>Interventoría</t>
  </si>
  <si>
    <t>RS - E1 Gobernabilidad y Gobernanza - L1 Desarrollo Institucional y Sectorial - Interventoría</t>
  </si>
  <si>
    <t>Equivale al 0.4% de los recursos del régimen subsidiado que los municipios y distritos deben destinar a los servicios de interventoría conforme a la Liquidación Mensual de Afiliados validada a través de la Base de Datos Única de Afiliados - BDUA.</t>
  </si>
  <si>
    <t>Artículo 119 de la Ley 1438 de 2011.</t>
  </si>
  <si>
    <t>19</t>
  </si>
  <si>
    <t>19.01.19</t>
  </si>
  <si>
    <t>Supersalud</t>
  </si>
  <si>
    <t>RS - E1 Gobernabilidad y Gobernanza - L1 Desarrollo Institucional y Sectorial - Supersalud</t>
  </si>
  <si>
    <t>0.4% de los recursos del monto total destinados al régimen subsidiado en cada entidad territorial con destino a la inspección, vigilancia y control que realiza la Superintendencia Nacional de Salud (SNS) en nombre de las entidades territoriales. Los recursos son girados directamente por la ADRES a la SNS.</t>
  </si>
  <si>
    <t>Artículo 119 de la Ley 1438 de 2011.
Decreto 780 de 2011.
Decreto 2265 de 2017.</t>
  </si>
  <si>
    <t>20</t>
  </si>
  <si>
    <t>19.01.20</t>
  </si>
  <si>
    <t>Liquidación Contratos</t>
  </si>
  <si>
    <t>RS - E1 Gobernabilidad y Gobernanza - L1 Desarrollo Institucional y Sectorial - Liquidación Contratos</t>
  </si>
  <si>
    <t>Transferencia directa realizada por los municipios a los departamentos por efectos de los saldos de liquidación de los contratos celebrados del régimen subsidiado en cumplimiento del artículo 39 de la Ley 1393 de 2010</t>
  </si>
  <si>
    <t>Artículo 39 de la Ley 1393 de 2010</t>
  </si>
  <si>
    <t>21</t>
  </si>
  <si>
    <t>19.01.21</t>
  </si>
  <si>
    <t>Prueba piloto UPC S</t>
  </si>
  <si>
    <t>RS - E4 Atención Primaria Salud - L3 Cuidado de la Salud - Prueba piloto UPC S</t>
  </si>
  <si>
    <t>Prueba piloto en municipios y distritos categorías 1 y 2  para ajuste upc régimen subsidiado financiada con excedentes cuenta maestra régimen subsidiado según lo establecido en el numeral 2 del articulo 2 de la Ley 1608 de 2013.</t>
  </si>
  <si>
    <t>Numeral 2 del artículo 2 de la Ley 1608 de 2013.</t>
  </si>
  <si>
    <t>84</t>
  </si>
  <si>
    <t>19.02.84</t>
  </si>
  <si>
    <t>SPC</t>
  </si>
  <si>
    <t>Planeación Integral en Salud</t>
  </si>
  <si>
    <t xml:space="preserve">Este concepto de gasto incluye la Planeación Integral en Salud entendida como proceso estratégico y operativo para la garantía del derecho fundamental a la salud en los territorios, que permite a las entidades territoriales del orden departamental, distrital y municipal definir las acciones de formulación, implementación, monitoreo, evaluación y rendición de cuentas del Plan Territorial de Salud bajo los principios y elementos establecidos en la Ley 1751 de 2015 estatutaria de salud y demás normas concordantes.
Este proceso integra: i). La formulación y aprobación del Plan Territorial de Salud, ii). La formulación y aprobación del Componente Operativo y de Inversiones en Salud del Plan Territorial de Salud, iii) La formulación y aprobación del Plan de Acción en Salud, iv). La implementación del Plan Territorial de Salud, v) El Monitoreo y evaluación del Plan Territorial de Salud y vi) La rendición de cuentas. Todo lo anterior en el marco de los ejes estratégicos del Plan Decenal de Salud Pública 2022-2031, en armonía con el modelo de salud preventivo y predictivo y con participación de los actores del sistema de salud, los otros sectores y los actores sociales y comunitarios. 
</t>
  </si>
  <si>
    <t>Ley 2294 de 2023 - Plan Nacional de Desarrollo.
Resolución 2367 de 2023.
Resolución 100 de 2024.
Resolución 518 de 2015.
Resolución 3280 de 2018.</t>
  </si>
  <si>
    <t>85</t>
  </si>
  <si>
    <t>19.02.85</t>
  </si>
  <si>
    <t>Desarrollo de  capacidades para la Gobernanza en Salud Pública</t>
  </si>
  <si>
    <t>SPC - E1 Gobernabilidad y Gobernanza - L1 Desarrollo Institucional y Sectorial - Desarrollo de  capacidades para la Gobernanza en Salud Pública</t>
  </si>
  <si>
    <t xml:space="preserve">Este concepto de gasto incluye: 
Desarrollo de  capacidades en las instituciones del Sistema General de Seguridad Social en Salud que contribuyan a la gestión técnica, administrativa y financiera de las políticas en salud que incorporan: 
a. Gestión para la atención integral en salud materno-perinatal y para la promoción y el mantenimiento de la salud. 
b. Derecho Humano a la Alimentación, Nutrición e inocuidad en el marco de los determinantes sociales en salud.   
c. Lactancia materna y alimentación complementaria. 
d. Cuidado integral de la salud mental. 
e. Prevención y tratamiento integral de los problemas, trastornos mentales y neurocognitivos.
f. Prevención de violencias.
g. Prevención de violencia por razones de género y violencias sexuales.
h. Abordaje integral del consumo de sustancias psicoactivas. 
i. Salud Ambiental. 
j. Acciones de inspección, vigilancia y control sanitarios. 
k. Rehabilitación e inclusión social de las personas con problemas, trastornos mentales y neurocognitivos.
l. Sexualidad, derechos sexuales y derechos reproductivos. 
m. Promoción de modos, condiciones y estilos de vida saludable (Prevención  del consumo de tabaco,  sus derivados y sucedáneos, Promoción de la Actividad Física), 
n. Salud en el entorno laboral. 
o. Riesgo en salud por variabilidad y cambio climático. 
p. Fortalecimiento del Consejo Nacional de Salud Mental y sus mesas técnicas.
q.  Actualización de la Política Nacional de Salud Mental.
r. Abordaje integral de las enfermedades crónicas no transmisibles, alteraciones de la salud bucal, visual, auditiva y enfermedades huérfanas.
s. Seguimiento nominal papa la desnutrición aguda, moderada y severa en menores de 5 años. 
t. Seguimiento de la gestión territorial en salud ambiental (SGETSA).
u. Implementación y desarrollo del modelo Inspección, Vigilancia y Control en alimentos y bebidas incluyendo al sector de la económica popular.  
v. Adopción e implementación del modelo Inspección, Vigilancia y Control sanitario y aseguramiento de cadenas productivas. 
w. Seguimiento a la atención integral en salud. 
x. estrategia Ciudades, Entornos y Ruralidades Saludables y Sostenibles CERSS.
y. Otros temas de interés en Salud Pública. </t>
  </si>
  <si>
    <t>Ley 715 de 2001.
Ley 1335 de 2009.
Ley 1414 de 2010.
Ley 1616 de 2013.
Ley 2120 de 2021.
Ley 2294 de 2023 - Plan Nacional de Desarrollo.
Resolución 518 de 2015.
Resolución 1229 de 2013.
Resolución 3280 de 2018.
Resolución 3496 de 2019.
Resolución 2367 de 2023.
Resolución 100 de 2024.
Plan Decenal de Lactancia Materna.
Resolución 367 de 2023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t>
  </si>
  <si>
    <t>86</t>
  </si>
  <si>
    <t>19.02.86</t>
  </si>
  <si>
    <t>Transferencias ETV</t>
  </si>
  <si>
    <t>SPC - E1 Gobernabilidad y Gobernanza - L1 Desarrollo Institucional y Sectorial - Transferencias ETV</t>
  </si>
  <si>
    <t>Este concepto de gasto incluye los aportes o asignaciones de recursos transferidos a las DTS por la nación para inversión o funcionamiento en el sector salud, con destinación específica al Programa de Enfermedades Transmitidas por Vectores.</t>
  </si>
  <si>
    <t>Constitución Política de Colombia- Artículo 288.
Ley 489 de 1998.
Ley 715 de 2001.
Ley general de presupuesto de la vigencia correspondiente, por medio de la cual se decreta el presupuesto, rentas y recursos de capital y ley de apropiaciones de la vigencia fiscal  respectiva (para 2024 es la Ley 2342 del 15 de diciembre de 2024).
Decreto 111 del 15 de enero de 1996. “Por la cual se compilan la Ley 38 de 1989, La Ley 179 de 1994 y la Ley 225 de 1995 que conforman el estatuto orgánico del presupuesto”
Decreto 4107 de 2011.
Resolución 5514 de 2013, artículo 1°.
Resolución 069 del 29 de diciembre de 2011. “por la cual se establece el Plan de Cuentas”. 
Resolución 5514 de 2013. 
Resolución 2361 de 2016. 
Resolución 1716 de 2019.</t>
  </si>
  <si>
    <t>87</t>
  </si>
  <si>
    <t>19.02.87</t>
  </si>
  <si>
    <t>Transferencias TB</t>
  </si>
  <si>
    <t>SPC - E1 Gobernabilidad y Gobernanza - L1 Desarrollo Institucional y Sectorial - Transferencias TB</t>
  </si>
  <si>
    <t>Este concepto de gasto incluye los aportes o asignaciones de recursos transferidos a las DTS por la nación para inversión en el sector salud, con destinación específica al Programa de Prevención y Control de Tuberculosis.</t>
  </si>
  <si>
    <t>88</t>
  </si>
  <si>
    <t>19.02.88</t>
  </si>
  <si>
    <t>Transferencias Lepra</t>
  </si>
  <si>
    <t>SPC - E1 Gobernabilidad y Gobernanza - L1 Desarrollo Institucional y Sectorial - Transferencias Lepra</t>
  </si>
  <si>
    <t>Este concepto de gasto incluye los aportes o asignaciones de recursos transferidos a las DTS por la nación para inversión en el sector salud, con destinación específica al Programa de Eliminación de la Lepra.</t>
  </si>
  <si>
    <t>89</t>
  </si>
  <si>
    <t>19.02.89</t>
  </si>
  <si>
    <t>Otras transferencias</t>
  </si>
  <si>
    <t>SPC - E1 Gobernabilidad y Gobernanza - L1 Desarrollo Institucional y Sectorial - Otras transferencias</t>
  </si>
  <si>
    <t>Este concepto de gasto incluye aportes o asignaciones de recursos transferidos a las DTS por la nación para inversión en el sector salud, con destinación específica a programas, planes, estrategias y proyectos específico de salud pública.</t>
  </si>
  <si>
    <t>90</t>
  </si>
  <si>
    <t>19.02.90</t>
  </si>
  <si>
    <t>Gestión de insumos de interés en salud pública</t>
  </si>
  <si>
    <t>SPC - E1 Gobernabilidad y Gobernanza - L1 Desarrollo Institucional y Sectorial - Gestión de insumos de interés en salud pública</t>
  </si>
  <si>
    <t xml:space="preserve">Este concepto de gasto incluye la gestión de insumos de interés en salud pública para garantizar a la población de todo el territorio nacional que presenta eventos de interés en salud pública medicamentos, biológicos, reactivos de laboratorio, insecticidas, equipos y/o insumos para el control de riesgos, bajo principios de calidad y pertinencia. 
</t>
  </si>
  <si>
    <t xml:space="preserve">Ley 715 de 2001. 
Ley 2294 de 2023 - Plan Nacional de Desarrollo.
Resolución 2367 de 2023.
Resolución 100 de 2024.
Resolución 518 de 2015.
Resolución 3280 de 2018.
</t>
  </si>
  <si>
    <t>91</t>
  </si>
  <si>
    <t>19.02.91</t>
  </si>
  <si>
    <t>Vigilancia en Salud Pública y fortalecimiento de los laboratorios en salud pública</t>
  </si>
  <si>
    <t>SPC - E1 Gobernabilidad y Gobernanza - L1 Desarrollo Institucional y Sectorial - Vigilancia en Salud Pública y fortalecimiento de los laboratorios en salud pública</t>
  </si>
  <si>
    <t xml:space="preserve">Este concepto de gasto incluye:
a. La vigilancia en salud pública para generar información sobre los eventos que afecten o puedan afectar la salud de la población de forma sistemática y oportuna, con el fin de orientar las políticas y la planificación en salud pública; tomar las decisiones para la prevención y control de enfermedades y factores de riesgo en salud; optimizar el seguimiento y evaluación de las intervenciones: racionalizar y optimizar los recursos disponibles y lograr la efectividad de las acciones en esta materia, propendiendo por la protección de la salud individual y colectiva. 
b. El fortalecimiento de los laboratorios de salud pública departamentales y distritales.
</t>
  </si>
  <si>
    <t>92</t>
  </si>
  <si>
    <t>19.02.92</t>
  </si>
  <si>
    <t>Inspección, vigilancia y control sanitarios</t>
  </si>
  <si>
    <t>SPC - E1 Gobernabilidad y Gobernanza - L1 Desarrollo Institucional y Sectorial - Inspección, vigilancia y control sanitarios</t>
  </si>
  <si>
    <t>Este concepto de gasto incluye: 
a. Inspección, vigilancia y control sanitarios con el objetivo de identificar, eliminar o minimizar riesgos, daños e impactos negativos para la salud humana por el uso o consumo de bienes y servicios. 
b. Cumplimiento de las medidas regulatorias frente al expendio y consumo de tabaco sus derivados y sucedáneos y alcohol. 
c. Cumplimiento de las medidas sanitarias en los establecimientos objeto de IVC sanitario. 
d. Ejecución de  acciones propias de la fiscalización sanitaria y el aseguramiento de cadenas productivas.</t>
  </si>
  <si>
    <t>93</t>
  </si>
  <si>
    <t>19.02.93</t>
  </si>
  <si>
    <t>L2 Acuerdos Sociales y Comunitarios</t>
  </si>
  <si>
    <t>Participación social con enfoque diferencial para la gobernanza en salud pública</t>
  </si>
  <si>
    <t>SPC - E1 Gobernabilidad y Gobernanza - L2 Acuerdos Sociales y Comunitarios - Participación social con enfoque diferencial para la gobernanza en salud pública</t>
  </si>
  <si>
    <t xml:space="preserve">Este concepto de gasto incluye: 
a. El posicionamiento de la participación social como derecho. 
b. La incidencia en los escenarios de participación existentes en los departamentos, distritos y municipios para las decisiones públicas que afectan la salud y la garantía del derecho fundamental a la salud.
c. El acompañamiento y la promoción de la participación de organizaciones de base comunitaria y estructuras o formas de cuidado provenientes de saberes populares, tradiciones culturales, y saberes propios de pueblos y comunidades étnicas como parte de la gestión territorial para el cuidado de la salud y la red integral, integrada, territorial de servicios de salud.
d. El acompañamiento a la ciudadanía y la comunidad en la formulación, implementación, monitoreo, evaluación y rendición de cuentas en planes, programas y estrategias de interés en salud pública. </t>
  </si>
  <si>
    <t>94</t>
  </si>
  <si>
    <t>19.02.94</t>
  </si>
  <si>
    <t xml:space="preserve">Coordinación intersectorial como proceso para la generación de alianzas y acciones conjuntas para la garantía del derecho fundamental a la salud. </t>
  </si>
  <si>
    <t xml:space="preserve">SPC - E1 Gobernabilidad y Gobernanza - L2 Acuerdos Sociales y Comunitarios - Coordinación intersectorial como proceso para la generación de alianzas y acciones conjuntas para la garantía del derecho fundamental a la salud. </t>
  </si>
  <si>
    <t xml:space="preserve">Este concepto de gasto incluye la incidencia desde el sector salud en la generación de alianzas con otros sectores y el establecimiento de acciones conjuntas, articuladas e integradas para la garantía del derecho fundamental a la salud y el logro de los resultados en salud en los procesos de:
a. Compresión y planeación de la respuesta en salud en el territorio.
b. Respuesta territorial en salud.
d. Monitoreo y seguimiento de la respuesta territorial y los resultados en salud. </t>
  </si>
  <si>
    <t>95</t>
  </si>
  <si>
    <t>19.02.95</t>
  </si>
  <si>
    <t>Gestión de las políticas públicas en salud</t>
  </si>
  <si>
    <t>SPC - E1 Gobernabilidad y Gobernanza - L3 Cuidado de la Salud - Gestión de las políticas públicas en salud</t>
  </si>
  <si>
    <t xml:space="preserve">Este concepto de gasto incluye la gestión de las políticas públicas en salud de acuerdo con las prioridades territoriales en el marco de las intervenciones estructurales a cargo del sector salud por parte de las Entidades territoriales Departamentales, Distritales y Municipales. 
</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</si>
  <si>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t>
  </si>
  <si>
    <t>96</t>
  </si>
  <si>
    <t>19.02.96</t>
  </si>
  <si>
    <t>E2 Pueblos y comunidades</t>
  </si>
  <si>
    <t xml:space="preserve">Desarrollo de capacidades en salud pública para la transversalización del enfoque diferencial e interseccional. </t>
  </si>
  <si>
    <t xml:space="preserve">SPC - E2 Pueblos y comunidades - L1 Desarrollo Institucional y Sectorial - Desarrollo de capacidades en salud pública para la transversalización del enfoque diferencial e interseccional. </t>
  </si>
  <si>
    <t xml:space="preserve">Este concepto de gasto incluye desarrollo de capacidades para la transversalización del enfoque diferencial, de género y diversidad, curso de vida, salud familiar y comunitaria, psicosocial y el reconocimiento y respeto por los sistemas de conocimiento propio de pueblos y comunidades étnicas y campesinas en la planeación, formulación e implementación de planes, programas y estrategias orientados a la garantía del derecho fundamental a la salud. </t>
  </si>
  <si>
    <t>97</t>
  </si>
  <si>
    <t>19.02.97</t>
  </si>
  <si>
    <t xml:space="preserve">Participación social de pueblos y comunidades étnicas y campesinas, mujeres, sectores LGBTIQ+ y otras poblaciones por condición y/o situación. </t>
  </si>
  <si>
    <t xml:space="preserve">SPC - E2 Pueblos y comunidades - L2 Acuerdos Sociales y Comunitarios - Participación social de pueblos y comunidades étnicas y campesinas, mujeres, sectores LGBTIQ+ y otras poblaciones por condición y/o situación. </t>
  </si>
  <si>
    <t xml:space="preserve">Este concepto de gasto incluye el acompañamiento para el establecimiento de mecanismos institucionales, sectoriales, intersectoriales y comunitarios que garanticen la participación de las diferentes formas y expresiones organizativas de los pueblos y comunidades en la planeación y la respuesta en salud y la socialización consulta y concertación de las decisiones en salud pública  con los pueblos y comunidades étnicas y campesinas, mujeres, sectores LGBTIQ+ y otras poblaciones por condición y/o situación. </t>
  </si>
  <si>
    <t>98</t>
  </si>
  <si>
    <t>19.02.98</t>
  </si>
  <si>
    <t>Coord intersectorial transversalización enfoques de pueblos comunidades género diferencial e integración sistemas de conocimiento propio pueblos comunidades étnicas campesinas.</t>
  </si>
  <si>
    <t>SPC - E2 Pueblos y comunidades - L2 Acuerdos Sociales y Comunitarios - Coord intersectorial transversalización enfoques de pueblos comunidades género diferencial e integración sistemas de conocimiento propio pueblos comunidades étnicas campesinas.</t>
  </si>
  <si>
    <t xml:space="preserve">Este concepto de gasto incluye la incidencia del sector salud en espacios e instancias intersectoriales para: 
a. La transversalización de los enfoques e integración de los sistemas de conocimiento propio de pueblos y comunidades étnicas y campesinas en espacios e instancias intersectoriales; 
b. El reconocimiento de contextos de inequidad social, étnica y de género que afectan a las personas y colectivos en un territorio; y 
c. La generación de respuestas intersectoriales para la reducción y eliminación de situaciones de inequidad social, étnica y de género, la afectación positiva de los determinantes sociales de la salud. </t>
  </si>
  <si>
    <t>99</t>
  </si>
  <si>
    <t>19.02.99</t>
  </si>
  <si>
    <t xml:space="preserve">Garantía del derecho a la salud de pueblos y comunidades étnicas y campesinas, mujeres, sectores LGBTIQ+ y otras poblaciones por condición y/o situación. </t>
  </si>
  <si>
    <t xml:space="preserve">SPC - E2 Pueblos y comunidades - L3 Cuidado de la Salud - Garantía del derecho a la salud de pueblos y comunidades étnicas y campesinas, mujeres, sectores LGBTIQ+ y otras poblaciones por condición y/o situación. </t>
  </si>
  <si>
    <t xml:space="preserve">Este concepto de gasto incluye el desarrollo de intervenciones colectivas dirigidas a:
a. Comunidades Negra, Afrodescendiente, Raizal y Palenquera.
b. Pueblos y Comunidades Indígenas.
c. Comunidades ROM.
d. Género y Diversidad.
e. Personas Victimas Conflicto Armado.
f. Población campesina.
g. Personas con Discapacidad.
h. Población Migrantes, Colombianos Retornados y Comunidades de Acogida.
i. Población Inimputable. 
j. Personas Habitantes de Calle o en Riesgo.
k. Personas mayores.
l. Otras poblaciones por condición y situación. </t>
  </si>
  <si>
    <t>100</t>
  </si>
  <si>
    <t>19.02.100</t>
  </si>
  <si>
    <t>E3 Determinantes</t>
  </si>
  <si>
    <t>Desarrollo de capacidades en salud pública para la afectación positiva de los determinantes sociales de la salud.</t>
  </si>
  <si>
    <t>SPC - E3 Determinantes - L1 Desarrollo Institucional y Sectorial - Desarrollo de capacidades en salud pública para la afectación positiva de los determinantes sociales de la salud.</t>
  </si>
  <si>
    <t>Este concepto de gasto incluye el desarrollo de capacidades para: 
a. La consolidación de entornos económicos favorables para la salud; 
b. La transformación cultural, movilización y organización social y popular por la vida, salud y  la equidad en salud; 
c. La promoción y generación de territorios saludables articulados y trabajando por la paz, la convivencia pacífica y la resiliencia y 
d. La integración del cuidado del ambiente y la salud en el marco de la adaptación al cambio climático.</t>
  </si>
  <si>
    <t>101</t>
  </si>
  <si>
    <t>19.02.101</t>
  </si>
  <si>
    <t>Coordinación intersectorial para la afectación positiva de los determinantes sociales de la salud.</t>
  </si>
  <si>
    <t>SPC - E3 Determinantes - L2 Acuerdos Sociales y Comunitarios - Coordinación intersectorial para la afectación positiva de los determinantes sociales de la salud.</t>
  </si>
  <si>
    <t xml:space="preserve">Este concepto de gasto incluye la incidencia del sector salud en espacios e instancias intersectoriales para: 
a. La consolidación de entornos económicos favorables para la salud; 
b. La transformación cultural, movilización y organización social y popular por la vida, salud y  la equidad en salud; 
c. La promoción y generación de territorios saludables articulados y trabajando por la paz, la convivencia pacífica y la resiliencia, 
d. La integración del cuidado del ambiente y la salud en el marco de la adaptación al cambio climático, entre otros. 
Incluye acciones de política pública para la reducción de inequidades en salud, la afectación positiva de los determinantes sociales de la salud y la garantía del derecho fundamental a la salud.  
</t>
  </si>
  <si>
    <t>102</t>
  </si>
  <si>
    <t>19.02.102</t>
  </si>
  <si>
    <t>Participación social para la afectación positiva de los determinantes sociales de la salud.</t>
  </si>
  <si>
    <t>SPC - E3 Determinantes - L2 Acuerdos Sociales y Comunitarios - Participación social para la afectación positiva de los determinantes sociales de la salud.</t>
  </si>
  <si>
    <t xml:space="preserve">Este concepto de gasto incluye el acompañamiento del sector salud en espacios de participación para: 
a. La consolidación de entornos económicos favorables para la salud; 
b.La transformación cultural, movilización y organización social y popular por la vida, salud y  la equidad en salud; 
c. La promoción y generación de territorios saludables articulados y trabajando por la paz, la convivencia pacífica y la resiliencia y 
d. La integración del cuidado del ambiente y la salud en el marco de la adaptación al cambio climático, entre otros.  </t>
  </si>
  <si>
    <t>103</t>
  </si>
  <si>
    <t>19.02.103</t>
  </si>
  <si>
    <t>Información en salud para la afectación positiva de los determinantes sociales de la salud en el territorio.</t>
  </si>
  <si>
    <t>SPC - E3 Determinantes - L3 Cuidado de la Salud - Información en salud para la afectación positiva de los determinantes sociales de la salud en el territorio.</t>
  </si>
  <si>
    <t xml:space="preserve">Este concepto de gasto incluye el desarrollo de acciones estratégicas de información en salud para la afectación positiva de los determinantes sociales de la salud en el territorio, incluyendo las relacionadas con: 
a. Mitigación y adaptación al cambio climático desde el sector salud.
b. Aire y salud.
c. Movilidad saludable, segura y sostenible.  
d. Seguridad química. 
e. Zoonosis.
f. Entornos saludables.
g. Saneamiento básico.  
h. Territorios saludables articulados y trabajando por la paz, la convivencia pacífica y la resiliencia (Derechos humanos promoviendo su ejercicio pleno, resolución pacífica de conflictos, fortalecimiento de redes sociales de apoyo, Prevención de estigma y la discriminación). 
i. Transformación de representaciones sociales que validan las violencias en los distintos entornos. 
k. Derecho humano a la alimentación.
l. Otros Determinantes Sociales de la Salud. </t>
  </si>
  <si>
    <t>104</t>
  </si>
  <si>
    <t>19.02.104</t>
  </si>
  <si>
    <t xml:space="preserve">Desarrollo de capacidades en salud pública para la implementación de la estrategia de Atención Primaria en Salud </t>
  </si>
  <si>
    <t xml:space="preserve">SPC - E4 Atención Primaria Salud - L1 Desarrollo Institucional y Sectorial - Desarrollo de capacidades en salud pública para la implementación de la estrategia de Atención Primaria en Salud </t>
  </si>
  <si>
    <t>Este concepto de gasto incluye el desarrollo de capacidades locales para la implementación integral, participativa y continua de la Atención Primaria en Salud en los territorios, incluyendo entre otros aspectos:
a. La conformación de territorios de salud de acuerdo con las particularidades geográficas, socioculturales, político administrativas y ambientales donde se produce el proceso de salud.
b. La organización y puesta en marcha de redes integrales e integradas territoriales de salud. 
c. La garantía del acceso de la población a los servicios de salud con criterios de longitudinalidad, continuidad, puerta de entrada, enfoques familiar y comunitario. 
d. El fortalecimiento del nivel primario incluyendo la conformación de equipos básicos de salud y centros de atención primaria en salud. 
e. El fortalecimiento de las instituciones de salud públicas para el trabajo coordinado en redes integrales e integradas territoriales de salud.</t>
  </si>
  <si>
    <t>105</t>
  </si>
  <si>
    <t>19.02.105</t>
  </si>
  <si>
    <t xml:space="preserve">Coordinación intersectorial para el cuidado de la salud en los territorios en el marco de la Atención Primaria en Salud. </t>
  </si>
  <si>
    <t xml:space="preserve">SPC - E4 Atención Primaria Salud - L2 Acuerdos Sociales y Comunitarios - Coordinación intersectorial para el cuidado de la salud en los territorios en el marco de la Atención Primaria en Salud. </t>
  </si>
  <si>
    <t xml:space="preserve">Este concepto de gasto incluye la incidencia del sector salud en espacios de coordinación intersectorial para la gestión territorial del cuidado de la salud reconociendo las prioridades en relación con la garantía del derecho a la salud en conexidad con los otros derechos, las particularidades de los contextos y elementos propios del desarrollo de la población y el territorio y la configuración de actores y recursos que deben concurrir y complementarse en el marco de la Atención Primaria en Salud. </t>
  </si>
  <si>
    <t>106</t>
  </si>
  <si>
    <t>19.02.106</t>
  </si>
  <si>
    <t>Participación social como base de la Atención Primaria en Salud-APS</t>
  </si>
  <si>
    <t>SPC - E4 Atención Primaria Salud - L2 Acuerdos Sociales y Comunitarios - Participación social como base de la Atención Primaria en Salud-APS</t>
  </si>
  <si>
    <t xml:space="preserve">Este concepto de gasto incluye el acompañamiento del sector salud en espacios de participación para la implementación de la APS en el territorio. </t>
  </si>
  <si>
    <t>107</t>
  </si>
  <si>
    <t>19.02.107</t>
  </si>
  <si>
    <t>Cuidado de la Salud - familias, colectivos y comunidades</t>
  </si>
  <si>
    <t>SPC - E4 Atención Primaria Salud - L3 Cuidado de la Salud - Cuidado de la Salud - familias, colectivos y comunidades</t>
  </si>
  <si>
    <t xml:space="preserve">Este concepto de gasto incluye el desarrollo de acciones dirigidas a familias, colectivos y comunidades de para la promoción de la salud y la identificación, análisis e intervención de riesgos en salud en el marco de la Atención Primaria en Salud - APS. </t>
  </si>
  <si>
    <t>108</t>
  </si>
  <si>
    <t>19.02.108</t>
  </si>
  <si>
    <t>Cuidado de la salud - Población materna-perinatal</t>
  </si>
  <si>
    <t>SPC - E4 Atención Primaria Salud - L3 Cuidado de la Salud - Cuidado de la salud - Población materna-perinatal</t>
  </si>
  <si>
    <t xml:space="preserve">Este concepto de gasto incluye el desarrollo de acciones dirigidas a la población materno-perinatal para la promoción de la salud y la identificación, análisis e intervención de riesgos colectivos en salud en el marco de la Atención Primaria en Salud - APS. </t>
  </si>
  <si>
    <t>109</t>
  </si>
  <si>
    <t>19.02.109</t>
  </si>
  <si>
    <t>Cuidado de la salud - Primera infancia</t>
  </si>
  <si>
    <t>SPC - E4 Atención Primaria Salud - L3 Cuidado de la Salud - Cuidado de la salud - Primera infancia</t>
  </si>
  <si>
    <t xml:space="preserve">Este concepto de gasto incluye el desarrollo de acciones dirigidas a los niños y niñas en el momento de curso de vida de primera infancia, para la promoción de la salud y la identificación, análisis e intervención de riesgos colectivos en salud en el marco de la Atención Primaria en Salud - APS. </t>
  </si>
  <si>
    <t>110</t>
  </si>
  <si>
    <t>19.02.110</t>
  </si>
  <si>
    <t>Cuidado de la salud - Infancia</t>
  </si>
  <si>
    <t>SPC - E4 Atención Primaria Salud - L3 Cuidado de la Salud - Cuidado de la salud - Infancia</t>
  </si>
  <si>
    <t xml:space="preserve">Este concepto de gasto incluye el desarrollo de acciones dirigidas a los niños y niñas en el momento de curso de vida de infancia, para la promoción de la salud y la identificación, análisis e intervención de riesgos colectivos en salud en el marco de la Atención Primaria en Salud - APS. </t>
  </si>
  <si>
    <t>111</t>
  </si>
  <si>
    <t>19.02.111</t>
  </si>
  <si>
    <t>Cuidado de la salud - Adolescencia</t>
  </si>
  <si>
    <t>SPC - E4 Atención Primaria Salud - L3 Cuidado de la Salud - Cuidado de la salud - Adolescencia</t>
  </si>
  <si>
    <t xml:space="preserve">Este concepto de gasto incluye el desarrollo de acciones dirigidas a la población en el momento de curso de vida adolescencia, para la promoción de la salud y la identificación, análisis e intervención de riesgos colectivos en salud en el marco de la Atención Primaria en Salud - APS. </t>
  </si>
  <si>
    <t>112</t>
  </si>
  <si>
    <t>19.02.112</t>
  </si>
  <si>
    <t>Cuidado de la salud - Juventud</t>
  </si>
  <si>
    <t>SPC - E4 Atención Primaria Salud - L3 Cuidado de la Salud - Cuidado de la salud - Juventud</t>
  </si>
  <si>
    <t xml:space="preserve">Este concepto de gasto incluye el desarrollo de acciones dirigidas a la población en el momento de curso de vida juventud, para la promoción de la salud y la identificación, análisis e intervención de riesgos colectivos en salud en el marco de la Atención Primaria en Salud - APS. </t>
  </si>
  <si>
    <t>113</t>
  </si>
  <si>
    <t>19.02.113</t>
  </si>
  <si>
    <t>Cuidado de la salud - Adultez</t>
  </si>
  <si>
    <t>SPC - E4 Atención Primaria Salud - L3 Cuidado de la Salud - Cuidado de la salud - Adultez</t>
  </si>
  <si>
    <t xml:space="preserve">Este concepto de gasto incluye el desarrollo de acciones dirigidas a la población en el momento de curso de vida adultez, para la promoción de la salud y la identificación, análisis e intervención de riesgos colectivos en salud en el marco de la Atención Primaria en Salud - APS. </t>
  </si>
  <si>
    <t>114</t>
  </si>
  <si>
    <t>19.02.114</t>
  </si>
  <si>
    <t>Cuidado de la salud - Persona mayor</t>
  </si>
  <si>
    <t>SPC - E4 Atención Primaria Salud - L3 Cuidado de la Salud - Cuidado de la salud - Persona mayor</t>
  </si>
  <si>
    <t xml:space="preserve">Este concepto de gasto incluye el desarrollo de acciones dirigidas a la población en el momento de curso de vida vejez, para la promoción de la salud y la identificación, análisis e intervención de riesgos colectivos en salud en el marco de la Atención Primaria en Salud - APS. </t>
  </si>
  <si>
    <t>115</t>
  </si>
  <si>
    <t>19.02.115</t>
  </si>
  <si>
    <t>E5 Cambio Climático</t>
  </si>
  <si>
    <t>Desarrollo capacidades salud pública adaptación y mitigación variabilidad cambio climático y efectos en salud y gestión prevención atención emergencias desastres pandemias</t>
  </si>
  <si>
    <t>SPC - E5 Cambio Climático - L1 Desarrollo Institucional y Sectorial - Desarrollo capacidades salud pública adaptación y mitigación variabilidad cambio climático y efectos en salud y gestión prevención atención emergencias desastres pandemias</t>
  </si>
  <si>
    <t xml:space="preserve">Este concepto de gasto incluye el desarrollo de capacidades en los posibles efectos de la variabilidad y el cambio climático, planes de gestión integral de riesgos de emergencia y desastres en salud (PGIRED), misión médica, gestión del riesgo de emergencias y desastres, Reglamento Sanitario Internacional-RSI 2005, entre otros.  </t>
  </si>
  <si>
    <t>116</t>
  </si>
  <si>
    <t>19.02.116</t>
  </si>
  <si>
    <t>Coord intersectorial establecimiento acciones adaptación mitigación variabilidad cambio climático y efectos en salud y gestión prevención atención emergencias desastres pandemias</t>
  </si>
  <si>
    <t>SPC - E5 Cambio Climático - L2 Acuerdos Sociales y Comunitarios - Coord intersectorial establecimiento acciones adaptación mitigación variabilidad cambio climático y efectos en salud y gestión prevención atención emergencias desastres pandemias</t>
  </si>
  <si>
    <t xml:space="preserve">Este concepto de gasto incluye la coordinación intersectorial como proceso para la generación de alianzas y acciones conjuntas, articuladas e integradas que permitan el establecimiento de acciones de adaptación y mitigación de los efectos de la variabilidad y el cambio climático y la atención de eventos de interés en salud pública, emergencias, desastres y pandemias de manera integral y articulada. </t>
  </si>
  <si>
    <t>117</t>
  </si>
  <si>
    <t>19.02.117</t>
  </si>
  <si>
    <t>Participación social incidencia acciones adaptación mitigación la variabilidad cambio climático y efectos en salud gestión prevención atención emergencias desastres pandemias</t>
  </si>
  <si>
    <t>SPC - E5 Cambio Climático - L2 Acuerdos Sociales y Comunitarios - Participación social incidencia acciones adaptación mitigación la variabilidad cambio climático y efectos en salud gestión prevención atención emergencias desastres pandemias</t>
  </si>
  <si>
    <t xml:space="preserve">Este concepto de gasto incluye la participación social para la incidencia de la comunidad en el establecimiento de acciones de adaptación y mitigación de los efectos de la variabilidad y el cambio climático y la gestión, prevención y atención de emergencias, desastres y pandemias. </t>
  </si>
  <si>
    <t>118</t>
  </si>
  <si>
    <t>19.02.118</t>
  </si>
  <si>
    <t xml:space="preserve">Respuesta en salud pública ante los efectos en la salud generados por la variabilidad y el cambio climático y la ocurrencia de emergencias, desastres y pandemias. </t>
  </si>
  <si>
    <t xml:space="preserve">SPC - E5 Cambio Climático - L3 Cuidado de la Salud - Respuesta en salud pública ante los efectos en la salud generados por la variabilidad y el cambio climático y la ocurrencia de emergencias, desastres y pandemias. </t>
  </si>
  <si>
    <t xml:space="preserve">Este concepto de gasto incluye:
a. El desarrollo de acciones estratégicas de información en salud a nivel poblacional en prevención de los efectos en la salud generados por la variabilidad y el cambio climático, alertas tempranas, gestión del riesgo de emergencias, desastres y pandemias, entre otros.
b. Gestión de intervenciones colectivas ante los efectos en la salud generados por la variabilidad y el cambio climático y la ocurrencia de emergencias, desastres y pandemias. 
c. Vigilancia en Salud Pública ante los efectos en la salud generados por la variabilidad y el cambio climático y la ocurrencia de emergencias, desastres y pandemias. </t>
  </si>
  <si>
    <t>119</t>
  </si>
  <si>
    <t>19.02.119</t>
  </si>
  <si>
    <t>E6 Conocimiento salud</t>
  </si>
  <si>
    <t>Desarrollo de capacidades para el conocimiento en salud pública y la Soberanía Sanitaria.</t>
  </si>
  <si>
    <t>SPC - E6 Conocimiento salud - L1 Desarrollo Institucional y Sectorial - Desarrollo de capacidades para el conocimiento en salud pública y la Soberanía Sanitaria.</t>
  </si>
  <si>
    <t xml:space="preserve">Este concepto de gasto incluye el desarrollo de capacidades en gestión, producción y análisis de la información en salud pública con enfoques diferenciales, de género y diversidad y para pueblos y comunidades étnicas; acceso y uso de la oferta actual de información pública de salud y de otros sectores, entre otros. </t>
  </si>
  <si>
    <t>120</t>
  </si>
  <si>
    <t>19.02.120</t>
  </si>
  <si>
    <t>Gestión del conocimiento para la toma de decisiones en Salud Pública y la Soberanía Sanitaria</t>
  </si>
  <si>
    <t>SPC - E6 Conocimiento salud - L1 Desarrollo Institucional y Sectorial - Gestión del conocimiento para la toma de decisiones en Salud Pública y la Soberanía Sanitaria</t>
  </si>
  <si>
    <t xml:space="preserve">Este concepto de gasto incluye la gestión del conocimiento para la generación de información que oriente la toma de decisiones de acuerdo con las necesidades sociales en salud del territorio. </t>
  </si>
  <si>
    <t>121</t>
  </si>
  <si>
    <t>19.02.121</t>
  </si>
  <si>
    <t>Coordinación intersectorial  para la gestión del conocimiento en Salud Pública y la Soberanía Sanitaria</t>
  </si>
  <si>
    <t>SPC - E6 Conocimiento salud - L2 Acuerdos Sociales y Comunitarios - Coordinación intersectorial  para la gestión del conocimiento en Salud Pública y la Soberanía Sanitaria</t>
  </si>
  <si>
    <t>Este concepto de gasto la incidencia en espacios de coordinación intersectorial para: 
a. La generación de  estrategias de comunicación y educación para el cambio de comportamiento y de acción colectiva que favorezcan la trasformación de la cultura de seguridad social en salud y la promoción de entornos saludables y protectores.
b. El fortalecimiento de los sistemas de información necesarios para la gestión de la información en salud pública, incluyendo alertas tempranas.
c. Otras relacionadas con la gestión del conocimiento y la soberanía sanitaria</t>
  </si>
  <si>
    <t>122</t>
  </si>
  <si>
    <t>19.02.122</t>
  </si>
  <si>
    <t>Participación social para la incidencia en la gestión del conocimiento en Salud Pública y la Soberanía Sanitaria</t>
  </si>
  <si>
    <t>SPC - E6 Conocimiento salud - L2 Acuerdos Sociales y Comunitarios - Participación social para la incidencia en la gestión del conocimiento en Salud Pública y la Soberanía Sanitaria</t>
  </si>
  <si>
    <t>Este concepto de gasto incluye el acompañamiento del sector salud en espacios de participación para la construcción colectiva e intercultural e intercambio de saberes que aporten a la producción y análisis de la información en salud pública.</t>
  </si>
  <si>
    <t>123</t>
  </si>
  <si>
    <t>19.02.123</t>
  </si>
  <si>
    <t>Acciones estratégicas de información en salud</t>
  </si>
  <si>
    <t>SPC - E6 Conocimiento salud - L3 Cuidado de la Salud - Acciones estratégicas de información en salud</t>
  </si>
  <si>
    <t xml:space="preserve">Este concepto de gasto incluye el desarrollo de acciones estratégicas de divulgación, traducción social, uso y apropiación de la información en salud pública. </t>
  </si>
  <si>
    <t>124</t>
  </si>
  <si>
    <t>19.02.124</t>
  </si>
  <si>
    <t>E7 Personal Salud</t>
  </si>
  <si>
    <t>Desarrollo de  capacidades en el marco del trabajo digno y decente</t>
  </si>
  <si>
    <t>SPC - E7 Personal Salud - L1 Desarrollo Institucional y Sectorial - Desarrollo de  capacidades en el marco del trabajo digno y decente</t>
  </si>
  <si>
    <t>Este concepto de gasto incluye el desarrollo de capacidades para:
a. La gestión territorial de la salud pública, en el marco de la Estrategia Nacional de Formación Territorial, Intercultural de Atención Primaria en Salud, Salud Pública y Salud Colectiva.
b. La identificación, diagnóstico y prevención de los riesgos relacionados con la ocupación en el marco del Sistema de Seguridad y Salud en el Trabajo (SST) y del trabajo digno y decente de la OIT</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</si>
  <si>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Plan de aceleración para la reducción de la mortalidad materna.
Decreto 1072 del 2015 y la Resolución 0312 del 2019.</t>
  </si>
  <si>
    <t>125</t>
  </si>
  <si>
    <t>19.02.125</t>
  </si>
  <si>
    <t>Participación social para la incidencia en la Estrategia Nacional de Formación Territorial, Intercultural de Atención Primaria en Salud, Salud Pública y Salud Colectiva.</t>
  </si>
  <si>
    <t>SPC - E7 Personal Salud - L2 Acuerdos Sociales y Comunitarios - Participación social para la incidencia en la Estrategia Nacional de Formación Territorial, Intercultural de Atención Primaria en Salud, Salud Pública y Salud Colectiva.</t>
  </si>
  <si>
    <t>Este concepto de gasto incluye el acompañamiento del sector salud en espacios de participación para la incidencia en el diseño, implementación y evaluación de la Estrategia Nacional de Formación Territorial, Intercultural de Atención Primaria en Salud, Salud Pública y Salud Colectiva.</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</si>
  <si>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Plan de aceleración para la reducción de la mortalidad materna</t>
  </si>
  <si>
    <t>126</t>
  </si>
  <si>
    <t>19.02.126</t>
  </si>
  <si>
    <t>Coordinación Intersectorial en el marco de la política nacional de talento humano en salud.</t>
  </si>
  <si>
    <t>SPC - E7 Personal Salud - L2 Acuerdos Sociales y Comunitarios - Coordinación Intersectorial en el marco de la política nacional de talento humano en salud.</t>
  </si>
  <si>
    <t>Este concepto de gasto incluye la incidencia en espacios de coordinación intersectorial para:
a. La consolidación de alianzas académicas en los territorios formadores del THS. 
b. La planificación con enfoque territorial de la educación continua del THS con énfasis en territorio, territorialidad, interculturalidad en salud, atención primaria en salud, salud pública, salud colectiva, salud mental y centrada en la persona.
c. El desarrollo de metodologías pedagógicas específicas para la salud pública.
d. La definición de estrategias territoriales e intersectoriales para la mejora de la disponibilidad y distribución del THS con énfasis en áreas rurales, dispersas, de difícil acceso o desatendidas y particularmente en servicios de baja y mediana complejidad, para favorecer la distribución equitativa de todos los perfiles requeridos para la organización de los equipos, a fin de fortalecer la autonomía y la capacidad resolutiva del sistema de salud en el marco de la estrategia de Atención Primaria en Salud -APS</t>
  </si>
  <si>
    <t>127</t>
  </si>
  <si>
    <t>19.02.127</t>
  </si>
  <si>
    <t>Cuidado de la salud en el entorno laboral</t>
  </si>
  <si>
    <t>SPC - E7 Personal Salud - L3 Cuidado de la Salud - Cuidado de la salud en el entorno laboral</t>
  </si>
  <si>
    <t xml:space="preserve">Este concepto de gasto incluye el desarrollo de acciones para la promoción de la salud y la identificación, análisis e intervención de riesgos colectivos en salud en el entorno laboral.
</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</si>
  <si>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Decreto 1072 del 2015 y la Resolución 0312 del 2019</t>
  </si>
  <si>
    <t>19.03.22</t>
  </si>
  <si>
    <t>PS</t>
  </si>
  <si>
    <t>ESE Bajo Nivel Complejidad</t>
  </si>
  <si>
    <t>PS - E4 Atención Primaria Salud - L3 Cuidado de la Salud - ESE Bajo Nivel Complejidad</t>
  </si>
  <si>
    <t>Los gastos en salud que se deriven de la atención en urgencias en las Empresas Sociales del Estado de Baja complejidad, a la población pobre que no haya surtido el proceso de afiliación definido en el artículo 236 de la Ley 1955 de 2019, los cuales, serán asumidos por las entidades territoriales.</t>
  </si>
  <si>
    <t xml:space="preserve">a. Primer inciso artículo 236 de la Ley 1955 de 2019 
b. Fuentes para financiar la atención a PPNA Art. 2  Ley 1608/2013, Art. 4 y  21 Ley 1797/2016, Numeral 4  Art. 11  Resol 3042/2007 Modif. Resol 1127/2013  y demás recursos destinados de conformidad con lo dispuesto en el Art. 236 de la Ley 1955/2019.
</t>
  </si>
  <si>
    <t>19.03.23</t>
  </si>
  <si>
    <t>ESE Medio Nivel Complejidad</t>
  </si>
  <si>
    <t>PS - E4 Atención Primaria Salud - L3 Cuidado de la Salud - ESE Medio Nivel Complejidad</t>
  </si>
  <si>
    <t>Los gastos en salud que se deriven de la atención en urgencias en las Empresas Sociales del Estado de Mediana Complejidad, a la población pobre que no haya surtido el proceso de afiliación definido en el artículo 236 de la Ley 1955 de 2019, los cuales, serán asumidos por las entidades territoriales.</t>
  </si>
  <si>
    <t>19.03.24</t>
  </si>
  <si>
    <t>ESE Alto Nivel Complejidad</t>
  </si>
  <si>
    <t>PS - E4 Atención Primaria Salud - L3 Cuidado de la Salud - ESE Alto Nivel Complejidad</t>
  </si>
  <si>
    <t>Los gastos en salud que se deriven de la atención en urgencias en las Empresas Sociales del Estado de Alta Complejidad, a la población pobre que no haya surtido el proceso de afiliación definido en el artículo 236 de la Ley 1955 de 2019, los cuales, serán asumidos por las entidades territoriales.</t>
  </si>
  <si>
    <t>19.03.25</t>
  </si>
  <si>
    <t>Instituciones privadas y mixtas</t>
  </si>
  <si>
    <t>PS - E4 Atención Primaria Salud - L3 Cuidado de la Salud - Instituciones privadas y mixtas</t>
  </si>
  <si>
    <t>Los gastos en salud que se deriven de la atención a población pobre las Instituciones Prestadoras de Servicios de Salud de carácter privado que no haya surtido el proceso de afiliación definido en el artículo 236 de la Ley 1955 de 2019, los cuales, serán asumidos por las entidades territoriales.</t>
  </si>
  <si>
    <t xml:space="preserve">a. Primer inciso artículo 236 de la Ley 1955 de 2019. 
b. Fuentes para financiar la atención a PPNA Art. 2  Ley 1608/2013, Art. 4 y  21 Ley 1797/2016, Numeral 4  Art. 11  Resol 3042/2007 Modif. Resol 1127/2013  y demás recursos destinados de conformidad con lo dispuesto en el Art. 236 de la Ley 1955/2019.
</t>
  </si>
  <si>
    <t>19.03.26</t>
  </si>
  <si>
    <t>Saldos No Ejecutados Subsidio a la Oferta Vigencias Anteriores 2020</t>
  </si>
  <si>
    <t>PS - E4 Atención Primaria Salud - L3 Cuidado de la Salud - Saldos No Ejecutados Subsidio a la Oferta Vigencias Anteriores 2020</t>
  </si>
  <si>
    <t>Recursos del SGP de Prestación de Servicios, no ejecutados en el marco del artículo 2 de la Ley 1797 de 2016.</t>
  </si>
  <si>
    <t>Ley 1797 de 2016, artículo 2 - Decreto 762 de 2017 - Resolución 4669 de 2016 - Resolución 6346 de 2016</t>
  </si>
  <si>
    <t>19.03.27</t>
  </si>
  <si>
    <t>Prestación de servicios y tecnologías No UPC a los afiliados al régimen subsidiado</t>
  </si>
  <si>
    <t>PS - E1 Gobernabilidad y Gobernanza - L1 Desarrollo Institucional y Sectorial - Prestación de servicios y tecnologías No UPC a los afiliados al régimen subsidiado</t>
  </si>
  <si>
    <t>Recursos destinados para el pago de deudas por concepto de los servicios y tecnologías no financiados con cargo a la UPC del Régimen Subsidiado prestados hasta el 31 de diciembre de 2019.</t>
  </si>
  <si>
    <t>Ley 1955 de 2019, artículos 232 y 238.</t>
  </si>
  <si>
    <t>19.03.28</t>
  </si>
  <si>
    <t>Subsidio a la oferta - Empresas sociales del Estado</t>
  </si>
  <si>
    <t>PS - E4 Atención Primaria Salud - L3 Cuidado de la Salud - Subsidio a la oferta - Empresas sociales del Estado</t>
  </si>
  <si>
    <t>Son los recursos asignados para concurrir en la financiación de la operación de: la prestación de servicios y tecnologías efectuadas por Empresas Sociales del Estado, ubicadas en zonas alejadas o de difícil acceso que sean monopolio en servicios trazadores y no sostenibles por venta de servicios.</t>
  </si>
  <si>
    <t>a. Ley 1955 de 2019_ Artículo 235. DISTRIBUCIÓN DE LOS RECURSOS DEL COMPONENTE DE SALUD PÚBLICA Y SUBSIDIOS A LA OFERTA, que modifica el artículo 52 de la Ley 715 de 2001 Numeral 52.2. 
b. Decreto 268 de 2020.
c. Resolución 857 de 2020 y aquellas que modifiquen o sustituyan.
d. Listado publicado por el Ministerio de Salud y Protección Social en el siguiente link https://www.minsalud.gov.co/proteccionsocial/Financiamiento/Paginas/Sistema-General-de-Participaciones---Prestacion-de-servicios.aspx.</t>
  </si>
  <si>
    <t>19.03.29</t>
  </si>
  <si>
    <t>Subsidio a la oferta - Administradores de infraestructura pública</t>
  </si>
  <si>
    <t>PS - E4 Atención Primaria Salud - L3 Cuidado de la Salud - Subsidio a la oferta - Administradores de infraestructura pública</t>
  </si>
  <si>
    <t>Son los recursos asignados para concurrir en la financiación de la operación de: la prestación de servicios y tecnologías efectuadas por IPS administradoras de infraestructura pública de propiedad de la entidad territorial, ubicadas en zonas alejadas o de difícil acceso que sean monopolio en servicios trazadores y no sostenibles por venta de servicios.</t>
  </si>
  <si>
    <t>14</t>
  </si>
  <si>
    <t>19.04.14</t>
  </si>
  <si>
    <t>Atención Población Migrante Instituciones públicas</t>
  </si>
  <si>
    <t>PS - E2 Pueblos y comunidades - L3 Cuidado de la Salud - Atención Población Migrante Instituciones públicas</t>
  </si>
  <si>
    <t>Atenciones de urgencias prestada s a la población migrante regular no afiliada e irregular en instituciones públicas</t>
  </si>
  <si>
    <t>Numeral 43.2.11 del artículo 43 de la Ley 715 de 2001
Artículos 154, 155 y 156 de la Ley 2294 de 2023</t>
  </si>
  <si>
    <t>15</t>
  </si>
  <si>
    <t>19.04.15</t>
  </si>
  <si>
    <t>Atención Población Migrante Instituciones privadas y mixtas</t>
  </si>
  <si>
    <t>PS - E2 Pueblos y comunidades - L3 Cuidado de la Salud - Atención Población Migrante Instituciones privadas y mixtas</t>
  </si>
  <si>
    <t>Atenciones de urgencias prestada s a la población migrante regular no afiliada e irregular en instituciones privadas</t>
  </si>
  <si>
    <t>34</t>
  </si>
  <si>
    <t>19.05.34</t>
  </si>
  <si>
    <t>OGS</t>
  </si>
  <si>
    <t>Investigación en Salud</t>
  </si>
  <si>
    <t>OGS - Investigación en Salud</t>
  </si>
  <si>
    <t>Incluye gastos de inversión destinados a financiar investigación en salud, proyectos de inversión en salud, reorganización de redes de prestadores de servicios de salud, inversiones en equipos y dotaciones e infraestructura según el plan bienal e inversiones para implementar planes de contingencia</t>
  </si>
  <si>
    <t xml:space="preserve">Ley 643 de 2001, artículo 42. / Ley 1438 de 2011
Numeral 5 Resol 3042 de 2007, modificada por la Resol. 1127/ 2013 MSPS
a. Resolución 2514 de 2012, Resol 2053 de 2019 /b. Fuente de recursos Art. 2 Ley 1608/ 2013 y Numeral 7 Art. 11  Res. 3042/2007 , modificada por la Resol. 1127/ 2013 MSPS, ART. 4 Ley 1608/2013 y  Artículo 1 Decreto 728/ 2013.
Artículo 5 y 6 Decreto 538 de 2020 / Resolución 750 de 2020
</t>
  </si>
  <si>
    <t>35</t>
  </si>
  <si>
    <t>19.05.35</t>
  </si>
  <si>
    <t xml:space="preserve">Inversiones directas en la red publica equipos y dotación según PBIPS / PMES </t>
  </si>
  <si>
    <t xml:space="preserve">OGS - E1 Gobernabilidad y Gobernanza - L1 Desarrollo Institucional y Sectorial - Inversiones directas en la red publica equipos y dotación según PBIPS / PMES </t>
  </si>
  <si>
    <t>Corresponde a los recursos ejecutados con destino a  la financiación y cofinanciación  de proyectos de equipos y dotación en salud, de acuerdo con el numeral 42.2 del artículo 42 de la Ley 715 de 2001 y los demás que lo modifiquen</t>
  </si>
  <si>
    <t>Ley 715 de 2001
Decreto 4107 de 2011 
Ley 1438 de 2011
Ley 1751 de 2015 
Resolución 1441 de 2016 
Resolución 489 de 2019 
Ley 2294 de 2023 
Resolución 489 de 2019 
Resolución 2514 de 2012
Resolución 310 de 2022</t>
  </si>
  <si>
    <t>36</t>
  </si>
  <si>
    <t>19.05.36</t>
  </si>
  <si>
    <t xml:space="preserve">Inversiones directas en la red publica infraestructura según PBIPS / PMES </t>
  </si>
  <si>
    <t xml:space="preserve">OGS - E1 Gobernabilidad y Gobernanza - L1 Desarrollo Institucional y Sectorial - Inversiones directas en la red publica infraestructura según PBIPS / PMES </t>
  </si>
  <si>
    <t>Corresponde a los recursos ejecutados con destino a  la financiación y cofinanciación  de proyectos de infraestructura, de acuerdo con el numeral 42.2 del artículo 42 de la Ley 715 de 2001 y los demás que lo modifiquen</t>
  </si>
  <si>
    <t>37</t>
  </si>
  <si>
    <t>19.05.37</t>
  </si>
  <si>
    <t>Capacidades consolidadas para la gestión territorial del THS en salud pública</t>
  </si>
  <si>
    <t>OGS - E7 Personal Salud - L1 Desarrollo Institucional y Sectorial - Capacidades consolidadas para la gestión territorial del THS en salud pública</t>
  </si>
  <si>
    <t xml:space="preserve">Este concepto de gasto incluye: 
1. Acompañamiento para la instalación e implementación de la estructura y de los procesos organizacionales en un departamento y en un distrito  para la  gestión y planificación del THS
2. Implementación del Modelo Integral de Planificación y Gestión del Talento Humano en las Secretarias Departamentales y Distritales de Salud, el diseño de acciones estratégicas, la implementación del modelo de incentivos con articulación de actores y sectores del territorio, y en su conjunto, así como el desarrollo de políticas territoriales de Talento Humano en Salud.
3. Definición de estrategias territoriales e intersectoriales para la mejora de la disponibilidad y distribución del THS con énfasis en los que realizan acciones y gestión de la salud pública.
4. Implementación de acciones intersectoriales con enfoque territorial para la integración de incentivos y mecanismos de retención del THS en el marco del trabajo digno y decente.
5. Avance en el diseño de acciones de prevención, atención, control y protección del talento humano en contextos de crisis humanitaria y ante situaciones de riesgo de violencia al THS y a la misión médica.
6. Reconocimiento y ampliación de los escenarios de práctica formativa en los diferentes niveles de atención y grados de complejidad de los servicios de salud,  y en los escenarios de salud pública, así como las formas de generar los convenios docencia-servicio y demás mecanismos de trabajo colaborativo en función del cierre de brechas del Talento Humano en Salud y del Modelo de Atención Primaria en Salud
7. Rediseño normativo del Servicio Social Obligatorio (SSO) como una herramienta estratégica orientada al cierre de brechas en la disponibilidad del Talento Humano en Salud, así como a la formación integral, la consolidación de equipos y a la gestión territorial con base en la estrategia de salud familiar y comunitaria.
8. Desarrollo e implementación del sistema de información del Talento Humano en Salud  (de uso descentralizado) con la incorporación de variables sobre disponibilidad; distribución; formación; formación permanente y entrenamientos avanzados, así como condiciones de empleo y trabajo, y su funcionamiento con características de oportunidad, cobertura, consistencia, completitud, exactitud e interoperabilidad.
</t>
  </si>
  <si>
    <t>Ley 2294 de 2023 - Plan Nacional de Desarrollo
Decreto 780 de 2016
Ley 1164 de 2007
Ley 1438 de 2011</t>
  </si>
  <si>
    <t>38</t>
  </si>
  <si>
    <t>19.05.38</t>
  </si>
  <si>
    <t>Población Migrantes, Colombianos Retornados y Comunidades de Acogida.</t>
  </si>
  <si>
    <t>OGS - E2 Pueblos y comunidades - L3 Cuidado de la Salud - Población Migrantes, Colombianos Retornados y Comunidades de Acogida.</t>
  </si>
  <si>
    <t>Corresponde a los recursos destinados para el fortalecimiento para la inclusión y atención de la población migrante.</t>
  </si>
  <si>
    <t>Ley 2136 de 2021
Decreto 780 de 2016
Decreto 1288 de 2018 (DAPRE)
Decreto 2408 de 2018
Decreto 2408 de 2018
Decreto 64 de 2020
Decreto 1818 de 2020
Resolución 1838 de 2019
Circular 035 de 2022
CONPES 3950 de 2018
CONPES 4100 de 2022</t>
  </si>
  <si>
    <t>39</t>
  </si>
  <si>
    <t>19.05.39</t>
  </si>
  <si>
    <t>Personas Victimas Conflicto Armado</t>
  </si>
  <si>
    <t>OGS - E2 Pueblos y comunidades - L3 Cuidado de la Salud - Personas Victimas Conflicto Armado</t>
  </si>
  <si>
    <t>Este concepto de gasto corresponde a: 
1. Atención psicosocial en el marco del SGSSS a la víctimas de conflicto armado identificadas en cada entidad territorial.
2. Implementación de la Estrategia de Rehabilitación Comunitaria en el marco del Plan Nacional de Rehabilitación Punto 5 del acuerdo de paz.
3. Gestión y atención psicosocial a las víctimas solicitadas a través de sentencias de medidas judiciales nacionales e internacionales.
4. Fortalecimiento de capacidades a los actores del SGSSS para la atención integral con enfoque psicosocial a las víctimas de conflicto armado 
5. Garantía a la respuesta sectorial en la  medida de rehabilitación en el marco de la ruta de reparación colectiva étnica conforme a las competencias</t>
  </si>
  <si>
    <t xml:space="preserve">Artículo 137 de la Ley 1448 de 2011 - PROGRAMA DE ATENCIÓN PSICOSOCIAL A VÍCTIMAS DEL CONFLICTO ARMADO 
Ley 1751 de 2015, artículo 51; Decreto 1084 de 2015; Ley 2078 de 2021; Conpes 4031 de 2021; Decreto 1650 de 2022,  </t>
  </si>
  <si>
    <t>40</t>
  </si>
  <si>
    <t>19.05.40</t>
  </si>
  <si>
    <t>Personas con Discapacidad</t>
  </si>
  <si>
    <t>OGS - E2 Pueblos y comunidades - L3 Cuidado de la Salud - Personas con Discapacidad</t>
  </si>
  <si>
    <t>Corresponde a los recursos destinados para la financiación de los procesos de valoración, certificación, caracterización y localización de personas con discapacidad.</t>
  </si>
  <si>
    <t>Resolución 1239 de 2022</t>
  </si>
  <si>
    <t>41</t>
  </si>
  <si>
    <t>19.05.41</t>
  </si>
  <si>
    <t>Género y Diversidad</t>
  </si>
  <si>
    <t>OGS - E2 Pueblos y comunidades - L3 Cuidado de la Salud - Género y Diversidad</t>
  </si>
  <si>
    <t>Corresponde a los recursos destinados para la financiación de las medidas de atención a mujeres víctimas de violencia basada en género.</t>
  </si>
  <si>
    <t xml:space="preserve">Parágrafo 2 del Artículo 19 de la Ley 1257 de 2008 y Decreto 075 del 2024 </t>
  </si>
  <si>
    <t>42</t>
  </si>
  <si>
    <t>19.05.42</t>
  </si>
  <si>
    <t>OGS - E2 Pueblos y comunidades - L3 Cuidado de la Salud - Población campesina</t>
  </si>
  <si>
    <t>Corresponde a los recursos para la atención en salud de la población campesina.</t>
  </si>
  <si>
    <t xml:space="preserve">Acto Legislativo 1 de 2023 </t>
  </si>
  <si>
    <t>43</t>
  </si>
  <si>
    <t>19.05.43</t>
  </si>
  <si>
    <t>Atención Integral Centros de Larga Estancia Adulto Mayor/Personas Mayores</t>
  </si>
  <si>
    <t>OGS - E2 Pueblos y comunidades - L3 Cuidado de la Salud - Atención Integral Centros de Larga Estancia Adulto Mayor/Personas Mayores</t>
  </si>
  <si>
    <t>Corresponde a los recursos derivados del recuadro de estampilla de adulto mayor destinados para la financiación de centros de larga estancia</t>
  </si>
  <si>
    <t>Ley 687 de 2001; Ley 1276 de 2009; Ley 1850 de 2017 y Ley 1955 de 2019, Decreto 681 de 2022</t>
  </si>
  <si>
    <t>44</t>
  </si>
  <si>
    <t>19.05.44</t>
  </si>
  <si>
    <t>Atención Integral  Centros Vida o Día Adulto Mayor/Personas Mayores</t>
  </si>
  <si>
    <t>OGS - E2 Pueblos y comunidades - L3 Cuidado de la Salud - Atención Integral  Centros Vida o Día Adulto Mayor/Personas Mayores</t>
  </si>
  <si>
    <t xml:space="preserve">Corresponde a los recursos derivados del recaudo de estampilla de adulto mayor destinados para la financiación de centros vida o día. </t>
  </si>
  <si>
    <t>45</t>
  </si>
  <si>
    <t>19.05.45</t>
  </si>
  <si>
    <t>Atención Integral Otras Modalidades Adulto Mayor/Personas Mayores</t>
  </si>
  <si>
    <t>OGS - E2 Pueblos y comunidades - L3 Cuidado de la Salud - Atención Integral Otras Modalidades Adulto Mayor/Personas Mayores</t>
  </si>
  <si>
    <t>Corresponde a los recursos derivados del recaudo de estampilla de adulto mayor destinados para la financiación en otras modalidades.</t>
  </si>
  <si>
    <t>46</t>
  </si>
  <si>
    <t>19.05.46</t>
  </si>
  <si>
    <t>Pueblos y Comunidades Indígena</t>
  </si>
  <si>
    <t>OGS - E2 Pueblos y comunidades - L3 Cuidado de la Salud - Pueblos y Comunidades Indígena</t>
  </si>
  <si>
    <t>Corresponde a los recursos destinados para el desarrollo y promoción de los modelos de salud de la población indígena.</t>
  </si>
  <si>
    <t>Decreto 1973 de 2013; Decreto 1372 de 2018; Artículo 3 del titulo 1 de la Ley 1955 de 2019.</t>
  </si>
  <si>
    <t>47</t>
  </si>
  <si>
    <t>19.05.47</t>
  </si>
  <si>
    <t>Comunidades ROM</t>
  </si>
  <si>
    <t>OGS - E2 Pueblos y comunidades - L3 Cuidado de la Salud - Comunidades ROM</t>
  </si>
  <si>
    <t>Corresponde a los recursos destinados para la gestión, concertación, divulgación, participación e inclusión el enfoque diferencial en salud para las comunidades rrom.</t>
  </si>
  <si>
    <t>Decreto 2957 de 2010</t>
  </si>
  <si>
    <t>48</t>
  </si>
  <si>
    <t>19.05.48</t>
  </si>
  <si>
    <t>Comunidades Negra, Afrodescendiente, Raizal y Palenquera</t>
  </si>
  <si>
    <t>OGS - E2 Pueblos y comunidades - L3 Cuidado de la Salud - Comunidades Negra, Afrodescendiente, Raizal y Palenquera</t>
  </si>
  <si>
    <t>Corresponde a los recursos destinados para la gestión, concertación, divulgación, participación e inclusión del enfoque diferencial en salud para las comunidades NARP</t>
  </si>
  <si>
    <t>Ley 70 de 1993 y Decreto 1372 de 2018,  Espacio Nacional de Consulta Previa Comunidades NARP</t>
  </si>
  <si>
    <t>49</t>
  </si>
  <si>
    <t>19.05.49</t>
  </si>
  <si>
    <t>Personas Habitantes de Calle o en Riesgo</t>
  </si>
  <si>
    <t>OGS - E2 Pueblos y comunidades - L3 Cuidado de la Salud - Personas Habitantes de Calle o en Riesgo</t>
  </si>
  <si>
    <t>Corresponde a los recursos que financian las acciones enmarcadas en la Ley 1641 de 2013 para la atención de la población habitante de calle.</t>
  </si>
  <si>
    <t xml:space="preserve">Ley 1641 de 2013, Decreto 1285 de 2022 </t>
  </si>
  <si>
    <t>50</t>
  </si>
  <si>
    <t>19.05.50</t>
  </si>
  <si>
    <t>Población Inimputable</t>
  </si>
  <si>
    <t>OGS - E2 Pueblos y comunidades - L3 Cuidado de la Salud - Población Inimputable</t>
  </si>
  <si>
    <t>Corresponde a los recursos asignados a las entidades territoriales dirigidos a financiar el programa de población que han sido declarada jurídicamente inimputables, que garantiza la atención en centros de salud mental contratados por las entidades territoriales, y se les ha impuesto una medida de seguridad consistente en internación en centro psiquiátrico</t>
  </si>
  <si>
    <t>Artículo 465, Ley 906 de 2004, Código de Procedimiento Penal. Resolución 1721 de 2017.</t>
  </si>
  <si>
    <t>51</t>
  </si>
  <si>
    <t>19.05.51</t>
  </si>
  <si>
    <t>Programas de Saneamiento Fiscal y Financiero Empresas Sociales del Estado - ESE</t>
  </si>
  <si>
    <t>OGS - E1 Gobernabilidad y Gobernanza - L1 Desarrollo Institucional y Sectorial - Programas de Saneamiento Fiscal y Financiero Empresas Sociales del Estado - ESE</t>
  </si>
  <si>
    <t>Programas de saneamiento Fiscal y Financiero de ESE Riesgo Medio y Alto</t>
  </si>
  <si>
    <t>Ley 1438 de 2011.
Ley 1797 de 2016.
Artículos 2 y 4 Ley 1608 de 2013.
Decreto 728 de 2013.
Artículo 6 Decreto 1141 de 2013.
Numeral 6 Artículo 11  Resolución 3042 de 2007, modificado por la Resolución 1127 de 2013.</t>
  </si>
  <si>
    <t>52</t>
  </si>
  <si>
    <t>19.05.52</t>
  </si>
  <si>
    <t>Gastos Asociados a la Conformación e Implementación de la RIITS.</t>
  </si>
  <si>
    <t>OGS - E1 Gobernabilidad y Gobernanza - L1 Desarrollo Institucional y Sectorial - Gastos Asociados a la Conformación e Implementación de la RIITS.</t>
  </si>
  <si>
    <t>Se refiere a los recursos requeridos en los procesos de conformación y organización de las redes integrales e integradas territoriales de salud donde se involucra la complementariedad funcional de organizaciones, talento humano, capacidades y competencias para garantizar una prestación de los servicios que sea accesible, oportuna, integral, resolutiva y de calidad</t>
  </si>
  <si>
    <t>Artículo 49 de la Constitución Política de Colombia
Ley 1751 de 2015 en sus artículos 2,5,8,13,24
Ley 715 de 2001. Artículo 54
Ley 1122 de 2007. Artículo 16 y 25
Ley 1438 de 2011 en sus artículos 2,12,13,61,62,63 y 64
Ley 1699 de 2019. Artículo 7
Ley 1599 de 2019. Artículo 243
Ley 2294 de 2023</t>
  </si>
  <si>
    <t>53</t>
  </si>
  <si>
    <t>19.05.53</t>
  </si>
  <si>
    <t>Telesalud</t>
  </si>
  <si>
    <t>OGS - E4 Atención Primaria Salud - L3 Cuidado de la Salud - Telesalud</t>
  </si>
  <si>
    <t>Telesalud: Es el conjunto de actividades relacionadas con la salud, servicios y métodos, los cuales se llevan a cabo a distancia con la ayuda de las tecnologías de la información y telecomunicaciones. Incluye, entre otras, la Telemedicina y la Teleeducación en salud.
Telemedicina: Es la provisión de servicios de salud a distancia en los componentes de promoción, prevención, diagnóstico, tratamiento y rehabilitación, por profesionales de la salud que utilizan tecnologías de la información y la comunicación, que les permiten intercambiar datos con el propósito de facilitar el acceso y la oportunidad en la prestación de servicios a la población que presenta limitaciones de oferta, de acceso a los servicios o de ambos en su área geográfica.
Lo anterior no exime a los prestadores de servicios de salud y a las entidades responsables del pago de tales servicios de su responsabilidad de priorizar la prestación personalizada de servicios de salud, en el marco del Sistema General de Seguridad Social en Salud.
Teleeducación en salud: Es la utilización de las tecnologías de la información y telecomunicación para la práctica educativa de salud a distancia</t>
  </si>
  <si>
    <t>Ley 1419 de 2010 art 2, 9; Resolución 2654 de 2019, art 8,9,10,14,15,16,17,18,30</t>
  </si>
  <si>
    <t>54</t>
  </si>
  <si>
    <t>19.05.54</t>
  </si>
  <si>
    <t>Fortalecimiento Modalidad Extramural de Prestación de Servicios</t>
  </si>
  <si>
    <t>OGS - E1 Gobernabilidad y Gobernanza - L1 Desarrollo Institucional y Sectorial - Fortalecimiento Modalidad Extramural de Prestación de Servicios</t>
  </si>
  <si>
    <t xml:space="preserve">El primer nivel de atención – PNA es el primer contacto para contar con oferta de servicios que responda a las necesidades de la población, que sea accesible, oportuna, pertinente y resolutivo desde el territorio, con una relación sostenida con la gente, y en el contexto de la familia y la comunidad, siendo además responsable por la salud de un espacio-población . Este nivel “lo conforman servicios de atención integral a lo largo del curso de vida, que reúnen un conjunto de recursos para responder a la mayoría de las necesidades de salud, lo más cercano de la población, constituyéndose en piedra angular sobre la cual se organizan territorialmente los recursos de salud para articular los servicios de salud individual y colectiva de las RISS y, expandir el acceso equitativo a servicios y programas integrales e integrados a toda la población” . </t>
  </si>
  <si>
    <t>la Ley 2294 de 2023, mediante la cual se expide el Plan Nacional de Desarrollo 2022 – 2026 “Colombia Potencial Mundial de la Vida”, plantea en sus bases, avanzar hacia un sistema de salud garantista, universal, basado en un modelo de salud preventivo y predictivo, con el cual “(…) se buscará hacer efectiva la APS a través de la reorientación de los servicios de salud y el cumplimiento efectivo de las competencias de los integrantes del Sistema de Salud, para lo cual se propone (i) desarrollar equipos interdisciplinarios territorializados permanentes y sistemáticos, para garantizar la promoción de la salud y prevención de la enfermedad, a través de la coordinación de acciones sectoriales e intersectoriales; (ii) conformar redes integrales e integradas territoriales de salud, en las que participan prestadores públicos, privados y mixtos que garantizan servicios con calidad, oportunidad y pertinencia, cerca de donde viven las poblaciones; (iii) se recuperará, fortalecerá y modernizará la red pública hospitalaria, en particular en las zonas con baja oferta de servicios, apoyado en la ejecución de un plan maestro de inversiones en infraestructura y dotación; (iv) se formulará e implementará una nueva política de talento humano en salud, con enfoque de género, mejoramiento de la pertinencia, la cobertura y distribución del talento humano en el territorio nacional y (v) se fortalecerá el aseguramiento en salud para el cuidado integral de toda la población, bajo el control y regulación del Estado.”</t>
  </si>
  <si>
    <t>55</t>
  </si>
  <si>
    <t>19.05.55</t>
  </si>
  <si>
    <t>Cultura de la Seguridad Social</t>
  </si>
  <si>
    <t>OGS - E6 Conocimiento salud - L2 Acuerdos Sociales y Comunitarios - Cultura de la Seguridad Social</t>
  </si>
  <si>
    <t xml:space="preserve">Inversión para desarrollo de acciones para el fomento de la cultura de seguridad social, de acuerdo con los lineamientos nacionales y normatividad vigente. </t>
  </si>
  <si>
    <t>Ley 100 de 1993
Ley 1122 de 2007
Ley 1438 de 2011
Ley 1502 de 2011
Ley 1751 de 2015
Decreto 2766 de 2013</t>
  </si>
  <si>
    <t>56</t>
  </si>
  <si>
    <t>19.05.56</t>
  </si>
  <si>
    <t>Gestión de la atención de las urgencias, emergencias y desastres en salud</t>
  </si>
  <si>
    <t>OGS - E6 Conocimiento salud - Gestión de la atención de las urgencias, emergencias y desastres en salud</t>
  </si>
  <si>
    <t>Corresponde a los recursos necesarios para garantizar el derecho fundamental a la salud a las personas que han sido o pueden ser potencialmente afectadas por situaciones de urgencia, emergencias, desastres, epidemias y pandemias, comprende la operación y fortalecimiento de los Centros Reguladores de Urgencias, Emergencias y Desastres -CRUE, los Sistemas de Emergencias Médicas y las acciones de conocimiento, reducción del riesgo y manejo de desastres en salud.</t>
  </si>
  <si>
    <t>Ley 715 de 2001, Art. 43.1.2, 43.2.4, 44.1.3 y 54
Ley 1523 de 2012.  Artículos 2, 32, 35 y 44
Ley 1438 de 2011. Art 67
Decreto 2434 de  2015. Artículo 2.2.14.2.5.  
Decreto 780 De 2016 . Artículo 2.5.3.2.17
Resolución 1220 de 2010
Resolución 926 de 2017</t>
  </si>
  <si>
    <t>57</t>
  </si>
  <si>
    <t>19.05.57</t>
  </si>
  <si>
    <t>Diferentes a los contemplados en las demás subcuentas</t>
  </si>
  <si>
    <t>OGS - Diferentes a los contemplados en las demás subcuentas</t>
  </si>
  <si>
    <t>Otros gastos en salud Inversión - Diferentes a los contemplados en las demás subcuentas</t>
  </si>
  <si>
    <t xml:space="preserve"> </t>
  </si>
  <si>
    <t>58</t>
  </si>
  <si>
    <t>19.05.58</t>
  </si>
  <si>
    <t>Funcionamiento</t>
  </si>
  <si>
    <t>OGS - Funcionamiento</t>
  </si>
  <si>
    <t>Agrupa los gastos de funcionamiento</t>
  </si>
  <si>
    <t/>
  </si>
  <si>
    <t>SUM of  % Cumplimiento I trim</t>
  </si>
  <si>
    <t>SUM of  % Cumplimiento II Trim</t>
  </si>
  <si>
    <t>SUM of  % Cumplimiento III Trim</t>
  </si>
  <si>
    <t>SUM of  % Cumplimiento IV Trimestre</t>
  </si>
  <si>
    <t>SUM of  % Cumplimiento total</t>
  </si>
  <si>
    <t>SUM of  I trim</t>
  </si>
  <si>
    <t>SUM of  II Trim</t>
  </si>
  <si>
    <t>SUM of  III Trim</t>
  </si>
  <si>
    <t>SUM of  IV Trim</t>
  </si>
  <si>
    <t>Juventud, Adultez y Persona mayor</t>
  </si>
  <si>
    <t>Jairo Gamarra</t>
  </si>
  <si>
    <t>OCT</t>
  </si>
  <si>
    <t>NOV</t>
  </si>
  <si>
    <t>DIC</t>
  </si>
  <si>
    <t>María Fernanda Larios - Margareth Pinto</t>
  </si>
  <si>
    <t>Rina Marquez-Doraine Guerrero-Paola Gale</t>
  </si>
  <si>
    <t>jairo Gamarra</t>
  </si>
  <si>
    <t>María Fernanda Larios - Margaret Pinto</t>
  </si>
  <si>
    <t xml:space="preserve">MIRIAM eusse - claudia Chi </t>
  </si>
  <si>
    <t>(en blanco)</t>
  </si>
  <si>
    <t>RESPONSABLES</t>
  </si>
  <si>
    <t># ACT ASIGNADAS</t>
  </si>
  <si>
    <t>(Todas)</t>
  </si>
  <si>
    <t>OFICINA</t>
  </si>
  <si>
    <t>SALUD PUBLICA</t>
  </si>
  <si>
    <t>DESPACHO</t>
  </si>
  <si>
    <t>PLANEACION</t>
  </si>
  <si>
    <t>PRESTACION DE SERVICIOS</t>
  </si>
  <si>
    <t>ASEGURAMIENTO</t>
  </si>
  <si>
    <t>Promedio de % Cumplimiento</t>
  </si>
  <si>
    <t>% CUMP PROM</t>
  </si>
  <si>
    <t>PAI</t>
  </si>
  <si>
    <t>ETV</t>
  </si>
  <si>
    <t>SALUD MENTAL</t>
  </si>
  <si>
    <t>EDA-IRA</t>
  </si>
  <si>
    <t>VIG EPIDEM</t>
  </si>
  <si>
    <t>LAB DEP</t>
  </si>
  <si>
    <t>ZOONOSIS</t>
  </si>
  <si>
    <t>SSR</t>
  </si>
  <si>
    <t>NUTRICION</t>
  </si>
  <si>
    <t>DNT</t>
  </si>
  <si>
    <t>CALIDAD</t>
  </si>
  <si>
    <t>PIC</t>
  </si>
  <si>
    <t>SAC</t>
  </si>
  <si>
    <t>TB-LEPRA</t>
  </si>
  <si>
    <t>ECNT</t>
  </si>
  <si>
    <t>RIAS</t>
  </si>
  <si>
    <t>REGISTROS</t>
  </si>
  <si>
    <t>SALUD AMBIENTAL</t>
  </si>
  <si>
    <t>VARIOS</t>
  </si>
  <si>
    <t>LEPRA</t>
  </si>
  <si>
    <t>prestaciondeservicios@magdalena.gov.co</t>
  </si>
  <si>
    <t>EMERGENCIAS Y DESASTRES</t>
  </si>
  <si>
    <t>AREA</t>
  </si>
  <si>
    <t>REVISADO</t>
  </si>
  <si>
    <t>EDA - IRA</t>
  </si>
  <si>
    <t>LABORATORIO</t>
  </si>
  <si>
    <t>VIGILANCIA</t>
  </si>
  <si>
    <t>SOGC</t>
  </si>
  <si>
    <t xml:space="preserve">REGISTROS </t>
  </si>
  <si>
    <t>MEDICAMENTOS</t>
  </si>
  <si>
    <t>VINCULACION</t>
  </si>
  <si>
    <t>Aixa Leonor Ayala Quiroz</t>
  </si>
  <si>
    <t>KARINA PAOLA ALFARO ROJAS</t>
  </si>
  <si>
    <t>Yulisa Yisel Pava Valencia</t>
  </si>
  <si>
    <t>JORGE LUIS LASCANO TORRES</t>
  </si>
  <si>
    <t>JUAN DIEGO DE LA ROSA RAMOS</t>
  </si>
  <si>
    <t>Camilo Andrés Gómez Díaz</t>
  </si>
  <si>
    <t xml:space="preserve">Yolenis Sugey Ponzon Martinez </t>
  </si>
  <si>
    <t>LIZETH AGUIRRE JUVINAO</t>
  </si>
  <si>
    <t>MARY LUZ CABRERA</t>
  </si>
  <si>
    <t>Laura Patricia  HERNANDEZ PADILLA</t>
  </si>
  <si>
    <t xml:space="preserve">Darling Bermudez Aguas </t>
  </si>
  <si>
    <t>DAYANNA MARIA ESMERAL ALZAMORA</t>
  </si>
  <si>
    <t>Grecy Margarita Salas Perez</t>
  </si>
  <si>
    <t>MAYRA ALEJANDRA PALACIOS CASTAÑEDA</t>
  </si>
  <si>
    <t>LUIS GUILLERMO BORJA MENDOZA</t>
  </si>
  <si>
    <t>Marlon David Torrijos Ardila</t>
  </si>
  <si>
    <t>Keila Milena Peñarredonda Cantillo</t>
  </si>
  <si>
    <t>Johanna Katina  Valencia Escobar</t>
  </si>
  <si>
    <t>Gustavo Adolfo  Teran Cotes</t>
  </si>
  <si>
    <t xml:space="preserve">Victor  Manuel  Briceño Perez </t>
  </si>
  <si>
    <t>DUBER SANCHEZ</t>
  </si>
  <si>
    <t>Sindry Paola  Rebolledo Barros</t>
  </si>
  <si>
    <t>Hernan Bautista  Ovalle Sepulveda</t>
  </si>
  <si>
    <t>Yina Marcela  PALMA YEPEZ</t>
  </si>
  <si>
    <t xml:space="preserve">Nicol Melissa  Lopez Vanegas </t>
  </si>
  <si>
    <t>ANGELICA MARIA LOPEZ</t>
  </si>
  <si>
    <t>Marlin Sofia Salas Perez</t>
  </si>
  <si>
    <t>DINA LUZ SERRANO RODELO</t>
  </si>
  <si>
    <t>MARIA HILARIA GONZALEZ</t>
  </si>
  <si>
    <t xml:space="preserve">1)PRESTACION Y DESARROLLO DE SERVICIOS – 2)SALUD PUBLICA – 3)ASEGURAMIENTO – 4)EMERGENCIAS Y DESASTRES – 5)RIESGOS LABORALES – 6)PROMOCION SOCIAL – 7)PLANEACION. </t>
  </si>
  <si>
    <t>NOMBRE</t>
  </si>
  <si>
    <t>RICARDO RUIZ</t>
  </si>
  <si>
    <t>ARIADGNA CASTRO MORALES</t>
  </si>
  <si>
    <t>JUAN SIERRA AVENDAÑO</t>
  </si>
  <si>
    <t>LIDER DE AREA</t>
  </si>
  <si>
    <t>PLANTA</t>
  </si>
  <si>
    <t>CONTRATISTA</t>
  </si>
  <si>
    <t>REGISTROS PROFESIONALES</t>
  </si>
  <si>
    <t>AUDITORIA DE CUENTAS</t>
  </si>
  <si>
    <t>Perfiles y criterios par cancelaciones o reprogramaciones de actividades</t>
  </si>
  <si>
    <t>Actividades del PAS ligadas al contrato de gestión (operador externo)</t>
  </si>
  <si>
    <t>Listado de usuarios - perfiles - permisos (Completar datos de TH)</t>
  </si>
  <si>
    <t>Listado de insumos posibles requeridos (transporte - refrigerios - comunicaciones - etc)</t>
  </si>
  <si>
    <t xml:space="preserve">Confirmar fechas de inicio y finalización </t>
  </si>
  <si>
    <t>450-153166-23</t>
  </si>
  <si>
    <t>RIESGOS LABORALES</t>
  </si>
  <si>
    <t>ANDRES JIMENEZ</t>
  </si>
  <si>
    <t>ACUMULADO 2026</t>
  </si>
  <si>
    <t>ENE</t>
  </si>
  <si>
    <t>FEB</t>
  </si>
  <si>
    <t>MAR</t>
  </si>
  <si>
    <t>TRIM I</t>
  </si>
  <si>
    <t>ABR</t>
  </si>
  <si>
    <t>MAY</t>
  </si>
  <si>
    <t>JUN</t>
  </si>
  <si>
    <t>TRIM II</t>
  </si>
  <si>
    <t>JUL</t>
  </si>
  <si>
    <t>AGO</t>
  </si>
  <si>
    <t>SEPT</t>
  </si>
  <si>
    <t>TRIM III</t>
  </si>
  <si>
    <t>EJECUCION FINAL 2026</t>
  </si>
  <si>
    <t>PROG</t>
  </si>
  <si>
    <t>EJEC</t>
  </si>
  <si>
    <t>% EJEC</t>
  </si>
  <si>
    <t>% EJEC ACUM</t>
  </si>
  <si>
    <t># ACT X EJECUTAR</t>
  </si>
  <si>
    <t>NOMBRE DEL REFERENTE</t>
  </si>
  <si>
    <t>REFERENTE</t>
  </si>
  <si>
    <t>% DE AVANCE A 31 DE AGOSTO</t>
  </si>
  <si>
    <t>REQUIERE PLAN DE CHOQUE</t>
  </si>
  <si>
    <t>LAURA VIVEROS</t>
  </si>
  <si>
    <t>PAPSIVI</t>
  </si>
  <si>
    <t>PURA CRISTINA ROMERO MALDONADO</t>
  </si>
  <si>
    <t>MARIA JOSE ARAGON</t>
  </si>
  <si>
    <t>LUZ MARY GARCIA AGUDELO</t>
  </si>
  <si>
    <t>MARIO MEJIA VIVES</t>
  </si>
  <si>
    <t>DORAINE GUERRERO</t>
  </si>
  <si>
    <t xml:space="preserve">SALUD BUCAL </t>
  </si>
  <si>
    <t>MARYLUZ CABRERA</t>
  </si>
  <si>
    <t>RES 3280 PYMS</t>
  </si>
  <si>
    <t>CLAUDIA CHI</t>
  </si>
  <si>
    <t>MIRIAM EUSSE</t>
  </si>
  <si>
    <t>CELIA PABON</t>
  </si>
  <si>
    <t>SSR- RMP</t>
  </si>
  <si>
    <t xml:space="preserve">Yeraldin Loresmi Freyle Britto </t>
  </si>
  <si>
    <t>ANDREA PALACIOS POLANIA</t>
  </si>
  <si>
    <t>JAIRO GAMARRA</t>
  </si>
  <si>
    <t>Yamina Del Carmen Yañez Pimienta</t>
  </si>
  <si>
    <t>TB</t>
  </si>
  <si>
    <t>MARLY SIERRA</t>
  </si>
  <si>
    <t>LAB DPTAL</t>
  </si>
  <si>
    <t>LEYDI JOHANA FLOREZ DUARTE</t>
  </si>
  <si>
    <t>LEIDI CONSTANZA CUELLAR GORDO</t>
  </si>
  <si>
    <t>RAFAEL GUSTAVO TAPIAS BUENDIA</t>
  </si>
  <si>
    <t>GESTION</t>
  </si>
  <si>
    <t>JADER CHARRIS</t>
  </si>
  <si>
    <t>CARLOS ANDRES ESCOBAR GUTIERREZ</t>
  </si>
  <si>
    <t xml:space="preserve">SALUD PUBLICA </t>
  </si>
  <si>
    <t>Confirmar entre SP y RL</t>
  </si>
  <si>
    <t>confirmar asignación</t>
  </si>
  <si>
    <t>% POR EJECUTAR</t>
  </si>
  <si>
    <t xml:space="preserve">EVALUACION PRIMER SEMESTRE 2026 </t>
  </si>
  <si>
    <t xml:space="preserve"> AVANCES JUL - AGO</t>
  </si>
  <si>
    <t>PLAN DE CHOQUE "100 DIAS"</t>
  </si>
  <si>
    <t xml:space="preserve">PLANTA </t>
  </si>
  <si>
    <t>JSESUS REVOLLEDO</t>
  </si>
  <si>
    <t>LIZET AGUIRRE</t>
  </si>
  <si>
    <t>AIXA AYALA</t>
  </si>
  <si>
    <t>PARE</t>
  </si>
  <si>
    <t>CANCER</t>
  </si>
  <si>
    <t>IVC</t>
  </si>
  <si>
    <t>REICARDO RUIZ</t>
  </si>
  <si>
    <t>MARIA JOSEFA MANJARRES</t>
  </si>
  <si>
    <t>YAMINA YAÑEZ</t>
  </si>
  <si>
    <t>YERALDIN FREYLE</t>
  </si>
  <si>
    <t xml:space="preserve">TB   </t>
  </si>
  <si>
    <t xml:space="preserve">MARLY SIERRA </t>
  </si>
  <si>
    <t>confirmar asignación PROMOCION SOCIAL</t>
  </si>
  <si>
    <t>COD AREA</t>
  </si>
  <si>
    <t>COMPONENTES</t>
  </si>
  <si>
    <t xml:space="preserve">PERFIL </t>
  </si>
  <si>
    <t>ACTIVIDAD</t>
  </si>
  <si>
    <t>CARGO</t>
  </si>
  <si>
    <t>ESTADO</t>
  </si>
  <si>
    <t>FECHA FINAL</t>
  </si>
  <si>
    <t>REFERENTE O LIDER (AREA - PROCESO - PROGRAMA)</t>
  </si>
  <si>
    <t>LIDER O COORDINADOR DE AREA</t>
  </si>
  <si>
    <t>RUBY PONCE VALDOBINO</t>
  </si>
  <si>
    <t>FISIOTERAPUETA</t>
  </si>
  <si>
    <t>PROFESIONAL UNIVERSITARIO</t>
  </si>
  <si>
    <t>ENFERMERA</t>
  </si>
  <si>
    <t>PROFESIONAL ESPECIALIZADO</t>
  </si>
  <si>
    <t>CONTRATADO</t>
  </si>
  <si>
    <t>SI</t>
  </si>
  <si>
    <t>ALBA OLIVEROS</t>
  </si>
  <si>
    <t>FISIOTERAPEUTA</t>
  </si>
  <si>
    <t>NO</t>
  </si>
  <si>
    <t>JOSE MANUEL RODRIGUEZ PEREIRA</t>
  </si>
  <si>
    <t>MEDICO GENERAL</t>
  </si>
  <si>
    <t xml:space="preserve">Katherinn Stefanny  Lavalle Charris </t>
  </si>
  <si>
    <t>ODONTOLOGA</t>
  </si>
  <si>
    <t>PSICOLOGA</t>
  </si>
  <si>
    <t>ANDRES CAMILO BERBESI</t>
  </si>
  <si>
    <t>ANDRES SANTOS</t>
  </si>
  <si>
    <t>KAREN TATIANA OCHOA</t>
  </si>
  <si>
    <t>MICHEL ANGELICA  PEÑALOZA ARRIETA</t>
  </si>
  <si>
    <t>INGENIERO AMBIENTAL</t>
  </si>
  <si>
    <t>PROFESIONAL ESPECAILIZADO</t>
  </si>
  <si>
    <t>DISNEY PARODIS</t>
  </si>
  <si>
    <t>AUXILIAR ADMINISTRATIVO</t>
  </si>
  <si>
    <t>VIVIAN YANET AMADOR MARTÍNEZ</t>
  </si>
  <si>
    <t>Olfa Osiris Ortega Palomino</t>
  </si>
  <si>
    <t>Miguel Angel Jimenez Olmos</t>
  </si>
  <si>
    <t>FIDEL CABANA NOCHE</t>
  </si>
  <si>
    <t>Alvaro Andres Ortega Barletta</t>
  </si>
  <si>
    <t>Andrea Carolina Jimenez Lara</t>
  </si>
  <si>
    <t>Miguel Angel Medina Escorcia</t>
  </si>
  <si>
    <t>Henry Jose Burgos Hernandez</t>
  </si>
  <si>
    <t xml:space="preserve">Daniel Eduardo  Castilla Rodríguez </t>
  </si>
  <si>
    <t>Onelys Maria  Jimenez Sanjuan</t>
  </si>
  <si>
    <t>Mileidys Andrea  Salas Emiliani</t>
  </si>
  <si>
    <t>MARIA ALEJANDRA GUEVARA</t>
  </si>
  <si>
    <t>MERLY KAREN BONET MALDONADO (encargada en el PAE)</t>
  </si>
  <si>
    <t>NUTRICIONISTA</t>
  </si>
  <si>
    <t xml:space="preserve">PROFESIONAL UNIVERSITARIO </t>
  </si>
  <si>
    <t>LINDA MARCELA ACOSTA PEREZ</t>
  </si>
  <si>
    <t>MARIA ALEJANDRA MONTENEGRO</t>
  </si>
  <si>
    <t>MARIAM CANTILLO DEL CASTILLO</t>
  </si>
  <si>
    <t>CAROLA AVENDAÑO VICIOSO (revisar encargo)</t>
  </si>
  <si>
    <t xml:space="preserve">AUXILIAR    </t>
  </si>
  <si>
    <t>Gissell Rossanna  Zamora Orozco</t>
  </si>
  <si>
    <t>FABIOLA ESTHER REDONDO BURGOS</t>
  </si>
  <si>
    <t>JENIFER GONZALEZ</t>
  </si>
  <si>
    <t>Alexander Enrique Reyes Conrado</t>
  </si>
  <si>
    <t>TECNICO</t>
  </si>
  <si>
    <t>Ana Lucia  Ortiz Martinez</t>
  </si>
  <si>
    <t>AUXILIAR</t>
  </si>
  <si>
    <t>MERARI GÓMEZ CARREÑO</t>
  </si>
  <si>
    <t>TÉCNICO ÁREA SALUD</t>
  </si>
  <si>
    <t>JOSE FRANCISCO IGUARAN</t>
  </si>
  <si>
    <t>AUXILIAR ÁREA SALUD</t>
  </si>
  <si>
    <t>JAVIER SMITH</t>
  </si>
  <si>
    <t>JAIME CALDERON</t>
  </si>
  <si>
    <t>HEIDY LOPEZ RUIZ</t>
  </si>
  <si>
    <t>CARLOS GONZALEZ</t>
  </si>
  <si>
    <t>NANCY TORRES</t>
  </si>
  <si>
    <t>LIBRE - FUNCIONARIO PENSIONADO</t>
  </si>
  <si>
    <t>AUX. ADMINISTRATIVO</t>
  </si>
  <si>
    <t>LIBARDO ATENCIO PEÑARANDA</t>
  </si>
  <si>
    <t>ISACC DAVID DE ORO MERCADO</t>
  </si>
  <si>
    <t>AUXILIAR AREA SALUD</t>
  </si>
  <si>
    <t>LIBRE - CONCURSO</t>
  </si>
  <si>
    <t>MEDICO</t>
  </si>
  <si>
    <t>Jose Antonio Rivas Mejia</t>
  </si>
  <si>
    <t>RODRIGO ROBLES</t>
  </si>
  <si>
    <t>Erik Anderson  Perdomo Balaguera</t>
  </si>
  <si>
    <t>BIOLOGO - ENTOMOLOGO</t>
  </si>
  <si>
    <t>Michael Smith Garcia Lavalle</t>
  </si>
  <si>
    <t>ELIECER PEÑARANDA (revisar encargo)</t>
  </si>
  <si>
    <t>BACTERIOLOGO</t>
  </si>
  <si>
    <t>BACTERIOLOGA</t>
  </si>
  <si>
    <t xml:space="preserve">PROFESIONAL ESPECIALIZADO </t>
  </si>
  <si>
    <t>Mayra Karina Cantillo Mattos</t>
  </si>
  <si>
    <t>PENDIENTE</t>
  </si>
  <si>
    <t xml:space="preserve">Veronica Marcela  Berdugo De La Vega </t>
  </si>
  <si>
    <t>GUILLERMO VALENCIA CARBONO</t>
  </si>
  <si>
    <t>LUZ MERY ROCHA</t>
  </si>
  <si>
    <t>INGRID FERNANDEZ DE CASTRO</t>
  </si>
  <si>
    <t>MILENYS ARREGOCES</t>
  </si>
  <si>
    <t>MARIA LUISA PEREZ</t>
  </si>
  <si>
    <t>QUIMICO FARMACEUTA</t>
  </si>
  <si>
    <t>Fredy Alfonso  Bossa Guzman</t>
  </si>
  <si>
    <t>REGENTE DE FARMACIA</t>
  </si>
  <si>
    <t>Fredys Eugenio Ulloa De Avila</t>
  </si>
  <si>
    <t>LIBIA ESTRADA</t>
  </si>
  <si>
    <t>ANTROPÓLOGA</t>
  </si>
  <si>
    <t>MEDICO VETERINARIO</t>
  </si>
  <si>
    <t>BACTERIOLOGO - ABOGADO</t>
  </si>
  <si>
    <t>ASISTENCIA TECNICA SEGUIMIENTO Y AUDITORIA</t>
  </si>
  <si>
    <t>PARE MM</t>
  </si>
  <si>
    <t>RED HOSPITALARIA DE SERVICIOS</t>
  </si>
  <si>
    <t>REDES</t>
  </si>
  <si>
    <t>RMP</t>
  </si>
  <si>
    <t>DNT-PARE-CAC</t>
  </si>
  <si>
    <t>TRABAJO SOCIAL</t>
  </si>
  <si>
    <t>GESTION DOCUMENTAL</t>
  </si>
  <si>
    <t>INGENIERO DE SISTEMAS</t>
  </si>
  <si>
    <t>PLATAFORMA RETHUS</t>
  </si>
  <si>
    <t>DIGITAR</t>
  </si>
  <si>
    <t xml:space="preserve">HABILITACION Y REGISTRO DE PRESTADORES </t>
  </si>
  <si>
    <t>INSTRUMENTADOR QUIRURGICO</t>
  </si>
  <si>
    <t>REPS</t>
  </si>
  <si>
    <t>QUEDA SOLO CON CALIDAD EN TODOS SU COMPONENTES</t>
  </si>
  <si>
    <t>ARCHIVOS FISICOS</t>
  </si>
  <si>
    <t>VERIFICADORA</t>
  </si>
  <si>
    <t>ECONOMISTA</t>
  </si>
  <si>
    <t>ADMINISTRADO PUBLICO</t>
  </si>
  <si>
    <t>CONTADOR</t>
  </si>
  <si>
    <t>ADMINISTRADOR DE EMPRESAS</t>
  </si>
  <si>
    <t>TODAS LAS ACT</t>
  </si>
  <si>
    <t>SALUD OCUPACIONAL</t>
  </si>
  <si>
    <t>MARGARITA JUVINAO</t>
  </si>
  <si>
    <t>REVISAR DISPONIBILIDA DEL CARGO - PREPENSION</t>
  </si>
  <si>
    <t>REGIMEN ESPECIAL</t>
  </si>
  <si>
    <t>VACANTE</t>
  </si>
  <si>
    <t>BASE DE DATOS</t>
  </si>
  <si>
    <t>FABIAN PERTUZ</t>
  </si>
  <si>
    <t>IVC A BASE DE DATOS - AUDITORIA A EPS</t>
  </si>
  <si>
    <t>POR LEGALIZAR</t>
  </si>
  <si>
    <t>GESTION DE AFILIACION</t>
  </si>
  <si>
    <t>LINA LIZARAZO</t>
  </si>
  <si>
    <t>GESTION DE LA AFILIACIÓN</t>
  </si>
  <si>
    <t xml:space="preserve">CONTRATADO </t>
  </si>
  <si>
    <t>SANDY ROVIRA</t>
  </si>
  <si>
    <t>OSMAR CANDANOZA</t>
  </si>
  <si>
    <t>TECNICO EN ADM PUBLICA</t>
  </si>
  <si>
    <t>CONTRATACION</t>
  </si>
  <si>
    <t>LIDER DE CALIDAD</t>
  </si>
  <si>
    <t xml:space="preserve">HILDA MAJARRES </t>
  </si>
  <si>
    <t>SILENA AGUILAR</t>
  </si>
  <si>
    <t>SILVIA</t>
  </si>
  <si>
    <t>INSTRUMENTADORA</t>
  </si>
  <si>
    <t>AFRANIO OTERO</t>
  </si>
  <si>
    <t>FLUJO DE RECURSOS</t>
  </si>
  <si>
    <t>JOHANA LAVALLE</t>
  </si>
  <si>
    <t>RUBY ALANDETE</t>
  </si>
  <si>
    <t>DENIS SIERRA</t>
  </si>
  <si>
    <t xml:space="preserve">JESICA COTES </t>
  </si>
  <si>
    <t>JESUS RAMOS</t>
  </si>
  <si>
    <t>HUGO SIERRA</t>
  </si>
  <si>
    <t>GAUDI</t>
  </si>
  <si>
    <t>NADIN RAPAG</t>
  </si>
  <si>
    <t>LIDER GAUDI</t>
  </si>
  <si>
    <t>LIDER CAUDI</t>
  </si>
  <si>
    <t>MARISELA FERNANDEZ</t>
  </si>
  <si>
    <t>AUDITOR EN SALUD</t>
  </si>
  <si>
    <t>EDSON GONZALEZ</t>
  </si>
  <si>
    <t>PSICOLOGO</t>
  </si>
  <si>
    <t>ANDRES CASTRO</t>
  </si>
  <si>
    <t>ODONTOLOGO</t>
  </si>
  <si>
    <t>CEIDY RUBIO</t>
  </si>
  <si>
    <t>TECNICA</t>
  </si>
  <si>
    <t>JESUS REBOLLEDO</t>
  </si>
  <si>
    <t>REFERENCIA Y CONTRARREFERENCIA</t>
  </si>
  <si>
    <t>SARA JIMENEZ</t>
  </si>
  <si>
    <t>REFERENCIA</t>
  </si>
  <si>
    <t>MARCO HENRY</t>
  </si>
  <si>
    <t>COMUNICADOR COMERCIAL</t>
  </si>
  <si>
    <t>SIST DE COMUNICACIONES</t>
  </si>
  <si>
    <t>MISION MEDICA</t>
  </si>
  <si>
    <t>ANA MARIA CORREA</t>
  </si>
  <si>
    <t>ADMINISTRADOR DE SEGURIDAD Y SLAUD EN EL TRABAJO</t>
  </si>
  <si>
    <t>PLANES HOSP DE EMERGECNIAS</t>
  </si>
  <si>
    <t>PRIMEROS AUX PSIC</t>
  </si>
  <si>
    <t>LUIS BERMUDEZ</t>
  </si>
  <si>
    <t>TECNICO EN TELECOMUNICAICONES</t>
  </si>
  <si>
    <t>PRIMER RESPONDIENTE EN SALUD</t>
  </si>
  <si>
    <t>ARMANDO DIFILIPO</t>
  </si>
  <si>
    <t>ADMINISTADOR PUBLICO</t>
  </si>
  <si>
    <t>SISTEMAS DE COMUNICACIONES</t>
  </si>
  <si>
    <t>CLAUDIA CUAO</t>
  </si>
  <si>
    <t>SEM</t>
  </si>
  <si>
    <t>LINDA RODRIGUEZ</t>
  </si>
  <si>
    <t>YESENIA CARBONÓ</t>
  </si>
  <si>
    <t>AUXILIAR DE EBFERMERIA</t>
  </si>
  <si>
    <t>MEIRA ORTEGA</t>
  </si>
  <si>
    <t>JOSE PAEZ</t>
  </si>
  <si>
    <t>TECNICO SISTEMAS DE INFORMACIÓN</t>
  </si>
  <si>
    <t>ANDRES JIEMENEZ RADA</t>
  </si>
  <si>
    <t>ADMINISTRADOR PUBLICO</t>
  </si>
  <si>
    <t>DOMINGO VANEGAS ANGULO</t>
  </si>
  <si>
    <t>TECNOLOGO PROFESIONAL SEG Y SALUD EN EL TRABAJO</t>
  </si>
  <si>
    <t>ECONOMIA POPULAR Y COMUNITARIA</t>
  </si>
  <si>
    <t>GRACIELA YANES</t>
  </si>
  <si>
    <t>ADMIN SEGURIDAD Y SALUD EN EL TRABAJO</t>
  </si>
  <si>
    <t>EDUCAION A T INFORMALES</t>
  </si>
  <si>
    <t>ZAMIRNA VEGA CABALLERO</t>
  </si>
  <si>
    <t xml:space="preserve">REVISION DE SOLICITUDES DE LICENCIAS </t>
  </si>
  <si>
    <t>OSNAIDER MEJIA</t>
  </si>
  <si>
    <t>HIGIENISTA ORAL</t>
  </si>
  <si>
    <t xml:space="preserve">REALIZACION DE ACTOS ADM DE SOLICITUDES DE LICENCIAS </t>
  </si>
  <si>
    <t xml:space="preserve">ABRAHAM CEBALLOS </t>
  </si>
  <si>
    <t>TECNICO EN ARCHIVOS</t>
  </si>
  <si>
    <t xml:space="preserve">ORGANIZACIÓN DE ARCHIVOS </t>
  </si>
  <si>
    <t xml:space="preserve">PROMOCION SOCIAL </t>
  </si>
  <si>
    <t>BERENA MEZA</t>
  </si>
  <si>
    <t>KAREN RAMIREZ CAVIEDES</t>
  </si>
  <si>
    <t>LUIS GUILLERMO SILVA ORTIZ</t>
  </si>
  <si>
    <t>TECNICO OPERATIVO</t>
  </si>
  <si>
    <t>MARCO AURELIO DONADO BARROS</t>
  </si>
  <si>
    <t>CARRERA ADMINISTRATIVA</t>
  </si>
  <si>
    <t>RUTH ZUBIRIA PEREZ</t>
  </si>
  <si>
    <t>ANDRES BELTRAN CELIS</t>
  </si>
  <si>
    <t>FINANCIERA</t>
  </si>
  <si>
    <t>ISAIAS HERRERA DE AVILA</t>
  </si>
  <si>
    <t>ARMANDO SALAS ORTIZ</t>
  </si>
  <si>
    <t>RAMIRO SANTODOMINGO ESCORCIA</t>
  </si>
  <si>
    <t xml:space="preserve">LIBRE NOMBRAMIENTO Y REMOCION </t>
  </si>
  <si>
    <t>RENNY RENEY RODRIGUEZ HERAZO</t>
  </si>
  <si>
    <t>VENTANILLA</t>
  </si>
  <si>
    <t xml:space="preserve">CARMEN CABAS </t>
  </si>
  <si>
    <t>CORRESPONDENCIA</t>
  </si>
  <si>
    <t>MARINELLA GUERRERO MELENDREZ</t>
  </si>
  <si>
    <t>SECRETARIA EJECUTIVA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</si>
</sst>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mm\-dd\-yyyy"/>
    <numFmt numFmtId="166" formatCode="_-* #,##0_-;\-* #,##0_-;_-* &quot;-&quot;_-;_-@"/>
    <numFmt numFmtId="167" formatCode="dd\-mm\-yyyy"/>
    <numFmt numFmtId="168" formatCode="d/mm/yyyy;@"/>
    <numFmt numFmtId="169" formatCode="dd/mm/yyyy;@"/>
  </numFmts>
  <fonts count="64" x14ac:knownFonts="1">
    <font>
      <sz val="11"/>
      <color theme="1"/>
      <name val="Calibri"/>
      <scheme val="minor"/>
    </font>
    <font>
      <sz val="11"/>
      <color theme="1"/>
      <name val="Calibri"/>
      <family val="2"/>
      <scheme val="minor"/>
    </font>
    <font>
      <sz val="11"/>
      <color theme="1"/>
      <name val="Calibri"/>
      <family val="2"/>
      <scheme val="minor"/>
    </font>
    <font>
      <b/>
      <sz val="11"/>
      <color theme="1"/>
      <name val="Arial"/>
      <family val="2"/>
    </font>
    <font>
      <sz val="11"/>
      <color theme="1"/>
      <name val="Arial"/>
      <family val="2"/>
    </font>
    <font>
      <b/>
      <sz val="12"/>
      <color theme="1"/>
      <name val="Arial"/>
      <family val="2"/>
    </font>
    <font>
      <sz val="12"/>
      <color theme="1"/>
      <name val="Arial"/>
      <family val="2"/>
    </font>
    <font>
      <sz val="11"/>
      <color theme="1"/>
      <name val="Calibri"/>
      <family val="2"/>
    </font>
    <font>
      <sz val="11"/>
      <color rgb="FF000000"/>
      <name val="Arial"/>
      <family val="2"/>
    </font>
    <font>
      <b/>
      <sz val="12"/>
      <color rgb="FF7F7F7F"/>
      <name val="Verdana"/>
      <family val="2"/>
    </font>
    <font>
      <sz val="11"/>
      <color rgb="FFFFFFFF"/>
      <name val="Calibri"/>
      <family val="2"/>
    </font>
    <font>
      <sz val="11"/>
      <color theme="0"/>
      <name val="Calibri"/>
      <family val="2"/>
    </font>
    <font>
      <b/>
      <sz val="14"/>
      <color theme="1"/>
      <name val="Arial"/>
      <family val="2"/>
    </font>
    <font>
      <b/>
      <sz val="14"/>
      <color rgb="FFFF0000"/>
      <name val="Arial"/>
      <family val="2"/>
    </font>
    <font>
      <b/>
      <sz val="12"/>
      <color rgb="FFFF0000"/>
      <name val="Arial"/>
      <family val="2"/>
    </font>
    <font>
      <b/>
      <sz val="12"/>
      <color rgb="FFFF0000"/>
      <name val="Calibri"/>
      <family val="2"/>
    </font>
    <font>
      <sz val="11"/>
      <name val="Calibri"/>
      <family val="2"/>
    </font>
    <font>
      <sz val="10"/>
      <color theme="1"/>
      <name val="Arial"/>
      <family val="2"/>
    </font>
    <font>
      <b/>
      <sz val="10"/>
      <color theme="1"/>
      <name val="Arial"/>
      <family val="2"/>
    </font>
    <font>
      <b/>
      <sz val="9"/>
      <color theme="1"/>
      <name val="Arial"/>
      <family val="2"/>
    </font>
    <font>
      <sz val="11"/>
      <color rgb="FF000000"/>
      <name val="Arial"/>
      <family val="2"/>
    </font>
    <font>
      <sz val="10"/>
      <color rgb="FF000000"/>
      <name val="Arial"/>
      <family val="2"/>
    </font>
    <font>
      <sz val="11"/>
      <color theme="1"/>
      <name val="Calibri"/>
      <family val="2"/>
      <scheme val="minor"/>
    </font>
    <font>
      <b/>
      <sz val="11"/>
      <color theme="1"/>
      <name val="Calibri"/>
      <family val="2"/>
    </font>
    <font>
      <sz val="12"/>
      <color rgb="FF000000"/>
      <name val="Aptos"/>
      <family val="2"/>
    </font>
    <font>
      <sz val="8"/>
      <color theme="1"/>
      <name val="Arial"/>
      <family val="2"/>
    </font>
    <font>
      <sz val="10"/>
      <color theme="1"/>
      <name val="Arial Narrow"/>
      <family val="2"/>
    </font>
    <font>
      <u/>
      <sz val="11"/>
      <color theme="1"/>
      <name val="Arial"/>
      <family val="2"/>
    </font>
    <font>
      <b/>
      <sz val="11"/>
      <color rgb="FF000000"/>
      <name val="Arial"/>
      <family val="2"/>
    </font>
    <font>
      <u/>
      <sz val="11"/>
      <color rgb="FF000000"/>
      <name val="Arial"/>
      <family val="2"/>
    </font>
    <font>
      <b/>
      <u/>
      <sz val="11"/>
      <color rgb="FF000000"/>
      <name val="Arial"/>
      <family val="2"/>
    </font>
    <font>
      <b/>
      <sz val="8"/>
      <color theme="1"/>
      <name val="Arial"/>
      <family val="2"/>
    </font>
    <font>
      <b/>
      <sz val="8"/>
      <color theme="4"/>
      <name val="Arial"/>
      <family val="2"/>
    </font>
    <font>
      <sz val="10"/>
      <name val="Arial"/>
      <family val="2"/>
    </font>
    <font>
      <sz val="11"/>
      <color rgb="FFFF0000"/>
      <name val="Calibri"/>
      <family val="2"/>
      <scheme val="minor"/>
    </font>
    <font>
      <b/>
      <sz val="11"/>
      <color theme="1"/>
      <name val="Calibri"/>
      <family val="2"/>
      <scheme val="minor"/>
    </font>
    <font>
      <b/>
      <sz val="10"/>
      <color theme="1"/>
      <name val="Arial"/>
      <family val="2"/>
    </font>
    <font>
      <b/>
      <sz val="13"/>
      <color theme="1"/>
      <name val="Calibri"/>
      <family val="2"/>
    </font>
    <font>
      <b/>
      <sz val="11"/>
      <color rgb="FF000000"/>
      <name val="Arial"/>
      <family val="2"/>
    </font>
    <font>
      <b/>
      <sz val="10"/>
      <color theme="1"/>
      <name val="Calibri"/>
      <family val="2"/>
      <scheme val="minor"/>
    </font>
    <font>
      <sz val="10"/>
      <color theme="1"/>
      <name val="Calibri"/>
      <family val="2"/>
      <scheme val="minor"/>
    </font>
    <font>
      <b/>
      <sz val="12"/>
      <color rgb="FFFF0000"/>
      <name val="Calibri"/>
      <family val="2"/>
      <scheme val="minor"/>
    </font>
    <font>
      <b/>
      <sz val="10"/>
      <color rgb="FFFF0000"/>
      <name val="Arial"/>
      <family val="2"/>
    </font>
    <font>
      <sz val="11"/>
      <color rgb="FFFF0000"/>
      <name val="Arial"/>
      <family val="2"/>
    </font>
    <font>
      <sz val="10"/>
      <color rgb="FFFF0000"/>
      <name val="Arial"/>
      <family val="2"/>
    </font>
    <font>
      <b/>
      <sz val="12"/>
      <color theme="1"/>
      <name val="Calibri"/>
      <family val="2"/>
      <scheme val="minor"/>
    </font>
    <font>
      <b/>
      <sz val="10"/>
      <color rgb="FFFF0000"/>
      <name val="Calibri"/>
      <family val="2"/>
      <scheme val="minor"/>
    </font>
    <font>
      <sz val="10"/>
      <color rgb="FFFF0000"/>
      <name val="Calibri"/>
      <family val="2"/>
      <scheme val="minor"/>
    </font>
    <font>
      <sz val="10"/>
      <color rgb="FFFF0000"/>
      <name val="Calibri"/>
      <family val="2"/>
      <scheme val="major"/>
    </font>
    <font>
      <u/>
      <sz val="11"/>
      <color theme="10"/>
      <name val="Calibri"/>
      <family val="2"/>
      <scheme val="minor"/>
    </font>
    <font>
      <sz val="9"/>
      <color indexed="81"/>
      <name val="Tahoma"/>
      <family val="2"/>
    </font>
    <font>
      <b/>
      <sz val="9"/>
      <color indexed="81"/>
      <name val="Tahoma"/>
      <family val="2"/>
    </font>
    <font>
      <sz val="10"/>
      <color theme="1"/>
      <name val="Arial"/>
      <family val="2"/>
    </font>
    <font>
      <sz val="9"/>
      <color indexed="81"/>
      <name val="Tahoma"/>
    </font>
    <font>
      <b/>
      <sz val="9"/>
      <color indexed="81"/>
      <name val="Tahoma"/>
    </font>
    <font>
      <sz val="8"/>
      <color theme="1"/>
      <name val="Calibri"/>
      <family val="2"/>
      <scheme val="minor"/>
    </font>
    <font>
      <sz val="8"/>
      <name val="Calibri"/>
      <family val="2"/>
      <scheme val="minor"/>
    </font>
    <font>
      <sz val="11"/>
      <name val="Calibri"/>
      <family val="2"/>
      <scheme val="minor"/>
    </font>
    <font>
      <b/>
      <sz val="8"/>
      <color theme="1"/>
      <name val="Aptos Display"/>
      <family val="2"/>
    </font>
    <font>
      <b/>
      <sz val="14"/>
      <color theme="1"/>
      <name val="Calibri"/>
      <family val="2"/>
      <scheme val="minor"/>
    </font>
    <font>
      <sz val="8"/>
      <color rgb="FF000000"/>
      <name val="Arial"/>
      <family val="2"/>
    </font>
    <font>
      <b/>
      <sz val="8"/>
      <color theme="1"/>
      <name val="Calibri"/>
      <family val="2"/>
      <scheme val="minor"/>
    </font>
    <font>
      <b/>
      <sz val="11"/>
      <color rgb="FFFF0000"/>
      <name val="Calibri"/>
      <family val="2"/>
      <scheme val="minor"/>
    </font>
    <font>
      <sz val="8"/>
      <color rgb="FFFF0000"/>
      <name val="Calibri"/>
      <family val="2"/>
      <scheme val="minor"/>
    </font>
  </fonts>
  <fills count="36">
    <fill>
      <patternFill patternType="none"/>
    </fill>
    <fill>
      <patternFill patternType="gray125"/>
    </fill>
    <fill>
      <patternFill patternType="solid">
        <fgColor rgb="FFAEABAB"/>
        <bgColor rgb="FFAEABAB"/>
      </patternFill>
    </fill>
    <fill>
      <patternFill patternType="solid">
        <fgColor theme="0"/>
        <bgColor theme="0"/>
      </patternFill>
    </fill>
    <fill>
      <patternFill patternType="solid">
        <fgColor rgb="FFDEEAF6"/>
        <bgColor rgb="FFDEEAF6"/>
      </patternFill>
    </fill>
    <fill>
      <patternFill patternType="solid">
        <fgColor rgb="FFFFFFFF"/>
        <bgColor rgb="FFFFFFFF"/>
      </patternFill>
    </fill>
    <fill>
      <patternFill patternType="solid">
        <fgColor theme="9"/>
        <bgColor theme="9"/>
      </patternFill>
    </fill>
    <fill>
      <patternFill patternType="solid">
        <fgColor rgb="FFC5E0B3"/>
        <bgColor rgb="FFC5E0B3"/>
      </patternFill>
    </fill>
    <fill>
      <patternFill patternType="solid">
        <fgColor rgb="FFBDD6EE"/>
        <bgColor rgb="FFBDD6EE"/>
      </patternFill>
    </fill>
    <fill>
      <patternFill patternType="solid">
        <fgColor rgb="FFF5BB93"/>
        <bgColor rgb="FFF5BB93"/>
      </patternFill>
    </fill>
    <fill>
      <patternFill patternType="solid">
        <fgColor rgb="FFFEF2CB"/>
        <bgColor rgb="FFFEF2CB"/>
      </patternFill>
    </fill>
    <fill>
      <patternFill patternType="solid">
        <fgColor rgb="FF92D050"/>
        <bgColor rgb="FF92D050"/>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00"/>
        <bgColor rgb="FFDEEAF6"/>
      </patternFill>
    </fill>
    <fill>
      <patternFill patternType="solid">
        <fgColor rgb="FF92D050"/>
        <bgColor indexed="64"/>
      </patternFill>
    </fill>
    <fill>
      <patternFill patternType="solid">
        <fgColor rgb="FFFF0000"/>
        <bgColor indexed="64"/>
      </patternFill>
    </fill>
    <fill>
      <patternFill patternType="solid">
        <fgColor theme="5" tint="0.79998168889431442"/>
        <bgColor rgb="FFDEEAF6"/>
      </patternFill>
    </fill>
    <fill>
      <patternFill patternType="solid">
        <fgColor theme="5" tint="0.59999389629810485"/>
        <bgColor rgb="FFDEEAF6"/>
      </patternFill>
    </fill>
    <fill>
      <patternFill patternType="solid">
        <fgColor theme="4" tint="0.59999389629810485"/>
        <bgColor rgb="FFDEEAF6"/>
      </patternFill>
    </fill>
    <fill>
      <patternFill patternType="solid">
        <fgColor rgb="FFFFC00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rgb="FFA307F9"/>
        <bgColor indexed="64"/>
      </patternFill>
    </fill>
    <fill>
      <patternFill patternType="solid">
        <fgColor theme="7"/>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59999389629810485"/>
        <bgColor rgb="FFDEEAF6"/>
      </patternFill>
    </fill>
    <fill>
      <patternFill patternType="solid">
        <fgColor theme="7" tint="0.79998168889431442"/>
        <bgColor rgb="FFDEEAF6"/>
      </patternFill>
    </fill>
    <fill>
      <patternFill patternType="solid">
        <fgColor theme="8" tint="0.39997558519241921"/>
        <bgColor rgb="FFDEEAF6"/>
      </patternFill>
    </fill>
    <fill>
      <patternFill patternType="solid">
        <fgColor rgb="FFFF0000"/>
        <bgColor rgb="FFFFFFFF"/>
      </patternFill>
    </fill>
    <fill>
      <patternFill patternType="solid">
        <fgColor rgb="FF7030A0"/>
        <bgColor indexed="64"/>
      </patternFill>
    </fill>
    <fill>
      <patternFill patternType="solid">
        <fgColor theme="5" tint="0.79998168889431442"/>
        <bgColor indexed="64"/>
      </patternFill>
    </fill>
  </fills>
  <borders count="45">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style="medium">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indexed="65"/>
      </left>
      <right/>
      <top style="thin">
        <color indexed="65"/>
      </top>
      <bottom/>
      <diagonal/>
    </border>
    <border>
      <left style="thin">
        <color indexed="64"/>
      </left>
      <right style="thin">
        <color indexed="64"/>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right style="thin">
        <color rgb="FFABABAB"/>
      </right>
      <top style="thin">
        <color rgb="FFABABAB"/>
      </top>
      <bottom/>
      <diagonal/>
    </border>
    <border>
      <left style="thin">
        <color rgb="FFABABAB"/>
      </left>
      <right/>
      <top style="thin">
        <color rgb="FFABABAB"/>
      </top>
      <bottom style="thin">
        <color rgb="FFABABAB"/>
      </bottom>
      <diagonal/>
    </border>
    <border>
      <left/>
      <right/>
      <top style="thin">
        <color rgb="FFABABAB"/>
      </top>
      <bottom style="thin">
        <color rgb="FFABABAB"/>
      </bottom>
      <diagonal/>
    </border>
    <border>
      <left/>
      <right style="thin">
        <color rgb="FFABABAB"/>
      </right>
      <top style="thin">
        <color rgb="FFABABAB"/>
      </top>
      <bottom style="thin">
        <color rgb="FFABABAB"/>
      </bottom>
      <diagonal/>
    </border>
    <border>
      <left style="thin">
        <color rgb="FFABABAB"/>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bottom style="thin">
        <color indexed="64"/>
      </bottom>
      <diagonal/>
    </border>
    <border>
      <left style="thin">
        <color rgb="FF000000"/>
      </left>
      <right/>
      <top style="thin">
        <color rgb="FF00000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9" fontId="22" fillId="0" borderId="0" applyFont="0" applyFill="0" applyBorder="0" applyAlignment="0" applyProtection="0"/>
    <xf numFmtId="0" fontId="49" fillId="0" borderId="0" applyNumberFormat="0" applyFill="0" applyBorder="0" applyAlignment="0" applyProtection="0"/>
  </cellStyleXfs>
  <cellXfs count="367">
    <xf numFmtId="0" fontId="0" fillId="0" borderId="0" xfId="0"/>
    <xf numFmtId="0" fontId="3" fillId="0" borderId="1" xfId="0" applyFont="1" applyBorder="1"/>
    <xf numFmtId="0" fontId="3" fillId="0" borderId="1" xfId="0" applyFont="1" applyBorder="1" applyAlignment="1">
      <alignment vertical="top" wrapText="1"/>
    </xf>
    <xf numFmtId="0" fontId="4" fillId="0" borderId="1" xfId="0" applyFont="1" applyBorder="1"/>
    <xf numFmtId="0" fontId="5" fillId="0" borderId="1" xfId="0" applyFont="1" applyBorder="1"/>
    <xf numFmtId="0" fontId="3" fillId="2" borderId="1" xfId="0" applyFont="1" applyFill="1" applyBorder="1" applyAlignment="1">
      <alignment wrapText="1"/>
    </xf>
    <xf numFmtId="0" fontId="3" fillId="2" borderId="1" xfId="0" applyFont="1" applyFill="1" applyBorder="1" applyAlignment="1">
      <alignment horizontal="center" vertical="top" wrapText="1"/>
    </xf>
    <xf numFmtId="0" fontId="4" fillId="0" borderId="1" xfId="0" applyFont="1" applyBorder="1" applyAlignment="1">
      <alignment horizontal="left" vertical="center" wrapText="1"/>
    </xf>
    <xf numFmtId="0" fontId="4" fillId="0" borderId="1" xfId="0" applyFont="1" applyBorder="1" applyAlignment="1">
      <alignment vertical="center" wrapText="1"/>
    </xf>
    <xf numFmtId="0" fontId="6" fillId="0" borderId="1" xfId="0" applyFont="1" applyBorder="1" applyAlignment="1">
      <alignment wrapText="1"/>
    </xf>
    <xf numFmtId="0" fontId="7" fillId="0" borderId="1" xfId="0" applyFont="1" applyBorder="1" applyAlignment="1">
      <alignment vertical="center" wrapText="1"/>
    </xf>
    <xf numFmtId="0" fontId="7" fillId="0" borderId="0" xfId="0" applyFont="1" applyAlignment="1">
      <alignment vertical="center" wrapText="1"/>
    </xf>
    <xf numFmtId="0" fontId="7" fillId="0" borderId="1" xfId="0" applyFont="1" applyBorder="1"/>
    <xf numFmtId="0" fontId="4" fillId="0" borderId="1" xfId="0" applyFont="1" applyBorder="1" applyAlignment="1">
      <alignment horizontal="left" vertical="top" wrapText="1"/>
    </xf>
    <xf numFmtId="0" fontId="7" fillId="0" borderId="1" xfId="0" applyFont="1" applyBorder="1" applyAlignment="1">
      <alignment vertical="center"/>
    </xf>
    <xf numFmtId="0" fontId="8" fillId="0" borderId="1" xfId="0" applyFont="1" applyBorder="1" applyAlignment="1">
      <alignment wrapText="1"/>
    </xf>
    <xf numFmtId="0" fontId="8" fillId="0" borderId="1" xfId="0" applyFont="1" applyBorder="1" applyAlignment="1">
      <alignment vertical="top" wrapText="1"/>
    </xf>
    <xf numFmtId="0" fontId="8" fillId="0" borderId="1" xfId="0" applyFont="1" applyBorder="1" applyAlignment="1">
      <alignment vertical="center" wrapText="1"/>
    </xf>
    <xf numFmtId="0" fontId="7" fillId="0" borderId="0" xfId="0" applyFont="1" applyAlignment="1">
      <alignment horizontal="left" vertical="top"/>
    </xf>
    <xf numFmtId="0" fontId="7" fillId="3" borderId="2" xfId="0" applyFont="1" applyFill="1" applyBorder="1"/>
    <xf numFmtId="0" fontId="9" fillId="3" borderId="2" xfId="0" applyFont="1" applyFill="1" applyBorder="1"/>
    <xf numFmtId="0" fontId="12" fillId="0" borderId="3" xfId="0" applyFont="1" applyBorder="1" applyAlignment="1">
      <alignment horizontal="right" vertical="center"/>
    </xf>
    <xf numFmtId="0" fontId="13" fillId="0" borderId="3" xfId="0" applyFont="1" applyBorder="1" applyAlignment="1">
      <alignment horizontal="left" vertical="center"/>
    </xf>
    <xf numFmtId="0" fontId="12" fillId="0" borderId="3" xfId="0" applyFont="1" applyBorder="1" applyAlignment="1">
      <alignment horizontal="left" vertical="center"/>
    </xf>
    <xf numFmtId="0" fontId="14" fillId="0" borderId="3" xfId="0" applyFont="1" applyBorder="1" applyAlignment="1">
      <alignment horizontal="left"/>
    </xf>
    <xf numFmtId="164" fontId="17" fillId="0" borderId="1" xfId="0" applyNumberFormat="1" applyFont="1" applyBorder="1" applyAlignment="1">
      <alignment horizontal="center" vertical="center"/>
    </xf>
    <xf numFmtId="0" fontId="20" fillId="0" borderId="1" xfId="0" applyFont="1" applyBorder="1" applyAlignment="1">
      <alignment horizontal="left" vertical="top"/>
    </xf>
    <xf numFmtId="0" fontId="20" fillId="0" borderId="1" xfId="0" applyFont="1" applyBorder="1" applyAlignment="1">
      <alignment horizontal="center"/>
    </xf>
    <xf numFmtId="164" fontId="17" fillId="5" borderId="1" xfId="0" applyNumberFormat="1" applyFont="1" applyFill="1" applyBorder="1" applyAlignment="1">
      <alignment horizontal="center" vertical="center"/>
    </xf>
    <xf numFmtId="9" fontId="17" fillId="5" borderId="1" xfId="0" applyNumberFormat="1" applyFont="1" applyFill="1" applyBorder="1" applyAlignment="1">
      <alignment horizontal="center" vertical="center"/>
    </xf>
    <xf numFmtId="0" fontId="22" fillId="0" borderId="0" xfId="0" applyFont="1"/>
    <xf numFmtId="0" fontId="7" fillId="0" borderId="0" xfId="0" applyFont="1"/>
    <xf numFmtId="0" fontId="7" fillId="6" borderId="2" xfId="0" applyFont="1" applyFill="1" applyBorder="1"/>
    <xf numFmtId="164" fontId="7" fillId="0" borderId="0" xfId="0" applyNumberFormat="1" applyFont="1"/>
    <xf numFmtId="0" fontId="23" fillId="7" borderId="1" xfId="0" applyFont="1" applyFill="1" applyBorder="1" applyAlignment="1">
      <alignment horizontal="center"/>
    </xf>
    <xf numFmtId="0" fontId="18" fillId="8" borderId="1" xfId="0" applyFont="1" applyFill="1" applyBorder="1" applyAlignment="1">
      <alignment wrapText="1"/>
    </xf>
    <xf numFmtId="0" fontId="17" fillId="0" borderId="1" xfId="0" applyFont="1" applyBorder="1" applyAlignment="1">
      <alignment wrapText="1"/>
    </xf>
    <xf numFmtId="0" fontId="17" fillId="0" borderId="0" xfId="0" applyFont="1" applyAlignment="1">
      <alignment wrapText="1"/>
    </xf>
    <xf numFmtId="0" fontId="17" fillId="8" borderId="1" xfId="0" applyFont="1" applyFill="1" applyBorder="1" applyAlignment="1">
      <alignment wrapText="1"/>
    </xf>
    <xf numFmtId="0" fontId="18" fillId="8" borderId="2" xfId="0" applyFont="1" applyFill="1" applyBorder="1" applyAlignment="1">
      <alignment wrapText="1"/>
    </xf>
    <xf numFmtId="0" fontId="18" fillId="8" borderId="2" xfId="0" applyFont="1" applyFill="1" applyBorder="1" applyAlignment="1">
      <alignment horizontal="center" wrapText="1"/>
    </xf>
    <xf numFmtId="49" fontId="17" fillId="0" borderId="1" xfId="0" applyNumberFormat="1" applyFont="1" applyBorder="1" applyAlignment="1">
      <alignment horizontal="center" wrapText="1"/>
    </xf>
    <xf numFmtId="0" fontId="17" fillId="0" borderId="1" xfId="0" applyFont="1" applyBorder="1" applyAlignment="1">
      <alignment horizontal="left" wrapText="1"/>
    </xf>
    <xf numFmtId="0" fontId="17" fillId="0" borderId="1" xfId="0" applyFont="1" applyBorder="1" applyAlignment="1">
      <alignment horizontal="center" wrapText="1"/>
    </xf>
    <xf numFmtId="0" fontId="17" fillId="0" borderId="4" xfId="0" applyFont="1" applyBorder="1" applyAlignment="1">
      <alignment wrapText="1"/>
    </xf>
    <xf numFmtId="49" fontId="17" fillId="0" borderId="0" xfId="0" applyNumberFormat="1" applyFont="1" applyAlignment="1">
      <alignment horizontal="center" wrapText="1"/>
    </xf>
    <xf numFmtId="0" fontId="17" fillId="0" borderId="0" xfId="0" applyFont="1"/>
    <xf numFmtId="49" fontId="17" fillId="0" borderId="1" xfId="0" applyNumberFormat="1" applyFont="1" applyBorder="1" applyAlignment="1">
      <alignment wrapText="1"/>
    </xf>
    <xf numFmtId="0" fontId="24" fillId="9" borderId="1" xfId="0" applyFont="1" applyFill="1" applyBorder="1" applyAlignment="1">
      <alignment vertical="center" wrapText="1"/>
    </xf>
    <xf numFmtId="0" fontId="25" fillId="0" borderId="0" xfId="0" applyFont="1" applyAlignment="1">
      <alignment wrapText="1"/>
    </xf>
    <xf numFmtId="0" fontId="7" fillId="10" borderId="1" xfId="0" applyFont="1" applyFill="1" applyBorder="1" applyAlignment="1">
      <alignment wrapText="1"/>
    </xf>
    <xf numFmtId="0" fontId="7" fillId="9" borderId="1" xfId="0" applyFont="1" applyFill="1" applyBorder="1" applyAlignment="1">
      <alignment wrapText="1"/>
    </xf>
    <xf numFmtId="0" fontId="7" fillId="10" borderId="2" xfId="0" applyFont="1" applyFill="1" applyBorder="1" applyAlignment="1">
      <alignment wrapText="1"/>
    </xf>
    <xf numFmtId="0" fontId="7" fillId="9" borderId="2" xfId="0" applyFont="1" applyFill="1" applyBorder="1" applyAlignment="1">
      <alignment wrapText="1"/>
    </xf>
    <xf numFmtId="0" fontId="7" fillId="0" borderId="0" xfId="0" applyFont="1" applyAlignment="1">
      <alignment wrapText="1"/>
    </xf>
    <xf numFmtId="0" fontId="21" fillId="0" borderId="0" xfId="0" applyFont="1" applyAlignment="1">
      <alignment vertical="center" wrapText="1"/>
    </xf>
    <xf numFmtId="0" fontId="7" fillId="0" borderId="0" xfId="0" applyFont="1" applyAlignment="1">
      <alignment vertical="center"/>
    </xf>
    <xf numFmtId="49" fontId="17" fillId="0" borderId="17" xfId="0" applyNumberFormat="1" applyFont="1" applyBorder="1" applyAlignment="1">
      <alignment horizontal="center" vertical="center"/>
    </xf>
    <xf numFmtId="49" fontId="17" fillId="0" borderId="1" xfId="0" applyNumberFormat="1" applyFont="1" applyBorder="1" applyAlignment="1">
      <alignment horizontal="center" vertical="center"/>
    </xf>
    <xf numFmtId="49" fontId="17" fillId="0" borderId="20" xfId="0" applyNumberFormat="1" applyFont="1" applyBorder="1" applyAlignment="1">
      <alignment horizontal="center" vertical="center"/>
    </xf>
    <xf numFmtId="0" fontId="24" fillId="0" borderId="1" xfId="0" applyFont="1" applyBorder="1" applyAlignment="1">
      <alignment vertical="center" wrapText="1"/>
    </xf>
    <xf numFmtId="0" fontId="25" fillId="0" borderId="1" xfId="0" applyFont="1" applyBorder="1" applyAlignment="1">
      <alignment wrapText="1"/>
    </xf>
    <xf numFmtId="0" fontId="7" fillId="0" borderId="1" xfId="0" applyFont="1" applyBorder="1" applyAlignment="1">
      <alignment wrapText="1"/>
    </xf>
    <xf numFmtId="0" fontId="12" fillId="11" borderId="1" xfId="0" applyFont="1" applyFill="1" applyBorder="1" applyAlignment="1">
      <alignment horizontal="center" wrapText="1"/>
    </xf>
    <xf numFmtId="0" fontId="26" fillId="0" borderId="17" xfId="0" applyFont="1" applyBorder="1" applyAlignment="1">
      <alignment horizontal="center" vertical="center"/>
    </xf>
    <xf numFmtId="0" fontId="26" fillId="0" borderId="17" xfId="0" applyFont="1" applyBorder="1" applyAlignment="1">
      <alignment vertical="center"/>
    </xf>
    <xf numFmtId="0" fontId="26" fillId="0" borderId="17" xfId="0" applyFont="1" applyBorder="1" applyAlignment="1">
      <alignment vertical="center" wrapText="1"/>
    </xf>
    <xf numFmtId="0" fontId="26" fillId="0" borderId="17" xfId="0" applyFont="1" applyBorder="1" applyAlignment="1">
      <alignment horizontal="left" vertical="center" wrapText="1"/>
    </xf>
    <xf numFmtId="0" fontId="26" fillId="0" borderId="1" xfId="0" applyFont="1" applyBorder="1" applyAlignment="1">
      <alignment horizontal="center" vertical="center"/>
    </xf>
    <xf numFmtId="0" fontId="26" fillId="0" borderId="1" xfId="0" applyFont="1" applyBorder="1" applyAlignment="1">
      <alignment vertical="center"/>
    </xf>
    <xf numFmtId="0" fontId="26" fillId="0" borderId="1" xfId="0" applyFont="1" applyBorder="1" applyAlignment="1">
      <alignment vertical="center" wrapText="1"/>
    </xf>
    <xf numFmtId="0" fontId="26" fillId="0" borderId="20" xfId="0" applyFont="1" applyBorder="1" applyAlignment="1">
      <alignment horizontal="center" vertical="center"/>
    </xf>
    <xf numFmtId="0" fontId="26" fillId="0" borderId="20" xfId="0" applyFont="1" applyBorder="1" applyAlignment="1">
      <alignment vertical="center"/>
    </xf>
    <xf numFmtId="0" fontId="26" fillId="0" borderId="20" xfId="0" applyFont="1" applyBorder="1" applyAlignment="1">
      <alignment vertical="center" wrapText="1"/>
    </xf>
    <xf numFmtId="0" fontId="26" fillId="0" borderId="17" xfId="0" applyFont="1" applyBorder="1" applyAlignment="1">
      <alignment horizontal="left" vertical="center"/>
    </xf>
    <xf numFmtId="0" fontId="26" fillId="0" borderId="1" xfId="0" applyFont="1" applyBorder="1" applyAlignment="1">
      <alignment horizontal="left" vertical="center"/>
    </xf>
    <xf numFmtId="0" fontId="26" fillId="0" borderId="1" xfId="0" applyFont="1" applyBorder="1" applyAlignment="1">
      <alignment horizontal="left" vertical="center" wrapText="1"/>
    </xf>
    <xf numFmtId="0" fontId="26" fillId="0" borderId="1" xfId="0" applyFont="1" applyBorder="1" applyAlignment="1">
      <alignment horizontal="left" vertical="top" wrapText="1"/>
    </xf>
    <xf numFmtId="0" fontId="26" fillId="0" borderId="20" xfId="0" applyFont="1" applyBorder="1" applyAlignment="1">
      <alignment horizontal="left" vertical="center"/>
    </xf>
    <xf numFmtId="0" fontId="26" fillId="0" borderId="20" xfId="0" applyFont="1" applyBorder="1" applyAlignment="1">
      <alignment horizontal="left" vertical="center" wrapText="1"/>
    </xf>
    <xf numFmtId="0" fontId="17" fillId="0" borderId="17" xfId="0" applyFont="1" applyBorder="1" applyAlignment="1">
      <alignment horizontal="center" vertical="center"/>
    </xf>
    <xf numFmtId="0" fontId="17" fillId="0" borderId="1" xfId="0" applyFont="1" applyBorder="1" applyAlignment="1">
      <alignment horizontal="center" vertical="center"/>
    </xf>
    <xf numFmtId="0" fontId="0" fillId="0" borderId="21" xfId="0" applyBorder="1"/>
    <xf numFmtId="0" fontId="22" fillId="0" borderId="1" xfId="0" applyFont="1" applyBorder="1" applyAlignment="1">
      <alignment vertical="center"/>
    </xf>
    <xf numFmtId="0" fontId="0" fillId="0" borderId="23" xfId="0" pivotButton="1" applyBorder="1"/>
    <xf numFmtId="0" fontId="0" fillId="0" borderId="24" xfId="0" applyBorder="1"/>
    <xf numFmtId="0" fontId="0" fillId="0" borderId="25" xfId="0" applyBorder="1"/>
    <xf numFmtId="0" fontId="0" fillId="0" borderId="23" xfId="0" applyBorder="1"/>
    <xf numFmtId="0" fontId="0" fillId="0" borderId="26" xfId="0" applyBorder="1"/>
    <xf numFmtId="0" fontId="0" fillId="0" borderId="27"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18" fillId="4" borderId="5" xfId="0" applyFont="1" applyFill="1" applyBorder="1" applyAlignment="1">
      <alignment horizontal="center" vertical="center"/>
    </xf>
    <xf numFmtId="0" fontId="17" fillId="0" borderId="11" xfId="0" applyFont="1" applyBorder="1" applyAlignment="1">
      <alignment horizontal="center" vertical="center"/>
    </xf>
    <xf numFmtId="0" fontId="8" fillId="0" borderId="1" xfId="0" applyFont="1" applyBorder="1" applyAlignment="1">
      <alignment horizontal="left" vertical="top"/>
    </xf>
    <xf numFmtId="0" fontId="17" fillId="0" borderId="11" xfId="0" applyFont="1" applyBorder="1" applyAlignment="1">
      <alignment horizontal="left" vertical="top"/>
    </xf>
    <xf numFmtId="0" fontId="17" fillId="0" borderId="11" xfId="0" applyFont="1" applyBorder="1" applyAlignment="1">
      <alignment vertical="top"/>
    </xf>
    <xf numFmtId="0" fontId="17" fillId="0" borderId="4" xfId="0" applyFont="1" applyBorder="1" applyAlignment="1">
      <alignment horizontal="center" vertical="center"/>
    </xf>
    <xf numFmtId="165" fontId="17" fillId="0" borderId="1" xfId="0" applyNumberFormat="1" applyFont="1" applyBorder="1" applyAlignment="1">
      <alignment horizontal="center" vertical="top"/>
    </xf>
    <xf numFmtId="0" fontId="17" fillId="0" borderId="1" xfId="0" applyFont="1" applyBorder="1" applyAlignment="1">
      <alignment vertical="top"/>
    </xf>
    <xf numFmtId="0" fontId="17" fillId="0" borderId="1" xfId="0" applyFont="1" applyBorder="1" applyAlignment="1">
      <alignment horizontal="center" vertical="top"/>
    </xf>
    <xf numFmtId="39" fontId="17" fillId="0" borderId="1" xfId="0" applyNumberFormat="1" applyFont="1" applyBorder="1" applyAlignment="1">
      <alignment vertical="top"/>
    </xf>
    <xf numFmtId="4" fontId="17" fillId="0" borderId="1" xfId="0" applyNumberFormat="1" applyFont="1" applyBorder="1" applyAlignment="1">
      <alignment vertical="top"/>
    </xf>
    <xf numFmtId="0" fontId="20" fillId="12" borderId="1" xfId="0" applyFont="1" applyFill="1" applyBorder="1" applyAlignment="1">
      <alignment horizontal="left" vertical="top"/>
    </xf>
    <xf numFmtId="0" fontId="17" fillId="14" borderId="11" xfId="0" applyFont="1" applyFill="1" applyBorder="1" applyAlignment="1">
      <alignment horizontal="left" vertical="top"/>
    </xf>
    <xf numFmtId="0" fontId="17" fillId="13" borderId="11" xfId="0" applyFont="1" applyFill="1" applyBorder="1" applyAlignment="1">
      <alignment horizontal="left" vertical="top"/>
    </xf>
    <xf numFmtId="0" fontId="21" fillId="5" borderId="11" xfId="0" applyFont="1" applyFill="1" applyBorder="1" applyAlignment="1">
      <alignment horizontal="left" vertical="top"/>
    </xf>
    <xf numFmtId="9" fontId="17" fillId="0" borderId="1" xfId="0" applyNumberFormat="1" applyFont="1" applyBorder="1" applyAlignment="1">
      <alignment horizontal="center" vertical="center"/>
    </xf>
    <xf numFmtId="0" fontId="18" fillId="0" borderId="11" xfId="0" applyFont="1" applyBorder="1" applyAlignment="1">
      <alignment horizontal="left" vertical="top"/>
    </xf>
    <xf numFmtId="166" fontId="17" fillId="0" borderId="11" xfId="0" applyNumberFormat="1" applyFont="1" applyBorder="1" applyAlignment="1">
      <alignment horizontal="left" vertical="top"/>
    </xf>
    <xf numFmtId="167" fontId="17" fillId="0" borderId="1" xfId="0" applyNumberFormat="1" applyFont="1" applyBorder="1" applyAlignment="1">
      <alignment horizontal="center" vertical="top"/>
    </xf>
    <xf numFmtId="0" fontId="20" fillId="0" borderId="1" xfId="0" applyFont="1" applyBorder="1" applyAlignment="1">
      <alignment horizontal="center" vertical="top"/>
    </xf>
    <xf numFmtId="39" fontId="17" fillId="14" borderId="1" xfId="0" applyNumberFormat="1" applyFont="1" applyFill="1" applyBorder="1" applyAlignment="1">
      <alignment vertical="top"/>
    </xf>
    <xf numFmtId="0" fontId="20" fillId="5" borderId="1" xfId="0" applyFont="1" applyFill="1" applyBorder="1" applyAlignment="1">
      <alignment horizontal="left" vertical="top"/>
    </xf>
    <xf numFmtId="0" fontId="20" fillId="0" borderId="1" xfId="0" applyFont="1" applyBorder="1" applyAlignment="1">
      <alignment vertical="top"/>
    </xf>
    <xf numFmtId="0" fontId="20" fillId="5" borderId="1" xfId="0" applyFont="1" applyFill="1" applyBorder="1" applyAlignment="1">
      <alignment horizontal="left"/>
    </xf>
    <xf numFmtId="0" fontId="8" fillId="0" borderId="13" xfId="0" applyFont="1" applyBorder="1" applyAlignment="1">
      <alignment horizontal="left"/>
    </xf>
    <xf numFmtId="0" fontId="8" fillId="0" borderId="1" xfId="0" applyFont="1" applyBorder="1" applyAlignment="1">
      <alignment horizontal="center"/>
    </xf>
    <xf numFmtId="0" fontId="20" fillId="0" borderId="13" xfId="0" applyFont="1" applyBorder="1" applyAlignment="1">
      <alignment horizontal="left" vertical="top"/>
    </xf>
    <xf numFmtId="0" fontId="8" fillId="5" borderId="13" xfId="0" applyFont="1" applyFill="1" applyBorder="1" applyAlignment="1">
      <alignment horizontal="center"/>
    </xf>
    <xf numFmtId="0" fontId="8" fillId="0" borderId="14" xfId="0" applyFont="1" applyBorder="1" applyAlignment="1">
      <alignment horizontal="left"/>
    </xf>
    <xf numFmtId="0" fontId="8" fillId="0" borderId="14" xfId="0" applyFont="1" applyBorder="1" applyAlignment="1">
      <alignment horizontal="center"/>
    </xf>
    <xf numFmtId="0" fontId="20" fillId="0" borderId="15" xfId="0" applyFont="1" applyBorder="1" applyAlignment="1">
      <alignment horizontal="left" vertical="top"/>
    </xf>
    <xf numFmtId="0" fontId="20" fillId="0" borderId="7" xfId="0" applyFont="1" applyBorder="1" applyAlignment="1">
      <alignment horizontal="left" vertical="top"/>
    </xf>
    <xf numFmtId="0" fontId="17" fillId="0" borderId="1" xfId="0" applyFont="1" applyBorder="1" applyAlignment="1">
      <alignment vertical="center"/>
    </xf>
    <xf numFmtId="0" fontId="0" fillId="0" borderId="0" xfId="0" applyAlignment="1">
      <alignment horizontal="center"/>
    </xf>
    <xf numFmtId="0" fontId="7" fillId="0" borderId="3" xfId="0" applyFont="1" applyBorder="1" applyAlignment="1">
      <alignment horizontal="center" vertical="center"/>
    </xf>
    <xf numFmtId="0" fontId="15" fillId="0" borderId="3" xfId="0" applyFont="1" applyBorder="1" applyAlignment="1">
      <alignment horizontal="center" vertical="center"/>
    </xf>
    <xf numFmtId="0" fontId="17" fillId="4" borderId="5" xfId="0" applyFont="1" applyFill="1" applyBorder="1" applyAlignment="1">
      <alignment horizontal="center" vertical="center"/>
    </xf>
    <xf numFmtId="0" fontId="20" fillId="0" borderId="1" xfId="0" applyFont="1" applyBorder="1" applyAlignment="1">
      <alignment horizontal="center" vertical="center"/>
    </xf>
    <xf numFmtId="0" fontId="20" fillId="5" borderId="1" xfId="0" applyFont="1" applyFill="1" applyBorder="1" applyAlignment="1">
      <alignment horizontal="center" vertical="center"/>
    </xf>
    <xf numFmtId="0" fontId="8" fillId="5" borderId="1" xfId="0" applyFont="1" applyFill="1" applyBorder="1" applyAlignment="1">
      <alignment horizontal="center" vertical="center"/>
    </xf>
    <xf numFmtId="0" fontId="8" fillId="0" borderId="1" xfId="0" applyFont="1" applyBorder="1" applyAlignment="1">
      <alignment horizontal="center" vertical="center"/>
    </xf>
    <xf numFmtId="0" fontId="0" fillId="0" borderId="0" xfId="0" applyAlignment="1">
      <alignment horizontal="center" vertical="center"/>
    </xf>
    <xf numFmtId="0" fontId="36" fillId="0" borderId="1" xfId="0" applyFont="1" applyBorder="1" applyAlignment="1">
      <alignment horizontal="center" vertical="center"/>
    </xf>
    <xf numFmtId="164" fontId="36" fillId="0" borderId="1" xfId="0" applyNumberFormat="1" applyFont="1" applyBorder="1" applyAlignment="1">
      <alignment horizontal="center" vertical="center"/>
    </xf>
    <xf numFmtId="0" fontId="35" fillId="0" borderId="0" xfId="0" applyFont="1"/>
    <xf numFmtId="0" fontId="36" fillId="15" borderId="1" xfId="0" applyFont="1" applyFill="1" applyBorder="1" applyAlignment="1">
      <alignment horizontal="center" vertical="center"/>
    </xf>
    <xf numFmtId="0" fontId="39" fillId="0" borderId="22" xfId="0" applyFont="1" applyBorder="1" applyAlignment="1">
      <alignment horizontal="center" vertical="center" wrapText="1"/>
    </xf>
    <xf numFmtId="0" fontId="0" fillId="0" borderId="0" xfId="0" pivotButton="1"/>
    <xf numFmtId="0" fontId="40" fillId="0" borderId="0" xfId="0" applyFont="1" applyAlignment="1">
      <alignment horizontal="center" vertical="center"/>
    </xf>
    <xf numFmtId="0" fontId="42" fillId="4" borderId="5" xfId="0" applyFont="1" applyFill="1" applyBorder="1" applyAlignment="1">
      <alignment horizontal="center" vertical="center"/>
    </xf>
    <xf numFmtId="0" fontId="40" fillId="0" borderId="22" xfId="0" applyFont="1" applyBorder="1" applyAlignment="1">
      <alignment horizontal="center" vertical="center"/>
    </xf>
    <xf numFmtId="9" fontId="40" fillId="0" borderId="22" xfId="1" applyFont="1" applyBorder="1" applyAlignment="1">
      <alignment horizontal="center" vertical="center"/>
    </xf>
    <xf numFmtId="9" fontId="0" fillId="16" borderId="22" xfId="1" applyFont="1" applyFill="1" applyBorder="1" applyAlignment="1">
      <alignment horizontal="center" vertical="center"/>
    </xf>
    <xf numFmtId="9" fontId="0" fillId="16" borderId="22" xfId="1" applyFont="1" applyFill="1" applyBorder="1" applyAlignment="1">
      <alignment horizontal="center"/>
    </xf>
    <xf numFmtId="9" fontId="35" fillId="0" borderId="0" xfId="1" applyFont="1" applyAlignment="1">
      <alignment horizontal="center" vertical="center"/>
    </xf>
    <xf numFmtId="1" fontId="36" fillId="15" borderId="1" xfId="0" applyNumberFormat="1" applyFont="1" applyFill="1" applyBorder="1" applyAlignment="1">
      <alignment horizontal="center" vertical="center"/>
    </xf>
    <xf numFmtId="3" fontId="43" fillId="0" borderId="1" xfId="0" applyNumberFormat="1" applyFont="1" applyBorder="1" applyAlignment="1">
      <alignment horizontal="center" vertical="top"/>
    </xf>
    <xf numFmtId="3" fontId="44" fillId="0" borderId="1" xfId="0" applyNumberFormat="1" applyFont="1" applyBorder="1" applyAlignment="1">
      <alignment horizontal="center" vertical="top"/>
    </xf>
    <xf numFmtId="0" fontId="44" fillId="0" borderId="1" xfId="0" applyFont="1" applyBorder="1" applyAlignment="1">
      <alignment horizontal="center" vertical="top"/>
    </xf>
    <xf numFmtId="0" fontId="34" fillId="0" borderId="0" xfId="0" applyFont="1" applyAlignment="1">
      <alignment horizontal="center"/>
    </xf>
    <xf numFmtId="0" fontId="46" fillId="0" borderId="22" xfId="0" applyFont="1" applyBorder="1" applyAlignment="1">
      <alignment horizontal="center" vertical="center" wrapText="1"/>
    </xf>
    <xf numFmtId="0" fontId="47" fillId="0" borderId="22" xfId="0" applyFont="1" applyBorder="1" applyAlignment="1">
      <alignment horizontal="left" vertical="center"/>
    </xf>
    <xf numFmtId="3" fontId="48" fillId="0" borderId="22" xfId="0" applyNumberFormat="1" applyFont="1" applyBorder="1" applyAlignment="1">
      <alignment vertical="top"/>
    </xf>
    <xf numFmtId="0" fontId="47" fillId="0" borderId="0" xfId="0" applyFont="1" applyAlignment="1">
      <alignment horizontal="left" vertical="center"/>
    </xf>
    <xf numFmtId="0" fontId="47" fillId="12" borderId="22" xfId="0" applyFont="1" applyFill="1" applyBorder="1" applyAlignment="1">
      <alignment horizontal="left" vertical="center"/>
    </xf>
    <xf numFmtId="0" fontId="40" fillId="12" borderId="22" xfId="0" applyFont="1" applyFill="1" applyBorder="1" applyAlignment="1">
      <alignment horizontal="center" vertical="center"/>
    </xf>
    <xf numFmtId="0" fontId="49" fillId="0" borderId="0" xfId="2" applyAlignment="1">
      <alignment horizontal="center" vertical="center"/>
    </xf>
    <xf numFmtId="0" fontId="44" fillId="0" borderId="11" xfId="0" applyFont="1" applyBorder="1" applyAlignment="1">
      <alignment horizontal="left" vertical="top"/>
    </xf>
    <xf numFmtId="0" fontId="39" fillId="18" borderId="22" xfId="0" applyFont="1" applyFill="1" applyBorder="1" applyAlignment="1">
      <alignment horizontal="center" vertical="center" wrapText="1"/>
    </xf>
    <xf numFmtId="0" fontId="52" fillId="0" borderId="12" xfId="0" applyFont="1" applyBorder="1" applyAlignment="1">
      <alignment vertical="top"/>
    </xf>
    <xf numFmtId="0" fontId="17" fillId="0" borderId="2" xfId="0" applyFont="1" applyBorder="1" applyAlignment="1">
      <alignment horizontal="center" vertical="center"/>
    </xf>
    <xf numFmtId="0" fontId="17" fillId="0" borderId="12" xfId="0" applyFont="1" applyBorder="1" applyAlignment="1">
      <alignment vertical="top"/>
    </xf>
    <xf numFmtId="0" fontId="17" fillId="19" borderId="12" xfId="0" applyFont="1" applyFill="1" applyBorder="1" applyAlignment="1">
      <alignment vertical="top"/>
    </xf>
    <xf numFmtId="0" fontId="0" fillId="19" borderId="0" xfId="0" applyFill="1" applyAlignment="1">
      <alignment horizontal="center" vertical="center"/>
    </xf>
    <xf numFmtId="0" fontId="56" fillId="0" borderId="22" xfId="0" applyFont="1" applyBorder="1" applyAlignment="1">
      <alignment horizontal="center" vertical="center"/>
    </xf>
    <xf numFmtId="0" fontId="57" fillId="0" borderId="0" xfId="0" applyFont="1"/>
    <xf numFmtId="0" fontId="58" fillId="0" borderId="0" xfId="0" applyFont="1" applyAlignment="1">
      <alignment horizontal="center" vertical="center" wrapText="1"/>
    </xf>
    <xf numFmtId="0" fontId="55" fillId="0" borderId="0" xfId="0" applyFont="1" applyAlignment="1">
      <alignment horizontal="center" vertical="center"/>
    </xf>
    <xf numFmtId="0" fontId="55" fillId="0" borderId="0" xfId="0" applyFont="1"/>
    <xf numFmtId="0" fontId="55" fillId="0" borderId="22" xfId="0" applyFont="1" applyBorder="1" applyAlignment="1">
      <alignment horizontal="center" vertical="center"/>
    </xf>
    <xf numFmtId="0" fontId="55" fillId="0" borderId="22" xfId="0" applyFont="1" applyBorder="1" applyAlignment="1">
      <alignment horizontal="left" vertical="center"/>
    </xf>
    <xf numFmtId="0" fontId="59" fillId="0" borderId="0" xfId="0" applyFont="1" applyAlignment="1">
      <alignment horizontal="center" vertical="center"/>
    </xf>
    <xf numFmtId="0" fontId="2" fillId="0" borderId="0" xfId="0" applyFont="1" applyAlignment="1">
      <alignment horizontal="center" vertical="center"/>
    </xf>
    <xf numFmtId="3" fontId="44" fillId="13" borderId="1" xfId="0" applyNumberFormat="1" applyFont="1" applyFill="1" applyBorder="1" applyAlignment="1">
      <alignment horizontal="center" vertical="top"/>
    </xf>
    <xf numFmtId="168" fontId="57" fillId="0" borderId="0" xfId="0" applyNumberFormat="1" applyFont="1"/>
    <xf numFmtId="0" fontId="25" fillId="0" borderId="11" xfId="0" applyFont="1" applyBorder="1" applyAlignment="1">
      <alignment horizontal="center" vertical="center"/>
    </xf>
    <xf numFmtId="0" fontId="60" fillId="0" borderId="14" xfId="0" applyFont="1" applyBorder="1" applyAlignment="1">
      <alignment horizontal="center" vertical="center"/>
    </xf>
    <xf numFmtId="0" fontId="60" fillId="0" borderId="1" xfId="0" applyFont="1" applyBorder="1" applyAlignment="1">
      <alignment horizontal="center" vertical="center"/>
    </xf>
    <xf numFmtId="1" fontId="25" fillId="12" borderId="11" xfId="0" applyNumberFormat="1" applyFont="1" applyFill="1" applyBorder="1" applyAlignment="1">
      <alignment horizontal="center" vertical="top"/>
    </xf>
    <xf numFmtId="0" fontId="25" fillId="12" borderId="11" xfId="0" applyFont="1" applyFill="1" applyBorder="1" applyAlignment="1">
      <alignment horizontal="center" vertical="top"/>
    </xf>
    <xf numFmtId="9" fontId="25" fillId="15" borderId="11" xfId="1" applyFont="1" applyFill="1" applyBorder="1" applyAlignment="1">
      <alignment horizontal="center" vertical="top"/>
    </xf>
    <xf numFmtId="0" fontId="25" fillId="15" borderId="11" xfId="0" applyFont="1" applyFill="1" applyBorder="1" applyAlignment="1">
      <alignment horizontal="center" vertical="top"/>
    </xf>
    <xf numFmtId="1" fontId="25" fillId="15" borderId="11" xfId="0" applyNumberFormat="1" applyFont="1" applyFill="1" applyBorder="1" applyAlignment="1">
      <alignment horizontal="center" vertical="top"/>
    </xf>
    <xf numFmtId="1" fontId="31" fillId="15" borderId="11" xfId="0" applyNumberFormat="1" applyFont="1" applyFill="1" applyBorder="1" applyAlignment="1">
      <alignment horizontal="center" vertical="top"/>
    </xf>
    <xf numFmtId="1" fontId="25" fillId="0" borderId="11" xfId="0" applyNumberFormat="1" applyFont="1" applyBorder="1" applyAlignment="1">
      <alignment horizontal="center" vertical="top"/>
    </xf>
    <xf numFmtId="0" fontId="25" fillId="0" borderId="11" xfId="0" applyFont="1" applyBorder="1" applyAlignment="1">
      <alignment horizontal="center" vertical="top"/>
    </xf>
    <xf numFmtId="9" fontId="31" fillId="15" borderId="11" xfId="1" applyFont="1" applyFill="1" applyBorder="1" applyAlignment="1">
      <alignment horizontal="center" vertical="top"/>
    </xf>
    <xf numFmtId="0" fontId="18" fillId="4" borderId="8" xfId="0" applyFont="1" applyFill="1" applyBorder="1" applyAlignment="1">
      <alignment horizontal="center" vertical="center"/>
    </xf>
    <xf numFmtId="0" fontId="18" fillId="4" borderId="9" xfId="0" applyFont="1" applyFill="1" applyBorder="1" applyAlignment="1">
      <alignment horizontal="center" vertical="center"/>
    </xf>
    <xf numFmtId="0" fontId="36" fillId="4" borderId="8" xfId="0" applyFont="1" applyFill="1" applyBorder="1" applyAlignment="1">
      <alignment horizontal="center" vertical="center"/>
    </xf>
    <xf numFmtId="0" fontId="18" fillId="4" borderId="10" xfId="0" applyFont="1" applyFill="1" applyBorder="1" applyAlignment="1">
      <alignment horizontal="center" vertical="center" textRotation="90"/>
    </xf>
    <xf numFmtId="0" fontId="18" fillId="4" borderId="1" xfId="0" applyFont="1" applyFill="1" applyBorder="1" applyAlignment="1">
      <alignment horizontal="center" vertical="center" textRotation="90"/>
    </xf>
    <xf numFmtId="0" fontId="36" fillId="4" borderId="1" xfId="0" applyFont="1" applyFill="1" applyBorder="1" applyAlignment="1">
      <alignment horizontal="center" vertical="center"/>
    </xf>
    <xf numFmtId="0" fontId="19" fillId="4" borderId="1" xfId="0" applyFont="1" applyFill="1" applyBorder="1" applyAlignment="1">
      <alignment horizontal="center" vertical="center"/>
    </xf>
    <xf numFmtId="0" fontId="18" fillId="4" borderId="1" xfId="0" applyFont="1" applyFill="1" applyBorder="1" applyAlignment="1">
      <alignment horizontal="center" vertical="center"/>
    </xf>
    <xf numFmtId="0" fontId="18" fillId="4" borderId="37" xfId="0" applyFont="1" applyFill="1" applyBorder="1" applyAlignment="1">
      <alignment horizontal="center" vertical="center"/>
    </xf>
    <xf numFmtId="0" fontId="31" fillId="4" borderId="22" xfId="0" applyFont="1" applyFill="1" applyBorder="1" applyAlignment="1">
      <alignment horizontal="center" vertical="center" textRotation="90"/>
    </xf>
    <xf numFmtId="0" fontId="31" fillId="20" borderId="22" xfId="0" applyFont="1" applyFill="1" applyBorder="1" applyAlignment="1">
      <alignment horizontal="center" vertical="center" textRotation="90"/>
    </xf>
    <xf numFmtId="0" fontId="31" fillId="21" borderId="22" xfId="0" applyFont="1" applyFill="1" applyBorder="1" applyAlignment="1">
      <alignment horizontal="center" vertical="center" textRotation="90"/>
    </xf>
    <xf numFmtId="0" fontId="31" fillId="22" borderId="22" xfId="0" applyFont="1" applyFill="1" applyBorder="1" applyAlignment="1">
      <alignment horizontal="center" vertical="center" textRotation="90"/>
    </xf>
    <xf numFmtId="0" fontId="31" fillId="15" borderId="1" xfId="0" applyFont="1" applyFill="1" applyBorder="1" applyAlignment="1">
      <alignment horizontal="center" vertical="center"/>
    </xf>
    <xf numFmtId="0" fontId="25" fillId="0" borderId="1" xfId="0" applyFont="1" applyBorder="1" applyAlignment="1">
      <alignment horizontal="center" vertical="center"/>
    </xf>
    <xf numFmtId="1" fontId="25" fillId="12" borderId="11" xfId="0" applyNumberFormat="1" applyFont="1" applyFill="1" applyBorder="1" applyAlignment="1">
      <alignment horizontal="center" vertical="center"/>
    </xf>
    <xf numFmtId="0" fontId="25" fillId="12" borderId="11" xfId="0" applyFont="1" applyFill="1" applyBorder="1" applyAlignment="1">
      <alignment horizontal="center" vertical="center"/>
    </xf>
    <xf numFmtId="9" fontId="25" fillId="15" borderId="11" xfId="1" applyFont="1" applyFill="1" applyBorder="1" applyAlignment="1">
      <alignment horizontal="center" vertical="center"/>
    </xf>
    <xf numFmtId="1" fontId="25" fillId="15" borderId="11" xfId="0" applyNumberFormat="1" applyFont="1" applyFill="1" applyBorder="1" applyAlignment="1">
      <alignment horizontal="center" vertical="center"/>
    </xf>
    <xf numFmtId="0" fontId="25" fillId="15" borderId="11" xfId="0" applyFont="1" applyFill="1" applyBorder="1" applyAlignment="1">
      <alignment horizontal="center" vertical="center"/>
    </xf>
    <xf numFmtId="1" fontId="31" fillId="15" borderId="11" xfId="0" applyNumberFormat="1" applyFont="1" applyFill="1" applyBorder="1" applyAlignment="1">
      <alignment horizontal="center" vertical="center"/>
    </xf>
    <xf numFmtId="1" fontId="25" fillId="0" borderId="11" xfId="0" applyNumberFormat="1" applyFont="1" applyBorder="1" applyAlignment="1">
      <alignment horizontal="center" vertical="center"/>
    </xf>
    <xf numFmtId="9" fontId="31" fillId="15" borderId="11" xfId="1" applyFont="1" applyFill="1" applyBorder="1" applyAlignment="1">
      <alignment horizontal="center" vertical="center"/>
    </xf>
    <xf numFmtId="0" fontId="31" fillId="20" borderId="22" xfId="0" applyFont="1" applyFill="1" applyBorder="1" applyAlignment="1">
      <alignment horizontal="center" vertical="center"/>
    </xf>
    <xf numFmtId="0" fontId="31" fillId="4" borderId="22" xfId="0" applyFont="1" applyFill="1" applyBorder="1" applyAlignment="1">
      <alignment horizontal="center" vertical="center"/>
    </xf>
    <xf numFmtId="0" fontId="7" fillId="0" borderId="3" xfId="0" applyFont="1" applyBorder="1" applyAlignment="1">
      <alignment horizontal="center"/>
    </xf>
    <xf numFmtId="0" fontId="0" fillId="0" borderId="0" xfId="0"/>
    <xf numFmtId="0" fontId="18" fillId="4" borderId="7" xfId="0" applyFont="1" applyFill="1" applyBorder="1" applyAlignment="1">
      <alignment horizontal="center" vertical="top"/>
    </xf>
    <xf numFmtId="0" fontId="18" fillId="4" borderId="6" xfId="0" applyFont="1" applyFill="1" applyBorder="1" applyAlignment="1">
      <alignment horizontal="center" vertical="top"/>
    </xf>
    <xf numFmtId="0" fontId="18" fillId="4" borderId="10" xfId="0" applyFont="1" applyFill="1" applyBorder="1" applyAlignment="1">
      <alignment horizontal="center" vertical="top"/>
    </xf>
    <xf numFmtId="0" fontId="59" fillId="0" borderId="22" xfId="0" applyFont="1" applyBorder="1" applyAlignment="1">
      <alignment horizontal="center" vertical="center"/>
    </xf>
    <xf numFmtId="0" fontId="45" fillId="0" borderId="22" xfId="0" applyFont="1" applyBorder="1" applyAlignment="1">
      <alignment horizontal="center" vertical="center"/>
    </xf>
    <xf numFmtId="9" fontId="41" fillId="0" borderId="38" xfId="1" applyFont="1" applyBorder="1" applyAlignment="1">
      <alignment horizontal="center" vertical="center"/>
    </xf>
    <xf numFmtId="9" fontId="41" fillId="0" borderId="39" xfId="1" applyFont="1" applyBorder="1" applyAlignment="1">
      <alignment horizontal="center" vertical="center"/>
    </xf>
    <xf numFmtId="9" fontId="41" fillId="0" borderId="40" xfId="1" applyFont="1" applyBorder="1" applyAlignment="1">
      <alignment horizontal="center" vertical="center"/>
    </xf>
    <xf numFmtId="9" fontId="41" fillId="0" borderId="22" xfId="1" applyFont="1" applyFill="1" applyBorder="1" applyAlignment="1">
      <alignment horizontal="center" vertical="center"/>
    </xf>
    <xf numFmtId="9" fontId="41" fillId="0" borderId="22" xfId="1" applyFont="1" applyBorder="1" applyAlignment="1">
      <alignment horizontal="center" vertical="center"/>
    </xf>
    <xf numFmtId="0" fontId="31" fillId="20" borderId="41" xfId="0" applyFont="1" applyFill="1" applyBorder="1" applyAlignment="1">
      <alignment horizontal="center" vertical="center"/>
    </xf>
    <xf numFmtId="0" fontId="31" fillId="4" borderId="41" xfId="0" applyFont="1" applyFill="1" applyBorder="1" applyAlignment="1">
      <alignment horizontal="center" vertical="center"/>
    </xf>
    <xf numFmtId="0" fontId="31" fillId="4" borderId="42" xfId="0" applyFont="1" applyFill="1" applyBorder="1" applyAlignment="1">
      <alignment horizontal="center" vertical="center"/>
    </xf>
    <xf numFmtId="0" fontId="31" fillId="4" borderId="36" xfId="0" applyFont="1" applyFill="1" applyBorder="1" applyAlignment="1">
      <alignment horizontal="center" vertical="center"/>
    </xf>
    <xf numFmtId="0" fontId="31" fillId="4" borderId="43" xfId="0" applyFont="1" applyFill="1" applyBorder="1" applyAlignment="1">
      <alignment horizontal="center" vertical="center"/>
    </xf>
    <xf numFmtId="0" fontId="23" fillId="0" borderId="0" xfId="0" applyFont="1" applyAlignment="1">
      <alignment horizontal="center" wrapText="1"/>
    </xf>
    <xf numFmtId="0" fontId="18" fillId="0" borderId="16" xfId="0" applyFont="1" applyBorder="1" applyAlignment="1">
      <alignment horizontal="center" vertical="center"/>
    </xf>
    <xf numFmtId="0" fontId="16" fillId="0" borderId="18" xfId="0" applyFont="1" applyBorder="1"/>
    <xf numFmtId="0" fontId="16" fillId="0" borderId="19" xfId="0" applyFont="1" applyBorder="1"/>
    <xf numFmtId="0" fontId="0" fillId="0" borderId="28" xfId="0" applyNumberFormat="1" applyBorder="1"/>
    <xf numFmtId="0" fontId="0" fillId="0" borderId="29" xfId="0" applyNumberFormat="1" applyBorder="1"/>
    <xf numFmtId="0" fontId="0" fillId="0" borderId="30" xfId="0" applyNumberFormat="1" applyBorder="1"/>
    <xf numFmtId="0" fontId="17" fillId="0" borderId="11" xfId="0" applyFont="1" applyBorder="1" applyAlignment="1">
      <alignment horizontal="left" vertical="top" wrapText="1"/>
    </xf>
    <xf numFmtId="0" fontId="0" fillId="0" borderId="0" xfId="0" applyAlignment="1">
      <alignment wrapText="1"/>
    </xf>
    <xf numFmtId="0" fontId="20" fillId="0" borderId="1" xfId="0" applyFont="1" applyBorder="1" applyAlignment="1">
      <alignment horizontal="left" vertical="top" wrapText="1"/>
    </xf>
    <xf numFmtId="0" fontId="0" fillId="0" borderId="0" xfId="0" applyAlignment="1"/>
    <xf numFmtId="0" fontId="55" fillId="0" borderId="0" xfId="0" applyFont="1" applyAlignment="1"/>
    <xf numFmtId="0" fontId="2" fillId="18" borderId="0" xfId="0" applyFont="1" applyFill="1" applyAlignment="1">
      <alignment horizontal="center" vertical="center"/>
    </xf>
    <xf numFmtId="0" fontId="0" fillId="18" borderId="0" xfId="0" applyFill="1" applyAlignment="1">
      <alignment horizontal="center" vertical="center"/>
    </xf>
    <xf numFmtId="0" fontId="18" fillId="17" borderId="22" xfId="0" applyFont="1" applyFill="1" applyBorder="1" applyAlignment="1">
      <alignment horizontal="center" vertical="center" wrapText="1"/>
    </xf>
    <xf numFmtId="0" fontId="55" fillId="0" borderId="22" xfId="0" applyFont="1" applyBorder="1" applyAlignment="1">
      <alignment horizontal="center" vertical="center" wrapText="1"/>
    </xf>
    <xf numFmtId="0" fontId="55" fillId="0" borderId="44" xfId="0" applyFont="1" applyBorder="1" applyAlignment="1">
      <alignment horizontal="center" vertical="center" wrapText="1"/>
    </xf>
    <xf numFmtId="0" fontId="61" fillId="0" borderId="22" xfId="0" applyFont="1" applyBorder="1" applyAlignment="1">
      <alignment horizontal="center" vertical="center"/>
    </xf>
    <xf numFmtId="0" fontId="61" fillId="0" borderId="22" xfId="0" applyFont="1" applyBorder="1" applyAlignment="1">
      <alignment horizontal="left" vertical="center"/>
    </xf>
    <xf numFmtId="0" fontId="61" fillId="0" borderId="44" xfId="0" applyFont="1" applyBorder="1" applyAlignment="1">
      <alignment horizontal="left" vertical="center"/>
    </xf>
    <xf numFmtId="0" fontId="55" fillId="0" borderId="44" xfId="0" applyFont="1" applyBorder="1" applyAlignment="1">
      <alignment horizontal="center" vertical="center"/>
    </xf>
    <xf numFmtId="0" fontId="55" fillId="0" borderId="44" xfId="0" applyFont="1" applyBorder="1" applyAlignment="1">
      <alignment horizontal="left" vertical="center"/>
    </xf>
    <xf numFmtId="0" fontId="61" fillId="24" borderId="22" xfId="0" applyFont="1" applyFill="1" applyBorder="1" applyAlignment="1">
      <alignment horizontal="center" vertical="center" wrapText="1"/>
    </xf>
    <xf numFmtId="0" fontId="20" fillId="19" borderId="1" xfId="0" applyFont="1" applyFill="1" applyBorder="1" applyAlignment="1">
      <alignment horizontal="left" vertical="top"/>
    </xf>
    <xf numFmtId="0" fontId="17" fillId="19" borderId="11" xfId="0" applyFont="1" applyFill="1" applyBorder="1" applyAlignment="1">
      <alignment horizontal="left" vertical="top"/>
    </xf>
    <xf numFmtId="0" fontId="17" fillId="19" borderId="11" xfId="0" applyFont="1" applyFill="1" applyBorder="1" applyAlignment="1">
      <alignment horizontal="left" vertical="top" wrapText="1"/>
    </xf>
    <xf numFmtId="0" fontId="25" fillId="13" borderId="11" xfId="0" applyFont="1" applyFill="1" applyBorder="1" applyAlignment="1">
      <alignment horizontal="center" vertical="center"/>
    </xf>
    <xf numFmtId="0" fontId="25" fillId="13" borderId="1" xfId="0" applyFont="1" applyFill="1" applyBorder="1" applyAlignment="1">
      <alignment horizontal="center" vertical="center"/>
    </xf>
    <xf numFmtId="0" fontId="17" fillId="13" borderId="11" xfId="0" applyFont="1" applyFill="1" applyBorder="1" applyAlignment="1">
      <alignment horizontal="center" vertical="center"/>
    </xf>
    <xf numFmtId="0" fontId="17" fillId="13" borderId="1" xfId="0" applyFont="1" applyFill="1" applyBorder="1" applyAlignment="1">
      <alignment horizontal="center" vertical="center"/>
    </xf>
    <xf numFmtId="0" fontId="25" fillId="25" borderId="1" xfId="0" applyFont="1" applyFill="1" applyBorder="1" applyAlignment="1">
      <alignment horizontal="center" vertical="center"/>
    </xf>
    <xf numFmtId="0" fontId="25" fillId="26" borderId="1" xfId="0" applyFont="1" applyFill="1" applyBorder="1" applyAlignment="1">
      <alignment horizontal="center" vertical="center"/>
    </xf>
    <xf numFmtId="0" fontId="17" fillId="26" borderId="1" xfId="0" applyFont="1" applyFill="1" applyBorder="1" applyAlignment="1">
      <alignment horizontal="center" vertical="center"/>
    </xf>
    <xf numFmtId="0" fontId="17" fillId="27" borderId="1" xfId="0" applyFont="1" applyFill="1" applyBorder="1" applyAlignment="1">
      <alignment horizontal="center" vertical="center"/>
    </xf>
    <xf numFmtId="0" fontId="17" fillId="28" borderId="1" xfId="0" applyFont="1" applyFill="1" applyBorder="1" applyAlignment="1">
      <alignment horizontal="center" vertical="center"/>
    </xf>
    <xf numFmtId="0" fontId="20" fillId="25" borderId="1" xfId="0" applyFont="1" applyFill="1" applyBorder="1" applyAlignment="1">
      <alignment horizontal="center" vertical="top"/>
    </xf>
    <xf numFmtId="0" fontId="0" fillId="0" borderId="2" xfId="0" applyFont="1" applyFill="1" applyBorder="1" applyAlignment="1">
      <alignment horizontal="left" vertical="center"/>
    </xf>
    <xf numFmtId="0" fontId="0" fillId="0" borderId="0" xfId="0" applyAlignment="1">
      <alignment horizontal="left" vertical="center"/>
    </xf>
    <xf numFmtId="1" fontId="25" fillId="23" borderId="11" xfId="0" applyNumberFormat="1" applyFont="1" applyFill="1" applyBorder="1" applyAlignment="1">
      <alignment horizontal="center" vertical="center"/>
    </xf>
    <xf numFmtId="0" fontId="25" fillId="23" borderId="11" xfId="0" applyFont="1" applyFill="1" applyBorder="1" applyAlignment="1">
      <alignment horizontal="center" vertical="center"/>
    </xf>
    <xf numFmtId="0" fontId="1" fillId="19" borderId="0" xfId="0" applyFont="1" applyFill="1" applyAlignment="1">
      <alignment horizontal="center" vertical="center"/>
    </xf>
    <xf numFmtId="0" fontId="17" fillId="18" borderId="18" xfId="0" applyFont="1" applyFill="1" applyBorder="1" applyAlignment="1">
      <alignment horizontal="center" vertical="center"/>
    </xf>
    <xf numFmtId="0" fontId="0" fillId="0" borderId="0" xfId="0" applyFill="1" applyAlignment="1">
      <alignment horizontal="center" vertical="center"/>
    </xf>
    <xf numFmtId="1" fontId="31" fillId="0" borderId="11" xfId="0" applyNumberFormat="1" applyFont="1" applyFill="1" applyBorder="1" applyAlignment="1">
      <alignment horizontal="center" vertical="top"/>
    </xf>
    <xf numFmtId="9" fontId="62" fillId="0" borderId="22" xfId="1" applyFont="1" applyBorder="1" applyAlignment="1">
      <alignment horizontal="center" vertical="center"/>
    </xf>
    <xf numFmtId="1" fontId="31" fillId="24" borderId="11" xfId="0" applyNumberFormat="1" applyFont="1" applyFill="1" applyBorder="1" applyAlignment="1">
      <alignment horizontal="center" vertical="top"/>
    </xf>
    <xf numFmtId="0" fontId="35" fillId="29" borderId="22" xfId="0" applyFont="1" applyFill="1" applyBorder="1" applyAlignment="1">
      <alignment horizontal="center" vertical="center"/>
    </xf>
    <xf numFmtId="0" fontId="31" fillId="30" borderId="22" xfId="0" applyFont="1" applyFill="1" applyBorder="1" applyAlignment="1">
      <alignment horizontal="center" vertical="center"/>
    </xf>
    <xf numFmtId="0" fontId="31" fillId="30" borderId="22" xfId="0" applyFont="1" applyFill="1" applyBorder="1" applyAlignment="1">
      <alignment horizontal="center" vertical="center" textRotation="90"/>
    </xf>
    <xf numFmtId="0" fontId="31" fillId="31" borderId="22" xfId="0" applyFont="1" applyFill="1" applyBorder="1" applyAlignment="1">
      <alignment horizontal="center" vertical="center" textRotation="90"/>
    </xf>
    <xf numFmtId="0" fontId="31" fillId="31" borderId="22" xfId="0" applyFont="1" applyFill="1" applyBorder="1" applyAlignment="1">
      <alignment horizontal="center" vertical="center"/>
    </xf>
    <xf numFmtId="0" fontId="31" fillId="32" borderId="22" xfId="0" applyFont="1" applyFill="1" applyBorder="1" applyAlignment="1">
      <alignment horizontal="center" vertical="center" textRotation="90"/>
    </xf>
    <xf numFmtId="1" fontId="31" fillId="25" borderId="11" xfId="0" applyNumberFormat="1" applyFont="1" applyFill="1" applyBorder="1" applyAlignment="1">
      <alignment horizontal="center" vertical="top"/>
    </xf>
    <xf numFmtId="0" fontId="5" fillId="4" borderId="22" xfId="0" applyFont="1" applyFill="1" applyBorder="1" applyAlignment="1">
      <alignment horizontal="center" vertical="center" wrapText="1"/>
    </xf>
    <xf numFmtId="0" fontId="21" fillId="5" borderId="11" xfId="0" applyFont="1" applyFill="1" applyBorder="1" applyAlignment="1">
      <alignment horizontal="left" vertical="top" wrapText="1"/>
    </xf>
    <xf numFmtId="0" fontId="21" fillId="33" borderId="11" xfId="0" applyFont="1" applyFill="1" applyBorder="1" applyAlignment="1">
      <alignment horizontal="left" vertical="top" wrapText="1"/>
    </xf>
    <xf numFmtId="0" fontId="18" fillId="4" borderId="5" xfId="0" applyFont="1" applyFill="1" applyBorder="1" applyAlignment="1">
      <alignment horizontal="center" vertical="center" wrapText="1"/>
    </xf>
    <xf numFmtId="0" fontId="42" fillId="4" borderId="9" xfId="0" applyFont="1" applyFill="1" applyBorder="1" applyAlignment="1">
      <alignment horizontal="center" vertical="center"/>
    </xf>
    <xf numFmtId="0" fontId="42" fillId="4" borderId="1" xfId="0" applyFont="1" applyFill="1" applyBorder="1" applyAlignment="1">
      <alignment horizontal="center" vertical="center"/>
    </xf>
    <xf numFmtId="0" fontId="42" fillId="4" borderId="8" xfId="0" applyFont="1" applyFill="1" applyBorder="1" applyAlignment="1">
      <alignment horizontal="center" vertical="center"/>
    </xf>
    <xf numFmtId="0" fontId="7" fillId="0" borderId="3" xfId="0" applyFont="1" applyBorder="1" applyAlignment="1">
      <alignment wrapText="1"/>
    </xf>
    <xf numFmtId="0" fontId="17" fillId="4" borderId="5" xfId="0" applyFont="1" applyFill="1" applyBorder="1" applyAlignment="1">
      <alignment wrapText="1"/>
    </xf>
    <xf numFmtId="0" fontId="18" fillId="17" borderId="8" xfId="0" applyFont="1" applyFill="1" applyBorder="1" applyAlignment="1">
      <alignment horizontal="center" vertical="center" wrapText="1"/>
    </xf>
    <xf numFmtId="0" fontId="33" fillId="19" borderId="11" xfId="0" applyFont="1" applyFill="1" applyBorder="1" applyAlignment="1">
      <alignment horizontal="left" vertical="top" wrapText="1"/>
    </xf>
    <xf numFmtId="0" fontId="37" fillId="0" borderId="3" xfId="0" applyFont="1" applyBorder="1" applyAlignment="1">
      <alignment horizontal="center" vertical="center"/>
    </xf>
    <xf numFmtId="0" fontId="36" fillId="4" borderId="5" xfId="0" applyFont="1" applyFill="1" applyBorder="1" applyAlignment="1">
      <alignment horizontal="center" vertical="center"/>
    </xf>
    <xf numFmtId="0" fontId="36" fillId="34" borderId="11" xfId="0" applyFont="1" applyFill="1" applyBorder="1" applyAlignment="1">
      <alignment horizontal="center" vertical="center"/>
    </xf>
    <xf numFmtId="0" fontId="36" fillId="0" borderId="11" xfId="0" applyFont="1" applyBorder="1" applyAlignment="1">
      <alignment horizontal="center" vertical="center"/>
    </xf>
    <xf numFmtId="1" fontId="36" fillId="0" borderId="11" xfId="0" applyNumberFormat="1" applyFont="1" applyBorder="1" applyAlignment="1">
      <alignment horizontal="center" vertical="center"/>
    </xf>
    <xf numFmtId="166" fontId="36" fillId="0" borderId="11" xfId="0" applyNumberFormat="1" applyFont="1" applyBorder="1" applyAlignment="1">
      <alignment horizontal="center" vertical="center"/>
    </xf>
    <xf numFmtId="0" fontId="38" fillId="0" borderId="1" xfId="0" applyFont="1" applyBorder="1" applyAlignment="1">
      <alignment horizontal="center" vertical="center"/>
    </xf>
    <xf numFmtId="0" fontId="38" fillId="5" borderId="1" xfId="0" applyFont="1" applyFill="1" applyBorder="1" applyAlignment="1">
      <alignment horizontal="center" vertical="center"/>
    </xf>
    <xf numFmtId="0" fontId="38" fillId="0" borderId="12" xfId="0" applyFont="1" applyBorder="1" applyAlignment="1">
      <alignment horizontal="center" vertical="center"/>
    </xf>
    <xf numFmtId="0" fontId="38" fillId="0" borderId="22" xfId="0" applyFont="1" applyBorder="1" applyAlignment="1">
      <alignment horizontal="center" vertical="center"/>
    </xf>
    <xf numFmtId="0" fontId="35" fillId="0" borderId="0" xfId="0" applyFont="1" applyAlignment="1">
      <alignment horizontal="center" vertical="center"/>
    </xf>
    <xf numFmtId="0" fontId="0" fillId="0" borderId="0" xfId="0" applyAlignment="1">
      <alignment wrapText="1"/>
    </xf>
    <xf numFmtId="0" fontId="10" fillId="0" borderId="0" xfId="0" applyFont="1" applyAlignment="1"/>
    <xf numFmtId="0" fontId="11" fillId="0" borderId="0" xfId="0" applyFont="1" applyAlignment="1"/>
    <xf numFmtId="0" fontId="7" fillId="0" borderId="3" xfId="0" applyFont="1" applyBorder="1" applyAlignment="1"/>
    <xf numFmtId="0" fontId="16" fillId="0" borderId="3" xfId="0" applyFont="1" applyBorder="1" applyAlignment="1"/>
    <xf numFmtId="0" fontId="7" fillId="0" borderId="4" xfId="0" applyFont="1" applyBorder="1" applyAlignment="1"/>
    <xf numFmtId="0" fontId="12" fillId="0" borderId="0" xfId="0" applyFont="1" applyAlignment="1"/>
    <xf numFmtId="0" fontId="0" fillId="0" borderId="0" xfId="0" applyAlignment="1"/>
    <xf numFmtId="0" fontId="7" fillId="0" borderId="1" xfId="0" applyFont="1" applyBorder="1" applyAlignment="1"/>
    <xf numFmtId="0" fontId="17" fillId="4" borderId="5" xfId="0" applyFont="1" applyFill="1" applyBorder="1" applyAlignment="1"/>
    <xf numFmtId="0" fontId="21" fillId="33" borderId="11" xfId="0" applyFont="1" applyFill="1" applyBorder="1" applyAlignment="1">
      <alignment horizontal="left" vertical="top"/>
    </xf>
    <xf numFmtId="0" fontId="25" fillId="19" borderId="11" xfId="0" applyFont="1" applyFill="1" applyBorder="1" applyAlignment="1">
      <alignment horizontal="center" vertical="center"/>
    </xf>
    <xf numFmtId="0" fontId="35" fillId="0" borderId="0" xfId="0" applyFont="1" applyAlignment="1"/>
    <xf numFmtId="0" fontId="17" fillId="12" borderId="1" xfId="0" applyFont="1" applyFill="1" applyBorder="1" applyAlignment="1">
      <alignment vertical="top"/>
    </xf>
    <xf numFmtId="0" fontId="17" fillId="12" borderId="1" xfId="0" applyFont="1" applyFill="1" applyBorder="1" applyAlignment="1">
      <alignment horizontal="center" vertical="top"/>
    </xf>
    <xf numFmtId="39" fontId="17" fillId="12" borderId="1" xfId="0" applyNumberFormat="1" applyFont="1" applyFill="1" applyBorder="1" applyAlignment="1">
      <alignment vertical="top"/>
    </xf>
    <xf numFmtId="3" fontId="17" fillId="12" borderId="1" xfId="0" applyNumberFormat="1" applyFont="1" applyFill="1" applyBorder="1" applyAlignment="1">
      <alignment vertical="top"/>
    </xf>
    <xf numFmtId="4" fontId="17" fillId="12" borderId="1" xfId="0" applyNumberFormat="1" applyFont="1" applyFill="1" applyBorder="1" applyAlignment="1">
      <alignment vertical="top"/>
    </xf>
    <xf numFmtId="0" fontId="55" fillId="35" borderId="22" xfId="0" applyFont="1" applyFill="1" applyBorder="1" applyAlignment="1">
      <alignment horizontal="center" vertical="center"/>
    </xf>
    <xf numFmtId="0" fontId="20" fillId="33" borderId="1" xfId="0" applyFont="1" applyFill="1" applyBorder="1" applyAlignment="1">
      <alignment horizontal="left" vertical="top"/>
    </xf>
    <xf numFmtId="0" fontId="61" fillId="16" borderId="22" xfId="0" applyFont="1" applyFill="1" applyBorder="1" applyAlignment="1">
      <alignment horizontal="center" vertical="center" textRotation="90"/>
    </xf>
    <xf numFmtId="0" fontId="61" fillId="16" borderId="22" xfId="0" applyFont="1" applyFill="1" applyBorder="1" applyAlignment="1">
      <alignment horizontal="center" vertical="center"/>
    </xf>
    <xf numFmtId="0" fontId="61" fillId="16" borderId="22" xfId="0" applyFont="1" applyFill="1" applyBorder="1" applyAlignment="1">
      <alignment horizontal="center" vertical="center" wrapText="1"/>
    </xf>
    <xf numFmtId="0" fontId="61" fillId="13" borderId="44" xfId="0" applyFont="1" applyFill="1" applyBorder="1" applyAlignment="1">
      <alignment horizontal="center" vertical="center"/>
    </xf>
    <xf numFmtId="0" fontId="61" fillId="13" borderId="22" xfId="0" applyFont="1" applyFill="1" applyBorder="1" applyAlignment="1">
      <alignment horizontal="center" vertical="center"/>
    </xf>
    <xf numFmtId="169" fontId="61" fillId="13" borderId="22" xfId="0" applyNumberFormat="1" applyFont="1" applyFill="1" applyBorder="1" applyAlignment="1">
      <alignment horizontal="center" vertical="center"/>
    </xf>
    <xf numFmtId="0" fontId="55" fillId="14" borderId="44" xfId="0" applyFont="1" applyFill="1" applyBorder="1" applyAlignment="1">
      <alignment horizontal="center" vertical="center"/>
    </xf>
    <xf numFmtId="0" fontId="55" fillId="14" borderId="22" xfId="0" applyFont="1" applyFill="1" applyBorder="1" applyAlignment="1">
      <alignment horizontal="center" vertical="center"/>
    </xf>
    <xf numFmtId="169" fontId="55" fillId="14" borderId="22" xfId="0" applyNumberFormat="1" applyFont="1" applyFill="1" applyBorder="1" applyAlignment="1">
      <alignment horizontal="center" vertical="center"/>
    </xf>
    <xf numFmtId="0" fontId="61" fillId="14" borderId="22" xfId="0" applyFont="1" applyFill="1" applyBorder="1" applyAlignment="1">
      <alignment horizontal="center" vertical="center" wrapText="1"/>
    </xf>
    <xf numFmtId="0" fontId="55" fillId="14" borderId="22" xfId="0" applyFont="1" applyFill="1" applyBorder="1" applyAlignment="1">
      <alignment horizontal="center" vertical="center" wrapText="1"/>
    </xf>
    <xf numFmtId="0" fontId="55" fillId="14" borderId="0" xfId="0" applyFont="1" applyFill="1" applyAlignment="1">
      <alignment horizontal="center" vertical="center"/>
    </xf>
    <xf numFmtId="0" fontId="63" fillId="14" borderId="22" xfId="0" applyFont="1" applyFill="1" applyBorder="1" applyAlignment="1">
      <alignment horizontal="center" vertical="center"/>
    </xf>
    <xf numFmtId="0" fontId="56" fillId="14" borderId="22" xfId="0" applyFont="1" applyFill="1" applyBorder="1" applyAlignment="1">
      <alignment horizontal="center" vertical="center"/>
    </xf>
    <xf numFmtId="0" fontId="55" fillId="14" borderId="44" xfId="0" applyFont="1" applyFill="1" applyBorder="1" applyAlignment="1">
      <alignment horizontal="center" vertical="center" wrapText="1"/>
    </xf>
    <xf numFmtId="169" fontId="56" fillId="14" borderId="22" xfId="0" applyNumberFormat="1" applyFont="1" applyFill="1" applyBorder="1" applyAlignment="1">
      <alignment horizontal="center" vertical="center"/>
    </xf>
    <xf numFmtId="0" fontId="63" fillId="14" borderId="0" xfId="0" applyFont="1" applyFill="1" applyAlignment="1">
      <alignment horizontal="center" vertical="center"/>
    </xf>
    <xf numFmtId="0" fontId="63" fillId="12" borderId="22" xfId="0" applyFont="1" applyFill="1" applyBorder="1" applyAlignment="1">
      <alignment horizontal="center" vertical="center"/>
    </xf>
    <xf numFmtId="0" fontId="63" fillId="14" borderId="44" xfId="0" applyFont="1" applyFill="1" applyBorder="1" applyAlignment="1">
      <alignment horizontal="center" vertical="center"/>
    </xf>
    <xf numFmtId="0" fontId="63" fillId="14" borderId="44" xfId="0" applyFont="1" applyFill="1" applyBorder="1" applyAlignment="1">
      <alignment horizontal="center" vertical="center" wrapText="1"/>
    </xf>
    <xf numFmtId="169" fontId="63" fillId="14" borderId="22" xfId="0" applyNumberFormat="1" applyFont="1" applyFill="1" applyBorder="1" applyAlignment="1">
      <alignment horizontal="center" vertical="center"/>
    </xf>
    <xf numFmtId="0" fontId="55" fillId="15" borderId="22" xfId="0" applyFont="1" applyFill="1" applyBorder="1" applyAlignment="1">
      <alignment horizontal="center" vertical="center"/>
    </xf>
    <xf numFmtId="169" fontId="55" fillId="0" borderId="22" xfId="0" applyNumberFormat="1" applyFont="1" applyBorder="1" applyAlignment="1">
      <alignment horizontal="center" vertical="center"/>
    </xf>
    <xf numFmtId="0" fontId="63" fillId="0" borderId="22" xfId="0" applyFont="1" applyBorder="1" applyAlignment="1">
      <alignment horizontal="center" vertical="center"/>
    </xf>
    <xf numFmtId="0" fontId="63" fillId="15" borderId="22" xfId="0" applyFont="1" applyFill="1" applyBorder="1" applyAlignment="1">
      <alignment horizontal="center" vertical="center"/>
    </xf>
    <xf numFmtId="169" fontId="63" fillId="0" borderId="22" xfId="0" applyNumberFormat="1" applyFont="1" applyBorder="1" applyAlignment="1">
      <alignment horizontal="center" vertical="center"/>
    </xf>
    <xf numFmtId="169" fontId="55" fillId="12" borderId="22" xfId="0" applyNumberFormat="1" applyFont="1" applyFill="1" applyBorder="1" applyAlignment="1">
      <alignment horizontal="center" vertical="center"/>
    </xf>
    <xf numFmtId="0" fontId="55" fillId="13" borderId="22" xfId="0" applyFont="1" applyFill="1" applyBorder="1" applyAlignment="1">
      <alignment horizontal="center" vertical="center"/>
    </xf>
    <xf numFmtId="0" fontId="61" fillId="12" borderId="22" xfId="0" applyFont="1" applyFill="1" applyBorder="1" applyAlignment="1">
      <alignment horizontal="center" vertical="center"/>
    </xf>
    <xf numFmtId="169" fontId="61" fillId="12" borderId="22" xfId="0" applyNumberFormat="1" applyFont="1" applyFill="1" applyBorder="1" applyAlignment="1">
      <alignment horizontal="center" vertical="center"/>
    </xf>
    <xf numFmtId="169" fontId="55" fillId="15" borderId="22" xfId="0" applyNumberFormat="1" applyFont="1" applyFill="1" applyBorder="1" applyAlignment="1">
      <alignment horizontal="center" vertical="center"/>
    </xf>
    <xf numFmtId="0" fontId="61" fillId="15" borderId="22" xfId="0" applyFont="1" applyFill="1" applyBorder="1" applyAlignment="1">
      <alignment horizontal="center" vertical="center"/>
    </xf>
    <xf numFmtId="169" fontId="61" fillId="15" borderId="22" xfId="0" applyNumberFormat="1" applyFont="1" applyFill="1" applyBorder="1" applyAlignment="1">
      <alignment horizontal="center" vertical="center"/>
    </xf>
    <xf numFmtId="0" fontId="55" fillId="12" borderId="22" xfId="0" applyFont="1" applyFill="1" applyBorder="1" applyAlignment="1">
      <alignment horizontal="center" vertical="center"/>
    </xf>
    <xf numFmtId="14" fontId="55" fillId="0" borderId="22" xfId="0" applyNumberFormat="1" applyFont="1" applyBorder="1" applyAlignment="1">
      <alignment horizontal="center" vertical="center"/>
    </xf>
    <xf numFmtId="0" fontId="55" fillId="19" borderId="22" xfId="0" applyFont="1" applyFill="1" applyBorder="1" applyAlignment="1">
      <alignment horizontal="center" vertical="center"/>
    </xf>
    <xf numFmtId="0" fontId="55" fillId="13" borderId="44" xfId="0" applyFont="1" applyFill="1" applyBorder="1" applyAlignment="1">
      <alignment horizontal="center" vertical="center"/>
    </xf>
    <xf numFmtId="0" fontId="55" fillId="13" borderId="0" xfId="0" applyFont="1" applyFill="1" applyAlignment="1">
      <alignment horizontal="center" vertical="center"/>
    </xf>
  </cellXfs>
  <cellStyles count="3">
    <cellStyle name="Hipervínculo" xfId="2" builtinId="8"/>
    <cellStyle name="Normal" xfId="0" builtinId="0"/>
    <cellStyle name="Porcentaje" xfId="1" builtinId="5"/>
  </cellStyles>
  <dxfs count="8">
    <dxf>
      <fill>
        <patternFill patternType="solid">
          <fgColor rgb="FFFFFF00"/>
          <bgColor rgb="FFFFFF00"/>
        </patternFill>
      </fill>
    </dxf>
    <dxf>
      <fill>
        <patternFill patternType="solid">
          <fgColor theme="5"/>
          <bgColor theme="5"/>
        </patternFill>
      </fill>
    </dxf>
    <dxf>
      <fill>
        <patternFill patternType="solid">
          <fgColor rgb="FFFF0000"/>
          <bgColor rgb="FFFF0000"/>
        </patternFill>
      </fill>
    </dxf>
    <dxf>
      <fill>
        <patternFill patternType="solid">
          <fgColor rgb="FFFF5D5D"/>
          <bgColor rgb="FFFF5D5D"/>
        </patternFill>
      </fill>
    </dxf>
    <dxf>
      <fill>
        <patternFill patternType="solid">
          <fgColor rgb="FFF4B083"/>
          <bgColor rgb="FFF4B083"/>
        </patternFill>
      </fill>
    </dxf>
    <dxf>
      <fill>
        <patternFill patternType="solid">
          <fgColor rgb="FFFFD965"/>
          <bgColor rgb="FFFFD965"/>
        </patternFill>
      </fill>
    </dxf>
    <dxf>
      <fill>
        <patternFill patternType="solid">
          <fgColor rgb="FFA8D08D"/>
          <bgColor rgb="FFA8D08D"/>
        </patternFill>
      </fill>
    </dxf>
    <dxf>
      <fill>
        <patternFill patternType="solid">
          <fgColor rgb="FFAA72D4"/>
          <bgColor rgb="FFAA72D4"/>
        </patternFill>
      </fill>
    </dxf>
  </dxfs>
  <tableStyles count="0" defaultTableStyle="TableStyleMedium2" defaultPivotStyle="PivotStyleLight16"/>
  <colors>
    <mruColors>
      <color rgb="FFA307F9"/>
      <color rgb="FFD286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customschemas.google.com/relationships/workbookmetadata" Target="metadata"/><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No. de Estrategias del PTS que aportan por eje del PDSP 2022-2023</a:t>
            </a:r>
          </a:p>
        </c:rich>
      </c:tx>
      <c:overlay val="0"/>
    </c:title>
    <c:autoTitleDeleted val="0"/>
    <c:plotArea>
      <c:layout/>
      <c:barChart>
        <c:barDir val="bar"/>
        <c:grouping val="clustered"/>
        <c:varyColors val="1"/>
        <c:ser>
          <c:idx val="0"/>
          <c:order val="0"/>
          <c:tx>
            <c:v>No Estrategias</c:v>
          </c:tx>
          <c:spPr>
            <a:solidFill>
              <a:srgbClr val="4472C4"/>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Graficos!$X$3:$AD$3</c:f>
              <c:strCache>
                <c:ptCount val="7"/>
                <c:pt idx="0">
                  <c:v>Gobernabilidad y gobernanza de la salud pública</c:v>
                </c:pt>
                <c:pt idx="1">
                  <c:v>Pueblos y comunidades étnicas y campesinas, mujeres, sectores LGBTIQ+ y otras poblaciones por condición y/o situación</c:v>
                </c:pt>
                <c:pt idx="2">
                  <c:v>Atención Primaria en Salud</c:v>
                </c:pt>
                <c:pt idx="3">
                  <c:v>Cambio climático, emergencias, desastres y pandemias</c:v>
                </c:pt>
                <c:pt idx="4">
                  <c:v>Personal de salud</c:v>
                </c:pt>
                <c:pt idx="5">
                  <c:v>Conocimiento en salud pública y Soberanía Sanitaria</c:v>
                </c:pt>
                <c:pt idx="6">
                  <c:v>Determinantes Sociales de la Salud</c:v>
                </c:pt>
              </c:strCache>
            </c:strRef>
          </c:cat>
          <c:val>
            <c:numRef>
              <c:f>Graficos!$X$4:$AD$4</c:f>
              <c:numCache>
                <c:formatCode>General</c:formatCode>
                <c:ptCount val="7"/>
                <c:pt idx="0">
                  <c:v>0</c:v>
                </c:pt>
                <c:pt idx="1">
                  <c:v>0</c:v>
                </c:pt>
                <c:pt idx="2">
                  <c:v>0</c:v>
                </c:pt>
                <c:pt idx="3">
                  <c:v>0</c:v>
                </c:pt>
                <c:pt idx="4">
                  <c:v>0</c:v>
                </c:pt>
                <c:pt idx="5">
                  <c:v>0</c:v>
                </c:pt>
                <c:pt idx="6">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0F7-4A67-B067-A48AE48C524C}"/>
            </c:ext>
          </c:extLst>
        </c:ser>
        <c:dLbls>
          <c:showLegendKey val="0"/>
          <c:showVal val="0"/>
          <c:showCatName val="0"/>
          <c:showSerName val="0"/>
          <c:showPercent val="0"/>
          <c:showBubbleSize val="0"/>
        </c:dLbls>
        <c:gapWidth val="150"/>
        <c:axId val="384393512"/>
        <c:axId val="384394688"/>
      </c:barChart>
      <c:catAx>
        <c:axId val="384393512"/>
        <c:scaling>
          <c:orientation val="maxMin"/>
        </c:scaling>
        <c:delete val="0"/>
        <c:axPos val="l"/>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4688"/>
        <c:crosses val="autoZero"/>
        <c:auto val="1"/>
        <c:lblAlgn val="ctr"/>
        <c:lblOffset val="100"/>
        <c:noMultiLvlLbl val="1"/>
      </c:catAx>
      <c:valAx>
        <c:axId val="384394688"/>
        <c:scaling>
          <c:orientation val="minMax"/>
        </c:scaling>
        <c:delete val="0"/>
        <c:axPos val="b"/>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384393512"/>
        <c:crosses val="max"/>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 de Cumplimento Trimestral PAS</a:t>
            </a:r>
          </a:p>
        </c:rich>
      </c:tx>
      <c:overlay val="0"/>
    </c:title>
    <c:autoTitleDeleted val="0"/>
    <c:plotArea>
      <c:layout/>
      <c:areaChart>
        <c:grouping val="standard"/>
        <c:varyColors val="1"/>
        <c:ser>
          <c:idx val="0"/>
          <c:order val="0"/>
          <c:tx>
            <c:v>Morado</c:v>
          </c:tx>
          <c:spPr>
            <a:solidFill>
              <a:srgbClr val="AA72D4">
                <a:alpha val="30000"/>
              </a:srgbClr>
            </a:solidFill>
            <a:ln cmpd="sng">
              <a:solidFill>
                <a:srgbClr val="AA72D4"/>
              </a:solidFill>
            </a:ln>
          </c:spPr>
          <c:cat>
            <c:strRef>
              <c:f>Graficos!$B$42:$F$42</c:f>
              <c:strCache>
                <c:ptCount val="5"/>
                <c:pt idx="0">
                  <c:v>I Trimestre</c:v>
                </c:pt>
                <c:pt idx="1">
                  <c:v>II Trimestre</c:v>
                </c:pt>
                <c:pt idx="2">
                  <c:v>III Trimestre</c:v>
                </c:pt>
                <c:pt idx="3">
                  <c:v>IV Trimestre</c:v>
                </c:pt>
                <c:pt idx="4">
                  <c:v>Total Acumulado</c:v>
                </c:pt>
              </c:strCache>
            </c:strRef>
          </c:cat>
          <c:val>
            <c:numRef>
              <c:f>Graficos!$B$47:$F$47</c:f>
              <c:numCache>
                <c:formatCode>General</c:formatCode>
                <c:ptCount val="5"/>
                <c:pt idx="0">
                  <c:v>120</c:v>
                </c:pt>
                <c:pt idx="1">
                  <c:v>120</c:v>
                </c:pt>
                <c:pt idx="2">
                  <c:v>120</c:v>
                </c:pt>
                <c:pt idx="3">
                  <c:v>120</c:v>
                </c:pt>
                <c:pt idx="4">
                  <c:v>120</c:v>
                </c:pt>
              </c:numCache>
            </c:numRef>
          </c:val>
          <c:extLst>
            <c:ext xmlns:c16="http://schemas.microsoft.com/office/drawing/2014/chart" uri="{C3380CC4-5D6E-409C-BE32-E72D297353CC}">
              <c16:uniqueId val="{00000000-0FC3-4ACE-91AF-D8A6D530748D}"/>
            </c:ext>
          </c:extLst>
        </c:ser>
        <c:ser>
          <c:idx val="1"/>
          <c:order val="1"/>
          <c:tx>
            <c:v>Verde</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Graficos!$B$46:$F$46</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0FC3-4ACE-91AF-D8A6D530748D}"/>
            </c:ext>
          </c:extLst>
        </c:ser>
        <c:ser>
          <c:idx val="2"/>
          <c:order val="2"/>
          <c:tx>
            <c:v>Amarillo</c:v>
          </c:tx>
          <c:spPr>
            <a:solidFill>
              <a:srgbClr val="FFC000">
                <a:alpha val="30000"/>
              </a:srgbClr>
            </a:solidFill>
            <a:ln cmpd="sng">
              <a:solidFill>
                <a:srgbClr val="FFC000"/>
              </a:solidFill>
            </a:ln>
          </c:spPr>
          <c:cat>
            <c:strRef>
              <c:f>Graficos!$B$42:$F$42</c:f>
              <c:strCache>
                <c:ptCount val="5"/>
                <c:pt idx="0">
                  <c:v>I Trimestre</c:v>
                </c:pt>
                <c:pt idx="1">
                  <c:v>II Trimestre</c:v>
                </c:pt>
                <c:pt idx="2">
                  <c:v>III Trimestre</c:v>
                </c:pt>
                <c:pt idx="3">
                  <c:v>IV Trimestre</c:v>
                </c:pt>
                <c:pt idx="4">
                  <c:v>Total Acumulado</c:v>
                </c:pt>
              </c:strCache>
            </c:strRef>
          </c:cat>
          <c:val>
            <c:numRef>
              <c:f>Graficos!$B$45:$F$45</c:f>
              <c:numCache>
                <c:formatCode>General</c:formatCode>
                <c:ptCount val="5"/>
                <c:pt idx="0">
                  <c:v>80</c:v>
                </c:pt>
                <c:pt idx="1">
                  <c:v>80</c:v>
                </c:pt>
                <c:pt idx="2">
                  <c:v>80</c:v>
                </c:pt>
                <c:pt idx="3">
                  <c:v>80</c:v>
                </c:pt>
                <c:pt idx="4">
                  <c:v>80</c:v>
                </c:pt>
              </c:numCache>
            </c:numRef>
          </c:val>
          <c:extLst>
            <c:ext xmlns:c16="http://schemas.microsoft.com/office/drawing/2014/chart" uri="{C3380CC4-5D6E-409C-BE32-E72D297353CC}">
              <c16:uniqueId val="{00000002-0FC3-4ACE-91AF-D8A6D530748D}"/>
            </c:ext>
          </c:extLst>
        </c:ser>
        <c:ser>
          <c:idx val="3"/>
          <c:order val="3"/>
          <c:tx>
            <c:v>Naranja</c:v>
          </c:tx>
          <c:spPr>
            <a:solidFill>
              <a:srgbClr val="FF5B5B">
                <a:alpha val="30000"/>
              </a:srgbClr>
            </a:solidFill>
            <a:ln cmpd="sng">
              <a:solidFill>
                <a:srgbClr val="FF5B5B"/>
              </a:solidFill>
            </a:ln>
          </c:spPr>
          <c:cat>
            <c:strRef>
              <c:f>Graficos!$B$42:$F$42</c:f>
              <c:strCache>
                <c:ptCount val="5"/>
                <c:pt idx="0">
                  <c:v>I Trimestre</c:v>
                </c:pt>
                <c:pt idx="1">
                  <c:v>II Trimestre</c:v>
                </c:pt>
                <c:pt idx="2">
                  <c:v>III Trimestre</c:v>
                </c:pt>
                <c:pt idx="3">
                  <c:v>IV Trimestre</c:v>
                </c:pt>
                <c:pt idx="4">
                  <c:v>Total Acumulado</c:v>
                </c:pt>
              </c:strCache>
            </c:strRef>
          </c:cat>
          <c:val>
            <c:numRef>
              <c:f>Graficos!$B$44:$F$44</c:f>
              <c:numCache>
                <c:formatCode>General</c:formatCode>
                <c:ptCount val="5"/>
                <c:pt idx="0">
                  <c:v>60</c:v>
                </c:pt>
                <c:pt idx="1">
                  <c:v>60</c:v>
                </c:pt>
                <c:pt idx="2">
                  <c:v>60</c:v>
                </c:pt>
                <c:pt idx="3">
                  <c:v>60</c:v>
                </c:pt>
                <c:pt idx="4">
                  <c:v>60</c:v>
                </c:pt>
              </c:numCache>
            </c:numRef>
          </c:val>
          <c:extLst>
            <c:ext xmlns:c16="http://schemas.microsoft.com/office/drawing/2014/chart" uri="{C3380CC4-5D6E-409C-BE32-E72D297353CC}">
              <c16:uniqueId val="{00000003-0FC3-4ACE-91AF-D8A6D530748D}"/>
            </c:ext>
          </c:extLst>
        </c:ser>
        <c:dLbls>
          <c:showLegendKey val="0"/>
          <c:showVal val="0"/>
          <c:showCatName val="0"/>
          <c:showSerName val="0"/>
          <c:showPercent val="0"/>
          <c:showBubbleSize val="0"/>
        </c:dLbls>
        <c:axId val="384395080"/>
        <c:axId val="384396256"/>
      </c:areaChart>
      <c:barChart>
        <c:barDir val="col"/>
        <c:grouping val="clustered"/>
        <c:varyColors val="1"/>
        <c:ser>
          <c:idx val="4"/>
          <c:order val="4"/>
          <c:tx>
            <c:v>% Cumplimiento</c:v>
          </c:tx>
          <c:spPr>
            <a:solidFill>
              <a:srgbClr val="5B9BD5"/>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Graficos!$B$42:$F$42</c:f>
              <c:strCache>
                <c:ptCount val="5"/>
                <c:pt idx="0">
                  <c:v>I Trimestre</c:v>
                </c:pt>
                <c:pt idx="1">
                  <c:v>II Trimestre</c:v>
                </c:pt>
                <c:pt idx="2">
                  <c:v>III Trimestre</c:v>
                </c:pt>
                <c:pt idx="3">
                  <c:v>IV Trimestre</c:v>
                </c:pt>
                <c:pt idx="4">
                  <c:v>Total Acumulado</c:v>
                </c:pt>
              </c:strCache>
            </c:strRef>
          </c:cat>
          <c:val>
            <c:numRef>
              <c:f>Graficos!$B$43:$F$43</c:f>
              <c:numCache>
                <c:formatCode>0.0</c:formatCode>
                <c:ptCount val="5"/>
                <c:pt idx="0">
                  <c:v>0</c:v>
                </c:pt>
                <c:pt idx="1">
                  <c:v>0</c:v>
                </c:pt>
                <c:pt idx="2">
                  <c:v>0</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0FC3-4ACE-91AF-D8A6D530748D}"/>
            </c:ext>
          </c:extLst>
        </c:ser>
        <c:dLbls>
          <c:showLegendKey val="0"/>
          <c:showVal val="0"/>
          <c:showCatName val="0"/>
          <c:showSerName val="0"/>
          <c:showPercent val="0"/>
          <c:showBubbleSize val="0"/>
        </c:dLbls>
        <c:gapWidth val="150"/>
        <c:axId val="384395080"/>
        <c:axId val="384396256"/>
      </c:barChart>
      <c:catAx>
        <c:axId val="384395080"/>
        <c:scaling>
          <c:orientation val="minMax"/>
        </c:scaling>
        <c:delete val="0"/>
        <c:axPos val="b"/>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6256"/>
        <c:crosses val="autoZero"/>
        <c:auto val="1"/>
        <c:lblAlgn val="ctr"/>
        <c:lblOffset val="100"/>
        <c:noMultiLvlLbl val="1"/>
      </c:catAx>
      <c:valAx>
        <c:axId val="384396256"/>
        <c:scaling>
          <c:orientation val="minMax"/>
          <c:max val="120"/>
        </c:scaling>
        <c:delete val="0"/>
        <c:axPos val="l"/>
        <c:majorGridlines>
          <c:spPr>
            <a:ln>
              <a:solidFill>
                <a:srgbClr val="B7B7B7"/>
              </a:solidFill>
            </a:ln>
          </c:spPr>
        </c:majorGridlines>
        <c:title>
          <c:tx>
            <c:rich>
              <a:bodyPr/>
              <a:lstStyle/>
              <a:p>
                <a:pPr lvl="0">
                  <a:defRPr b="0">
                    <a:solidFill>
                      <a:srgbClr val="000000"/>
                    </a:solidFill>
                    <a:latin typeface="+mn-lt"/>
                  </a:defRPr>
                </a:pPr>
                <a:r>
                  <a:rPr lang="es-CO" b="0">
                    <a:solidFill>
                      <a:srgbClr val="000000"/>
                    </a:solidFill>
                    <a:latin typeface="+mn-lt"/>
                  </a:rPr>
                  <a:t>(%) Porcentaje</a:t>
                </a:r>
              </a:p>
            </c:rich>
          </c:tx>
          <c:overlay val="0"/>
        </c:title>
        <c:numFmt formatCode="General" sourceLinked="1"/>
        <c:majorTickMark val="none"/>
        <c:minorTickMark val="none"/>
        <c:tickLblPos val="nextTo"/>
        <c:spPr>
          <a:ln/>
        </c:spPr>
        <c:txPr>
          <a:bodyPr/>
          <a:lstStyle/>
          <a:p>
            <a:pPr lvl="0">
              <a:defRPr sz="1600" b="0" i="0">
                <a:solidFill>
                  <a:srgbClr val="000000"/>
                </a:solidFill>
                <a:latin typeface="Arial Narrow"/>
              </a:defRPr>
            </a:pPr>
            <a:endParaRPr lang="es-CO"/>
          </a:p>
        </c:txPr>
        <c:crossAx val="384395080"/>
        <c:crosses val="autoZero"/>
        <c:crossBetween val="between"/>
        <c:majorUnit val="10"/>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 Cumplimiento del PAS según Eje del PDSP 2022 -2031</a:t>
            </a:r>
          </a:p>
        </c:rich>
      </c:tx>
      <c:overlay val="0"/>
    </c:title>
    <c:autoTitleDeleted val="0"/>
    <c:plotArea>
      <c:layout/>
      <c:barChart>
        <c:barDir val="bar"/>
        <c:grouping val="clustered"/>
        <c:varyColors val="1"/>
        <c:ser>
          <c:idx val="0"/>
          <c:order val="0"/>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0-EBF0-4378-ABE4-14A1BDFF58B6}"/>
            </c:ext>
          </c:extLst>
        </c:ser>
        <c:ser>
          <c:idx val="1"/>
          <c:order val="1"/>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1-EBF0-4378-ABE4-14A1BDFF58B6}"/>
            </c:ext>
          </c:extLst>
        </c:ser>
        <c:ser>
          <c:idx val="2"/>
          <c:order val="2"/>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2-EBF0-4378-ABE4-14A1BDFF58B6}"/>
            </c:ext>
          </c:extLst>
        </c:ser>
        <c:ser>
          <c:idx val="3"/>
          <c:order val="3"/>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3-EBF0-4378-ABE4-14A1BDFF58B6}"/>
            </c:ext>
          </c:extLst>
        </c:ser>
        <c:dLbls>
          <c:showLegendKey val="0"/>
          <c:showVal val="0"/>
          <c:showCatName val="0"/>
          <c:showSerName val="0"/>
          <c:showPercent val="0"/>
          <c:showBubbleSize val="0"/>
        </c:dLbls>
        <c:gapWidth val="150"/>
        <c:axId val="384396648"/>
        <c:axId val="384389200"/>
      </c:barChart>
      <c:catAx>
        <c:axId val="384396648"/>
        <c:scaling>
          <c:orientation val="maxMin"/>
        </c:scaling>
        <c:delete val="0"/>
        <c:axPos val="l"/>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89200"/>
        <c:crosses val="autoZero"/>
        <c:auto val="1"/>
        <c:lblAlgn val="ctr"/>
        <c:lblOffset val="100"/>
        <c:noMultiLvlLbl val="1"/>
      </c:catAx>
      <c:valAx>
        <c:axId val="384389200"/>
        <c:scaling>
          <c:orientation val="minMax"/>
        </c:scaling>
        <c:delete val="0"/>
        <c:axPos val="b"/>
        <c:numFmt formatCode="General" sourceLinked="1"/>
        <c:majorTickMark val="cross"/>
        <c:minorTickMark val="cross"/>
        <c:tickLblPos val="nextTo"/>
        <c:spPr>
          <a:ln>
            <a:noFill/>
          </a:ln>
        </c:spPr>
        <c:crossAx val="384396648"/>
        <c:crosses val="max"/>
        <c:crossBetween val="between"/>
      </c:valAx>
    </c:plotArea>
    <c:legend>
      <c:legendPos val="r"/>
      <c:overlay val="0"/>
      <c:txPr>
        <a:bodyPr/>
        <a:lstStyle/>
        <a:p>
          <a:pPr lvl="0">
            <a:defRPr sz="16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No. de Estrategias del PTS que aportan por eje del PDSP 2022-2023</a:t>
            </a:r>
          </a:p>
        </c:rich>
      </c:tx>
      <c:overlay val="0"/>
    </c:title>
    <c:autoTitleDeleted val="0"/>
    <c:plotArea>
      <c:layout/>
      <c:barChart>
        <c:barDir val="bar"/>
        <c:grouping val="clustered"/>
        <c:varyColors val="1"/>
        <c:ser>
          <c:idx val="0"/>
          <c:order val="0"/>
          <c:tx>
            <c:v>No Estrategias</c:v>
          </c:tx>
          <c:spPr>
            <a:solidFill>
              <a:srgbClr val="4472C4"/>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Graficos!$X$3:$AD$3</c:f>
              <c:strCache>
                <c:ptCount val="7"/>
                <c:pt idx="0">
                  <c:v>Gobernabilidad y gobernanza de la salud pública</c:v>
                </c:pt>
                <c:pt idx="1">
                  <c:v>Pueblos y comunidades étnicas y campesinas, mujeres, sectores LGBTIQ+ y otras poblaciones por condición y/o situación</c:v>
                </c:pt>
                <c:pt idx="2">
                  <c:v>Atención Primaria en Salud</c:v>
                </c:pt>
                <c:pt idx="3">
                  <c:v>Cambio climático, emergencias, desastres y pandemias</c:v>
                </c:pt>
                <c:pt idx="4">
                  <c:v>Personal de salud</c:v>
                </c:pt>
                <c:pt idx="5">
                  <c:v>Conocimiento en salud pública y Soberanía Sanitaria</c:v>
                </c:pt>
                <c:pt idx="6">
                  <c:v>Determinantes Sociales de la Salud</c:v>
                </c:pt>
              </c:strCache>
            </c:strRef>
          </c:cat>
          <c:val>
            <c:numRef>
              <c:f>Graficos!$X$4:$AD$4</c:f>
              <c:numCache>
                <c:formatCode>General</c:formatCode>
                <c:ptCount val="7"/>
                <c:pt idx="0">
                  <c:v>0</c:v>
                </c:pt>
                <c:pt idx="1">
                  <c:v>0</c:v>
                </c:pt>
                <c:pt idx="2">
                  <c:v>0</c:v>
                </c:pt>
                <c:pt idx="3">
                  <c:v>0</c:v>
                </c:pt>
                <c:pt idx="4">
                  <c:v>0</c:v>
                </c:pt>
                <c:pt idx="5">
                  <c:v>0</c:v>
                </c:pt>
                <c:pt idx="6">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618-4124-83BE-09802A17B21D}"/>
            </c:ext>
          </c:extLst>
        </c:ser>
        <c:dLbls>
          <c:showLegendKey val="0"/>
          <c:showVal val="0"/>
          <c:showCatName val="0"/>
          <c:showSerName val="0"/>
          <c:showPercent val="0"/>
          <c:showBubbleSize val="0"/>
        </c:dLbls>
        <c:gapWidth val="150"/>
        <c:axId val="384390376"/>
        <c:axId val="384390768"/>
      </c:barChart>
      <c:catAx>
        <c:axId val="38439037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0768"/>
        <c:crosses val="autoZero"/>
        <c:auto val="1"/>
        <c:lblAlgn val="ctr"/>
        <c:lblOffset val="100"/>
        <c:noMultiLvlLbl val="1"/>
      </c:catAx>
      <c:valAx>
        <c:axId val="38439076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384390376"/>
        <c:crosses val="max"/>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 de Cumplimento Trimestral PAS</a:t>
            </a:r>
          </a:p>
        </c:rich>
      </c:tx>
      <c:overlay val="0"/>
    </c:title>
    <c:autoTitleDeleted val="0"/>
    <c:plotArea>
      <c:layout/>
      <c:areaChart>
        <c:grouping val="standard"/>
        <c:varyColors val="1"/>
        <c:ser>
          <c:idx val="0"/>
          <c:order val="0"/>
          <c:tx>
            <c:v>Morado</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Graficos!$B$47:$F$47</c:f>
              <c:numCache>
                <c:formatCode>General</c:formatCode>
                <c:ptCount val="5"/>
                <c:pt idx="0">
                  <c:v>120</c:v>
                </c:pt>
                <c:pt idx="1">
                  <c:v>120</c:v>
                </c:pt>
                <c:pt idx="2">
                  <c:v>120</c:v>
                </c:pt>
                <c:pt idx="3">
                  <c:v>120</c:v>
                </c:pt>
                <c:pt idx="4">
                  <c:v>120</c:v>
                </c:pt>
              </c:numCache>
            </c:numRef>
          </c:val>
          <c:extLst>
            <c:ext xmlns:c16="http://schemas.microsoft.com/office/drawing/2014/chart" uri="{C3380CC4-5D6E-409C-BE32-E72D297353CC}">
              <c16:uniqueId val="{00000000-A83A-424E-9EE2-FFA13D2547A2}"/>
            </c:ext>
          </c:extLst>
        </c:ser>
        <c:ser>
          <c:idx val="1"/>
          <c:order val="1"/>
          <c:tx>
            <c:v>Verde</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Graficos!$B$46:$F$46</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A83A-424E-9EE2-FFA13D2547A2}"/>
            </c:ext>
          </c:extLst>
        </c:ser>
        <c:ser>
          <c:idx val="2"/>
          <c:order val="2"/>
          <c:tx>
            <c:v>Amarillo</c:v>
          </c:tx>
          <c:spPr>
            <a:solidFill>
              <a:srgbClr val="FFC000">
                <a:alpha val="30000"/>
              </a:srgbClr>
            </a:solidFill>
            <a:ln cmpd="sng">
              <a:solidFill>
                <a:srgbClr val="FFC000"/>
              </a:solidFill>
            </a:ln>
          </c:spPr>
          <c:cat>
            <c:strRef>
              <c:f>Graficos!$B$42:$F$42</c:f>
              <c:strCache>
                <c:ptCount val="5"/>
                <c:pt idx="0">
                  <c:v>I Trimestre</c:v>
                </c:pt>
                <c:pt idx="1">
                  <c:v>II Trimestre</c:v>
                </c:pt>
                <c:pt idx="2">
                  <c:v>III Trimestre</c:v>
                </c:pt>
                <c:pt idx="3">
                  <c:v>IV Trimestre</c:v>
                </c:pt>
                <c:pt idx="4">
                  <c:v>Total Acumulado</c:v>
                </c:pt>
              </c:strCache>
            </c:strRef>
          </c:cat>
          <c:val>
            <c:numRef>
              <c:f>Graficos!$B$45:$F$45</c:f>
              <c:numCache>
                <c:formatCode>General</c:formatCode>
                <c:ptCount val="5"/>
                <c:pt idx="0">
                  <c:v>80</c:v>
                </c:pt>
                <c:pt idx="1">
                  <c:v>80</c:v>
                </c:pt>
                <c:pt idx="2">
                  <c:v>80</c:v>
                </c:pt>
                <c:pt idx="3">
                  <c:v>80</c:v>
                </c:pt>
                <c:pt idx="4">
                  <c:v>80</c:v>
                </c:pt>
              </c:numCache>
            </c:numRef>
          </c:val>
          <c:extLst>
            <c:ext xmlns:c16="http://schemas.microsoft.com/office/drawing/2014/chart" uri="{C3380CC4-5D6E-409C-BE32-E72D297353CC}">
              <c16:uniqueId val="{00000002-A83A-424E-9EE2-FFA13D2547A2}"/>
            </c:ext>
          </c:extLst>
        </c:ser>
        <c:ser>
          <c:idx val="3"/>
          <c:order val="3"/>
          <c:tx>
            <c:v>Naranja</c:v>
          </c:tx>
          <c:spPr>
            <a:solidFill>
              <a:srgbClr val="FF5B5B">
                <a:alpha val="30000"/>
              </a:srgbClr>
            </a:solidFill>
            <a:ln cmpd="sng">
              <a:solidFill>
                <a:srgbClr val="FF5B5B"/>
              </a:solidFill>
            </a:ln>
          </c:spPr>
          <c:cat>
            <c:strRef>
              <c:f>Graficos!$B$42:$F$42</c:f>
              <c:strCache>
                <c:ptCount val="5"/>
                <c:pt idx="0">
                  <c:v>I Trimestre</c:v>
                </c:pt>
                <c:pt idx="1">
                  <c:v>II Trimestre</c:v>
                </c:pt>
                <c:pt idx="2">
                  <c:v>III Trimestre</c:v>
                </c:pt>
                <c:pt idx="3">
                  <c:v>IV Trimestre</c:v>
                </c:pt>
                <c:pt idx="4">
                  <c:v>Total Acumulado</c:v>
                </c:pt>
              </c:strCache>
            </c:strRef>
          </c:cat>
          <c:val>
            <c:numRef>
              <c:f>Graficos!$B$44:$F$44</c:f>
              <c:numCache>
                <c:formatCode>General</c:formatCode>
                <c:ptCount val="5"/>
                <c:pt idx="0">
                  <c:v>60</c:v>
                </c:pt>
                <c:pt idx="1">
                  <c:v>60</c:v>
                </c:pt>
                <c:pt idx="2">
                  <c:v>60</c:v>
                </c:pt>
                <c:pt idx="3">
                  <c:v>60</c:v>
                </c:pt>
                <c:pt idx="4">
                  <c:v>60</c:v>
                </c:pt>
              </c:numCache>
            </c:numRef>
          </c:val>
          <c:extLst>
            <c:ext xmlns:c16="http://schemas.microsoft.com/office/drawing/2014/chart" uri="{C3380CC4-5D6E-409C-BE32-E72D297353CC}">
              <c16:uniqueId val="{00000003-A83A-424E-9EE2-FFA13D2547A2}"/>
            </c:ext>
          </c:extLst>
        </c:ser>
        <c:dLbls>
          <c:showLegendKey val="0"/>
          <c:showVal val="0"/>
          <c:showCatName val="0"/>
          <c:showSerName val="0"/>
          <c:showPercent val="0"/>
          <c:showBubbleSize val="0"/>
        </c:dLbls>
        <c:axId val="492556400"/>
        <c:axId val="492557968"/>
      </c:areaChart>
      <c:barChart>
        <c:barDir val="col"/>
        <c:grouping val="clustered"/>
        <c:varyColors val="1"/>
        <c:ser>
          <c:idx val="4"/>
          <c:order val="4"/>
          <c:tx>
            <c:v>% Cumplimiento</c:v>
          </c:tx>
          <c:spPr>
            <a:solidFill>
              <a:srgbClr val="4472C4"/>
            </a:solidFill>
            <a:ln cmpd="sng">
              <a:solidFill>
                <a:srgbClr val="000000"/>
              </a:solidFill>
            </a:ln>
          </c:spPr>
          <c:invertIfNegative val="1"/>
          <c:dPt>
            <c:idx val="4"/>
            <c:invertIfNegative val="1"/>
            <c:bubble3D val="0"/>
            <c:spPr>
              <a:solidFill>
                <a:schemeClr val="accent5"/>
              </a:solidFill>
              <a:ln cmpd="sng">
                <a:solidFill>
                  <a:srgbClr val="000000"/>
                </a:solidFill>
              </a:ln>
            </c:spPr>
            <c:extLst>
              <c:ext xmlns:c16="http://schemas.microsoft.com/office/drawing/2014/chart" uri="{C3380CC4-5D6E-409C-BE32-E72D297353CC}">
                <c16:uniqueId val="{00000005-A83A-424E-9EE2-FFA13D2547A2}"/>
              </c:ext>
            </c:extLst>
          </c:dPt>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Graficos!$B$42:$F$42</c:f>
              <c:strCache>
                <c:ptCount val="5"/>
                <c:pt idx="0">
                  <c:v>I Trimestre</c:v>
                </c:pt>
                <c:pt idx="1">
                  <c:v>II Trimestre</c:v>
                </c:pt>
                <c:pt idx="2">
                  <c:v>III Trimestre</c:v>
                </c:pt>
                <c:pt idx="3">
                  <c:v>IV Trimestre</c:v>
                </c:pt>
                <c:pt idx="4">
                  <c:v>Total Acumulado</c:v>
                </c:pt>
              </c:strCache>
            </c:strRef>
          </c:cat>
          <c:val>
            <c:numRef>
              <c:f>Graficos!$B$43:$F$43</c:f>
              <c:numCache>
                <c:formatCode>0.0</c:formatCode>
                <c:ptCount val="5"/>
                <c:pt idx="0">
                  <c:v>0</c:v>
                </c:pt>
                <c:pt idx="1">
                  <c:v>0</c:v>
                </c:pt>
                <c:pt idx="2">
                  <c:v>0</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A83A-424E-9EE2-FFA13D2547A2}"/>
            </c:ext>
          </c:extLst>
        </c:ser>
        <c:dLbls>
          <c:showLegendKey val="0"/>
          <c:showVal val="0"/>
          <c:showCatName val="0"/>
          <c:showSerName val="0"/>
          <c:showPercent val="0"/>
          <c:showBubbleSize val="0"/>
        </c:dLbls>
        <c:gapWidth val="150"/>
        <c:axId val="492556400"/>
        <c:axId val="492557968"/>
      </c:barChart>
      <c:catAx>
        <c:axId val="4925564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492557968"/>
        <c:crosses val="autoZero"/>
        <c:auto val="1"/>
        <c:lblAlgn val="ctr"/>
        <c:lblOffset val="100"/>
        <c:noMultiLvlLbl val="1"/>
      </c:catAx>
      <c:valAx>
        <c:axId val="492557968"/>
        <c:scaling>
          <c:orientation val="minMax"/>
          <c:max val="12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Porcentaje</a:t>
                </a:r>
              </a:p>
            </c:rich>
          </c:tx>
          <c:overlay val="0"/>
        </c:title>
        <c:numFmt formatCode="General" sourceLinked="1"/>
        <c:majorTickMark val="none"/>
        <c:minorTickMark val="none"/>
        <c:tickLblPos val="nextTo"/>
        <c:spPr>
          <a:ln/>
        </c:spPr>
        <c:txPr>
          <a:bodyPr/>
          <a:lstStyle/>
          <a:p>
            <a:pPr lvl="0">
              <a:defRPr sz="1600" b="0" i="0">
                <a:solidFill>
                  <a:srgbClr val="000000"/>
                </a:solidFill>
                <a:latin typeface="Arial Narrow"/>
              </a:defRPr>
            </a:pPr>
            <a:endParaRPr lang="es-CO"/>
          </a:p>
        </c:txPr>
        <c:crossAx val="492556400"/>
        <c:crosses val="autoZero"/>
        <c:crossBetween val="between"/>
        <c:majorUnit val="10"/>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23761636963722241"/>
          <c:y val="0.12582630658647664"/>
          <c:w val="0.53548491564357248"/>
          <c:h val="0.68322556515969812"/>
        </c:manualLayout>
      </c:layout>
      <c:radarChart>
        <c:radarStyle val="marker"/>
        <c:varyColors val="1"/>
        <c:ser>
          <c:idx val="0"/>
          <c:order val="0"/>
          <c:tx>
            <c:strRef>
              <c:f>Graficos!$A$66</c:f>
              <c:strCache>
                <c:ptCount val="1"/>
              </c:strCache>
            </c:strRef>
          </c:tx>
          <c:spPr>
            <a:ln cmpd="sng">
              <a:solidFill>
                <a:srgbClr val="4472C4"/>
              </a:solidFill>
            </a:ln>
          </c:spPr>
          <c:marker>
            <c:symbol val="none"/>
          </c:marker>
          <c:cat>
            <c:strRef>
              <c:f>Graficos!$A$67</c:f>
              <c:strCache>
                <c:ptCount val="1"/>
                <c:pt idx="0">
                  <c:v>SUM of  I trim</c:v>
                </c:pt>
              </c:strCache>
            </c:strRef>
          </c:cat>
          <c:val>
            <c:numRef>
              <c:f>Graficos!$A$67</c:f>
              <c:numCache>
                <c:formatCode>General</c:formatCode>
                <c:ptCount val="1"/>
                <c:pt idx="0">
                  <c:v>0</c:v>
                </c:pt>
              </c:numCache>
            </c:numRef>
          </c:val>
          <c:extLst>
            <c:ext xmlns:c16="http://schemas.microsoft.com/office/drawing/2014/chart" uri="{C3380CC4-5D6E-409C-BE32-E72D297353CC}">
              <c16:uniqueId val="{00000000-CA83-445C-9FB5-2D81396AE539}"/>
            </c:ext>
          </c:extLst>
        </c:ser>
        <c:ser>
          <c:idx val="1"/>
          <c:order val="1"/>
          <c:tx>
            <c:strRef>
              <c:f>Graficos!$B$66</c:f>
              <c:strCache>
                <c:ptCount val="1"/>
              </c:strCache>
            </c:strRef>
          </c:tx>
          <c:spPr>
            <a:ln cmpd="sng">
              <a:solidFill>
                <a:srgbClr val="ED7D31"/>
              </a:solidFill>
            </a:ln>
          </c:spPr>
          <c:marker>
            <c:symbol val="none"/>
          </c:marker>
          <c:cat>
            <c:strRef>
              <c:f>Graficos!$A$67</c:f>
              <c:strCache>
                <c:ptCount val="1"/>
                <c:pt idx="0">
                  <c:v>SUM of  I trim</c:v>
                </c:pt>
              </c:strCache>
            </c:strRef>
          </c:cat>
          <c:val>
            <c:numRef>
              <c:f>Graficos!$B$67</c:f>
              <c:numCache>
                <c:formatCode>General</c:formatCode>
                <c:ptCount val="1"/>
                <c:pt idx="0">
                  <c:v>0</c:v>
                </c:pt>
              </c:numCache>
            </c:numRef>
          </c:val>
          <c:extLst>
            <c:ext xmlns:c16="http://schemas.microsoft.com/office/drawing/2014/chart" uri="{C3380CC4-5D6E-409C-BE32-E72D297353CC}">
              <c16:uniqueId val="{00000001-CA83-445C-9FB5-2D81396AE539}"/>
            </c:ext>
          </c:extLst>
        </c:ser>
        <c:ser>
          <c:idx val="2"/>
          <c:order val="2"/>
          <c:tx>
            <c:strRef>
              <c:f>Graficos!$C$66</c:f>
              <c:strCache>
                <c:ptCount val="1"/>
              </c:strCache>
            </c:strRef>
          </c:tx>
          <c:spPr>
            <a:ln cmpd="sng">
              <a:solidFill>
                <a:srgbClr val="A5A5A5"/>
              </a:solidFill>
            </a:ln>
          </c:spPr>
          <c:marker>
            <c:symbol val="none"/>
          </c:marker>
          <c:cat>
            <c:strRef>
              <c:f>Graficos!$A$67</c:f>
              <c:strCache>
                <c:ptCount val="1"/>
                <c:pt idx="0">
                  <c:v>SUM of  I trim</c:v>
                </c:pt>
              </c:strCache>
            </c:strRef>
          </c:cat>
          <c:val>
            <c:numRef>
              <c:f>Graficos!$C$67</c:f>
              <c:numCache>
                <c:formatCode>General</c:formatCode>
                <c:ptCount val="1"/>
                <c:pt idx="0">
                  <c:v>0</c:v>
                </c:pt>
              </c:numCache>
            </c:numRef>
          </c:val>
          <c:extLst>
            <c:ext xmlns:c16="http://schemas.microsoft.com/office/drawing/2014/chart" uri="{C3380CC4-5D6E-409C-BE32-E72D297353CC}">
              <c16:uniqueId val="{00000002-CA83-445C-9FB5-2D81396AE539}"/>
            </c:ext>
          </c:extLst>
        </c:ser>
        <c:ser>
          <c:idx val="3"/>
          <c:order val="3"/>
          <c:tx>
            <c:strRef>
              <c:f>Graficos!$D$66</c:f>
              <c:strCache>
                <c:ptCount val="1"/>
              </c:strCache>
            </c:strRef>
          </c:tx>
          <c:spPr>
            <a:ln cmpd="sng">
              <a:solidFill>
                <a:srgbClr val="FFC000"/>
              </a:solidFill>
            </a:ln>
          </c:spPr>
          <c:marker>
            <c:symbol val="none"/>
          </c:marker>
          <c:cat>
            <c:strRef>
              <c:f>Graficos!$A$67</c:f>
              <c:strCache>
                <c:ptCount val="1"/>
                <c:pt idx="0">
                  <c:v>SUM of  I trim</c:v>
                </c:pt>
              </c:strCache>
            </c:strRef>
          </c:cat>
          <c:val>
            <c:numRef>
              <c:f>Graficos!$D$67</c:f>
              <c:numCache>
                <c:formatCode>General</c:formatCode>
                <c:ptCount val="1"/>
                <c:pt idx="0">
                  <c:v>0</c:v>
                </c:pt>
              </c:numCache>
            </c:numRef>
          </c:val>
          <c:extLst>
            <c:ext xmlns:c16="http://schemas.microsoft.com/office/drawing/2014/chart" uri="{C3380CC4-5D6E-409C-BE32-E72D297353CC}">
              <c16:uniqueId val="{00000003-CA83-445C-9FB5-2D81396AE539}"/>
            </c:ext>
          </c:extLst>
        </c:ser>
        <c:dLbls>
          <c:showLegendKey val="0"/>
          <c:showVal val="0"/>
          <c:showCatName val="0"/>
          <c:showSerName val="0"/>
          <c:showPercent val="0"/>
          <c:showBubbleSize val="0"/>
        </c:dLbls>
        <c:axId val="492552480"/>
        <c:axId val="492550912"/>
      </c:radarChart>
      <c:catAx>
        <c:axId val="49255248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s-CO"/>
          </a:p>
        </c:txPr>
        <c:crossAx val="492550912"/>
        <c:crosses val="autoZero"/>
        <c:auto val="1"/>
        <c:lblAlgn val="ctr"/>
        <c:lblOffset val="100"/>
        <c:noMultiLvlLbl val="1"/>
      </c:catAx>
      <c:valAx>
        <c:axId val="49255091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492552480"/>
        <c:crosses val="autoZero"/>
        <c:crossBetween val="between"/>
      </c:valAx>
    </c:plotArea>
    <c:legend>
      <c:legendPos val="b"/>
      <c:overlay val="0"/>
      <c:txPr>
        <a:bodyPr/>
        <a:lstStyle/>
        <a:p>
          <a:pPr lvl="0">
            <a:defRPr sz="12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 Cumplimiento del PAS según Eje del PDSP 2022 -2031</a:t>
            </a:r>
          </a:p>
        </c:rich>
      </c:tx>
      <c:overlay val="0"/>
    </c:title>
    <c:autoTitleDeleted val="0"/>
    <c:plotArea>
      <c:layout/>
      <c:barChart>
        <c:barDir val="bar"/>
        <c:grouping val="clustered"/>
        <c:varyColors val="1"/>
        <c:ser>
          <c:idx val="0"/>
          <c:order val="0"/>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0-766E-4E0E-B332-7C76607DC528}"/>
            </c:ext>
          </c:extLst>
        </c:ser>
        <c:ser>
          <c:idx val="1"/>
          <c:order val="1"/>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1-766E-4E0E-B332-7C76607DC528}"/>
            </c:ext>
          </c:extLst>
        </c:ser>
        <c:ser>
          <c:idx val="2"/>
          <c:order val="2"/>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2-766E-4E0E-B332-7C76607DC528}"/>
            </c:ext>
          </c:extLst>
        </c:ser>
        <c:ser>
          <c:idx val="3"/>
          <c:order val="3"/>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3-766E-4E0E-B332-7C76607DC528}"/>
            </c:ext>
          </c:extLst>
        </c:ser>
        <c:dLbls>
          <c:showLegendKey val="0"/>
          <c:showVal val="0"/>
          <c:showCatName val="0"/>
          <c:showSerName val="0"/>
          <c:showPercent val="0"/>
          <c:showBubbleSize val="0"/>
        </c:dLbls>
        <c:gapWidth val="150"/>
        <c:axId val="492557184"/>
        <c:axId val="492552872"/>
      </c:barChart>
      <c:catAx>
        <c:axId val="4925571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492552872"/>
        <c:crosses val="autoZero"/>
        <c:auto val="1"/>
        <c:lblAlgn val="ctr"/>
        <c:lblOffset val="100"/>
        <c:noMultiLvlLbl val="1"/>
      </c:catAx>
      <c:valAx>
        <c:axId val="492552872"/>
        <c:scaling>
          <c:orientation val="minMax"/>
        </c:scaling>
        <c:delete val="0"/>
        <c:axPos val="b"/>
        <c:numFmt formatCode="General" sourceLinked="1"/>
        <c:majorTickMark val="cross"/>
        <c:minorTickMark val="cross"/>
        <c:tickLblPos val="nextTo"/>
        <c:spPr>
          <a:ln>
            <a:noFill/>
          </a:ln>
        </c:spPr>
        <c:crossAx val="492557184"/>
        <c:crosses val="max"/>
        <c:crossBetween val="between"/>
      </c:valAx>
    </c:plotArea>
    <c:legend>
      <c:legendPos val="r"/>
      <c:overlay val="0"/>
      <c:txPr>
        <a:bodyPr/>
        <a:lstStyle/>
        <a:p>
          <a:pPr lvl="0">
            <a:defRPr sz="16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0</xdr:col>
      <xdr:colOff>104775</xdr:colOff>
      <xdr:row>0</xdr:row>
      <xdr:rowOff>114300</xdr:rowOff>
    </xdr:from>
    <xdr:ext cx="800100" cy="857250"/>
    <xdr:pic>
      <xdr:nvPicPr>
        <xdr:cNvPr id="2" name="image1.png" descr="Potencia de vida">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266700</xdr:colOff>
      <xdr:row>9</xdr:row>
      <xdr:rowOff>28575</xdr:rowOff>
    </xdr:from>
    <xdr:ext cx="9353550" cy="5810250"/>
    <xdr:graphicFrame macro="">
      <xdr:nvGraphicFramePr>
        <xdr:cNvPr id="1784242597" name="Chart 1">
          <a:extLst>
            <a:ext uri="{FF2B5EF4-FFF2-40B4-BE49-F238E27FC236}">
              <a16:creationId xmlns:a16="http://schemas.microsoft.com/office/drawing/2014/main" id="{00000000-0008-0000-0100-0000A5615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876300</xdr:colOff>
      <xdr:row>9</xdr:row>
      <xdr:rowOff>28575</xdr:rowOff>
    </xdr:from>
    <xdr:ext cx="7200900" cy="5810250"/>
    <xdr:graphicFrame macro="">
      <xdr:nvGraphicFramePr>
        <xdr:cNvPr id="1505228067" name="Chart 2">
          <a:extLst>
            <a:ext uri="{FF2B5EF4-FFF2-40B4-BE49-F238E27FC236}">
              <a16:creationId xmlns:a16="http://schemas.microsoft.com/office/drawing/2014/main" id="{00000000-0008-0000-0100-000023F5B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257175</xdr:colOff>
      <xdr:row>41</xdr:row>
      <xdr:rowOff>171450</xdr:rowOff>
    </xdr:from>
    <xdr:ext cx="9353550" cy="6753225"/>
    <xdr:graphicFrame macro="">
      <xdr:nvGraphicFramePr>
        <xdr:cNvPr id="1938434130" name="Chart 3">
          <a:extLst>
            <a:ext uri="{FF2B5EF4-FFF2-40B4-BE49-F238E27FC236}">
              <a16:creationId xmlns:a16="http://schemas.microsoft.com/office/drawing/2014/main" id="{00000000-0008-0000-0100-000052288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1371600</xdr:colOff>
      <xdr:row>1</xdr:row>
      <xdr:rowOff>123825</xdr:rowOff>
    </xdr:from>
    <xdr:ext cx="9810750" cy="2476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445388" y="3660938"/>
          <a:ext cx="9801225" cy="238125"/>
        </a:xfrm>
        <a:prstGeom prst="rect">
          <a:avLst/>
        </a:prstGeom>
        <a:noFill/>
        <a:ln>
          <a:noFill/>
        </a:ln>
      </xdr:spPr>
      <xdr:txBody>
        <a:bodyPr spcFirstLastPara="1" wrap="square" lIns="0" tIns="0" rIns="0" bIns="0" anchor="t" anchorCtr="0">
          <a:spAutoFit/>
        </a:bodyPr>
        <a:lstStyle/>
        <a:p>
          <a:pPr marL="0" lvl="0" indent="0" algn="ctr" rtl="0">
            <a:spcBef>
              <a:spcPts val="0"/>
            </a:spcBef>
            <a:spcAft>
              <a:spcPts val="0"/>
            </a:spcAft>
            <a:buNone/>
          </a:pPr>
          <a:r>
            <a:rPr lang="en-US" sz="1600" b="1">
              <a:solidFill>
                <a:srgbClr val="7F7F7F"/>
              </a:solidFill>
              <a:highlight>
                <a:srgbClr val="FFFFFF"/>
              </a:highlight>
              <a:latin typeface="Verdana"/>
              <a:ea typeface="Verdana"/>
              <a:cs typeface="Verdana"/>
              <a:sym typeface="Verdana"/>
            </a:rPr>
            <a:t>SEGUIMIENTO AL PLAN DE ACCIÓN EN SALUD 2026</a:t>
          </a:r>
          <a:endParaRPr sz="1600" b="1">
            <a:solidFill>
              <a:srgbClr val="7F7F7F"/>
            </a:solidFill>
            <a:latin typeface="Verdana"/>
            <a:ea typeface="Verdana"/>
            <a:cs typeface="Verdana"/>
            <a:sym typeface="Verdana"/>
          </a:endParaRPr>
        </a:p>
      </xdr:txBody>
    </xdr:sp>
    <xdr:clientData fLocksWithSheet="0"/>
  </xdr:oneCellAnchor>
  <xdr:oneCellAnchor>
    <xdr:from>
      <xdr:col>13</xdr:col>
      <xdr:colOff>219075</xdr:colOff>
      <xdr:row>32</xdr:row>
      <xdr:rowOff>95250</xdr:rowOff>
    </xdr:from>
    <xdr:ext cx="361950" cy="352425"/>
    <xdr:sp macro="" textlink="">
      <xdr:nvSpPr>
        <xdr:cNvPr id="4" name="Shape 4">
          <a:extLst>
            <a:ext uri="{FF2B5EF4-FFF2-40B4-BE49-F238E27FC236}">
              <a16:creationId xmlns:a16="http://schemas.microsoft.com/office/drawing/2014/main" id="{00000000-0008-0000-0100-000004000000}"/>
            </a:ext>
          </a:extLst>
        </xdr:cNvPr>
        <xdr:cNvSpPr/>
      </xdr:nvSpPr>
      <xdr:spPr>
        <a:xfrm>
          <a:off x="5169788" y="3608550"/>
          <a:ext cx="352425" cy="342900"/>
        </a:xfrm>
        <a:prstGeom prst="rect">
          <a:avLst/>
        </a:prstGeom>
        <a:solidFill>
          <a:srgbClr val="AA72D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209550</xdr:colOff>
      <xdr:row>34</xdr:row>
      <xdr:rowOff>123825</xdr:rowOff>
    </xdr:from>
    <xdr:ext cx="361950" cy="352425"/>
    <xdr:sp macro="" textlink="">
      <xdr:nvSpPr>
        <xdr:cNvPr id="5" name="Shape 5">
          <a:extLst>
            <a:ext uri="{FF2B5EF4-FFF2-40B4-BE49-F238E27FC236}">
              <a16:creationId xmlns:a16="http://schemas.microsoft.com/office/drawing/2014/main" id="{00000000-0008-0000-0100-000005000000}"/>
            </a:ext>
          </a:extLst>
        </xdr:cNvPr>
        <xdr:cNvSpPr/>
      </xdr:nvSpPr>
      <xdr:spPr>
        <a:xfrm>
          <a:off x="5169788" y="3608550"/>
          <a:ext cx="352425" cy="342900"/>
        </a:xfrm>
        <a:prstGeom prst="rect">
          <a:avLst/>
        </a:prstGeom>
        <a:solidFill>
          <a:srgbClr val="A8D08C"/>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219075</xdr:colOff>
      <xdr:row>36</xdr:row>
      <xdr:rowOff>142875</xdr:rowOff>
    </xdr:from>
    <xdr:ext cx="361950" cy="352425"/>
    <xdr:sp macro="" textlink="">
      <xdr:nvSpPr>
        <xdr:cNvPr id="6" name="Shape 6">
          <a:extLst>
            <a:ext uri="{FF2B5EF4-FFF2-40B4-BE49-F238E27FC236}">
              <a16:creationId xmlns:a16="http://schemas.microsoft.com/office/drawing/2014/main" id="{00000000-0008-0000-0100-000006000000}"/>
            </a:ext>
          </a:extLst>
        </xdr:cNvPr>
        <xdr:cNvSpPr/>
      </xdr:nvSpPr>
      <xdr:spPr>
        <a:xfrm>
          <a:off x="5169788" y="3608550"/>
          <a:ext cx="352425" cy="342900"/>
        </a:xfrm>
        <a:prstGeom prst="rect">
          <a:avLst/>
        </a:prstGeom>
        <a:solidFill>
          <a:srgbClr val="FFD96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219075</xdr:colOff>
      <xdr:row>39</xdr:row>
      <xdr:rowOff>0</xdr:rowOff>
    </xdr:from>
    <xdr:ext cx="361950" cy="352425"/>
    <xdr:sp macro="" textlink="">
      <xdr:nvSpPr>
        <xdr:cNvPr id="7" name="Shape 7">
          <a:extLst>
            <a:ext uri="{FF2B5EF4-FFF2-40B4-BE49-F238E27FC236}">
              <a16:creationId xmlns:a16="http://schemas.microsoft.com/office/drawing/2014/main" id="{00000000-0008-0000-0100-000007000000}"/>
            </a:ext>
          </a:extLst>
        </xdr:cNvPr>
        <xdr:cNvSpPr/>
      </xdr:nvSpPr>
      <xdr:spPr>
        <a:xfrm>
          <a:off x="5169788" y="3608550"/>
          <a:ext cx="352425" cy="342900"/>
        </a:xfrm>
        <a:prstGeom prst="rect">
          <a:avLst/>
        </a:prstGeom>
        <a:solidFill>
          <a:srgbClr val="FF5B5B"/>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609600</xdr:colOff>
      <xdr:row>32</xdr:row>
      <xdr:rowOff>85725</xdr:rowOff>
    </xdr:from>
    <xdr:ext cx="2000250" cy="35242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&gt; al 100%</a:t>
          </a:r>
          <a:endParaRPr sz="1400"/>
        </a:p>
      </xdr:txBody>
    </xdr:sp>
    <xdr:clientData fLocksWithSheet="0"/>
  </xdr:oneCellAnchor>
  <xdr:oneCellAnchor>
    <xdr:from>
      <xdr:col>13</xdr:col>
      <xdr:colOff>600075</xdr:colOff>
      <xdr:row>34</xdr:row>
      <xdr:rowOff>123825</xdr:rowOff>
    </xdr:from>
    <xdr:ext cx="2000250" cy="35242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Entre el 80% y 100%</a:t>
          </a:r>
          <a:endParaRPr sz="1400"/>
        </a:p>
      </xdr:txBody>
    </xdr:sp>
    <xdr:clientData fLocksWithSheet="0"/>
  </xdr:oneCellAnchor>
  <xdr:oneCellAnchor>
    <xdr:from>
      <xdr:col>13</xdr:col>
      <xdr:colOff>600075</xdr:colOff>
      <xdr:row>36</xdr:row>
      <xdr:rowOff>152400</xdr:rowOff>
    </xdr:from>
    <xdr:ext cx="2000250" cy="3524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Entre el 60% y 99,9%</a:t>
          </a:r>
          <a:endParaRPr sz="1400"/>
        </a:p>
      </xdr:txBody>
    </xdr:sp>
    <xdr:clientData fLocksWithSheet="0"/>
  </xdr:oneCellAnchor>
  <xdr:oneCellAnchor>
    <xdr:from>
      <xdr:col>13</xdr:col>
      <xdr:colOff>600075</xdr:colOff>
      <xdr:row>39</xdr:row>
      <xdr:rowOff>0</xdr:rowOff>
    </xdr:from>
    <xdr:ext cx="2000250" cy="3524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Menor al 60%</a:t>
          </a:r>
          <a:endParaRPr sz="1400"/>
        </a:p>
      </xdr:txBody>
    </xdr:sp>
    <xdr:clientData fLocksWithSheet="0"/>
  </xdr:oneCellAnchor>
  <xdr:oneCellAnchor>
    <xdr:from>
      <xdr:col>0</xdr:col>
      <xdr:colOff>2038350</xdr:colOff>
      <xdr:row>4</xdr:row>
      <xdr:rowOff>95250</xdr:rowOff>
    </xdr:from>
    <xdr:ext cx="1590675" cy="581025"/>
    <xdr:sp macro="" textlink="">
      <xdr:nvSpPr>
        <xdr:cNvPr id="12" name="Shape 12">
          <a:extLst>
            <a:ext uri="{FF2B5EF4-FFF2-40B4-BE49-F238E27FC236}">
              <a16:creationId xmlns:a16="http://schemas.microsoft.com/office/drawing/2014/main" id="{00000000-0008-0000-0100-00000C000000}"/>
            </a:ext>
          </a:extLst>
        </xdr:cNvPr>
        <xdr:cNvSpPr/>
      </xdr:nvSpPr>
      <xdr:spPr>
        <a:xfrm>
          <a:off x="4555425" y="3494250"/>
          <a:ext cx="1581150" cy="571500"/>
        </a:xfrm>
        <a:prstGeom prst="roundRect">
          <a:avLst>
            <a:gd name="adj" fmla="val 16667"/>
          </a:avLst>
        </a:prstGeom>
        <a:solidFill>
          <a:srgbClr val="32B29B"/>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lt1"/>
              </a:solidFill>
              <a:latin typeface="Calibri"/>
              <a:ea typeface="Calibri"/>
              <a:cs typeface="Calibri"/>
              <a:sym typeface="Calibri"/>
            </a:rPr>
            <a:t>ACTUALIZAR</a:t>
          </a:r>
          <a:endParaRPr sz="1400"/>
        </a:p>
        <a:p>
          <a:pPr marL="0" lvl="0" indent="0" algn="ctr" rtl="0">
            <a:spcBef>
              <a:spcPts val="0"/>
            </a:spcBef>
            <a:spcAft>
              <a:spcPts val="0"/>
            </a:spcAft>
            <a:buNone/>
          </a:pPr>
          <a:r>
            <a:rPr lang="en-US" sz="1400" b="1">
              <a:solidFill>
                <a:schemeClr val="lt1"/>
              </a:solidFill>
              <a:latin typeface="Calibri"/>
              <a:ea typeface="Calibri"/>
              <a:cs typeface="Calibri"/>
              <a:sym typeface="Calibri"/>
            </a:rPr>
            <a:t>REPORTE</a:t>
          </a:r>
          <a:endParaRPr sz="1400"/>
        </a:p>
      </xdr:txBody>
    </xdr:sp>
    <xdr:clientData fLocksWithSheet="0"/>
  </xdr:oneCellAnchor>
  <xdr:oneCellAnchor>
    <xdr:from>
      <xdr:col>0</xdr:col>
      <xdr:colOff>114300</xdr:colOff>
      <xdr:row>0</xdr:row>
      <xdr:rowOff>114300</xdr:rowOff>
    </xdr:from>
    <xdr:ext cx="895350" cy="1000125"/>
    <xdr:pic>
      <xdr:nvPicPr>
        <xdr:cNvPr id="2" name="image2.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28</xdr:col>
      <xdr:colOff>688357</xdr:colOff>
      <xdr:row>0</xdr:row>
      <xdr:rowOff>0</xdr:rowOff>
    </xdr:from>
    <xdr:ext cx="1666916" cy="588818"/>
    <xdr:grpSp>
      <xdr:nvGrpSpPr>
        <xdr:cNvPr id="2" name="Shape 2">
          <a:extLst>
            <a:ext uri="{FF2B5EF4-FFF2-40B4-BE49-F238E27FC236}">
              <a16:creationId xmlns:a16="http://schemas.microsoft.com/office/drawing/2014/main" id="{00000000-0008-0000-0200-000002000000}"/>
            </a:ext>
          </a:extLst>
        </xdr:cNvPr>
        <xdr:cNvGrpSpPr/>
      </xdr:nvGrpSpPr>
      <xdr:grpSpPr>
        <a:xfrm>
          <a:off x="38667765" y="0"/>
          <a:ext cx="1666916" cy="588818"/>
          <a:chOff x="4350638" y="3365663"/>
          <a:chExt cx="1990725" cy="828675"/>
        </a:xfrm>
      </xdr:grpSpPr>
      <xdr:grpSp>
        <xdr:nvGrpSpPr>
          <xdr:cNvPr id="13" name="Shape 13">
            <a:extLst>
              <a:ext uri="{FF2B5EF4-FFF2-40B4-BE49-F238E27FC236}">
                <a16:creationId xmlns:a16="http://schemas.microsoft.com/office/drawing/2014/main" id="{00000000-0008-0000-0200-00000D000000}"/>
              </a:ext>
            </a:extLst>
          </xdr:cNvPr>
          <xdr:cNvGrpSpPr/>
        </xdr:nvGrpSpPr>
        <xdr:grpSpPr>
          <a:xfrm>
            <a:off x="4350638" y="3365663"/>
            <a:ext cx="1990725" cy="828675"/>
            <a:chOff x="26433867" y="49806"/>
            <a:chExt cx="2002306" cy="947016"/>
          </a:xfrm>
        </xdr:grpSpPr>
        <xdr:sp macro="" textlink="">
          <xdr:nvSpPr>
            <xdr:cNvPr id="14" name="Shape 14">
              <a:extLst>
                <a:ext uri="{FF2B5EF4-FFF2-40B4-BE49-F238E27FC236}">
                  <a16:creationId xmlns:a16="http://schemas.microsoft.com/office/drawing/2014/main" id="{00000000-0008-0000-0200-00000E000000}"/>
                </a:ext>
              </a:extLst>
            </xdr:cNvPr>
            <xdr:cNvSpPr/>
          </xdr:nvSpPr>
          <xdr:spPr>
            <a:xfrm>
              <a:off x="26433867" y="49806"/>
              <a:ext cx="2002300" cy="9470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5">
              <a:extLst>
                <a:ext uri="{FF2B5EF4-FFF2-40B4-BE49-F238E27FC236}">
                  <a16:creationId xmlns:a16="http://schemas.microsoft.com/office/drawing/2014/main" id="{00000000-0008-0000-0200-00000F000000}"/>
                </a:ext>
              </a:extLst>
            </xdr:cNvPr>
            <xdr:cNvSpPr/>
          </xdr:nvSpPr>
          <xdr:spPr>
            <a:xfrm>
              <a:off x="26437217" y="49806"/>
              <a:ext cx="180000" cy="180000"/>
            </a:xfrm>
            <a:prstGeom prst="rect">
              <a:avLst/>
            </a:prstGeom>
            <a:solidFill>
              <a:srgbClr val="AA72D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6" name="Shape 16">
              <a:extLst>
                <a:ext uri="{FF2B5EF4-FFF2-40B4-BE49-F238E27FC236}">
                  <a16:creationId xmlns:a16="http://schemas.microsoft.com/office/drawing/2014/main" id="{00000000-0008-0000-0200-000010000000}"/>
                </a:ext>
              </a:extLst>
            </xdr:cNvPr>
            <xdr:cNvSpPr/>
          </xdr:nvSpPr>
          <xdr:spPr>
            <a:xfrm>
              <a:off x="26434244" y="241475"/>
              <a:ext cx="180000" cy="180000"/>
            </a:xfrm>
            <a:prstGeom prst="rect">
              <a:avLst/>
            </a:prstGeom>
            <a:solidFill>
              <a:srgbClr val="A8D08C"/>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7" name="Shape 17">
              <a:extLst>
                <a:ext uri="{FF2B5EF4-FFF2-40B4-BE49-F238E27FC236}">
                  <a16:creationId xmlns:a16="http://schemas.microsoft.com/office/drawing/2014/main" id="{00000000-0008-0000-0200-000011000000}"/>
                </a:ext>
              </a:extLst>
            </xdr:cNvPr>
            <xdr:cNvSpPr/>
          </xdr:nvSpPr>
          <xdr:spPr>
            <a:xfrm>
              <a:off x="26433867" y="433710"/>
              <a:ext cx="180000" cy="180000"/>
            </a:xfrm>
            <a:prstGeom prst="rect">
              <a:avLst/>
            </a:prstGeom>
            <a:solidFill>
              <a:srgbClr val="FFD96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8" name="Shape 18">
              <a:extLst>
                <a:ext uri="{FF2B5EF4-FFF2-40B4-BE49-F238E27FC236}">
                  <a16:creationId xmlns:a16="http://schemas.microsoft.com/office/drawing/2014/main" id="{00000000-0008-0000-0200-000012000000}"/>
                </a:ext>
              </a:extLst>
            </xdr:cNvPr>
            <xdr:cNvSpPr/>
          </xdr:nvSpPr>
          <xdr:spPr>
            <a:xfrm>
              <a:off x="26438686" y="621295"/>
              <a:ext cx="180000" cy="180000"/>
            </a:xfrm>
            <a:prstGeom prst="rect">
              <a:avLst/>
            </a:prstGeom>
            <a:solidFill>
              <a:srgbClr val="F4B08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9" name="Shape 19">
              <a:extLst>
                <a:ext uri="{FF2B5EF4-FFF2-40B4-BE49-F238E27FC236}">
                  <a16:creationId xmlns:a16="http://schemas.microsoft.com/office/drawing/2014/main" id="{00000000-0008-0000-0200-000013000000}"/>
                </a:ext>
              </a:extLst>
            </xdr:cNvPr>
            <xdr:cNvSpPr txBox="1"/>
          </xdr:nvSpPr>
          <xdr:spPr>
            <a:xfrm>
              <a:off x="26633666" y="50225"/>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&gt; al 100%</a:t>
              </a:r>
              <a:endParaRPr sz="1000"/>
            </a:p>
          </xdr:txBody>
        </xdr:sp>
        <xdr:sp macro="" textlink="">
          <xdr:nvSpPr>
            <xdr:cNvPr id="20" name="Shape 20">
              <a:extLst>
                <a:ext uri="{FF2B5EF4-FFF2-40B4-BE49-F238E27FC236}">
                  <a16:creationId xmlns:a16="http://schemas.microsoft.com/office/drawing/2014/main" id="{00000000-0008-0000-0200-000014000000}"/>
                </a:ext>
              </a:extLst>
            </xdr:cNvPr>
            <xdr:cNvSpPr txBox="1"/>
          </xdr:nvSpPr>
          <xdr:spPr>
            <a:xfrm>
              <a:off x="26630202" y="241591"/>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Entre el 80% y 100%</a:t>
              </a:r>
              <a:endParaRPr sz="1000"/>
            </a:p>
          </xdr:txBody>
        </xdr:sp>
        <xdr:sp macro="" textlink="">
          <xdr:nvSpPr>
            <xdr:cNvPr id="21" name="Shape 21">
              <a:extLst>
                <a:ext uri="{FF2B5EF4-FFF2-40B4-BE49-F238E27FC236}">
                  <a16:creationId xmlns:a16="http://schemas.microsoft.com/office/drawing/2014/main" id="{00000000-0008-0000-0200-000015000000}"/>
                </a:ext>
              </a:extLst>
            </xdr:cNvPr>
            <xdr:cNvSpPr txBox="1"/>
          </xdr:nvSpPr>
          <xdr:spPr>
            <a:xfrm>
              <a:off x="26631934" y="431223"/>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Entre el 60% y 79,9%</a:t>
              </a:r>
              <a:endParaRPr sz="1000"/>
            </a:p>
          </xdr:txBody>
        </xdr:sp>
        <xdr:sp macro="" textlink="">
          <xdr:nvSpPr>
            <xdr:cNvPr id="22" name="Shape 22">
              <a:extLst>
                <a:ext uri="{FF2B5EF4-FFF2-40B4-BE49-F238E27FC236}">
                  <a16:creationId xmlns:a16="http://schemas.microsoft.com/office/drawing/2014/main" id="{00000000-0008-0000-0200-000016000000}"/>
                </a:ext>
              </a:extLst>
            </xdr:cNvPr>
            <xdr:cNvSpPr txBox="1"/>
          </xdr:nvSpPr>
          <xdr:spPr>
            <a:xfrm>
              <a:off x="26630877" y="625457"/>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Menor al 60%</a:t>
              </a:r>
              <a:endParaRPr sz="1400"/>
            </a:p>
          </xdr:txBody>
        </xdr:sp>
        <xdr:sp macro="" textlink="">
          <xdr:nvSpPr>
            <xdr:cNvPr id="23" name="Shape 23">
              <a:extLst>
                <a:ext uri="{FF2B5EF4-FFF2-40B4-BE49-F238E27FC236}">
                  <a16:creationId xmlns:a16="http://schemas.microsoft.com/office/drawing/2014/main" id="{00000000-0008-0000-0200-000017000000}"/>
                </a:ext>
              </a:extLst>
            </xdr:cNvPr>
            <xdr:cNvSpPr/>
          </xdr:nvSpPr>
          <xdr:spPr>
            <a:xfrm>
              <a:off x="26439552" y="808330"/>
              <a:ext cx="180000" cy="180000"/>
            </a:xfrm>
            <a:prstGeom prst="rect">
              <a:avLst/>
            </a:prstGeom>
            <a:solidFill>
              <a:srgbClr val="FF5B5B"/>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24" name="Shape 24">
              <a:extLst>
                <a:ext uri="{FF2B5EF4-FFF2-40B4-BE49-F238E27FC236}">
                  <a16:creationId xmlns:a16="http://schemas.microsoft.com/office/drawing/2014/main" id="{00000000-0008-0000-0200-000018000000}"/>
                </a:ext>
              </a:extLst>
            </xdr:cNvPr>
            <xdr:cNvSpPr txBox="1"/>
          </xdr:nvSpPr>
          <xdr:spPr>
            <a:xfrm>
              <a:off x="26627413" y="816822"/>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Igual a 0</a:t>
              </a:r>
              <a:endParaRPr sz="1000"/>
            </a:p>
          </xdr:txBody>
        </xdr:sp>
      </xdr:grpSp>
    </xdr:grpSp>
    <xdr:clientData fLocksWithSheet="0"/>
  </xdr:oneCellAnchor>
  <xdr:oneCellAnchor>
    <xdr:from>
      <xdr:col>8</xdr:col>
      <xdr:colOff>85725</xdr:colOff>
      <xdr:row>0</xdr:row>
      <xdr:rowOff>76200</xdr:rowOff>
    </xdr:from>
    <xdr:ext cx="1581150" cy="485775"/>
    <xdr:pic>
      <xdr:nvPicPr>
        <xdr:cNvPr id="3" name="image3.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116914</xdr:colOff>
      <xdr:row>0</xdr:row>
      <xdr:rowOff>1</xdr:rowOff>
    </xdr:from>
    <xdr:ext cx="450851" cy="283882"/>
    <xdr:pic>
      <xdr:nvPicPr>
        <xdr:cNvPr id="4" name="image1.png" descr="Potencia de vida">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2" cstate="print"/>
        <a:stretch>
          <a:fillRect/>
        </a:stretch>
      </xdr:blipFill>
      <xdr:spPr>
        <a:xfrm>
          <a:off x="116914" y="1"/>
          <a:ext cx="450851" cy="283882"/>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17</xdr:col>
      <xdr:colOff>314325</xdr:colOff>
      <xdr:row>34</xdr:row>
      <xdr:rowOff>66675</xdr:rowOff>
    </xdr:from>
    <xdr:ext cx="9029700" cy="4857750"/>
    <xdr:graphicFrame macro="">
      <xdr:nvGraphicFramePr>
        <xdr:cNvPr id="949543939" name="Chart 4">
          <a:extLst>
            <a:ext uri="{FF2B5EF4-FFF2-40B4-BE49-F238E27FC236}">
              <a16:creationId xmlns:a16="http://schemas.microsoft.com/office/drawing/2014/main" id="{00000000-0008-0000-0300-000003E49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447675</xdr:colOff>
      <xdr:row>34</xdr:row>
      <xdr:rowOff>104775</xdr:rowOff>
    </xdr:from>
    <xdr:ext cx="6762750" cy="4791075"/>
    <xdr:graphicFrame macro="">
      <xdr:nvGraphicFramePr>
        <xdr:cNvPr id="554211812" name="Chart 5">
          <a:extLst>
            <a:ext uri="{FF2B5EF4-FFF2-40B4-BE49-F238E27FC236}">
              <a16:creationId xmlns:a16="http://schemas.microsoft.com/office/drawing/2014/main" id="{00000000-0008-0000-0300-0000E4990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14</xdr:col>
      <xdr:colOff>542925</xdr:colOff>
      <xdr:row>65</xdr:row>
      <xdr:rowOff>28575</xdr:rowOff>
    </xdr:from>
    <xdr:ext cx="7781925" cy="6381750"/>
    <xdr:graphicFrame macro="">
      <xdr:nvGraphicFramePr>
        <xdr:cNvPr id="1435817117" name="Chart 6">
          <a:extLst>
            <a:ext uri="{FF2B5EF4-FFF2-40B4-BE49-F238E27FC236}">
              <a16:creationId xmlns:a16="http://schemas.microsoft.com/office/drawing/2014/main" id="{00000000-0008-0000-0300-00009DD494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xdr:col>
      <xdr:colOff>190500</xdr:colOff>
      <xdr:row>65</xdr:row>
      <xdr:rowOff>28575</xdr:rowOff>
    </xdr:from>
    <xdr:ext cx="7505700" cy="5724525"/>
    <xdr:graphicFrame macro="">
      <xdr:nvGraphicFramePr>
        <xdr:cNvPr id="1656794699" name="Chart 7">
          <a:extLst>
            <a:ext uri="{FF2B5EF4-FFF2-40B4-BE49-F238E27FC236}">
              <a16:creationId xmlns:a16="http://schemas.microsoft.com/office/drawing/2014/main" id="{00000000-0008-0000-0300-00004BAEC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Esther Castillo Bolaño" refreshedDate="46259.480110416669" createdVersion="8" refreshedVersion="8" minRefreshableVersion="3" recordCount="276" xr:uid="{934CCB7E-9241-44CD-A91E-B5C753C2E11F}">
  <cacheSource type="worksheet">
    <worksheetSource ref="A4:AU280" sheet="PLAN DE ACCION EN SALUD"/>
  </cacheSource>
  <cacheFields count="47">
    <cacheField name="0.Id Actividad" numFmtId="0">
      <sharedItems containsSemiMixedTypes="0" containsString="0" containsNumber="1" containsInteger="1" minValue="1" maxValue="277"/>
    </cacheField>
    <cacheField name="1. Núcleo de Inequidad Socio-Sanitaria" numFmtId="0">
      <sharedItems longText="1"/>
    </cacheField>
    <cacheField name="2. Eje estrátegico PDSP 2022-2031" numFmtId="0">
      <sharedItems/>
    </cacheField>
    <cacheField name="3. Pilares del Modelo de salud preventivo, predictivo y resolutivo" numFmtId="0">
      <sharedItems/>
    </cacheField>
    <cacheField name="4. Resultado esperado por Eje PDSP 2022-2031" numFmtId="0">
      <sharedItems longText="1"/>
    </cacheField>
    <cacheField name="5. Estrategia del Plan Territorial de Salud" numFmtId="0">
      <sharedItems longText="1"/>
    </cacheField>
    <cacheField name="6. Meta estratégica del PDSP 2022-2031" numFmtId="0">
      <sharedItems longText="1"/>
    </cacheField>
    <cacheField name="6.1 Meta estratégica del PTS adaptada al territorio" numFmtId="0">
      <sharedItems longText="1"/>
    </cacheField>
    <cacheField name="7. Meta de resultado en salud del PDSP 2022-2031" numFmtId="0">
      <sharedItems longText="1"/>
    </cacheField>
    <cacheField name="7.1 Meta de resultado en salud del PTS adaptada al territorio" numFmtId="0">
      <sharedItems longText="1"/>
    </cacheField>
    <cacheField name="8. Programa " numFmtId="0">
      <sharedItems/>
    </cacheField>
    <cacheField name="9. Subprograma" numFmtId="0">
      <sharedItems/>
    </cacheField>
    <cacheField name="10. Proyecto BPI" numFmtId="0">
      <sharedItems containsBlank="1" containsMixedTypes="1" containsNumber="1" containsInteger="1" minValue="2020002470037" maxValue="2020002470037"/>
    </cacheField>
    <cacheField name="11. Meta de Producto" numFmtId="0">
      <sharedItems longText="1"/>
    </cacheField>
    <cacheField name="12. Línea Operativa PDSP 2022-2031" numFmtId="0">
      <sharedItems/>
    </cacheField>
    <cacheField name="13. Gestion territorial integral para la salud pública" numFmtId="0">
      <sharedItems longText="1"/>
    </cacheField>
    <cacheField name="14. Actividad" numFmtId="0">
      <sharedItems/>
    </cacheField>
    <cacheField name="15. Cantidad" numFmtId="0">
      <sharedItems containsSemiMixedTypes="0" containsString="0" containsNumber="1" containsInteger="1" minValue="1" maxValue="68986"/>
    </cacheField>
    <cacheField name="16. Unidad de medida" numFmtId="0">
      <sharedItems containsBlank="1"/>
    </cacheField>
    <cacheField name="Programado I" numFmtId="0">
      <sharedItems containsBlank="1" containsMixedTypes="1" containsNumber="1" minValue="0" maxValue="100"/>
    </cacheField>
    <cacheField name="Ejecutado I" numFmtId="0">
      <sharedItems containsString="0" containsBlank="1" containsNumber="1" minValue="0" maxValue="92"/>
    </cacheField>
    <cacheField name="% Cumplimiento _x000a_I Trimestre" numFmtId="0">
      <sharedItems containsMixedTypes="1" containsNumber="1" minValue="0" maxValue="1200"/>
    </cacheField>
    <cacheField name="Programado II" numFmtId="0">
      <sharedItems containsBlank="1" containsMixedTypes="1" containsNumber="1" minValue="0" maxValue="131"/>
    </cacheField>
    <cacheField name="Ejecutado II" numFmtId="0">
      <sharedItems containsString="0" containsBlank="1" containsNumber="1" minValue="0" maxValue="159"/>
    </cacheField>
    <cacheField name="% cumplimiento _x000a_II Trimestre" numFmtId="164">
      <sharedItems containsMixedTypes="1" containsNumber="1" minValue="0" maxValue="1200"/>
    </cacheField>
    <cacheField name="Programado III" numFmtId="0">
      <sharedItems containsBlank="1" containsMixedTypes="1" containsNumber="1" minValue="0" maxValue="260"/>
    </cacheField>
    <cacheField name="Ejecutado III" numFmtId="0">
      <sharedItems containsString="0" containsBlank="1" containsNumber="1" containsInteger="1" minValue="0" maxValue="15"/>
    </cacheField>
    <cacheField name="% Cumplimiento _x000a_III Trimestre" numFmtId="164">
      <sharedItems containsMixedTypes="1" containsNumber="1" minValue="0" maxValue="107.14285714285714"/>
    </cacheField>
    <cacheField name="Programado IV" numFmtId="0">
      <sharedItems containsBlank="1" containsMixedTypes="1" containsNumber="1" minValue="0" maxValue="100"/>
    </cacheField>
    <cacheField name="Ejecutado IV" numFmtId="0">
      <sharedItems containsString="0" containsBlank="1" containsNumber="1" containsInteger="1" minValue="0" maxValue="0"/>
    </cacheField>
    <cacheField name="% Cumplimiento _x000a_IV Trimestre" numFmtId="164">
      <sharedItems containsMixedTypes="1" containsNumber="1" containsInteger="1" minValue="0" maxValue="0"/>
    </cacheField>
    <cacheField name="Programado TOTAL" numFmtId="0">
      <sharedItems containsSemiMixedTypes="0" containsString="0" containsNumber="1" containsInteger="1" minValue="1" maxValue="68986"/>
    </cacheField>
    <cacheField name="Ejecutado TOTAL" numFmtId="0">
      <sharedItems containsSemiMixedTypes="0" containsString="0" containsNumber="1" minValue="0" maxValue="225"/>
    </cacheField>
    <cacheField name="% Cumplimiento_x000a_Acumulado" numFmtId="164">
      <sharedItems containsMixedTypes="1" containsNumber="1" minValue="0" maxValue="1200"/>
    </cacheField>
    <cacheField name="Fecha de inicio de la actividad (digite mes/dia/año numerico)" numFmtId="0">
      <sharedItems containsSemiMixedTypes="0" containsNonDate="0" containsDate="1" containsString="0" minDate="2026-01-04T00:00:00" maxDate="2026-04-02T00:00:00"/>
    </cacheField>
    <cacheField name="Fecha de terminación de la actividad (digite mes/dia/año numerico)" numFmtId="0">
      <sharedItems containsSemiMixedTypes="0" containsNonDate="0" containsDate="1" containsString="0" minDate="2026-03-31T00:00:00" maxDate="2027-04-01T00:00:00"/>
    </cacheField>
    <cacheField name="Rubro Presupuestal" numFmtId="0">
      <sharedItems containsBlank="1"/>
    </cacheField>
    <cacheField name="Fuente de Financiación" numFmtId="0">
      <sharedItems containsBlank="1"/>
    </cacheField>
    <cacheField name="Codigo de Fuente" numFmtId="0">
      <sharedItems containsBlank="1" containsMixedTypes="1" containsNumber="1" containsInteger="1" minValue="0" maxValue="0"/>
    </cacheField>
    <cacheField name="Apropiación " numFmtId="39">
      <sharedItems containsString="0" containsBlank="1" containsNumber="1" containsInteger="1" minValue="0" maxValue="10826626481"/>
    </cacheField>
    <cacheField name="Compromiso" numFmtId="39">
      <sharedItems containsString="0" containsBlank="1" containsNumber="1" containsInteger="1" minValue="0" maxValue="10826626481"/>
    </cacheField>
    <cacheField name="Obligaciones" numFmtId="39">
      <sharedItems containsString="0" containsBlank="1" containsNumber="1" containsInteger="1" minValue="0" maxValue="10826626481"/>
    </cacheField>
    <cacheField name="Pagado" numFmtId="4">
      <sharedItems containsString="0" containsBlank="1" containsNumber="1" containsInteger="1" minValue="0" maxValue="100000000"/>
    </cacheField>
    <cacheField name="20. Población sujeto" numFmtId="0">
      <sharedItems containsBlank="1" longText="1"/>
    </cacheField>
    <cacheField name="21. Concepto de gasto (Antes de registrar verifique en la hoja “valores listas desplegables” a que componente corresponde el gasto y registre el valor asignado en la Fila 699 Columna J “Concepto 2”)" numFmtId="0">
      <sharedItems containsBlank="1"/>
    </cacheField>
    <cacheField name="22. Responsables del cumplimiento " numFmtId="3">
      <sharedItems containsBlank="1" count="38">
        <s v="Laura Viveros Paez"/>
        <s v="Rafael Tapias"/>
        <s v="Carlos Escobar"/>
        <s v="Merly Bonett - Mary Luz Cabrera - Linda Acosta-Rossana Cormane"/>
        <s v="Merly Bonett - Mary Luz Cabrera - Linda Acosta"/>
        <s v="Luz Mary García Agudelo"/>
        <s v="Miriam Eusse "/>
        <s v="MIRIAM eusse - claudia Chi "/>
        <s v="Claudia Chi "/>
        <s v=" María Fernanda Larios - Margareth Pinto"/>
        <s v="María Fernanda Larios - Margaret Pinto"/>
        <s v="rina Marquez-Doraine Guerrero-Paola Gale"/>
        <s v="Jairo Gamarra"/>
        <s v="Eliecer Peñaranda"/>
        <s v="Gissell Zamora"/>
        <s v="Marly Sierra/ Jacqueline Garcìa M."/>
        <s v="Evelyn Gutierrez"/>
        <s v="Evelyn Gutierrez, Jairo Santos"/>
        <s v="Yamina Yañez, Mayra Cantillo"/>
        <s v="RUBY PONCE BALDOVINO"/>
        <m/>
        <s v="Leydy Constanza Cuellar _x000a_ Coordinadora VSP"/>
        <s v="Guillermo Valencia"/>
        <s v="Diana Celedon"/>
        <s v="Andrea Palacios"/>
        <s v="Jesus rebolledo"/>
        <s v="MARIA JOSEFA LÓPEZ"/>
        <s v="MARIA HILARIA GONZALES"/>
        <s v="ARIADGNA CASTRO"/>
        <s v="RICARDO RUIZ ROMERO"/>
        <s v="LIZETH AGUIRRE"/>
        <s v="LIZETH AGUIRRE -RICARDO RUIZ ROMERO"/>
        <s v="MARI LUZ CABRERA"/>
        <s v="PIEDAD DE LA HOZ"/>
        <s v="MARCO DONADO"/>
        <s v="JURIDICA"/>
        <s v="KAREN RAMIREZ"/>
        <s v="ANDRES BELTRAN"/>
      </sharedItems>
    </cacheField>
    <cacheField name="23. Avance Cualitativo"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riana Esther Castillo Bolaño" refreshedDate="46279.439053125003" refreshedVersion="8" recordCount="277" xr:uid="{00000000-000A-0000-FFFF-FFFF02000000}">
  <cacheSource type="worksheet">
    <worksheetSource ref="A4:AH281" sheet="PLAN DE ACCION EN SALUD"/>
  </cacheSource>
  <cacheFields count="43">
    <cacheField name="0.Id Actividad" numFmtId="0">
      <sharedItems containsString="0" containsBlank="1" containsNumber="1" containsInteger="1" minValue="1" maxValue="277"/>
    </cacheField>
    <cacheField name="1. Núcleo de Inequidad Socio-Sanitaria" numFmtId="0">
      <sharedItems containsBlank="1"/>
    </cacheField>
    <cacheField name="2. Eje estrátegico PDSP 2022-2031" numFmtId="0">
      <sharedItems containsBlank="1"/>
    </cacheField>
    <cacheField name="3. Pilares del Modelo de salud preventivo, predictivo y resolutivo" numFmtId="0">
      <sharedItems containsBlank="1"/>
    </cacheField>
    <cacheField name="4. Resultado esperado por Eje PDSP 2022-2031" numFmtId="0">
      <sharedItems containsBlank="1"/>
    </cacheField>
    <cacheField name="5. Estrategia del Plan Territorial de Salud" numFmtId="0">
      <sharedItems containsBlank="1"/>
    </cacheField>
    <cacheField name="6. Meta estratégica del PDSP 2022-2031" numFmtId="0">
      <sharedItems containsBlank="1"/>
    </cacheField>
    <cacheField name="6.1 Meta estratégica del PTS adaptada al territorio" numFmtId="0">
      <sharedItems containsBlank="1"/>
    </cacheField>
    <cacheField name="7. Meta de resultado en salud del PDSP 2022-2031" numFmtId="0">
      <sharedItems containsBlank="1"/>
    </cacheField>
    <cacheField name="7.1 Meta de resultado en salud del PTS adaptada al territorio" numFmtId="0">
      <sharedItems containsBlank="1"/>
    </cacheField>
    <cacheField name="8. Programa " numFmtId="0">
      <sharedItems containsBlank="1"/>
    </cacheField>
    <cacheField name="9. Subprograma" numFmtId="0">
      <sharedItems containsBlank="1"/>
    </cacheField>
    <cacheField name="10. Proyecto BPI" numFmtId="0">
      <sharedItems containsBlank="1" containsMixedTypes="1" containsNumber="1" containsInteger="1" minValue="2020002470037" maxValue="2020002470037"/>
    </cacheField>
    <cacheField name="11. Meta de Producto" numFmtId="0">
      <sharedItems containsBlank="1"/>
    </cacheField>
    <cacheField name="12. Línea Operativa PDSP 2022-2031" numFmtId="0">
      <sharedItems containsBlank="1"/>
    </cacheField>
    <cacheField name="13. Gestion territorial integral para la salud pública" numFmtId="0">
      <sharedItems containsBlank="1"/>
    </cacheField>
    <cacheField name="14. Actividad" numFmtId="0">
      <sharedItems containsBlank="1"/>
    </cacheField>
    <cacheField name="15. Cantidad" numFmtId="0">
      <sharedItems containsString="0" containsBlank="1" containsNumber="1" containsInteger="1" minValue="1" maxValue="68986"/>
    </cacheField>
    <cacheField name="16. Unidad de medida" numFmtId="0">
      <sharedItems containsBlank="1"/>
    </cacheField>
    <cacheField name="Programado I" numFmtId="0">
      <sharedItems containsBlank="1" containsMixedTypes="1" containsNumber="1" minValue="0" maxValue="100"/>
    </cacheField>
    <cacheField name="Ejecutado I" numFmtId="0">
      <sharedItems containsString="0" containsBlank="1" containsNumber="1" minValue="0" maxValue="92"/>
    </cacheField>
    <cacheField name="% Cumplimiento _x000a_I Trimestre" numFmtId="0">
      <sharedItems containsMixedTypes="1" containsNumber="1" minValue="0" maxValue="1200"/>
    </cacheField>
    <cacheField name="Programado II" numFmtId="0">
      <sharedItems containsBlank="1" containsMixedTypes="1" containsNumber="1" minValue="0" maxValue="131"/>
    </cacheField>
    <cacheField name="Ejecutado II" numFmtId="0">
      <sharedItems containsString="0" containsBlank="1" containsNumber="1" minValue="0" maxValue="159"/>
    </cacheField>
    <cacheField name="% cumplimiento _x000a_II Trimestre" numFmtId="164">
      <sharedItems containsMixedTypes="1" containsNumber="1" minValue="0" maxValue="1200"/>
    </cacheField>
    <cacheField name="Programado III" numFmtId="0">
      <sharedItems containsBlank="1" containsMixedTypes="1" containsNumber="1" minValue="0" maxValue="260"/>
    </cacheField>
    <cacheField name="Ejecutado III" numFmtId="0">
      <sharedItems containsString="0" containsBlank="1" containsNumber="1" containsInteger="1" minValue="0" maxValue="15"/>
    </cacheField>
    <cacheField name="% Cumplimiento _x000a_III Trimestre" numFmtId="164">
      <sharedItems containsMixedTypes="1" containsNumber="1" minValue="0" maxValue="107.14285714285714"/>
    </cacheField>
    <cacheField name="Programado IV" numFmtId="0">
      <sharedItems containsBlank="1" containsMixedTypes="1" containsNumber="1" minValue="0" maxValue="100"/>
    </cacheField>
    <cacheField name="Ejecutado IV" numFmtId="0">
      <sharedItems containsString="0" containsBlank="1" containsNumber="1" containsInteger="1" minValue="0" maxValue="0"/>
    </cacheField>
    <cacheField name="% Cumplimiento _x000a_IV Trimestre" numFmtId="164">
      <sharedItems containsMixedTypes="1" containsNumber="1" containsInteger="1" minValue="0" maxValue="0"/>
    </cacheField>
    <cacheField name="Programado TOTAL" numFmtId="0">
      <sharedItems containsSemiMixedTypes="0" containsString="0" containsNumber="1" containsInteger="1" minValue="0" maxValue="68986"/>
    </cacheField>
    <cacheField name="Ejecutado TOTAL" numFmtId="0">
      <sharedItems containsSemiMixedTypes="0" containsString="0" containsNumber="1" minValue="0" maxValue="225"/>
    </cacheField>
    <cacheField name="% Cumplimiento_x000a_Acumulado" numFmtId="164">
      <sharedItems containsMixedTypes="1" containsNumber="1" minValue="0" maxValue="1200"/>
    </cacheField>
    <cacheField name=" % Cumplimiento I trim" numFmtId="0" formula="'Ejecutado I'/'Programado I'*100" databaseField="0"/>
    <cacheField name=" % Cumplimiento II Trim" numFmtId="0" formula="'Ejecutado II'/'Programado II'*100" databaseField="0"/>
    <cacheField name=" % Cumplimiento III Trim" numFmtId="0" formula="'Ejecutado III'/'Programado III'*100" databaseField="0"/>
    <cacheField name=" % Cumplimiento IV Trimestre" numFmtId="0" formula="'Ejecutado IV'/'Programado IV'*100" databaseField="0"/>
    <cacheField name=" % Cumplimiento total" numFmtId="0" formula="'Ejecutado TOTAL'/'Programado TOTAL'*100" databaseField="0"/>
    <cacheField name=" I trim" numFmtId="0" formula="'Ejecutado I'/'Programado I'*100" databaseField="0"/>
    <cacheField name=" II Trim" numFmtId="0" formula="'Ejecutado II'/'Programado II'*100" databaseField="0"/>
    <cacheField name=" III Trim" numFmtId="0" formula="'Ejecutado III'/'Programado III'*100" databaseField="0"/>
    <cacheField name=" IV Trim" numFmtId="0" formula="'Ejecutado IV'/'Programado IV'*1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6">
  <r>
    <n v="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a las comunidades para el desarrollo de la APS con_x000a_  acciones territorializadas, universales, sistemáticas, permanentes y participativas bajo un enfoque_x000a_  familiar y comunitario."/>
    <s v="a 2031 el 100% de las entidades territoriales del orden departamental, distrital y municipal han desarrollado procesos de ajuste institucional para el fortalecimiento de las capacidades de la autoridad sanitaria y la apropiacion territorial del modelo de salud basado en APS"/>
    <s v="a 2027 el 100% de las entidades territoriales del orden departamental, han desarrollado procesos de ajuste institucional para el fortalecimiento de las capacidades de la autoridad sanitaria y la apropiacion territorial del modelo de salud basado en APS"/>
    <s v="98-Actividad trasversal a Resultado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Implementar el plan de cuidado e intervencion de las personas y familias por microterritorio en el entorno hogar de acuerdo al curso de vida, garantizando la canalizacion oportuna a los servicios de salud y el seguimiento de manera permanente hasta lograr su recuperacion o estabilidad de su enfermedad"/>
    <s v="PIC(Anexo técnico)"/>
    <n v="29"/>
    <s v="Número"/>
    <n v="29"/>
    <m/>
    <e v="#DIV/0!"/>
    <n v="29"/>
    <m/>
    <n v="0"/>
    <n v="29"/>
    <m/>
    <n v="0"/>
    <n v="29"/>
    <m/>
    <n v="0"/>
    <n v="29"/>
    <n v="0"/>
    <n v="0"/>
    <d v="2026-04-01T00:00:00"/>
    <d v="2027-03-31T00:00:00"/>
    <s v="N/A"/>
    <s v="SGP-SALUD-SALUD PUBLICA (1.2.4.2.02)"/>
    <s v="1.2.4.2.02"/>
    <n v="4344000000"/>
    <n v="4344000000"/>
    <n v="4344000000"/>
    <n v="0"/>
    <s v="Familias, colectivos y comunidades"/>
    <s v="N/A"/>
    <x v="0"/>
    <m/>
  </r>
  <r>
    <n v="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l 2027,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397 toma de muestra de agua en la red de distribución del departamento, de acuerdo con los articulos 24 y 26 de la resolución 2115 de 2007."/>
    <s v="Procesos transversales de la Gestion de la Salud Pública"/>
    <n v="397"/>
    <s v="Número"/>
    <n v="66"/>
    <n v="66"/>
    <n v="100"/>
    <n v="131"/>
    <n v="159"/>
    <n v="121.37404580152671"/>
    <n v="100"/>
    <m/>
    <n v="0"/>
    <n v="100"/>
    <m/>
    <n v="0"/>
    <n v="397"/>
    <n v="225"/>
    <n v="114.21319796954315"/>
    <d v="2026-04-01T00:00:00"/>
    <d v="2027-03-31T00:00:00"/>
    <s v="N/A"/>
    <s v="SGP-SALUD-SALUD PUBLICA (1.2.4.2.02)"/>
    <s v="1.2.4.2.02"/>
    <m/>
    <m/>
    <m/>
    <m/>
    <s v="Personal de Salud"/>
    <s v="N/A"/>
    <x v="1"/>
    <m/>
  </r>
  <r>
    <n v="3"/>
    <s v="Aumento de la Tasa de Incidencia de las enfermedades transmitidas por vectores como el dengue;"/>
    <s v="Conocimiento en salud pública y Soberanía Sanitaria"/>
    <s v="i). Gobernabilidad, Gobernanza y Territorialización"/>
    <s v="Capacidades fortalecidas para la gestión del conocimiento en salud pública"/>
    <s v="Fortlecimiento de capacidades tecnicas para el ejercicio en la rectoria en salud."/>
    <s v="A 2031 se fortalecerá en el 100% de los territorios la apropiación social del conocimiento en salud pública y el desarrollo de investigaciones que den respuesta a las necesidades en salud de cada territorio"/>
    <s v="A 2027 se fortalecerá en el 100% de los territorios la apropiación social del conocimiento en salud pública y el desarrollo de investigaciones que den respuesta a las necesidades en salud de cada territorio"/>
    <s v="A 2031, el 100% las DTS departamentales, distritales y municipios habrán implementado las estrategias de Entornos Saludables"/>
    <s v="A 2027,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capacidades a los entes territoriales en gestion de riesgo quimico"/>
    <s v="Desarrollo institucional y sectorial para el ejercicio de la autoridad sanitaria"/>
    <s v="Desarrollar duarnte la vigencia una jornada de formación de 3 dias a las alcaldias municipales en la implementacion del modelo de seguridad quimica para el desarrollo de capacidades municipales."/>
    <s v="Procesos transversales de la Gestion de la Salud Pública"/>
    <n v="1"/>
    <s v="Número"/>
    <n v="1"/>
    <n v="1"/>
    <n v="100"/>
    <n v="0"/>
    <n v="0"/>
    <e v="#DIV/0!"/>
    <n v="0"/>
    <n v="0"/>
    <e v="#DIV/0!"/>
    <n v="0"/>
    <n v="0"/>
    <e v="#DIV/0!"/>
    <n v="1"/>
    <n v="1"/>
    <n v="100"/>
    <d v="2026-04-01T00:00:00"/>
    <d v="2027-03-31T00:00:00"/>
    <s v="N/A"/>
    <s v="SGP-SALUD-SALUD PUBLICA (1.2.4.2.02)"/>
    <s v="1.2.4.2.02"/>
    <n v="30000000"/>
    <n v="30000000"/>
    <n v="30000000"/>
    <n v="30000000"/>
    <s v="Personal de Salud"/>
    <s v="N/A"/>
    <x v="1"/>
    <m/>
  </r>
  <r>
    <n v="4"/>
    <s v="Aumento de la Tasa de Incidencia de las enfermedades transmitidas por vectores como el dengue;"/>
    <s v="Conocimiento en salud pública y Soberanía Sanitaria"/>
    <s v="i). Gobernabilidad, Gobernanza y Territorialización"/>
    <s v="Políticas en salud pública para contribuir a la mitigación y adaptación al cambio climático."/>
    <s v="Fortalecimiento de las capacidades del personal de salud en todo lo relacionado con los posibles efectos de la variabilidad del cambio climático"/>
    <s v="A 2031 se incorporará en el 100% de los departamentos y distritos, el plan de gestión en sistemas de alerta temprana para la identificación del riesgos por el cambio climático y la posible vulnerabilidad de la población desde un enfoque territorial"/>
    <s v="Al 2027 se incorporará en el 100% de los municipios, el plan de gestión en sistemas de alerta temprana para la identificación del riesgos por el cambio climático y la posible vulnerabilidad de la población desde un enfoque territorial"/>
    <s v="Al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
    <s v="A 2027,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
    <s v="Salud Pública"/>
    <s v="Médico en tu casa"/>
    <s v="Fortalecimiento de Estrategias para la Promoción de la Salud y Prevención de Enfermedades en Comunidades, mediante acciones Integrales, Participativas y Sostenibles en el Departamento del Magdalena."/>
    <s v="Implementar el PACCSA"/>
    <s v="Desarrollo institucional y sectorial para el ejercicio de la autoridad sanitaria"/>
    <s v="Desarrollar durante la vigencia una jornada de formación de 3 dias a las alcaldias municipales en medidas de adaptacion al cambio climatico para el desarrollo de capacidades municipales"/>
    <s v="Procesos transversales de la Gestion de la Salud Pública"/>
    <n v="1"/>
    <s v="Número"/>
    <n v="0"/>
    <n v="0"/>
    <e v="#DIV/0!"/>
    <n v="1"/>
    <n v="1"/>
    <n v="100"/>
    <m/>
    <m/>
    <e v="#DIV/0!"/>
    <n v="0"/>
    <m/>
    <e v="#DIV/0!"/>
    <n v="1"/>
    <n v="1"/>
    <n v="100"/>
    <d v="2026-04-01T00:00:00"/>
    <d v="2027-03-31T00:00:00"/>
    <s v="N/A"/>
    <s v="SGP-SALUD-SALUD PUBLICA (1.2.4.2.02)"/>
    <s v="1.2.4.2.02"/>
    <n v="30000000"/>
    <n v="30000000"/>
    <n v="30000000"/>
    <n v="30000000"/>
    <s v="Personal de Salud"/>
    <s v="N/A"/>
    <x v="1"/>
    <m/>
  </r>
  <r>
    <n v="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una jornada de capacitación de 3 dias a las alcaldias municipales en el modelo de IVC y fomento de conciencia sanitaria para el desarrollo de capacidades municipales"/>
    <s v="Procesos transversales de la Gestion de la Salud Pública"/>
    <n v="1"/>
    <s v="Número"/>
    <n v="0"/>
    <n v="0"/>
    <e v="#DIV/0!"/>
    <n v="1"/>
    <n v="1"/>
    <n v="100"/>
    <n v="0"/>
    <m/>
    <e v="#DIV/0!"/>
    <n v="0"/>
    <m/>
    <e v="#DIV/0!"/>
    <n v="1"/>
    <n v="1"/>
    <n v="100"/>
    <d v="2026-04-01T00:00:00"/>
    <d v="2027-03-31T00:00:00"/>
    <s v="N/A"/>
    <s v="SGP-SALUD-SALUD PUBLICA (1.2.4.2.02)"/>
    <s v="1.2.4.2.02"/>
    <n v="30000000"/>
    <n v="30000000"/>
    <n v="30000000"/>
    <n v="30000000"/>
    <s v="Familias, colectivos y comunidades"/>
    <s v="N/A"/>
    <x v="1"/>
    <m/>
  </r>
  <r>
    <n v="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 para la planeación integral en salud y la gestión territorial en el marco del modelo de salud preventivo, predictivo y resolutivo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mular e Implementar el  plan de fortalecimiento de capacidades de gestion en salud ambiental a partir del diagnostico realizado con base en la informacion de la vigencia 2025  (GETSA)"/>
    <s v="Procesos transversales de la Gestion de la Salud Pública"/>
    <n v="1"/>
    <s v="Porcentaje"/>
    <n v="1"/>
    <n v="1"/>
    <n v="100"/>
    <n v="0"/>
    <m/>
    <e v="#DIV/0!"/>
    <n v="0"/>
    <m/>
    <e v="#DIV/0!"/>
    <n v="0"/>
    <m/>
    <e v="#DIV/0!"/>
    <n v="1"/>
    <n v="1"/>
    <n v="100"/>
    <d v="2026-04-01T00:00:00"/>
    <d v="2027-03-31T00:00:00"/>
    <s v="N/A"/>
    <s v="SGP-SALUD-SALUD PUBLICA (1.2.4.2.02)"/>
    <s v="1.2.4.2.02"/>
    <m/>
    <m/>
    <m/>
    <m/>
    <s v="Personal de Salud_x000a_"/>
    <s v="N/A"/>
    <x v="1"/>
    <m/>
  </r>
  <r>
    <n v="7"/>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Tomar muestras de agua en 30 puntos definidos para monitorear Cristosporidium , entregar resultados e informe"/>
    <s v="Procesos transversales de la Gestion de la Salud Pública"/>
    <n v="30"/>
    <s v="Número"/>
    <n v="0"/>
    <n v="0"/>
    <e v="#DIV/0!"/>
    <n v="0"/>
    <n v="0"/>
    <e v="#DIV/0!"/>
    <n v="0"/>
    <m/>
    <e v="#DIV/0!"/>
    <n v="30"/>
    <m/>
    <n v="0"/>
    <n v="30"/>
    <n v="0"/>
    <e v="#DIV/0!"/>
    <d v="2026-04-01T00:00:00"/>
    <d v="2027-03-31T00:00:00"/>
    <s v="N/A"/>
    <s v="SGP-SALUD-SALUD PUBLICA (1.2.4.2.02)"/>
    <s v="1.2.4.2.02"/>
    <n v="200000000"/>
    <n v="200000000"/>
    <n v="200000000"/>
    <n v="0"/>
    <s v="Personal de Salud_x000a_"/>
    <s v="N/A"/>
    <x v="1"/>
    <m/>
  </r>
  <r>
    <n v="8"/>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adquisisiones de insumos parea la vigilancia sanitaria de la calidad del agua y alimentos"/>
    <s v="Procesos transversales de la Gestion de la Salud Pública"/>
    <n v="100"/>
    <s v="Porcentaje"/>
    <n v="0"/>
    <n v="0"/>
    <e v="#DIV/0!"/>
    <n v="0"/>
    <n v="0"/>
    <e v="#DIV/0!"/>
    <n v="0"/>
    <m/>
    <e v="#DIV/0!"/>
    <n v="100"/>
    <m/>
    <n v="0"/>
    <n v="100"/>
    <n v="0"/>
    <e v="#DIV/0!"/>
    <d v="2026-04-01T00:00:00"/>
    <d v="2027-03-31T00:00:00"/>
    <s v="N/A"/>
    <s v="SGP-SALUD-SALUD PUBLICA (1.2.4.2.02)"/>
    <s v="1.2.4.2.02"/>
    <n v="45000000"/>
    <n v="45000000"/>
    <n v="45000000"/>
    <n v="0"/>
    <s v="Personal de Salud_x000a_"/>
    <s v="N/A"/>
    <x v="1"/>
    <m/>
  </r>
  <r>
    <n v="9"/>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el 100% de los Departamentos, Distritos y Municipios del País integran en su Planes de Desarrollo Territoriales estrategias para afectar de manera positiva los determinantes sociales de la salud en sus territorios."/>
    <s v="A 2027 el 100% de Municipios del País integran en su Planes de Desarrollo Territoriales estrategias para afectar de manera positiva los determinantes sociales de la salud en sus territorio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o de capacidades a los facilitadores de la red com (capacitadores), en coordinacion con el area de VSP "/>
    <s v="Procesos transversales de la Gestion de la Salud Pública"/>
    <n v="1"/>
    <s v="Número"/>
    <n v="0"/>
    <n v="0"/>
    <e v="#DIV/0!"/>
    <n v="1"/>
    <n v="1"/>
    <n v="100"/>
    <n v="0"/>
    <m/>
    <e v="#DIV/0!"/>
    <n v="0"/>
    <m/>
    <e v="#DIV/0!"/>
    <n v="1"/>
    <n v="1"/>
    <n v="100"/>
    <d v="2026-04-01T00:00:00"/>
    <d v="2027-03-31T00:00:00"/>
    <s v="N/A"/>
    <s v="SGP-SALUD-SALUD PUBLICA (1.2.4.2.02)"/>
    <s v="1.2.4.2.02"/>
    <n v="30000000"/>
    <n v="30000000"/>
    <n v="30000000"/>
    <n v="30000000"/>
    <s v="Personal de Salud_x000a_"/>
    <s v="N/A"/>
    <x v="1"/>
    <m/>
  </r>
  <r>
    <n v="10"/>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IVC formulado para la vigencia para dar respuesta a lo dispuesto en al Resolucion 1229 de 2013"/>
    <s v="Procesos transversales de la Gestion de la Salud Pública"/>
    <n v="100"/>
    <s v="Porcentaje"/>
    <n v="10"/>
    <n v="25"/>
    <n v="250"/>
    <n v="30"/>
    <n v="30"/>
    <n v="100"/>
    <n v="30"/>
    <m/>
    <n v="0"/>
    <n v="30"/>
    <m/>
    <n v="0"/>
    <n v="100"/>
    <n v="55"/>
    <n v="137.5"/>
    <d v="2026-02-01T00:00:00"/>
    <d v="2027-03-31T00:00:00"/>
    <s v="N/A"/>
    <s v="SGP-SALUD-SALUD PUBLICA (1.2.4.2.02)"/>
    <s v="1.2.4.2.02"/>
    <m/>
    <m/>
    <m/>
    <m/>
    <s v="Familias, colectivos y comunidades"/>
    <s v="N/A"/>
    <x v="1"/>
    <m/>
  </r>
  <r>
    <n v="11"/>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2 vehiculos 24x7"/>
    <s v="Procesos transversales de la Gestion de la Salud Pública"/>
    <n v="100"/>
    <s v="Porcentaje"/>
    <n v="0"/>
    <n v="10"/>
    <e v="#DIV/0!"/>
    <n v="30"/>
    <n v="30"/>
    <n v="100"/>
    <n v="40"/>
    <m/>
    <n v="0"/>
    <n v="30"/>
    <m/>
    <n v="0"/>
    <n v="100"/>
    <n v="40"/>
    <n v="133.33333333333331"/>
    <d v="2026-04-01T00:00:00"/>
    <d v="2027-03-31T00:00:00"/>
    <s v="N/A"/>
    <s v="SGP-SALUD-SALUD PUBLICA (1.2.4.2.02)"/>
    <s v="1.2.4.2.02"/>
    <n v="260000000"/>
    <n v="260000000"/>
    <n v="260000000"/>
    <n v="0"/>
    <s v="Familias, colectivos y comunidades"/>
    <s v="N/A"/>
    <x v="1"/>
    <m/>
  </r>
  <r>
    <n v="12"/>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Gestión transectorial a través de 32 reuniones del COTSA y las mesas de calidad de agua, Comité de residuos, comité de cárceles, comité de entornos saludables y movilidad segura, comité de plaguicidas, comité de sanidad portuaria, comité seccional de zoonosis"/>
    <s v="Procesos transversales de la Gestion de la Salud Pública"/>
    <n v="32"/>
    <s v="Número"/>
    <n v="8"/>
    <n v="6"/>
    <n v="75"/>
    <n v="8"/>
    <n v="8"/>
    <n v="100"/>
    <n v="8"/>
    <n v="0"/>
    <n v="0"/>
    <n v="8"/>
    <m/>
    <n v="0"/>
    <n v="32"/>
    <n v="14"/>
    <n v="58.333333333333336"/>
    <d v="2026-04-01T00:00:00"/>
    <d v="2027-03-31T00:00:00"/>
    <s v="N/A"/>
    <s v="SGP-SALUD-SALUD PUBLICA (1.2.4.2.02)"/>
    <s v="1.2.4.2.02"/>
    <m/>
    <m/>
    <m/>
    <m/>
    <s v="Familias, colectivos y comunidades"/>
    <s v="N/A"/>
    <x v="1"/>
    <m/>
  </r>
  <r>
    <n v="13"/>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los planes de accion de las mesas y comites asociados al COTSA"/>
    <s v="Procesos transversales de la Gestion de la Salud Pública"/>
    <n v="100"/>
    <s v="Porcentaje"/>
    <n v="10"/>
    <n v="25"/>
    <n v="250"/>
    <n v="30"/>
    <n v="30"/>
    <n v="100"/>
    <n v="30"/>
    <m/>
    <n v="0"/>
    <n v="30"/>
    <m/>
    <n v="0"/>
    <n v="100"/>
    <n v="55"/>
    <n v="137.5"/>
    <d v="2026-04-01T00:00:00"/>
    <d v="2027-03-31T00:00:00"/>
    <s v="N/A"/>
    <s v="SGP-SALUD-SALUD PUBLICA (1.2.4.2.02)"/>
    <s v="1.2.4.2.02"/>
    <m/>
    <m/>
    <m/>
    <m/>
    <s v="Familias, colectivos y comunidades"/>
    <s v="N/A"/>
    <x v="1"/>
    <m/>
  </r>
  <r>
    <n v="14"/>
    <s v="Deficiencias en la infraestructura sanitaria que se ve reflejada en bajas coberturas de alcantarillado y prestación del servicio de aseo así como la mala calidad del agua que condiciona la incidencia de "/>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de estrategias de comunicación, educación, para el cambio de comportamiento y de acción colectiva que favorezcan la transformación de la cultura de seguridad social en salud y promover los entornos saludables y protector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Cuidado de la salud en el territorio"/>
    <s v="Capacitar a 30000 familias del departamento en las 10 normas basicas de manipulacion de alimentos en el marco de las visitas familiares."/>
    <s v="PIC(Anexo técnico)"/>
    <n v="30000"/>
    <s v="Número"/>
    <n v="10"/>
    <n v="0"/>
    <n v="0"/>
    <n v="30"/>
    <n v="0"/>
    <n v="0"/>
    <n v="30"/>
    <n v="0"/>
    <n v="0"/>
    <n v="30"/>
    <n v="0"/>
    <n v="0"/>
    <n v="30000"/>
    <n v="0"/>
    <n v="0"/>
    <d v="2026-02-01T00:00:00"/>
    <d v="2027-03-31T00:00:00"/>
    <s v="N/A"/>
    <s v="SGP-SALUD-SALUD PUBLICA (1.2.4.2.02)"/>
    <s v="1.2.4.2.02"/>
    <n v="400000000"/>
    <n v="400000000"/>
    <n v="400000000"/>
    <n v="0"/>
    <s v="Familias, colectivos y comunidades"/>
    <s v="N/A"/>
    <x v="1"/>
    <m/>
  </r>
  <r>
    <n v="1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sociales del orden departamental y municipal desarrollan mecanismos para el fortalecimiento de la rectoría en salud en su territorio, conforme a las competencias establecidas"/>
    <s v="A 2027 el 100% de las entidades territoriales sociales del orden departamental y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de capacidades los equipos municipales y departamental en prevencion y manejo de ETAS"/>
    <s v="Procesos transversales de la Gestion de la Salud Pública"/>
    <n v="1"/>
    <s v="Número"/>
    <n v="0"/>
    <n v="0"/>
    <e v="#DIV/0!"/>
    <n v="30"/>
    <n v="0"/>
    <n v="0"/>
    <n v="40"/>
    <m/>
    <n v="0"/>
    <n v="30"/>
    <m/>
    <n v="0"/>
    <n v="1"/>
    <n v="0"/>
    <n v="0"/>
    <d v="2026-04-01T00:00:00"/>
    <d v="2027-03-31T00:00:00"/>
    <s v="N/A"/>
    <s v="SGP-SALUD-SALUD PUBLICA (1.2.4.2.02)"/>
    <s v="1.2.4.2.02"/>
    <n v="26000000"/>
    <n v="26000000"/>
    <n v="26000000"/>
    <n v="0"/>
    <s v="Familias, colectivos y comunidades"/>
    <s v="N/A"/>
    <x v="1"/>
    <m/>
  </r>
  <r>
    <n v="1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e implementación de otras estrategias para la generación de conocimiento acerca de las condiciones en salud de la población y sus DSS a nivel territorial tales como observatorios, ASIS, unidades de análisis, seminarios, evaluaciones de riesgo ambientales de la salud, entre otro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la reunion departamental de salud ambiental de dos dias de duracion, con el tema central de entorno educativo saludable"/>
    <s v="Procesos transversales de la Gestion de la Salud Pública"/>
    <n v="1"/>
    <s v="Número"/>
    <n v="0"/>
    <n v="0"/>
    <e v="#DIV/0!"/>
    <n v="0"/>
    <n v="0"/>
    <e v="#DIV/0!"/>
    <n v="1"/>
    <m/>
    <n v="0"/>
    <n v="0"/>
    <m/>
    <e v="#DIV/0!"/>
    <n v="1"/>
    <n v="0"/>
    <e v="#DIV/0!"/>
    <d v="2026-02-01T00:00:00"/>
    <d v="2027-03-31T00:00:00"/>
    <s v="N/A"/>
    <s v="SGP-SALUD-SALUD PUBLICA (1.2.4.2.02)"/>
    <s v="1.2.4.2.02"/>
    <n v="50000000"/>
    <n v="50000000"/>
    <n v="50000000"/>
    <n v="0"/>
    <s v="Personal de Salud_x000a_"/>
    <s v="N/A"/>
    <x v="1"/>
    <m/>
  </r>
  <r>
    <n v="17"/>
    <s v="Las agresiones por animales potencialmente transmisores de la rabia"/>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u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Desarrollo institucional y sectorial para el ejercicio de la autoridad sanitaria"/>
    <s v="Desarrollo de capacidades a los miembros del comite SAN en practicas de inocuidad de alimentos "/>
    <s v="Procesos transversales de la Gestion de la Salud Pública"/>
    <n v="1"/>
    <s v="Número"/>
    <n v="0"/>
    <n v="1"/>
    <e v="#DIV/0!"/>
    <n v="1"/>
    <n v="0"/>
    <n v="0"/>
    <n v="0"/>
    <n v="0"/>
    <n v="0"/>
    <n v="0"/>
    <n v="0"/>
    <e v="#DIV/0!"/>
    <n v="1"/>
    <n v="1"/>
    <n v="100"/>
    <d v="2026-02-01T00:00:00"/>
    <d v="2027-03-31T00:00:00"/>
    <s v="N/A"/>
    <s v="SGP-SALUD-SALUD PUBLICA (1.2.4.2.02)"/>
    <s v="1.2.4.2.02"/>
    <n v="15000000"/>
    <n v="15000000"/>
    <n v="15000000"/>
    <n v="15000000"/>
    <s v="Personal de Salud_x000a_"/>
    <s v="N/A"/>
    <x v="1"/>
    <m/>
  </r>
  <r>
    <n v="18"/>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as"/>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jornada de vacunación antirrábica canina y felina masiva casa a casa (entorno hogar), en los 29 municipios del departamento del Magdalena en zona urbana, rural y rural disperso, garantizando cobertura del 90% en animales mayores de tres meses, Con una duración máxima de 45 días"/>
    <s v="PIC(Anexo técnico)"/>
    <n v="100"/>
    <s v="Porcentaje"/>
    <n v="0"/>
    <n v="0"/>
    <e v="#DIV/0!"/>
    <n v="0"/>
    <n v="5"/>
    <e v="#DIV/0!"/>
    <n v="0"/>
    <m/>
    <e v="#DIV/0!"/>
    <n v="100"/>
    <m/>
    <n v="0"/>
    <n v="100"/>
    <n v="5"/>
    <e v="#DIV/0!"/>
    <d v="2026-04-01T00:00:00"/>
    <d v="2027-03-31T00:00:00"/>
    <s v="N/A"/>
    <s v="SGP-SALUD-SALUD PUBLICA (1.2.4.2.02)"/>
    <s v="1.2.4.2.02"/>
    <n v="1600000000"/>
    <n v="1600000000"/>
    <n v="1600000000"/>
    <n v="0"/>
    <s v="Familias, colectivos y comunidades"/>
    <s v="N/A"/>
    <x v="1"/>
    <m/>
  </r>
  <r>
    <n v="19"/>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as"/>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Realizar mantenimiento a  la vacunación antirrábica de perros y gatos durante los meses que no se esté realizando la masiva, mediante la busqueda de animales que no se pudieron vacunar en la masiva, animales nuevos que ingresen o nazcan en el periodo, vacunación en las zonas de foco y perifoco de los brotes de rabia que se presenten en su municipio y puntos fijos de vacunación. Cobertura mínima del 1%."/>
    <s v="PIC(Anexo técnico)"/>
    <n v="100"/>
    <s v="Porcentaje"/>
    <n v="33.299999999999997"/>
    <n v="0"/>
    <n v="0"/>
    <n v="33.299999999999997"/>
    <n v="33.299999999999997"/>
    <n v="100"/>
    <n v="33.299999999999997"/>
    <m/>
    <n v="0"/>
    <n v="33.4"/>
    <m/>
    <n v="0"/>
    <n v="100"/>
    <n v="33.299999999999997"/>
    <n v="50"/>
    <d v="2026-04-01T00:00:00"/>
    <d v="2027-03-31T00:00:00"/>
    <s v="N/A"/>
    <s v="SGP-SALUD-SALUD PUBLICA (1.2.4.2.02)"/>
    <s v="1.2.4.2.02"/>
    <n v="700000000"/>
    <n v="700000000"/>
    <n v="700000000"/>
    <n v="0"/>
    <s v="Personal de Salud_x000a_"/>
    <s v="N/A"/>
    <x v="1"/>
    <m/>
  </r>
  <r>
    <n v="20"/>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Fortalecimiento de la red de frio para la vacunacion antirrábica canina y felina"/>
    <s v="Procesos transversales de la Gestion de la Salud Pública"/>
    <n v="100"/>
    <s v="Porcentaje"/>
    <n v="0"/>
    <n v="0"/>
    <e v="#DIV/0!"/>
    <n v="0"/>
    <n v="0"/>
    <e v="#DIV/0!"/>
    <n v="100"/>
    <m/>
    <n v="0"/>
    <n v="0"/>
    <m/>
    <e v="#DIV/0!"/>
    <n v="100"/>
    <n v="0"/>
    <e v="#DIV/0!"/>
    <d v="2026-04-01T00:00:00"/>
    <d v="2027-03-31T00:00:00"/>
    <s v="N/A"/>
    <s v="SGP-SALUD-SALUD PUBLICA (1.2.4.2.02)"/>
    <s v="1.2.4.2.02"/>
    <n v="30000000"/>
    <n v="30000000"/>
    <n v="30000000"/>
    <n v="0"/>
    <s v="Personal de Salud_x000a_"/>
    <s v="N/A"/>
    <x v="1"/>
    <m/>
  </r>
  <r>
    <n v="21"/>
    <s v="Las agresiones por animales potencialmente transmisores de la rabia"/>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Implementación de acciones dirigidas a mejorar la_x000a_ relación salud-ambiente-territorio para promover_x000a_ acciones dirigidas a mejorar las condiciones de vid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la vacunacion de perros y gatos en municipios con poblacion indigena Cienaga, Fundación, Aracataca y San Angel) y actividades de información, educación y  comuncicación de riesgo  de la rabia en IED indígena o mixta "/>
    <s v="PIC(Anexo técnico)"/>
    <n v="100"/>
    <s v="Porcentaje"/>
    <n v="0"/>
    <n v="0"/>
    <n v="0"/>
    <n v="20"/>
    <n v="5"/>
    <n v="25"/>
    <n v="40"/>
    <m/>
    <n v="0"/>
    <n v="40"/>
    <n v="0"/>
    <n v="0"/>
    <n v="100"/>
    <n v="5"/>
    <n v="8.3333333333333321"/>
    <d v="2026-04-01T00:00:00"/>
    <d v="2027-03-31T00:00:00"/>
    <s v="N/A"/>
    <s v="SGP-SALUD-SALUD PUBLICA (1.2.4.2.02)"/>
    <s v="1.2.4.2.02"/>
    <n v="182400000"/>
    <n v="182400000"/>
    <n v="182400000"/>
    <n v="0"/>
    <s v="Personal de Salud_x000a_"/>
    <s v="N/A"/>
    <x v="1"/>
    <m/>
  </r>
  <r>
    <n v="22"/>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de cobertura en en 100% de  los municipios que se prioricen."/>
    <s v="Procesos transversales de la Gestion de la Salud Pública"/>
    <n v="100"/>
    <s v="Porcentaje"/>
    <n v="25"/>
    <n v="0"/>
    <n v="0"/>
    <n v="25"/>
    <n v="0"/>
    <n v="0"/>
    <n v="25"/>
    <m/>
    <n v="0"/>
    <n v="25"/>
    <m/>
    <n v="0"/>
    <n v="100"/>
    <n v="0"/>
    <n v="0"/>
    <d v="2026-04-01T00:00:00"/>
    <d v="2027-03-31T00:00:00"/>
    <s v="N/A"/>
    <s v="SGP-SALUD-SALUD PUBLICA (1.2.4.2.02)"/>
    <s v="1.2.4.2.02"/>
    <m/>
    <m/>
    <m/>
    <m/>
    <s v="Familias, colectivos y comunidades"/>
    <s v="N/A"/>
    <x v="2"/>
    <m/>
  </r>
  <r>
    <n v="23"/>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uministrar insumos para la vacunación antirrábica de perros y gatos y control de rabia de acuerdo al plan de adquisiciones"/>
    <s v="Procesos transversales de la Gestion de la Salud Pública"/>
    <n v="100"/>
    <s v="Porcentaje"/>
    <n v="0"/>
    <n v="0"/>
    <e v="#DIV/0!"/>
    <n v="100"/>
    <n v="33.299999999999997"/>
    <n v="33.299999999999997"/>
    <n v="0"/>
    <m/>
    <e v="#DIV/0!"/>
    <n v="0"/>
    <m/>
    <e v="#DIV/0!"/>
    <n v="100"/>
    <n v="33.299999999999997"/>
    <n v="33.299999999999997"/>
    <d v="2026-04-01T00:00:00"/>
    <d v="2027-03-31T00:00:00"/>
    <s v="N/A"/>
    <s v="SGP-SALUD-SALUD PUBLICA (1.2.4.2.02)"/>
    <s v="1.2.4.2.02"/>
    <n v="140000000"/>
    <n v="140000000"/>
    <n v="140000000"/>
    <n v="0"/>
    <s v="Familias, colectivos y comunidades"/>
    <s v="N/A"/>
    <x v="2"/>
    <m/>
  </r>
  <r>
    <n v="24"/>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 Desarrollar un programa radial sobre la prevención de la rabia y otras zoonosis (accidente Ofídico, leptospira, toxoplasmosis) en cada uno de los 29 municipios "/>
    <s v="PIC(Anexo técnico)"/>
    <n v="29"/>
    <s v="Número"/>
    <n v="0"/>
    <n v="0"/>
    <e v="#DIV/0!"/>
    <n v="0"/>
    <n v="0"/>
    <e v="#DIV/0!"/>
    <n v="29"/>
    <m/>
    <n v="0"/>
    <n v="0"/>
    <m/>
    <e v="#DIV/0!"/>
    <n v="29"/>
    <n v="0"/>
    <e v="#DIV/0!"/>
    <d v="2026-04-01T00:00:00"/>
    <d v="2027-03-31T00:00:00"/>
    <s v="N/A"/>
    <s v="SGP-SALUD-SALUD PUBLICA (1.2.4.2.02)"/>
    <s v="1.2.4.2.02"/>
    <n v="60000000"/>
    <n v="60000000"/>
    <n v="60000000"/>
    <n v="0"/>
    <s v="Personal de Salud_x000a_"/>
    <s v="N/A"/>
    <x v="2"/>
    <m/>
  </r>
  <r>
    <n v="25"/>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Conmemorar el dia mundial contra la rabia realizando actividad de información educación y comunicación de riesgo de la rabia en (1) una institución educativa   de cada uno de los 29 municipios "/>
    <s v="PIC(Anexo técnico)"/>
    <n v="29"/>
    <s v="Número"/>
    <n v="0"/>
    <n v="0"/>
    <e v="#DIV/0!"/>
    <n v="0"/>
    <n v="0"/>
    <e v="#DIV/0!"/>
    <n v="29"/>
    <m/>
    <n v="0"/>
    <n v="0"/>
    <m/>
    <e v="#DIV/0!"/>
    <n v="29"/>
    <n v="0"/>
    <e v="#DIV/0!"/>
    <d v="2026-04-01T00:00:00"/>
    <d v="2027-03-31T00:00:00"/>
    <s v="N/A"/>
    <s v="SGP-SALUD-SALUD PUBLICA (1.2.4.2.02)"/>
    <s v="1.2.4.2.02"/>
    <n v="100000000"/>
    <n v="100000000"/>
    <n v="100000000"/>
    <n v="0"/>
    <s v="Indigenas"/>
    <s v="N/A"/>
    <x v="2"/>
    <m/>
  </r>
  <r>
    <n v="26"/>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actividad de información educación y comunicación de riesgo sobre la TENENCIA RESPONSABLE DE MASCOTAS, en una institución educativa de cada uno de los 29 municipios "/>
    <s v="PIC(Anexo técnico)"/>
    <n v="29"/>
    <s v="Número"/>
    <n v="0"/>
    <n v="0"/>
    <e v="#DIV/0!"/>
    <n v="0"/>
    <n v="0"/>
    <e v="#DIV/0!"/>
    <n v="29"/>
    <m/>
    <n v="0"/>
    <n v="0"/>
    <m/>
    <e v="#DIV/0!"/>
    <n v="29"/>
    <n v="0"/>
    <e v="#DIV/0!"/>
    <d v="2026-02-01T00:00:00"/>
    <d v="2027-03-31T00:00:00"/>
    <s v="N/A"/>
    <s v="SGP-SALUD-SALUD PUBLICA (1.2.4.2.02)"/>
    <s v="1.2.4.2.02"/>
    <n v="80000000"/>
    <n v="80000000"/>
    <n v="80000000"/>
    <n v="0"/>
    <s v="Familias, colectivos y comunidades"/>
    <s v="N/A"/>
    <x v="2"/>
    <m/>
  </r>
  <r>
    <n v="27"/>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eguimiento al 50% de los casos de exposicion leve y grave a rabia"/>
    <s v="Procesos transversales de la Gestion de la Salud Pública"/>
    <n v="50"/>
    <s v="Porcentaje"/>
    <n v="12.5"/>
    <n v="12.5"/>
    <n v="100"/>
    <n v="12.5"/>
    <n v="12.5"/>
    <n v="100"/>
    <n v="12.5"/>
    <m/>
    <n v="0"/>
    <n v="12.5"/>
    <m/>
    <n v="0"/>
    <n v="50"/>
    <n v="25"/>
    <n v="100"/>
    <d v="2026-04-01T00:00:00"/>
    <d v="2027-03-31T00:00:00"/>
    <s v="N/A"/>
    <s v="SGP-SALUD-SALUD PUBLICA (1.2.4.2.02)"/>
    <s v="1.2.4.2.02"/>
    <m/>
    <m/>
    <m/>
    <m/>
    <s v="Familias, colectivos y comunidades"/>
    <s v="N/A"/>
    <x v="2"/>
    <m/>
  </r>
  <r>
    <n v="28"/>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88-A 2031, el 100% de las DTS departamentales, distritales y municipios categorías especial, 1, 2 y 3 a riesgo, implementan los planes estratégicos para la vigilancia y control de zoonosis (brucelosis bovina, toxoplasmosis congénita y gestacional, accidente ofídico)."/>
    <s v="88-A 2031, el 100% de las DTS departamentales, distritales y municipios categorías especial, 1, 2 y 3 a riesgo, implementan los planes estratégicos para la vigilancia y control de zoonosis (brucelosis bovina, toxoplasmosis congénita y gestacional, accidente ofídico)."/>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al 100% de la red publica y privada que cuente con servicio de urgencias en la disponibilidad de sueros antiofidicos"/>
    <s v="Procesos transversales de la Gestion de la Salud Pública"/>
    <n v="100"/>
    <s v="Porcentaje"/>
    <n v="25"/>
    <n v="25"/>
    <n v="100"/>
    <n v="25"/>
    <n v="25"/>
    <n v="100"/>
    <n v="25"/>
    <m/>
    <n v="0"/>
    <n v="25"/>
    <m/>
    <n v="0"/>
    <n v="100"/>
    <n v="50"/>
    <n v="100"/>
    <d v="2026-04-01T00:00:00"/>
    <d v="2027-03-31T00:00:00"/>
    <s v="N/A"/>
    <s v="SGP-SALUD-SALUD PUBLICA (1.2.4.2.02)"/>
    <s v="1.2.4.2.02"/>
    <m/>
    <m/>
    <m/>
    <m/>
    <s v="Familias, colectivos y comunidades"/>
    <s v="N/A"/>
    <x v="2"/>
    <m/>
  </r>
  <r>
    <n v="29"/>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al recurso humano en salud para la atencion integral de accidente ofidico y APTR para medicos de area rural y EBS"/>
    <s v="Procesos transversales de la Gestion de la Salud Pública"/>
    <n v="1"/>
    <s v="Número"/>
    <n v="0"/>
    <n v="0"/>
    <e v="#DIV/0!"/>
    <n v="0"/>
    <n v="0"/>
    <e v="#DIV/0!"/>
    <n v="1"/>
    <m/>
    <n v="0"/>
    <n v="0"/>
    <m/>
    <e v="#DIV/0!"/>
    <n v="1"/>
    <n v="0"/>
    <e v="#DIV/0!"/>
    <d v="2026-04-01T00:00:00"/>
    <d v="2027-03-31T00:00:00"/>
    <s v="N/A"/>
    <s v="SGP-SALUD-SALUD PUBLICA (1.2.4.2.02)"/>
    <s v="1.2.4.2.02"/>
    <n v="40000000"/>
    <n v="40000000"/>
    <n v="40000000"/>
    <n v="0"/>
    <s v="Familias, colectivos y comunidades"/>
    <s v="N/A"/>
    <x v="2"/>
    <m/>
  </r>
  <r>
    <n v="30"/>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institucionales con el fin de mejorar las habilidades individuales en la prevención y control de de zoonosis al nivel municipal"/>
    <s v="Procesos transversales de la Gestion de la Salud Pública"/>
    <n v="1"/>
    <s v="Número"/>
    <n v="0"/>
    <n v="0"/>
    <e v="#DIV/0!"/>
    <n v="0"/>
    <n v="1"/>
    <e v="#DIV/0!"/>
    <n v="0"/>
    <n v="0"/>
    <e v="#DIV/0!"/>
    <n v="1"/>
    <n v="0"/>
    <n v="0"/>
    <n v="1"/>
    <n v="1"/>
    <n v="100"/>
    <d v="2026-04-01T00:00:00"/>
    <d v="2027-03-31T00:00:00"/>
    <s v="N/A"/>
    <s v="SGP-SALUD-SALUD PUBLICA (1.2.4.2.02)"/>
    <s v="1.2.4.2.02"/>
    <n v="40000000"/>
    <n v="40000000"/>
    <n v="40000000"/>
    <n v="40000000"/>
    <s v="Familias, colectivos y comunidades"/>
    <s v="N/A"/>
    <x v="2"/>
    <m/>
  </r>
  <r>
    <n v="31"/>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1-A 2031, la prevalencia de caries se reduce al menos en 10 puntos porcentuales en primera infancia, en infancia y en adolescencia."/>
    <s v="61-A 2031, la prevalencia de caries se reduce al menos en 10 puntos porcentuales en primera infancia, en infancia y en adolescencia."/>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Promover la adopcion de habitos saludables relacionados con higiene visual, cuidado auditivo y autocuidado oral en niños, niñas y adolescentes, mediante estrategias ludicas y educativas que fomenten el aprendizaje práctico y participativo en los ambitos urbano o rural del departamento, en los cursos de vida de primera infancia, infancia y adolescencia del entorno educativo."/>
    <s v="PIC(Anexo técnico)"/>
    <n v="29"/>
    <s v="Número"/>
    <n v="0"/>
    <n v="0"/>
    <e v="#DIV/0!"/>
    <n v="10"/>
    <m/>
    <n v="0"/>
    <n v="10"/>
    <m/>
    <n v="0"/>
    <n v="9"/>
    <m/>
    <n v="0"/>
    <n v="29"/>
    <n v="0"/>
    <e v="#DIV/0!"/>
    <d v="2026-02-01T00:00:00"/>
    <d v="2027-03-31T00:00:00"/>
    <s v="N/A"/>
    <s v="SGP-SALUD-SALUD PUBLICA (1.2.4.2.02)"/>
    <s v="1.2.4.2.02"/>
    <n v="200000000"/>
    <n v="200000000"/>
    <n v="200000000"/>
    <n v="0"/>
    <s v="Personal de Salud_x000a_"/>
    <s v="N/A"/>
    <x v="3"/>
    <m/>
  </r>
  <r>
    <n v="32"/>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y Municipales fortalecidas como autoridad sanitaria local para la Gobernanza en Salud Pública."/>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40-A 2031, se garantiza que entre la sospecha médica y la confirmación diagnóstica de cáncer de cuello uterino transcurran en promedio 30 días o menos"/>
    <s v="40-A 2031, se garantiza que entre la sospecha médica y la confirmación diagnóstica de cáncer de cuello uterino transcurran en promedio 30 días o men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Jornadas de salud que permitan identificar el riesgo haciendo promocion de la salud bucal, auditiva, comunicatva, tamizaje de riesgo cardiovascular, tamizaje para CCU, autoexamen de seno, aplicacion de barniz de fluor, de acuerdo al curso de vida en el entorno comunitario en los microcroterritorios definidos."/>
    <s v="PIC(Anexo técnico)"/>
    <n v="29"/>
    <s v="Número"/>
    <n v="0"/>
    <n v="0"/>
    <e v="#DIV/0!"/>
    <n v="10"/>
    <n v="0"/>
    <n v="0"/>
    <n v="10"/>
    <m/>
    <n v="0"/>
    <n v="9"/>
    <m/>
    <n v="0"/>
    <n v="29"/>
    <n v="0"/>
    <n v="0"/>
    <d v="2026-02-01T00:00:00"/>
    <d v="2027-03-31T00:00:00"/>
    <s v="N/A"/>
    <s v="SGP-SALUD-SALUD PUBLICA (1.2.4.2.02)"/>
    <s v="1.2.4.2.02"/>
    <n v="100000000"/>
    <n v="100000000"/>
    <n v="100000000"/>
    <n v="0"/>
    <s v="Personal de Salud_x000a_"/>
    <s v="N/A"/>
    <x v="3"/>
    <m/>
  </r>
  <r>
    <n v="33"/>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Conmemorar la semana de hábitos y estilos de vida saludables a través de actividades educativas, recreativas y de sensibilización enfocadas en la alimentación balanceada, la actividad física, el bienestar emocional y la prevención de enfermedades, fortaleciendo la cultura del autocuidado, en los diferentes cursos de vida, en el entorno comunitario y educativo del ambito urbano y rural de los territorios priorizados."/>
    <s v="PIC(Anexo técnico)"/>
    <n v="29"/>
    <s v="Número"/>
    <n v="0"/>
    <n v="0"/>
    <e v="#DIV/0!"/>
    <n v="10"/>
    <n v="0"/>
    <n v="0"/>
    <n v="10"/>
    <m/>
    <n v="0"/>
    <n v="9"/>
    <m/>
    <n v="0"/>
    <n v="29"/>
    <n v="0"/>
    <n v="0"/>
    <d v="2026-04-01T00:00:00"/>
    <d v="2027-03-31T00:00:00"/>
    <s v="N/A"/>
    <s v="SGP-SALUD-SALUD PUBLICA (1.2.4.2.02)"/>
    <s v="1.2.4.2.02"/>
    <n v="120000000"/>
    <n v="120000000"/>
    <n v="120000000"/>
    <n v="0"/>
    <s v="Personal de Salud_x000a_"/>
    <s v="N/A"/>
    <x v="3"/>
    <m/>
  </r>
  <r>
    <n v="34"/>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31 el 100% de las Entidades Territoriales del orden departamental, distrital y municipal desarrollan mecanismos para el fortalecimiento de la rectoría en salud en su territorio, conforme a las competencias establecidas."/>
    <s v="62-A 2031, las personas sin pérdida dental (dentición permanente) por enfermedad bucodental prevenible, se incrementa en 5 puntos porcentuales (mínimo) en las edades de 20-34 años; 35-44 años; 45-64 años y 65-79 y más años"/>
    <s v="62-A 2031, las personas sin pérdida dental (dentición permanente) por enfermedad bucodental prevenible, se incrementa en 5 puntos porcentuales (mínimo) en las edades de 20-34 años; 35-44 años; 45-64 años y 65-79 y más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Desarrollo institucional y sectorial para el ejercicio de la autoridad sanitaria"/>
    <s v="Alianzas transectoriales, que busquen fortalecer la promoción de la salud bucal mediante el desarrollo de actividades y estrategias de prevención, educación, detección temprana, atención integral y oportuna."/>
    <s v="Procesos transversales de la Gestion de la Salud Pública"/>
    <n v="3"/>
    <s v="Número"/>
    <n v="0"/>
    <n v="0"/>
    <n v="0"/>
    <n v="1"/>
    <m/>
    <n v="0"/>
    <n v="1"/>
    <m/>
    <n v="0"/>
    <n v="1"/>
    <m/>
    <n v="0"/>
    <n v="3"/>
    <n v="0"/>
    <e v="#DIV/0!"/>
    <d v="2026-04-01T00:00:00"/>
    <d v="2027-03-31T00:00:00"/>
    <s v="N/A"/>
    <s v="SGP-SALUD-SALUD PUBLICA (1.2.4.2.02)"/>
    <s v="1.2.4.2.02"/>
    <n v="12000000"/>
    <n v="12000000"/>
    <n v="12000000"/>
    <n v="0"/>
    <s v="Personal de Salud_x000a_"/>
    <s v="N/A"/>
    <x v="4"/>
    <m/>
  </r>
  <r>
    <n v="35"/>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Brindar asistencia Tecnica a todos los actores del sistema en todos los componentes de Promocion Y prevencion de las enfermedades crónicas no transmisibles mediante levantamiento de linea base de total de personas que padecen HTA . DM y ERC  ( incidencia ) como de estrategias para deteccion temprana y seguimiento de personas con dicho riesgos."/>
    <s v="Procesos transversales de la Gestion de la Salud Pública"/>
    <n v="29"/>
    <s v="Número"/>
    <n v="8"/>
    <n v="0"/>
    <n v="0"/>
    <n v="8"/>
    <n v="7"/>
    <n v="87.5"/>
    <n v="8"/>
    <m/>
    <n v="0"/>
    <n v="5"/>
    <m/>
    <n v="0"/>
    <n v="29"/>
    <n v="7"/>
    <n v="43.75"/>
    <d v="2026-04-01T00:00:00"/>
    <d v="2027-03-31T00:00:00"/>
    <s v="N/A"/>
    <s v="SGP-SALUD-SALUD PUBLICA (1.2.4.2.02)"/>
    <s v="1.2.4.2.02"/>
    <m/>
    <m/>
    <m/>
    <m/>
    <s v="primera infancia, infancia y adolescencia."/>
    <s v="N/A"/>
    <x v="3"/>
    <m/>
  </r>
  <r>
    <n v="36"/>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0-A 2031, se reducirá la tasa ajustada de mortalidad por cáncer infantil a menos de 4,00 x 100000 niños, niñas y adolescentes"/>
    <s v="50-A 2031, se reducirá la tasa ajustada de mortalidad por cáncer infantil a menos de 4,00 x 100000 niños, niñas y adolescentes"/>
    <s v="Salud Pública"/>
    <s v="Médico en tu casa"/>
    <s v="Fortalecimiento de Estrategias para la Promoción de la Salud y Prevención de Enfermedades en Comunidades, mediante acciones Integrales, Participativas y Sostenibles en el Departamento del Magdalena."/>
    <s v="Consolidar los planes de choque en Cancer de mama, cáncer cervicouterino y cáncer infantil de los 29 municipios y EAPB del departamento del Magdalena"/>
    <s v="Desarrollo institucional y sectorial para el ejercicio de la autoridad sanitaria"/>
    <s v="Realizar 4 sesiones del Consejo Departamental Asesor en Cancer Infantil de la mano de los actores definidos en la resolucion 1101 del 15 de noviembre de 2012 y el reglamento interno del CODACAI"/>
    <s v="Procesos transversales de la Gestion de la Salud Pública"/>
    <n v="4"/>
    <m/>
    <n v="1"/>
    <n v="1"/>
    <n v="100"/>
    <n v="1"/>
    <n v="1"/>
    <n v="100"/>
    <n v="1"/>
    <m/>
    <n v="0"/>
    <n v="1"/>
    <m/>
    <n v="0"/>
    <n v="4"/>
    <n v="2"/>
    <n v="100"/>
    <d v="2026-04-01T00:00:00"/>
    <d v="2027-03-31T00:00:00"/>
    <s v="N/A"/>
    <s v="SGP-SALUD-SALUD PUBLICA (1.2.4.2.02)"/>
    <s v="1.2.4.2.02"/>
    <n v="16000000"/>
    <n v="16000000"/>
    <n v="16000000"/>
    <n v="16000000"/>
    <s v="Familias, colectivos y comunidades"/>
    <s v="N/A"/>
    <x v="4"/>
    <m/>
  </r>
  <r>
    <n v="37"/>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Conocimiento en salud pública y Soberanía Sanitaria"/>
    <s v="i). Gobernabilidad, Gobernanza y Territorialización"/>
    <s v="Entidades Territoriales Departamentales, Distritales y Municipales con mecanismos fortalecidos para el ejercicio de la Rectoría en Salud."/>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Realizar promocion activa de CERSS - fase de ejecucion, monitoreo y evaluacion (Herramientas: Implementacion de CERSS, monitoreo y evaluacion en los 29 municipios. Realizacion de taller para la implementacion, monitoreo y evaluacion de la estrategias CERSS en los 29 municipios del departamento del Magdalena."/>
    <s v="Procesos transversales de la Gestion de la Salud Pública"/>
    <n v="4"/>
    <s v="Número"/>
    <n v="0"/>
    <n v="0"/>
    <e v="#DIV/0!"/>
    <n v="0"/>
    <n v="0"/>
    <e v="#DIV/0!"/>
    <n v="2"/>
    <m/>
    <n v="0"/>
    <n v="2"/>
    <m/>
    <n v="0"/>
    <n v="4"/>
    <n v="0"/>
    <e v="#DIV/0!"/>
    <d v="2026-04-01T00:00:00"/>
    <d v="2027-03-31T00:00:00"/>
    <s v="N/A"/>
    <s v="SGP-SALUD-SALUD PUBLICA (1.2.4.2.02)"/>
    <s v="1.2.4.2.02"/>
    <n v="50000000"/>
    <n v="50000000"/>
    <n v="50000000"/>
    <n v="0"/>
    <s v="Familias, colectivos y comunidades"/>
    <s v="N/A"/>
    <x v="4"/>
    <m/>
  </r>
  <r>
    <n v="38"/>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Desarrollo de capacidades en enfermedades cronicas dirigido a medicos y enfermeros jefes de las entidades prestadoras de servicios en el departamento del Magdalena."/>
    <s v="Procesos transversales de la Gestion de la Salud Pública"/>
    <n v="1"/>
    <s v="Número"/>
    <n v="0"/>
    <n v="0"/>
    <e v="#DIV/0!"/>
    <n v="0"/>
    <n v="0"/>
    <e v="#DIV/0!"/>
    <n v="0"/>
    <m/>
    <e v="#DIV/0!"/>
    <n v="1"/>
    <m/>
    <n v="0"/>
    <n v="1"/>
    <n v="0"/>
    <e v="#DIV/0!"/>
    <d v="2026-04-01T00:00:00"/>
    <d v="2027-03-31T00:00:00"/>
    <s v="N/A"/>
    <s v="SGP-SALUD-SALUD PUBLICA (1.2.4.2.02)"/>
    <s v="1.2.4.2.02"/>
    <n v="30000000"/>
    <n v="30000000"/>
    <n v="30000000"/>
    <n v="0"/>
    <s v="Personal de Salud_x000a_"/>
    <s v="N/A"/>
    <x v="4"/>
    <m/>
  </r>
  <r>
    <n v="39"/>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Implementar las Zonas de Orientación y/o Centros de Escucha en el entorno educativo en cada uno de los 29 municipios, fortaleciendo la promoción y atención primaria de la salud mental, la prevención del consumo de SPA, la conducta suicida y las violencias sexuales y de género; el cuidado de pacientes con discapacidad mental, trastornos de la conducta alimentaria, involucramiento parental y convivencia pacífica y la canalización a las rutas integrales de atención."/>
    <s v="PIC(Anexo técnico)"/>
    <n v="35"/>
    <s v="Número"/>
    <n v="35"/>
    <n v="0"/>
    <n v="0"/>
    <n v="35"/>
    <n v="10"/>
    <n v="28.571428571428569"/>
    <n v="35"/>
    <m/>
    <n v="0"/>
    <n v="35"/>
    <m/>
    <n v="0"/>
    <n v="35"/>
    <n v="10"/>
    <n v="14.285714285714285"/>
    <d v="2026-02-01T00:00:00"/>
    <d v="2027-03-31T00:00:00"/>
    <s v="N/A"/>
    <s v="SGP-SALUD-SALUD PUBLICA (1.2.4.2.02)"/>
    <s v="1.2.4.2.02"/>
    <n v="419200000"/>
    <n v="419200000"/>
    <n v="419200000"/>
    <n v="0"/>
    <s v="Talento Humano en salud"/>
    <s v="N/A"/>
    <x v="5"/>
    <m/>
  </r>
  <r>
    <n v="40"/>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Promover la educación e información en salud en el entorno familiar y educativo orientado hacia la promocion de la salud mental, prevencion del consumo de spa, prevencion de la conducta suicida, prevencion de la violencia en el entorno escolar en los 29 Municipios del departamento del Magdalena."/>
    <s v="PIC(Anexo técnico)"/>
    <n v="102"/>
    <s v="Número"/>
    <n v="0"/>
    <n v="0"/>
    <e v="#DIV/0!"/>
    <n v="34"/>
    <n v="24"/>
    <n v="70.588235294117652"/>
    <n v="34"/>
    <m/>
    <n v="0"/>
    <n v="34"/>
    <m/>
    <n v="0"/>
    <n v="102"/>
    <n v="24"/>
    <n v="70.588235294117652"/>
    <d v="2026-04-01T00:00:00"/>
    <d v="2027-03-31T00:00:00"/>
    <s v="N/A"/>
    <s v="SGP-SALUD-SALUD PUBLICA (1.2.4.2.02)"/>
    <s v="1.2.4.2.02"/>
    <n v="171000000"/>
    <n v="171000000"/>
    <n v="171000000"/>
    <n v="0"/>
    <s v="Talento Humano en salud"/>
    <s v="N/A"/>
    <x v="5"/>
    <m/>
  </r>
  <r>
    <n v="41"/>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Realizar la conmemoración de: Día Mundial de la Salud Mental, Dia Internacional y semana  de la Prevención de la conducta suicida, Dia Internacional de la Eliminación de la violencia contra la mujer,  semana de la prevención del consumo de sustancias psicoactivas y reducción de riesgos y daños, siguiendo los lineamientos técnicos del Ministerio de Salud y Protección Social, que promueva la salud mental y reducción del estigma. _x000a_"/>
    <s v="PIC(Anexo técnico)"/>
    <n v="102"/>
    <s v="Número"/>
    <n v="0"/>
    <n v="0"/>
    <n v="0"/>
    <n v="34"/>
    <n v="29"/>
    <n v="85.294117647058826"/>
    <n v="34"/>
    <m/>
    <n v="0"/>
    <n v="34"/>
    <m/>
    <n v="0"/>
    <n v="102"/>
    <n v="29"/>
    <n v="85.294117647058826"/>
    <d v="2026-04-01T00:00:00"/>
    <d v="2027-03-31T00:00:00"/>
    <s v="N/A"/>
    <s v="SGP-SALUD-SALUD PUBLICA (1.2.4.2.02)"/>
    <s v="1.2.4.2.02"/>
    <n v="119000000"/>
    <n v="119000000"/>
    <n v="119000000"/>
    <n v="0"/>
    <s v="Personal de Salud_x000a_"/>
    <s v="N/A"/>
    <x v="5"/>
    <m/>
  </r>
  <r>
    <n v="42"/>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mplementación de estrategias para la generación de conocimiento de las condiciones de salud de la población y sus determinantes tales como observatorios, ASIS, unidades de análisis, seminarios, entre otras."/>
    <s v="A 2031 el 100% las entidades territoriales Departamentales, Distritales han implementado las medidas de atención para la atención a las mujeres víctimas de violencia de género."/>
    <s v="A 2027 el 100% las entidades territoriales han implementado las medidas de atención para la atención a las mujeres víctimas de violencia de género."/>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Desarrollar capacidades del Talento Humano en salud de las EAPB y ESE mediante talleres en Salud mental comunitaria e intervención temprana, atención en salud para las mujeres víctimas de violencias de genero e intrafamiliar, ruta de atención integral en salud mental, y socialización del del sistema de responsabilidad penal para adolescentes en los 29 municipios del departamento del Magdalena incluyendo IPS Indígena."/>
    <s v="Procesos transversales de la Gestion de la Salud Pública"/>
    <n v="1"/>
    <s v="Número"/>
    <n v="0"/>
    <n v="0"/>
    <n v="0"/>
    <n v="0"/>
    <n v="0"/>
    <e v="#DIV/0!"/>
    <n v="1"/>
    <m/>
    <n v="0"/>
    <n v="1"/>
    <m/>
    <n v="0"/>
    <n v="1"/>
    <n v="0"/>
    <e v="#DIV/0!"/>
    <d v="2026-02-01T00:00:00"/>
    <d v="2027-03-31T00:00:00"/>
    <s v="N/A"/>
    <s v="SGP-SALUD-SALUD PUBLICA (1.2.4.2.02)"/>
    <s v="1.2.4.2.02"/>
    <n v="120000000"/>
    <n v="120000000"/>
    <n v="120000000"/>
    <n v="0"/>
    <s v="Talento Humano en salud"/>
    <s v="N/A"/>
    <x v="5"/>
    <m/>
  </r>
  <r>
    <n v="43"/>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de capacidades a través de un taller por subregión, referente a primeros auxilios psicológicos, dirigido a los equipos de profesionales de las ESE, equipos básicos en atención primaria en salud y docentes orientadores de los 29 municipios que conforman el departamento del Magdalena; que permita brindar atención oportun frente a los eventos de salud mental."/>
    <s v="Procesos transversales de la Gestion de la Salud Pública"/>
    <n v="4"/>
    <s v="Número"/>
    <n v="0"/>
    <n v="0"/>
    <n v="0"/>
    <n v="1"/>
    <n v="0"/>
    <n v="0"/>
    <n v="2"/>
    <m/>
    <n v="0"/>
    <n v="4"/>
    <m/>
    <n v="0"/>
    <n v="4"/>
    <n v="0"/>
    <n v="0"/>
    <d v="2026-04-01T00:00:00"/>
    <d v="2027-03-31T00:00:00"/>
    <s v="N/A"/>
    <s v="SGP-SALUD-SALUD PUBLICA (1.2.4.2.02)"/>
    <s v="1.2.4.2.02"/>
    <n v="120000000"/>
    <n v="120000000"/>
    <n v="12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4"/>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por subregión, referente  a Promover la salud integral e integrada y prevenir el consumo de SPA,  rutas de atención para garantizar el acceso a la detección, tratamiento y atención de los problemas por consumo de sustancias psicoactivas, de acuerdo a resoluciones vigentes y la nueva Política Nacional De Drogas. "/>
    <s v="Procesos transversales de la Gestion de la Salud Pública"/>
    <n v="4"/>
    <s v="Número"/>
    <n v="0"/>
    <n v="0"/>
    <n v="0"/>
    <n v="1"/>
    <n v="0"/>
    <n v="0"/>
    <n v="1"/>
    <m/>
    <n v="0"/>
    <n v="2"/>
    <m/>
    <n v="0"/>
    <n v="4"/>
    <n v="0"/>
    <n v="0"/>
    <d v="2026-04-01T00:00:00"/>
    <d v="2027-03-31T00:00:00"/>
    <s v="N/A"/>
    <s v="SGP-SALUD-SALUD PUBLICA (1.2.4.2.02)"/>
    <s v="1.2.4.2.02"/>
    <n v="120000000"/>
    <n v="120000000"/>
    <n v="12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5"/>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referente a reducir la conducta suicida en el departamento, con estrategias locales y en contexto, diferenciadas por curso de vida y entornos de desarrollo. Fortalecer las rutas de promoción de la salud mental, identificación del riesgo y atención integral a la conducta suicida, de acuerdo al Decreto 0729 de 2025 y normativas vigentes."/>
    <s v="Procesos transversales de la Gestion de la Salud Pública"/>
    <n v="2"/>
    <s v="Número"/>
    <n v="0"/>
    <n v="0"/>
    <n v="0"/>
    <n v="0"/>
    <n v="0"/>
    <e v="#DIV/0!"/>
    <n v="1"/>
    <m/>
    <n v="0"/>
    <n v="1"/>
    <m/>
    <n v="0"/>
    <n v="2"/>
    <n v="0"/>
    <e v="#DIV/0!"/>
    <d v="2026-04-01T00:00:00"/>
    <d v="2027-03-31T00:00:00"/>
    <s v="N/A"/>
    <s v="SGP-SALUD-SALUD PUBLICA (1.2.4.2.02)"/>
    <s v="1.2.4.2.02"/>
    <n v="60000000"/>
    <n v="60000000"/>
    <n v="6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6"/>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disminuir la tasa de violencia interpersonal a 230 por 100.000 habitantes"/>
    <s v="A 2027, mantener la tasa de mortalidad de suicidio"/>
    <s v="95-A 2031, mantener la tasa de mortalidad de suicidio por debajo de 5"/>
    <s v="A 2027,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Realizar encuentro departamental de referentes de convivencia social y salud mental de los 29 municipios del departamento"/>
    <s v="Procesos transversales de la Gestion de la Salud Pública"/>
    <n v="1"/>
    <s v="Número"/>
    <n v="0"/>
    <n v="0"/>
    <n v="0"/>
    <n v="1"/>
    <n v="0"/>
    <n v="0"/>
    <n v="0"/>
    <m/>
    <e v="#DIV/0!"/>
    <n v="0"/>
    <m/>
    <e v="#DIV/0!"/>
    <n v="1"/>
    <n v="0"/>
    <n v="0"/>
    <d v="2026-04-01T00:00:00"/>
    <d v="2027-03-31T00:00:00"/>
    <s v="N/A"/>
    <s v="SGP-SALUD-SALUD PUBLICA (1.2.4.2.02)"/>
    <s v="1.2.4.2.02"/>
    <n v="50000000"/>
    <n v="50000000"/>
    <n v="50000000"/>
    <n v="0"/>
    <s v="Personal de Salud_x000a_"/>
    <s v="N/A"/>
    <x v="5"/>
    <m/>
  </r>
  <r>
    <n v="47"/>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implmentación integral en salud y la gestion territorial en el marco del modelo de salud preventivo y predictivo y resolución basado en AP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Desarrollo institucional y sectorial para el ejercicio de la autoridad sanitaria"/>
    <s v="Realizar 2 sesiones de Comités de Departamental de Drogas; 2 de Consejo Seccional de Estupefacientes; 2 de consejos de departamental de salud mental.  2 mesas de articulación para la atención integral de las violencias basadas en genero. "/>
    <s v="Procesos transversales de la Gestion de la Salud Pública"/>
    <n v="9"/>
    <s v="Número"/>
    <n v="0"/>
    <m/>
    <n v="0"/>
    <n v="3"/>
    <n v="2"/>
    <n v="66.666666666666657"/>
    <n v="3"/>
    <m/>
    <n v="0"/>
    <n v="3"/>
    <m/>
    <n v="0"/>
    <n v="9"/>
    <n v="2"/>
    <e v="#DIV/0!"/>
    <d v="2026-04-01T00:00:00"/>
    <d v="2027-03-31T00:00:00"/>
    <s v="N/A"/>
    <s v="SGP-SALUD-SALUD PUBLICA (1.2.4.2.02)"/>
    <s v="1.2.4.2.02"/>
    <n v="32000000"/>
    <n v="32000000"/>
    <n v="32000000"/>
    <n v="0"/>
    <s v="Personal de Salud_x000a_"/>
    <s v="N/A"/>
    <x v="5"/>
    <m/>
  </r>
  <r>
    <n v="4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Desarrollo de estrategias para la organización y acompañamiento de la participación ciudadana dirigida a la identificación de problemáticas, análisis, comprensión y definición de decisiones que impacten de manera positiva la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15-A 2031, reducir en un 20% la prevalencia de anemia en los niños, niñas menores de 5 años"/>
    <s v="15-A 2031, reducir en un 20% la prevalencia de anemia en los niños, niñas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 implementación de huertas en megacolegios con continuidad, capacitación en las nuevas GABAS con enfoque diferencial dirigido a docentes y rectores de colegios la promoción de loncheras saludables con articulación intersectorial "/>
    <s v="PIC(Anexo técnico)"/>
    <n v="29"/>
    <s v="Número"/>
    <n v="7"/>
    <n v="0"/>
    <n v="0"/>
    <n v="7"/>
    <n v="0"/>
    <n v="0"/>
    <n v="7"/>
    <m/>
    <n v="0"/>
    <n v="8"/>
    <m/>
    <n v="0"/>
    <n v="29"/>
    <n v="0"/>
    <n v="0"/>
    <d v="2026-04-01T00:00:00"/>
    <d v="2027-03-31T00:00:00"/>
    <s v="N/A"/>
    <s v="SGP-SALUD-SALUD PUBLICA (1.2.4.2.02)"/>
    <s v="1.2.4.2.02"/>
    <n v="150000000"/>
    <n v="150000000"/>
    <n v="150000000"/>
    <n v="0"/>
    <s v="Personal de Salud_x000a_"/>
    <s v="N/A"/>
    <x v="6"/>
    <m/>
  </r>
  <r>
    <n v="4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de los 4 municipios a cada familia se le debe educar en el código internacional de Sucedáneos, implementacion de plato saludable   "/>
    <s v="PIC(Anexo técnico)"/>
    <n v="4"/>
    <s v="Número"/>
    <n v="1"/>
    <n v="0"/>
    <n v="0"/>
    <n v="1"/>
    <n v="0"/>
    <n v="0"/>
    <n v="1"/>
    <m/>
    <n v="0"/>
    <n v="1"/>
    <m/>
    <n v="0"/>
    <n v="4"/>
    <n v="0"/>
    <n v="0"/>
    <d v="2026-04-01T00:00:00"/>
    <d v="2027-03-31T00:00:00"/>
    <s v="N/A"/>
    <s v="SGP-SALUD-SALUD PUBLICA (1.2.4.2.02)"/>
    <s v="1.2.4.2.02"/>
    <n v="80274232"/>
    <n v="80274232"/>
    <n v="80274232"/>
    <n v="0"/>
    <s v="Personal de Salud_x000a_"/>
    <s v="N/A"/>
    <x v="6"/>
    <m/>
  </r>
  <r>
    <n v="5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Gestión territorial para el cuidado de la salud basado en la atención primaria en salud. "/>
    <s v="Gestión territorial para el cuidado de la salud basado en la atención primaria en salud.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Realizar Busqueda activa comunitaria bimensual de niños(as) menores de cinco años en riesgo de desnutricion aguda en el entorno hogar, agrupados , IED y Programas de ICBF en los territorios y microterritorios totales en los 29 municpios a cada familia se le debe educar en el código internacional de Sucedáneos, implementacion de plato saludable   "/>
    <s v="PIC(Anexo técnico)"/>
    <n v="200"/>
    <s v="Número"/>
    <n v="50"/>
    <n v="0"/>
    <n v="0"/>
    <n v="50"/>
    <n v="0"/>
    <n v="0"/>
    <n v="50"/>
    <n v="0"/>
    <n v="0"/>
    <n v="50"/>
    <m/>
    <n v="0"/>
    <n v="200"/>
    <n v="0"/>
    <n v="0"/>
    <d v="2026-04-01T00:00:00"/>
    <d v="2027-03-31T00:00:00"/>
    <s v="N/A"/>
    <s v="SGP-SALUD-SALUD PUBLICA (1.2.4.2.02)"/>
    <s v="1.2.4.2.02"/>
    <n v="310000000"/>
    <n v="310000000"/>
    <n v="310000000"/>
    <n v="0"/>
    <s v="Personal de Salud_x000a_"/>
    <s v="N/A"/>
    <x v="6"/>
    <m/>
  </r>
  <r>
    <n v="5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A 2031, el 40% de los niños menores de 6 meses tienen lactancia materna exclusiva"/>
    <s v="A 2027, el 40% de los niños menores de 6 meses tienen lactancia materna exclusiv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Capacitar al talento humano de las EPS, IPS, EBS  y PIC de los 29 municipios del departamento del Magdalena sobre lactancia y relactancia materna y Código Internacional de Comercialización de Sucedáneos de la Leche materna (CICSLM) "/>
    <s v="Procesos transversales de la Gestion de la Salud Pública"/>
    <n v="1"/>
    <s v="Número"/>
    <n v="0"/>
    <n v="0"/>
    <e v="#DIV/0!"/>
    <n v="0"/>
    <n v="1"/>
    <e v="#DIV/0!"/>
    <n v="1"/>
    <n v="0"/>
    <n v="0"/>
    <n v="0"/>
    <m/>
    <e v="#DIV/0!"/>
    <n v="1"/>
    <n v="1"/>
    <n v="100"/>
    <d v="2026-04-01T00:00:00"/>
    <d v="2027-03-31T00:00:00"/>
    <s v="N/A"/>
    <s v="SGP-SALUD-SALUD PUBLICA (1.2.4.2.02)"/>
    <s v="1.2.4.2.02"/>
    <n v="20000000"/>
    <n v="20000000"/>
    <n v="20000000"/>
    <n v="20000000"/>
    <s v="Personal de Salud_x000a_"/>
    <s v="N/A"/>
    <x v="6"/>
    <m/>
  </r>
  <r>
    <n v="5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Conmemorar la semana mundial de la LM realizar por sub-región en articulación del comité SAN municipal, líderes, líderesas y gestores comunitarios acciones de movilización y sensibilización a mujeres gestantes y lactantes y sus familias a cerca de la importancia de la protección, promoción y apoyo a la Lactancia Materna LM exclusiva y la importancia de la Donación de Leche Humana siguiendo los lineamientos del Ministerio de Salud."/>
    <s v="PIC(Anexo técnico)"/>
    <n v="29"/>
    <s v="Número"/>
    <n v="0"/>
    <n v="0"/>
    <e v="#DIV/0!"/>
    <n v="0"/>
    <n v="0"/>
    <e v="#DIV/0!"/>
    <n v="29"/>
    <n v="0"/>
    <n v="0"/>
    <n v="0"/>
    <m/>
    <e v="#DIV/0!"/>
    <n v="29"/>
    <n v="0"/>
    <n v="0"/>
    <d v="2026-04-01T00:00:00"/>
    <d v="2027-03-31T00:00:00"/>
    <s v="N/A"/>
    <s v="SGP-SALUD-SALUD PUBLICA (1.2.4.2.02)"/>
    <s v="1.2.4.2.02"/>
    <n v="90000000"/>
    <n v="90000000"/>
    <n v="90000000"/>
    <n v="0"/>
    <s v="Primera infancia;_x000a_ Infancia; Adolescencia; Juventud;  Adultez; _x000a__x000a__x000a_"/>
    <s v="N/A"/>
    <x v="6"/>
    <m/>
  </r>
  <r>
    <n v="5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teorico practico de dos dias para la construcción de Planes de SAN Municipales en los 29 municipios del departamento del Magdalena."/>
    <s v="Procesos transversales de la Gestion de la Salud Pública"/>
    <n v="2"/>
    <s v="Número"/>
    <n v="0"/>
    <n v="0"/>
    <e v="#DIV/0!"/>
    <n v="1"/>
    <n v="1"/>
    <n v="100"/>
    <n v="1"/>
    <m/>
    <n v="0"/>
    <n v="0"/>
    <m/>
    <e v="#DIV/0!"/>
    <n v="2"/>
    <n v="1"/>
    <n v="100"/>
    <d v="2026-04-01T00:00:00"/>
    <d v="2027-03-31T00:00:00"/>
    <s v="N/A"/>
    <s v="SGP-SALUD-SALUD PUBLICA (1.2.4.2.02)"/>
    <s v="1.2.4.2.02"/>
    <n v="60000000"/>
    <n v="60000000"/>
    <n v="60000000"/>
    <n v="60000000"/>
    <s v="Indigenas"/>
    <s v="N/A"/>
    <x v="6"/>
    <m/>
  </r>
  <r>
    <n v="5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Realizar el acompañamiento técnico a las EAPB priorizadas la implementación de la Resolución 3280 de 2018  énfasis en las atenciones que promuevan la lactancia materna y adecuada alimentación complementaria, el seguimiento y monitoreo a la consulta particular de consejería sobre LM y GABAS para el menor de dos años, la entrega de micronutrientes y seguimiento a niños con bajo peso al nacer hasta su adecuado peso."/>
    <s v="Procesos transversales de la Gestion de la Salud Pública"/>
    <n v="29"/>
    <s v="Número"/>
    <n v="0"/>
    <n v="0"/>
    <e v="#DIV/0!"/>
    <n v="10"/>
    <n v="0"/>
    <n v="0"/>
    <n v="10"/>
    <m/>
    <n v="0"/>
    <n v="9"/>
    <m/>
    <n v="0"/>
    <n v="29"/>
    <n v="0"/>
    <n v="0"/>
    <d v="2026-04-01T00:00:00"/>
    <d v="2027-03-31T00:00:00"/>
    <s v="N/A"/>
    <s v="SGP-SALUD-SALUD PUBLICA (1.2.4.2.02)"/>
    <s v="1.2.4.2.02"/>
    <m/>
    <m/>
    <m/>
    <m/>
    <s v="Primera infancia;_x000a_ Infancia"/>
    <s v="N/A"/>
    <x v="7"/>
    <m/>
  </r>
  <r>
    <n v="5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Sesionar 4 Mesas de trabajo durante el año con el comité departamental SAN para evaluar y ajustar la ejecución de la politica departamental mediante plan de acción con Matriz de monitoreo para el cumplimiento del derecho humano a la alimentacion Adecuada y Sostenible (DHAAS), con la revision del documento, esta debe ser realizada por experto en el tema de politica publicas con el objetivo de definir la situacion actual de la politica departamental (DHAAS). "/>
    <s v="Procesos transversales de la Gestion de la Salud Pública"/>
    <n v="4"/>
    <s v="Número"/>
    <n v="1"/>
    <n v="0"/>
    <n v="0"/>
    <n v="1"/>
    <n v="1"/>
    <n v="100"/>
    <n v="1"/>
    <m/>
    <n v="0"/>
    <n v="1"/>
    <m/>
    <n v="0"/>
    <n v="4"/>
    <n v="1"/>
    <n v="50"/>
    <d v="2026-04-01T00:00:00"/>
    <d v="2027-03-31T00:00:00"/>
    <s v="N/A"/>
    <s v="SGP-SALUD-SALUD PUBLICA (1.2.4.2.02)"/>
    <s v="1.2.4.2.02"/>
    <n v="20000000"/>
    <n v="20000000"/>
    <n v="20000000"/>
    <n v="0"/>
    <s v="Personal de Salud"/>
    <s v="N/A"/>
    <x v="6"/>
    <m/>
  </r>
  <r>
    <n v="5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ar Capacidades técnicas, científicas y operativas al RH de la DTS, IPS, EAPB en la Resolución 2465 /2016 y resolucion 2350/2020, con la revison de los planes de la desaceleracion de la desnutricon en los 29 municipios."/>
    <s v="Procesos transversales de la Gestion de la Salud Pública"/>
    <n v="29"/>
    <s v="Número"/>
    <n v="7"/>
    <n v="0"/>
    <n v="0"/>
    <n v="7"/>
    <n v="0"/>
    <n v="0"/>
    <n v="7"/>
    <m/>
    <n v="0"/>
    <n v="8"/>
    <m/>
    <n v="0"/>
    <n v="29"/>
    <n v="0"/>
    <n v="0"/>
    <d v="2026-04-01T00:00:00"/>
    <d v="2027-03-31T00:00:00"/>
    <s v="N/A"/>
    <s v="SGP-SALUD-SALUD PUBLICA (1.2.4.2.02)"/>
    <s v="1.2.4.2.02"/>
    <n v="70000000"/>
    <n v="70000000"/>
    <n v="70000000"/>
    <n v="0"/>
    <s v="Familias, colectivos y comunidades_x000a_Población materno perinatal; _x000a_Primera infancia;"/>
    <s v="N/A"/>
    <x v="6"/>
    <m/>
  </r>
  <r>
    <n v="5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órico práctico al talento humano de las Secretarías de Salud, Profesionales de la Salud de IPS, EPS, EBS, Madres FAMI, ICBF, rectores y docentes de colegios y Alcaldias de los 29 municipios sobre las nuevas GABA con enfoque diferencial, étnico y Afro, GABA para el menor de dos años y la creación de huertas caseras y la implementación de loncheras saludables ._x000a_"/>
    <s v="Procesos transversales de la Gestion de la Salud Pública"/>
    <n v="29"/>
    <s v="Número"/>
    <n v="0"/>
    <n v="0"/>
    <e v="#DIV/0!"/>
    <n v="10"/>
    <n v="10"/>
    <n v="100"/>
    <n v="10"/>
    <m/>
    <n v="0"/>
    <n v="9"/>
    <m/>
    <n v="0"/>
    <n v="29"/>
    <n v="10"/>
    <n v="100"/>
    <d v="2026-04-01T00:00:00"/>
    <d v="2027-03-31T00:00:00"/>
    <s v="N/A"/>
    <s v="SGP-SALUD-SALUD PUBLICA (1.2.4.2.02)"/>
    <s v="1.2.4.2.02"/>
    <n v="70000000"/>
    <n v="70000000"/>
    <n v="70000000"/>
    <n v="70000000"/>
    <s v="Personal de Salud"/>
    <s v="N/A"/>
    <x v="6"/>
    <m/>
  </r>
  <r>
    <n v="5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orico practico, certificado sobre la estrategia Instituciones Amiga de la Mujer y la Infacia- IAMII, Salas Amigas de Extracción Manual de la leche materna, código internacional de sucedáneos de la leche materna, RIAS 3280, RIAS Materno Perinatal y Banco de Leche Humana dirigido  al talento humano de la salud, médicos, pediatras, nutricionistas, enfermeras, auxiliares de las IPS, EPS, y hospitales de los 29 municipios del departamento del Magdalena."/>
    <s v="Procesos transversales de la Gestion de la Salud Pública"/>
    <n v="4"/>
    <s v="Número"/>
    <n v="0"/>
    <n v="0"/>
    <e v="#DIV/0!"/>
    <n v="2"/>
    <n v="0"/>
    <n v="0"/>
    <n v="2"/>
    <m/>
    <n v="0"/>
    <n v="0"/>
    <m/>
    <e v="#DIV/0!"/>
    <n v="4"/>
    <n v="0"/>
    <n v="0"/>
    <d v="2026-04-01T00:00:00"/>
    <d v="2027-03-31T00:00:00"/>
    <s v="N/A"/>
    <s v="SGP-SALUD-SALUD PUBLICA (1.2.4.2.02)"/>
    <s v="1.2.4.2.02"/>
    <n v="80000000"/>
    <n v="80000000"/>
    <n v="80000000"/>
    <n v="0"/>
    <s v="Familias, colectivos y comunidades_x000a_Población materno perinatal; _x000a_Primera infancia;"/>
    <s v="N/A"/>
    <x v="8"/>
    <m/>
  </r>
  <r>
    <n v="5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en Resolucion 3280 dirigido al TH de las ESE, IPS; DTS de los 29 municipios"/>
    <s v="Procesos transversales de la Gestion de la Salud Pública"/>
    <n v="1"/>
    <s v="Número"/>
    <n v="1"/>
    <n v="0"/>
    <n v="0"/>
    <n v="0"/>
    <n v="1"/>
    <e v="#DIV/0!"/>
    <n v="1"/>
    <m/>
    <n v="0"/>
    <n v="0"/>
    <m/>
    <e v="#DIV/0!"/>
    <n v="1"/>
    <n v="1"/>
    <n v="100"/>
    <d v="2026-04-01T00:00:00"/>
    <d v="2027-03-31T00:00:00"/>
    <s v="N/A"/>
    <s v="SGP-SALUD-SALUD PUBLICA (1.2.4.2.02)"/>
    <s v="1.2.4.2.02"/>
    <m/>
    <m/>
    <m/>
    <m/>
    <s v="Familias, colectivos y comunidades"/>
    <s v="N/A"/>
    <x v="8"/>
    <m/>
  </r>
  <r>
    <n v="6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4-A 2031, mantener en &lt; 9% la proporción de Bajo Peso al Nacer"/>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Realizar comité trimestral del  plan  desaceleracion de muerte por desnutricion haciendo seguimientos mensuales a las EAPB Y MUNICIPIOS sobre la busquedad activa de niños reportados en la base sivigila ,según la resolucion 2350 y 2465  y realizar asistencias tecnicas a las EAPB y municipios del departamento en resolucion 2350 ,2465 y 3280"/>
    <s v="Procesos transversales de la Gestion de la Salud Pública"/>
    <n v="4"/>
    <s v="Número"/>
    <n v="1"/>
    <n v="1"/>
    <n v="100"/>
    <n v="1"/>
    <n v="0"/>
    <n v="0"/>
    <n v="1"/>
    <m/>
    <n v="0"/>
    <n v="1"/>
    <m/>
    <n v="0"/>
    <n v="4"/>
    <n v="1"/>
    <n v="50"/>
    <d v="2026-04-01T00:00:00"/>
    <d v="2027-03-31T00:00:00"/>
    <s v="N/A"/>
    <s v="SGP-SALUD-SALUD PUBLICA (1.2.4.2.02)"/>
    <s v="1.2.4.2.02"/>
    <m/>
    <m/>
    <m/>
    <m/>
    <s v="Personal de Salud"/>
    <m/>
    <x v="9"/>
    <m/>
  </r>
  <r>
    <n v="6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en el componente de prevencion de embarazo en adolescentes, prevencion de las violencias, planificacion familiar, prevencion de las enfermedades de transmisión sexual ETS (VIH/SIDA)) en el entorno escolar jovenes y adolescentes (6 a 11 de bachillerato) de las Instituciones educativas de los territorios proiorizados con enfoque preventivo "/>
    <s v="PIC(Anexo técnico)"/>
    <n v="29"/>
    <s v="Número"/>
    <n v="5"/>
    <n v="0"/>
    <n v="0"/>
    <n v="10"/>
    <n v="0"/>
    <n v="0"/>
    <n v="10"/>
    <m/>
    <n v="0"/>
    <n v="4"/>
    <m/>
    <n v="0"/>
    <n v="29"/>
    <n v="0"/>
    <n v="0"/>
    <d v="2026-04-01T00:00:00"/>
    <d v="2027-03-31T00:00:00"/>
    <s v="N/A"/>
    <s v="SGP-SALUD-SALUD PUBLICA (1.2.4.2.02)"/>
    <s v="1.2.4.2.02"/>
    <n v="100000000"/>
    <n v="100000000"/>
    <n v="100000000"/>
    <n v="0"/>
    <s v="Personal de Salud"/>
    <s v="N/A"/>
    <x v="6"/>
    <m/>
  </r>
  <r>
    <n v="6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a padres de familia, maestros, lideres comunitarios y otros actores, en la promoción de la salud sexual y reproductiva;  fomentando un entorno de apoyo, comprensión promover relaciones respetuosas, igualitarias y libres de violencia; con el fin aumentar la gobernanza de salud y toma de decisiones para el logro de bienestar colectivo de los territorios proiorizados con enfoque preventivo en el ambito urbano de los 29 municipios"/>
    <s v="PIC(Anexo técnico)"/>
    <n v="29"/>
    <s v="Número"/>
    <n v="5"/>
    <n v="0"/>
    <n v="0"/>
    <n v="10"/>
    <n v="0"/>
    <n v="0"/>
    <n v="10"/>
    <m/>
    <n v="0"/>
    <n v="4"/>
    <m/>
    <n v="0"/>
    <n v="29"/>
    <n v="0"/>
    <n v="0"/>
    <d v="2026-04-01T00:00:00"/>
    <d v="2027-03-31T00:00:00"/>
    <s v="N/A"/>
    <s v="SGP-SALUD-SALUD PUBLICA (1.2.4.2.02)"/>
    <s v="1.2.4.2.02"/>
    <n v="110000000"/>
    <n v="110000000"/>
    <n v="110000000"/>
    <n v="0"/>
    <s v="Personal de Salud"/>
    <s v="N/A"/>
    <x v="6"/>
    <m/>
  </r>
  <r>
    <n v="6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Realizar educación en salud materna y neonatal, a mujeres en edad fertil, parteras y jefes del hogar en las comunidades priorizadas, sobre factores de riesgo y desarmonías, reporte oportuno y atención en salud para evitar complicaciones en la madre y en su hijo "/>
    <s v="PIC(Anexo técnico)"/>
    <n v="4"/>
    <s v="Número"/>
    <n v="1"/>
    <n v="0"/>
    <n v="0"/>
    <n v="1"/>
    <n v="0"/>
    <n v="0"/>
    <n v="1"/>
    <m/>
    <n v="0"/>
    <n v="1"/>
    <m/>
    <n v="0"/>
    <n v="4"/>
    <n v="0"/>
    <n v="0"/>
    <d v="2026-04-01T00:00:00"/>
    <d v="2027-03-31T00:00:00"/>
    <s v="N/A"/>
    <s v="SGP-SALUD-SALUD PUBLICA (1.2.4.2.02)"/>
    <s v="1.2.4.2.02"/>
    <n v="80000000"/>
    <n v="80000000"/>
    <n v="80000000"/>
    <n v="0"/>
    <s v="Personal de Salud"/>
    <s v="N/A"/>
    <x v="8"/>
    <m/>
  </r>
  <r>
    <n v="6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3-A 2031, reducir a 6 por cada 1.000 nacidos vivos la tasa de mortalidad neonatal"/>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Educacion en salud para la promocion y prevencion de la salud materno perinatal dirigida a mamos, medicos, parteras y lideres con el fin de fortalecer el manejo de la guia materno perinatal"/>
    <s v="PIC(Anexo técnico)"/>
    <n v="4"/>
    <s v="Número"/>
    <n v="1"/>
    <n v="0"/>
    <n v="0"/>
    <n v="1"/>
    <n v="0"/>
    <n v="0"/>
    <n v="1"/>
    <m/>
    <n v="0"/>
    <n v="1"/>
    <m/>
    <n v="0"/>
    <n v="4"/>
    <n v="0"/>
    <n v="0"/>
    <d v="2026-04-01T00:00:00"/>
    <d v="2027-03-31T00:00:00"/>
    <s v="N/A"/>
    <s v="SGP-SALUD-SALUD PUBLICA (1.2.4.2.02)"/>
    <s v="1.2.4.2.02"/>
    <n v="80000000"/>
    <n v="80000000"/>
    <n v="80000000"/>
    <n v="0"/>
    <s v="Familias, colectivos y comunidades"/>
    <s v="N/A"/>
    <x v="10"/>
    <m/>
  </r>
  <r>
    <n v="6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bajo escenario de simulacion presencial teorico practicos al talento humano en salud de las ESE e IPS del Departamento del Magdalena,  sobre Ruta Materno Perinatal,  emergencias obstetricas, Planificacion Familiar dirigido a medicos generales, ginecologos y enfermeras, que ejerce funciones en consultas de control prenatal y sala de maternidad."/>
    <s v="Procesos transversales de la Gestion de la Salud Pública"/>
    <n v="2"/>
    <s v="Número"/>
    <n v="0"/>
    <n v="0"/>
    <e v="#DIV/0!"/>
    <n v="0"/>
    <n v="0"/>
    <e v="#DIV/0!"/>
    <n v="1"/>
    <m/>
    <n v="0"/>
    <n v="1"/>
    <m/>
    <n v="0"/>
    <n v="2"/>
    <n v="0"/>
    <e v="#DIV/0!"/>
    <d v="2026-04-01T00:00:00"/>
    <d v="2027-03-31T00:00:00"/>
    <s v="N/A"/>
    <s v="SGP-SALUD-SALUD PUBLICA (1.2.4.2.02)"/>
    <s v="1.2.4.2.02"/>
    <n v="100274232"/>
    <n v="100274232"/>
    <n v="100274232"/>
    <n v="0"/>
    <s v="Adolesencia y Juventud"/>
    <s v="N/A"/>
    <x v="11"/>
    <m/>
  </r>
  <r>
    <n v="6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ar capacidades  del Talento Humano  en salud  de las EAPB y ESE mediante taller en atencion en salud para las mujeres victimas de violencias de genero e intrafamiliar, ruta de atención integral de los 29 municipios del departamento del Magdalena incluyendo IPS Indígena."/>
    <s v="Procesos transversales de la Gestion de la Salud Pública"/>
    <n v="1"/>
    <s v="Número"/>
    <n v="0"/>
    <n v="0"/>
    <e v="#DIV/0!"/>
    <n v="0"/>
    <n v="0"/>
    <e v="#DIV/0!"/>
    <n v="1"/>
    <m/>
    <n v="0"/>
    <n v="1"/>
    <m/>
    <n v="0"/>
    <n v="1"/>
    <n v="0"/>
    <e v="#DIV/0!"/>
    <d v="2026-04-01T00:00:00"/>
    <d v="2027-03-31T00:00:00"/>
    <s v="N/A"/>
    <s v="SGP-SALUD-SALUD PUBLICA (1.2.4.2.02)"/>
    <s v="1.2.4.2.02"/>
    <n v="60000000"/>
    <n v="60000000"/>
    <n v="60000000"/>
    <n v="0"/>
    <s v=" Familias, colectivos y comunidades"/>
    <s v="N/A"/>
    <x v="11"/>
    <m/>
  </r>
  <r>
    <n v="6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Asistencia Tecnica Seguimiento y monitoreo a la operativizacion de la ruta de atención en salud para víctimas de violencias sexuales y violencias de genero al entorno institucional, en el marco del Modelo Atención Integral de Salud en los 29 Municipios del Departamento."/>
    <s v="Procesos transversales de la Gestion de la Salud Pública"/>
    <n v="29"/>
    <s v="Número"/>
    <n v="5"/>
    <n v="0"/>
    <n v="0"/>
    <n v="10"/>
    <n v="4"/>
    <n v="40"/>
    <n v="10"/>
    <m/>
    <n v="0"/>
    <n v="4"/>
    <m/>
    <n v="0"/>
    <n v="29"/>
    <n v="4"/>
    <n v="26.666666666666668"/>
    <d v="2026-04-01T00:00:00"/>
    <d v="2027-03-31T00:00:00"/>
    <s v="N/A"/>
    <s v="SGP-SALUD-SALUD PUBLICA (1.2.4.2.02)"/>
    <s v="1.2.4.2.02"/>
    <m/>
    <m/>
    <m/>
    <m/>
    <s v="Indigenas"/>
    <s v="N/A"/>
    <x v="11"/>
    <m/>
  </r>
  <r>
    <n v="6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Realizar la conmemoracion de la semana andina de prevencion de embarazo en adolescentes y niñas en los 29 municipios del  departamento de magdalena "/>
    <s v="PIC(Anexo técnico)"/>
    <n v="29"/>
    <s v="Número"/>
    <n v="4"/>
    <n v="0"/>
    <n v="0"/>
    <n v="10"/>
    <n v="0"/>
    <n v="0"/>
    <n v="10"/>
    <m/>
    <n v="0"/>
    <n v="5"/>
    <m/>
    <n v="0"/>
    <n v="29"/>
    <n v="0"/>
    <n v="0"/>
    <d v="2026-04-01T00:00:00"/>
    <d v="2027-03-31T00:00:00"/>
    <s v="N/A"/>
    <s v="SGP-SALUD-SALUD PUBLICA (1.2.4.2.02)"/>
    <s v="1.2.4.2.02"/>
    <n v="100000000"/>
    <n v="100000000"/>
    <n v="100000000"/>
    <n v="0"/>
    <s v="Indigenas"/>
    <s v="N/A"/>
    <x v="11"/>
    <m/>
  </r>
  <r>
    <n v="6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9-A 2031, disminuir la tasa especifica de fecundidad adolescente de 10 a 14 años a cero nacimientos por cada 1.000 niñas de 10 a 14 años."/>
    <s v="19-A 2031, disminuir la tasa especifica de fecundidad adolescente de 10 a 14 años a cero nacimientos por cada 1.000 niñas de 10 a 14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ón En Salud Sexual y Reproductiva con Enfoque Diferencial (Lgbtiq+) y de Género en las IED de cada microterritorio dirigida a los grados 10 y 11 "/>
    <s v="PIC(Anexo técnico)"/>
    <n v="29"/>
    <s v="Número"/>
    <n v="0"/>
    <n v="0"/>
    <e v="#DIV/0!"/>
    <n v="0"/>
    <n v="0"/>
    <e v="#DIV/0!"/>
    <n v="14"/>
    <m/>
    <n v="0"/>
    <n v="15"/>
    <m/>
    <n v="0"/>
    <n v="29"/>
    <n v="0"/>
    <e v="#DIV/0!"/>
    <d v="2026-04-01T00:00:00"/>
    <d v="2027-03-31T00:00:00"/>
    <s v="N/A"/>
    <s v="SGP-SALUD-SALUD PUBLICA (1.2.4.2.02)"/>
    <s v="1.2.4.2.02"/>
    <n v="100000000"/>
    <n v="100000000"/>
    <n v="100000000"/>
    <n v="0"/>
    <s v="Personal de Salud_x000a_"/>
    <s v="N/A"/>
    <x v="11"/>
    <m/>
  </r>
  <r>
    <n v="7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del Departamento del Magdalena, sobre la estrategia ETMIPLUS"/>
    <s v="Procesos transversales de la Gestion de la Salud Pública"/>
    <n v="2"/>
    <s v="Número"/>
    <n v="0"/>
    <n v="0"/>
    <e v="#DIV/0!"/>
    <n v="0"/>
    <n v="0"/>
    <e v="#DIV/0!"/>
    <n v="1"/>
    <m/>
    <n v="0"/>
    <n v="1"/>
    <m/>
    <n v="0"/>
    <n v="2"/>
    <n v="0"/>
    <e v="#DIV/0!"/>
    <d v="2026-04-01T00:00:00"/>
    <d v="2027-03-31T00:00:00"/>
    <s v="N/A"/>
    <s v="SGP-SALUD-SALUD PUBLICA (1.2.4.2.02)"/>
    <s v="1.2.4.2.02"/>
    <n v="50000000"/>
    <n v="50000000"/>
    <n v="50000000"/>
    <n v="0"/>
    <s v="Personal de Salud_x000a_"/>
    <s v="N/A"/>
    <x v="11"/>
    <m/>
  </r>
  <r>
    <n v="71"/>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dquisicion de suministro insumo criticos para el control integral de vectores (sujeto a auotorizacion del ministerio)"/>
    <s v="Procesos transversales de la Gestion de la Salud Pública"/>
    <n v="30"/>
    <s v="Porcentaje"/>
    <n v="0"/>
    <n v="0"/>
    <e v="#DIV/0!"/>
    <n v="30"/>
    <n v="0"/>
    <n v="0"/>
    <n v="0"/>
    <m/>
    <e v="#DIV/0!"/>
    <n v="0"/>
    <m/>
    <e v="#DIV/0!"/>
    <n v="30"/>
    <n v="0"/>
    <n v="0"/>
    <d v="2026-02-01T00:00:00"/>
    <d v="2027-03-31T00:00:00"/>
    <s v="N/A"/>
    <s v="SGP-SALUD-SALUD PUBLICA (1.2.4.2.02)"/>
    <s v="1.2.4.2.02"/>
    <n v="30000000"/>
    <n v="30000000"/>
    <n v="30000000"/>
    <n v="0"/>
    <m/>
    <s v="N/A"/>
    <x v="12"/>
    <m/>
  </r>
  <r>
    <n v="72"/>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84-A 2031, se reduce en 40% las muertes por malaria en el periodo 2022- 2031."/>
    <s v="84-A 2031, se reduce en 40% las muertes por malaria en el periodo 2022- 203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Garantizar el acceso y disponibilidad a medicamentos para el tratamiento de Malaria, Leishmaniasis y Enfermedad de Chagas."/>
    <s v="Procesos transversales de la Gestion de la Salud Pública"/>
    <n v="12"/>
    <s v="Número"/>
    <n v="3"/>
    <n v="0"/>
    <n v="0"/>
    <n v="3"/>
    <m/>
    <n v="0"/>
    <n v="3"/>
    <m/>
    <n v="0"/>
    <n v="3"/>
    <m/>
    <n v="0"/>
    <n v="12"/>
    <n v="0"/>
    <n v="0"/>
    <d v="2026-04-01T00:00:00"/>
    <d v="2027-03-31T00:00:00"/>
    <s v="N/A"/>
    <s v="SGP-SALUD-SALUD PUBLICA (1.2.4.2.02)"/>
    <s v="1.2.4.2.02"/>
    <m/>
    <m/>
    <m/>
    <m/>
    <s v="Adolesencia y Juventud"/>
    <s v="N/A"/>
    <x v="12"/>
    <m/>
  </r>
  <r>
    <n v="73"/>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Abogacia e incidencia tecnica y politica en la agenda de otros sectores , a fin de generar acciones intersectoriales y transectoriales definiendo temas transversales y objetivos comune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Fortalecer la articulación intersectorial mediante reuniones de la mesa sectorial de ETV ."/>
    <s v="Procesos transversales de la Gestion de la Salud Pública"/>
    <n v="4"/>
    <s v="Número"/>
    <n v="1"/>
    <n v="0"/>
    <n v="0"/>
    <n v="1"/>
    <n v="2"/>
    <n v="200"/>
    <n v="1"/>
    <m/>
    <n v="0"/>
    <n v="1"/>
    <m/>
    <n v="0"/>
    <n v="4"/>
    <n v="2"/>
    <n v="100"/>
    <d v="2026-04-01T00:00:00"/>
    <d v="2027-03-31T00:00:00"/>
    <s v="N/A"/>
    <s v="SGP-SALUD-SALUD PUBLICA (1.2.4.2.02)"/>
    <s v="1.2.4.2.02"/>
    <m/>
    <m/>
    <m/>
    <m/>
    <s v="Adolesencia y Juventud"/>
    <s v="N/A"/>
    <x v="12"/>
    <m/>
  </r>
  <r>
    <n v="74"/>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las maquinas del programa que lo requieran según diagnostico"/>
    <s v="Procesos transversales de la Gestion de la Salud Pública"/>
    <n v="100"/>
    <s v="Porcentaje"/>
    <n v="0"/>
    <n v="0"/>
    <e v="#DIV/0!"/>
    <n v="0"/>
    <n v="0"/>
    <e v="#DIV/0!"/>
    <n v="0"/>
    <m/>
    <e v="#DIV/0!"/>
    <n v="100"/>
    <m/>
    <n v="0"/>
    <n v="100"/>
    <n v="0"/>
    <e v="#DIV/0!"/>
    <d v="2026-04-01T00:00:00"/>
    <d v="2027-03-31T00:00:00"/>
    <s v="N/A"/>
    <s v="SGP-SALUD-SALUD PUBLICA (1.2.4.2.02)"/>
    <s v="1.2.4.2.02"/>
    <n v="30000000"/>
    <n v="30000000"/>
    <n v="30000000"/>
    <n v="0"/>
    <s v="Personal de Salud_x000a_"/>
    <s v="N/A"/>
    <x v="12"/>
    <m/>
  </r>
  <r>
    <n v="75"/>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de dos (2) vehiculos al servicio del programa según terminos de referencia, compra de SOAT y seguros"/>
    <s v="Procesos transversales de la Gestion de la Salud Pública"/>
    <n v="2"/>
    <s v="Número"/>
    <n v="0"/>
    <n v="0"/>
    <e v="#DIV/0!"/>
    <n v="0"/>
    <n v="1"/>
    <e v="#DIV/0!"/>
    <n v="0"/>
    <m/>
    <e v="#DIV/0!"/>
    <n v="2"/>
    <m/>
    <n v="0"/>
    <n v="2"/>
    <n v="1"/>
    <e v="#DIV/0!"/>
    <d v="2026-04-01T00:00:00"/>
    <d v="2027-03-31T00:00:00"/>
    <s v="N/A"/>
    <s v="SGP-SALUD-SALUD PUBLICA (1.2.4.2.02)"/>
    <s v="1.2.4.2.02"/>
    <n v="40000000"/>
    <n v="40000000"/>
    <n v="40000000"/>
    <n v="0"/>
    <m/>
    <s v="N/A"/>
    <x v="12"/>
    <m/>
  </r>
  <r>
    <n v="7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han desarrollado procesos de ajuste institucional para el fortalecimiento de lad capacidades de la autoridad sanitaria y la apropiación territorial del modelo de salud basado en APS"/>
    <s v="A 2027 el 100% de las Entidades Territoriales han desarrollado procesos de ajuste institucional para el fortalecimiento de lad capacidades de la autoridad sanitaria y la apropiació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Taller teórico-práctico de 5 días para ingenieros ambientales y técnicos de E.S.E. y hospitales, enfocado en la identificación y control de criaderos, captura entomológica de arbovirosis y uso de la plataforma Epicollect para la recolección y visualización de datos georreferenciados, realizado por tres (3) profesionales con experiencia y experticia en el tema. "/>
    <s v="Procesos transversales de la Gestion de la Salud Pública"/>
    <n v="1"/>
    <s v="Número"/>
    <n v="0"/>
    <n v="0"/>
    <e v="#DIV/0!"/>
    <n v="1"/>
    <n v="0.5"/>
    <n v="50"/>
    <n v="0"/>
    <m/>
    <e v="#DIV/0!"/>
    <n v="0"/>
    <m/>
    <e v="#DIV/0!"/>
    <n v="1"/>
    <n v="0.5"/>
    <n v="50"/>
    <d v="2026-02-01T00:00:00"/>
    <d v="2027-03-31T00:00:00"/>
    <s v="N/A"/>
    <s v="SGP-SALUD-SALUD PUBLICA (1.2.4.2.02)"/>
    <s v="1.2.4.2.02"/>
    <n v="50000000"/>
    <n v="50000000"/>
    <n v="50000000"/>
    <n v="50000000"/>
    <s v="Personal de Salud_x000a_"/>
    <s v="N/A"/>
    <x v="12"/>
    <m/>
  </r>
  <r>
    <n v="77"/>
    <s v="Aumento de la Tasa de Incidencia de las enfermedades transmitidas por vectores como el dengue;"/>
    <s v="Conocimiento en salud pública y Soberanía Sanitari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o de capacidades de ocho (8) horas sobre la socialización de la estrategia de Manejo Integrado de Vectores, dirigido a funcionarios de las alcaldías municipales y E.S.E. Hospitales públicos del departamento (una persona por entidad). La actividad se orienta al fortalecimiento de conocimientos y competencias técnicas en vigilancia, prevención y control de vectores. El cual debe ser desarrollado por un profesional de la Salud que cuente con experiencia en el tema."/>
    <s v="Procesos transversales de la Gestion de la Salud Pública"/>
    <n v="1"/>
    <s v="Porcentaje"/>
    <n v="0"/>
    <n v="0"/>
    <e v="#DIV/0!"/>
    <n v="1"/>
    <n v="0.5"/>
    <n v="50"/>
    <n v="0"/>
    <m/>
    <e v="#DIV/0!"/>
    <n v="0"/>
    <m/>
    <e v="#DIV/0!"/>
    <n v="1"/>
    <n v="0.5"/>
    <n v="50"/>
    <d v="2026-02-01T00:00:00"/>
    <d v="2027-03-31T00:00:00"/>
    <s v="N/A"/>
    <s v="SGP-SALUD-SALUD PUBLICA (1.2.4.2.02)"/>
    <s v="1.2.4.2.02"/>
    <n v="10000000"/>
    <n v="10000000"/>
    <n v="10000000"/>
    <n v="10000000"/>
    <s v="Personal de Salud_x000a_"/>
    <s v="N/A"/>
    <x v="12"/>
    <m/>
  </r>
  <r>
    <n v="78"/>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sistencia ténica al talento humano por parte del medico del área de prestación de servicios (presencial o virtual) para la adherencia a guías de atención integral de casos (Dengue / Chikunguña / Zika), Fiebre amarilla, Leishmaniasis, Malaria y Chagas en el 100% de las IPS publicas"/>
    <s v="Procesos transversales de la Gestion de la Salud Pública"/>
    <n v="1"/>
    <s v="Número"/>
    <n v="0"/>
    <n v="0"/>
    <e v="#DIV/0!"/>
    <n v="0"/>
    <n v="0"/>
    <e v="#DIV/0!"/>
    <n v="0"/>
    <m/>
    <e v="#DIV/0!"/>
    <n v="1"/>
    <m/>
    <n v="0"/>
    <n v="1"/>
    <n v="0"/>
    <e v="#DIV/0!"/>
    <d v="2026-04-01T00:00:00"/>
    <d v="2027-03-31T00:00:00"/>
    <s v="N/A"/>
    <s v="SGP-SALUD-SALUD PUBLICA (1.2.4.2.02)"/>
    <s v="1.2.4.2.02"/>
    <m/>
    <m/>
    <m/>
    <m/>
    <s v="Personal de Salud_x000a_"/>
    <s v="N/A"/>
    <x v="12"/>
    <m/>
  </r>
  <r>
    <n v="79"/>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os espacios e instancias intersectoriales inlcuyen en sus planes de accion la transversalizacion de los enfoques de puebos y comunidades . Genero y diferencial e integran los sistemas de conocimiento propio d elos pueblos y comunidades etnicas"/>
    <s v="A 2027 el 100% de los espacios e instancias intersectoriales inlcuyen en sus planes de accion la transversalizacion de los enfoques de puebos y comunidades Genero y diferencial e integran los sistemas de conocimiento propio d elos pueblos y comunidades etnic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comunidades etnicas para la implementacion de acciones de promocion y prevencion de las ETV"/>
    <s v="Procesos transversales de la Gestion de la Salud Pública"/>
    <n v="1"/>
    <s v="Número"/>
    <n v="0"/>
    <n v="0"/>
    <e v="#DIV/0!"/>
    <n v="0"/>
    <n v="1"/>
    <e v="#DIV/0!"/>
    <n v="0"/>
    <m/>
    <e v="#DIV/0!"/>
    <n v="1"/>
    <m/>
    <n v="0"/>
    <n v="1"/>
    <n v="1"/>
    <e v="#DIV/0!"/>
    <d v="2026-04-01T00:00:00"/>
    <d v="2027-03-31T00:00:00"/>
    <s v="N/A"/>
    <s v="SGP-SALUD-SALUD PUBLICA (1.2.4.2.02)"/>
    <s v="1.2.4.2.02"/>
    <m/>
    <m/>
    <m/>
    <m/>
    <s v="Personal de Salud_x000a_"/>
    <s v="N/A"/>
    <x v="12"/>
    <m/>
  </r>
  <r>
    <n v="80"/>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Prevenir la transmisión de ETV mediante uso de control químico en municipios en brote según analisis de la informacion epidemiologica (a demanda)"/>
    <s v="PIC(Anexo técnico)"/>
    <n v="100"/>
    <s v="Porcentaje"/>
    <n v="25"/>
    <n v="0"/>
    <n v="0"/>
    <n v="25"/>
    <n v="0"/>
    <n v="0"/>
    <n v="25"/>
    <m/>
    <n v="0"/>
    <n v="25"/>
    <m/>
    <n v="0"/>
    <n v="100"/>
    <n v="0"/>
    <n v="0"/>
    <d v="2026-04-01T00:00:00"/>
    <d v="2027-03-31T00:00:00"/>
    <s v="N/A"/>
    <s v="SGP-SALUD-SALUD PUBLICA (1.2.4.2.02)"/>
    <s v="1.2.4.2.02"/>
    <m/>
    <m/>
    <m/>
    <m/>
    <s v="Personal de Salud_x000a_"/>
    <s v="N/A"/>
    <x v="12"/>
    <m/>
  </r>
  <r>
    <n v="81"/>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levantamiento de indices aédicos, control larvario, destruccion de criadros y captura entomologica de larvas y adultos en el entorno hogar beneficiando a las familias en 29 municipios según programacion de los tecnicos de ETV y en los cementerios ."/>
    <s v="PIC(Anexo técnico)"/>
    <n v="29"/>
    <s v="Número"/>
    <n v="6"/>
    <n v="0"/>
    <n v="0"/>
    <n v="8"/>
    <n v="12"/>
    <n v="150"/>
    <n v="9"/>
    <m/>
    <n v="0"/>
    <n v="6"/>
    <m/>
    <n v="0"/>
    <n v="29"/>
    <n v="12"/>
    <n v="85.714285714285708"/>
    <d v="2026-04-01T00:00:00"/>
    <d v="2027-03-31T00:00:00"/>
    <s v="N/A"/>
    <s v="SGP-SALUD-SALUD PUBLICA (1.2.4.2.02)"/>
    <s v="1.2.4.2.02"/>
    <m/>
    <m/>
    <m/>
    <m/>
    <s v="Personal de Salud_x000a_"/>
    <s v="N/A"/>
    <x v="12"/>
    <m/>
  </r>
  <r>
    <n v="82"/>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Levantar indices aedicos, destruccion de criaderos, control larvario y captura entomologica de larvas y adultos y educacion en signos y sintomas de alarma en el entorno educativo"/>
    <s v="PIC(Anexo técnico)"/>
    <n v="29"/>
    <s v="Número"/>
    <n v="7"/>
    <n v="0"/>
    <n v="0"/>
    <n v="7"/>
    <n v="18"/>
    <n v="257.14285714285717"/>
    <n v="8"/>
    <m/>
    <n v="0"/>
    <n v="7"/>
    <m/>
    <n v="0"/>
    <n v="29"/>
    <n v="18"/>
    <n v="128.57142857142858"/>
    <d v="2026-04-01T00:00:00"/>
    <d v="2027-03-31T00:00:00"/>
    <s v="N/A"/>
    <s v="SGP-SALUD-SALUD PUBLICA (1.2.4.2.02)"/>
    <s v="1.2.4.2.02"/>
    <m/>
    <m/>
    <m/>
    <m/>
    <s v="Personal de Salud_x000a_"/>
    <s v="N/A"/>
    <x v="12"/>
    <m/>
  </r>
  <r>
    <n v="83"/>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Instalación de cuatro (4) larvitrampas, captura de larvas y seguimiento de las mismas según lineamiento ubicados en terminales de transporte fluviales, aereos, y terrestres en los 29 municipios del departamento del Magdalena"/>
    <s v="PIC(Anexo técnico)"/>
    <n v="29"/>
    <s v="Número"/>
    <n v="7"/>
    <n v="0"/>
    <n v="0"/>
    <n v="7"/>
    <n v="5"/>
    <n v="71.428571428571431"/>
    <n v="8"/>
    <m/>
    <n v="0"/>
    <n v="7"/>
    <m/>
    <n v="0"/>
    <n v="29"/>
    <n v="5"/>
    <n v="35.714285714285715"/>
    <d v="2026-02-01T00:00:00"/>
    <d v="2027-03-31T00:00:00"/>
    <s v="N/A"/>
    <s v="SGP-SALUD-SALUD PUBLICA (1.2.4.2.02)"/>
    <s v="1.2.4.2.02"/>
    <n v="110000000"/>
    <n v="110000000"/>
    <n v="110000000"/>
    <n v="0"/>
    <s v="Indigenas"/>
    <s v="N/A"/>
    <x v="12"/>
    <m/>
  </r>
  <r>
    <n v="84"/>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de estrategias de comunicación para la difusión y el uso adecuado de la información en salud públic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un (1) programa radial en los 29 municipios del departamento del Magdalena sobre las ETV, dando a conocer el ciclo vectorial, habito de los vectores transmisores de arbovirosis, malaria, chagas y leishmania"/>
    <s v="PIC(Anexo técnico)"/>
    <n v="29"/>
    <s v="Número"/>
    <n v="0"/>
    <n v="0"/>
    <e v="#DIV/0!"/>
    <n v="0"/>
    <n v="0"/>
    <e v="#DIV/0!"/>
    <n v="29"/>
    <m/>
    <n v="0"/>
    <n v="0"/>
    <m/>
    <e v="#DIV/0!"/>
    <n v="29"/>
    <n v="0"/>
    <e v="#DIV/0!"/>
    <d v="2026-04-01T00:00:00"/>
    <d v="2027-03-31T00:00:00"/>
    <s v="N/A"/>
    <s v="SGP-SALUD-SALUD PUBLICA (1.2.4.2.02)"/>
    <s v="1.2.4.2.02"/>
    <n v="60000000"/>
    <n v="60000000"/>
    <n v="60000000"/>
    <n v="0"/>
    <m/>
    <s v="N/A"/>
    <x v="12"/>
    <m/>
  </r>
  <r>
    <n v="85"/>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de macanismos para el fortalecimiento d ela conduccion y articulación sectorial e intersectorial, la conformación y operación de redes integrales e integradas territoriales de servicios de salud y la rendicion de cuentas conforme a las competencias establecida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5-A 2031, se reduce 20% la letalidad acumulada (2022-2031) por enfermedad de Chagas agudo."/>
    <s v="75-A 2031, se reduce 20% la letalidad acumulada (2022-2031) por enfermedad de Chagas agudo."/>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EAPB para el tamizaje de chagas para maternas e hijos de maternas positivas en el marco de la estrategia MPLUS y seguimiento nominal de los casos"/>
    <s v="Procesos transversales de la Gestion de la Salud Pública"/>
    <n v="12"/>
    <s v="Número"/>
    <n v="3"/>
    <n v="0"/>
    <n v="0"/>
    <n v="3"/>
    <n v="3"/>
    <n v="100"/>
    <n v="3"/>
    <m/>
    <n v="0"/>
    <n v="3"/>
    <m/>
    <n v="0"/>
    <n v="12"/>
    <n v="3"/>
    <n v="50"/>
    <d v="2026-04-01T00:00:00"/>
    <d v="2027-03-31T00:00:00"/>
    <s v="N/A"/>
    <s v="SGP-SALUD-SALUD PUBLICA (1.2.4.2.02)"/>
    <s v="1.2.4.2.02"/>
    <m/>
    <m/>
    <m/>
    <m/>
    <m/>
    <s v="N/A"/>
    <x v="13"/>
    <m/>
  </r>
  <r>
    <n v="8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ar capacidades al talento humano (profesionales de apoyo) en capacitación en identificación taxonomica de Culicidos y montaje de especimenes para la colección de referencia entomologica."/>
    <s v="Procesos transversales de la Gestion de la Salud Pública"/>
    <n v="1"/>
    <s v="Número"/>
    <n v="0"/>
    <n v="0"/>
    <e v="#DIV/0!"/>
    <n v="1"/>
    <n v="0"/>
    <n v="0"/>
    <n v="0"/>
    <m/>
    <e v="#DIV/0!"/>
    <n v="1"/>
    <m/>
    <n v="0"/>
    <n v="1"/>
    <n v="0"/>
    <n v="0"/>
    <d v="2026-04-01T00:00:00"/>
    <d v="2027-03-31T00:00:00"/>
    <s v="N/A"/>
    <s v="SGP-SALUD-SALUD PUBLICA (1.2.4.2.02)"/>
    <s v="1.2.4.2.02"/>
    <n v="30000000"/>
    <n v="30000000"/>
    <n v="30000000"/>
    <n v="0"/>
    <m/>
    <s v="N/A"/>
    <x v="13"/>
    <m/>
  </r>
  <r>
    <n v="8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lúdico de saberes con todas las Madres ICBF, padres de familia, los docentes y las madres lideres de Mas familias en acción cuyo énfasis sean estrategias asertivas en vacunación para la identificación de niños y niñas menores de 6 años con esquemas de vacunación incompletos para la edad profesional idóneo. En el entorno educativo y Comunitario en los ámbitos urbano."/>
    <s v="Procesos transversales de la Gestion de la Salud Pública"/>
    <n v="29"/>
    <s v="Número"/>
    <n v="0"/>
    <n v="0"/>
    <e v="#DIV/0!"/>
    <n v="0"/>
    <n v="1"/>
    <e v="#DIV/0!"/>
    <n v="14"/>
    <m/>
    <n v="0"/>
    <n v="15"/>
    <m/>
    <n v="0"/>
    <n v="29"/>
    <n v="1"/>
    <e v="#DIV/0!"/>
    <d v="2026-04-01T00:00:00"/>
    <d v="2027-03-31T00:00:00"/>
    <s v="N/A"/>
    <s v="SGP-SALUD-SALUD PUBLICA (1.2.4.2.02)"/>
    <s v="1.2.4.2.02"/>
    <n v="150000000"/>
    <n v="150000000"/>
    <n v="150000000"/>
    <n v="0"/>
    <s v="Familias, colectivos y comunidades"/>
    <s v="N/A"/>
    <x v="14"/>
    <m/>
  </r>
  <r>
    <n v="8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Programa comunicacional mensual en los 29 municipios donde se informe: esquema de vacunacion, jornadas, vacunacion segura, entre otros los 12 meses del año pueden usar medio radial de cobertura municipal o perifoneo demostrado en todo el municipio "/>
    <s v="PIC(Anexo técnico)"/>
    <n v="29"/>
    <s v="Número"/>
    <n v="29"/>
    <n v="0"/>
    <n v="0"/>
    <n v="29"/>
    <n v="0"/>
    <n v="0"/>
    <n v="29"/>
    <m/>
    <n v="0"/>
    <n v="29"/>
    <m/>
    <n v="0"/>
    <n v="29"/>
    <n v="0"/>
    <n v="0"/>
    <d v="2026-04-01T00:00:00"/>
    <d v="2027-03-31T00:00:00"/>
    <s v="N/A"/>
    <s v="SGP-SALUD-SALUD PUBLICA (1.2.4.2.02)"/>
    <s v="1.2.4.2.02"/>
    <n v="120000000"/>
    <n v="120000000"/>
    <n v="120000000"/>
    <n v="0"/>
    <s v="Familias, colectivos y comunidades _x000a_"/>
    <s v="N/A"/>
    <x v="14"/>
    <m/>
  </r>
  <r>
    <n v="8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Espacios e instancias intersectoriales que incluyen en sus planes de acción la transversalización de los enfoques de pueblos y comunidades, género y diferencial e integran los sistemas de conocimiento propio de los pueblos y comunidades étnicas y campesinas"/>
    <s v="Establecimiento de mecanismos institucionales, sectoriales, intersectoriales y comunitarios que garanticen la participación de las diferentes formas y expresiones organizativas de los pueblos y comunidades en la planeación y la respuesta en salud"/>
    <s v="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s v="A 2027 el 100% de entidades territoriales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didactico de saberes con comunidad indígena de los municipios de Ciénaga, Fundación, Aracataca y Sabana de San Ángel, con énfasis en estrategias asertivas de vacunación para la identificación de niños y niñas menores de seis (6) años, con la participación de un profesional idóneo con experiencia PAI. La actividad se realizará en los entornos educativos y comunitarios, tanto en áreas urbanas como rurales."/>
    <s v="PIC(Anexo técnico)"/>
    <n v="4"/>
    <s v="Número"/>
    <n v="0"/>
    <n v="0"/>
    <e v="#DIV/0!"/>
    <n v="0"/>
    <n v="0"/>
    <e v="#DIV/0!"/>
    <n v="2"/>
    <m/>
    <n v="0"/>
    <n v="2"/>
    <m/>
    <n v="0"/>
    <n v="4"/>
    <n v="0"/>
    <e v="#DIV/0!"/>
    <d v="2026-02-01T00:00:00"/>
    <d v="2027-03-31T00:00:00"/>
    <s v="N/A"/>
    <s v="SGP-SALUD-SALUD PUBLICA (1.2.4.2.02)"/>
    <s v="1.2.4.2.02"/>
    <n v="80000000"/>
    <n v="80000000"/>
    <n v="80000000"/>
    <n v="0"/>
    <s v="Personal de Salud_x000a_"/>
    <s v="N/A"/>
    <x v="14"/>
    <m/>
  </r>
  <r>
    <n v="9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8-A 2031, Colombia aumentará a un 90%, la cobertura de vacunación de VPH en niños y niñas de 9 años de edad"/>
    <s v="18-A 2031, Colombia aumentará a un 90%, la cobertura de vacunación de VPH en niños y niñas de 9 años de edad"/>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Garantizar el inicio, continuidad y finalizacion de los esquemas de vacunación según la edad, mediante jornadas dirigidas al 100% de las familias intervenidas por la estrategia de Atención Primaria en Salud que cuenten con miembros objeto del PAI, a través del trabajo de un vacunador y un anotador, con una meta de productividad mensual de 40 personas."/>
    <s v="PIC(Anexo técnico)"/>
    <n v="2"/>
    <s v="Número"/>
    <n v="0"/>
    <n v="0"/>
    <e v="#DIV/0!"/>
    <n v="1"/>
    <n v="1"/>
    <n v="100"/>
    <n v="1"/>
    <m/>
    <n v="0"/>
    <n v="0"/>
    <m/>
    <e v="#DIV/0!"/>
    <n v="2"/>
    <n v="1"/>
    <n v="100"/>
    <d v="2026-04-01T00:00:00"/>
    <d v="2027-03-31T00:00:00"/>
    <s v="N/A"/>
    <s v="SGP-SALUD-SALUD PUBLICA (1.2.4.2.02)"/>
    <s v="1.2.4.2.02"/>
    <m/>
    <m/>
    <m/>
    <m/>
    <m/>
    <s v="N/A"/>
    <x v="14"/>
    <m/>
  </r>
  <r>
    <n v="9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sobre Vacunacion segura y esquema gratuito, Realizar búsqueda activa de la poblacion objetivo del programa y la puesta al día de coberturas de vacunación en los 29 Municipios y de esta manera gestionar el cumplimiento de las metas programáticas"/>
    <s v="PIC(Anexo técnico)"/>
    <n v="1"/>
    <s v="Porcentaje"/>
    <s v="0,25"/>
    <n v="0"/>
    <n v="0"/>
    <s v="0,25"/>
    <n v="1"/>
    <n v="400"/>
    <s v="0,25"/>
    <m/>
    <n v="0"/>
    <s v="0,25"/>
    <m/>
    <n v="0"/>
    <n v="1"/>
    <n v="1"/>
    <n v="200"/>
    <d v="2026-04-01T00:00:00"/>
    <d v="2027-03-31T00:00:00"/>
    <s v="N/A"/>
    <s v="SGP-SALUD-SALUD PUBLICA (1.2.4.2.02)"/>
    <s v="1.2.4.2.02"/>
    <n v="60000000"/>
    <n v="60000000"/>
    <n v="60000000"/>
    <n v="0"/>
    <s v="Familias, colectivos y comunidades"/>
    <s v="N/A"/>
    <x v="14"/>
    <m/>
  </r>
  <r>
    <n v="9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Vacunadores de los equipos y unidades vacunadoras de 29 municipios incluida IPS Indigena"/>
    <s v="Procesos transversales de la Gestion de la Salud Pública"/>
    <n v="4"/>
    <s v="Número"/>
    <n v="0"/>
    <n v="0"/>
    <e v="#DIV/0!"/>
    <n v="0"/>
    <n v="0"/>
    <e v="#DIV/0!"/>
    <n v="4"/>
    <m/>
    <n v="0"/>
    <n v="4"/>
    <m/>
    <n v="0"/>
    <n v="4"/>
    <n v="0"/>
    <e v="#DIV/0!"/>
    <d v="2026-04-01T00:00:00"/>
    <d v="2027-03-31T00:00:00"/>
    <s v="N/A"/>
    <s v="SGP-SALUD-SALUD PUBLICA (1.2.4.2.02)"/>
    <s v="1.2.4.2.02"/>
    <n v="100000000"/>
    <n v="100000000"/>
    <n v="100000000"/>
    <n v="0"/>
    <s v="Familias, colectivos y comunidades"/>
    <s v="N/A"/>
    <x v="14"/>
    <m/>
  </r>
  <r>
    <n v="9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coordinadores de los equipos y unidades vacunadoras de 29 municipios incluida IPS Indigena"/>
    <s v="Procesos transversales de la Gestion de la Salud Pública"/>
    <n v="1"/>
    <s v="Número"/>
    <n v="0"/>
    <n v="0"/>
    <e v="#DIV/0!"/>
    <n v="0"/>
    <n v="0"/>
    <e v="#DIV/0!"/>
    <n v="1"/>
    <m/>
    <n v="0"/>
    <n v="1"/>
    <m/>
    <n v="0"/>
    <n v="1"/>
    <n v="0"/>
    <e v="#DIV/0!"/>
    <d v="2026-04-01T00:00:00"/>
    <d v="2027-03-31T00:00:00"/>
    <s v="N/A"/>
    <s v="SGP-SALUD-SALUD PUBLICA (1.2.4.2.02)"/>
    <s v="1.2.4.2.02"/>
    <n v="50000000"/>
    <n v="50000000"/>
    <n v="50000000"/>
    <n v="0"/>
    <s v="Indigenas"/>
    <s v="N/A"/>
    <x v="14"/>
    <m/>
  </r>
  <r>
    <n v="9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cion con el SENA para garantizar la certificacion en las 2 competencias laborales (Adminstracion de Inmunobiologicos y Atencion al usuario) a los tecnicos (auxiliares) y profesionales (enfermeras) de las IPS de los 29 municipios, incluida la IPS Indigena ."/>
    <s v="Procesos transversales de la Gestion de la Salud Pública"/>
    <n v="29"/>
    <s v="Número"/>
    <n v="5"/>
    <n v="0"/>
    <n v="0"/>
    <n v="5"/>
    <n v="2"/>
    <n v="40"/>
    <n v="9"/>
    <m/>
    <n v="0"/>
    <n v="10"/>
    <m/>
    <n v="0"/>
    <n v="29"/>
    <n v="2"/>
    <n v="20"/>
    <d v="2026-04-01T00:00:00"/>
    <d v="2027-03-31T00:00:00"/>
    <s v="N/A"/>
    <s v="SGP-SALUD-SALUD PUBLICA (1.2.4.2.02)"/>
    <s v="1.2.4.2.02"/>
    <m/>
    <m/>
    <m/>
    <m/>
    <s v="Familias, colectivos y comunidades"/>
    <s v="N/A"/>
    <x v="14"/>
    <m/>
  </r>
  <r>
    <n v="9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_x000a_  para la vigilancia en salud pública, el fortalecimiento de los_x000a_  laboratorios de salud pública, la inspección, vigilancia y control_x000a_  sanitarios y la garantía de insumos de interés en salud pública_x000a_  reconociendo los avances y logros de los pueblos y"/>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la gestión de los insumos críticos del programa de la red de frio"/>
    <s v="Procesos transversales de la Gestion de la Salud Pública"/>
    <n v="12"/>
    <s v="Porcentaje"/>
    <n v="3"/>
    <n v="3"/>
    <n v="100"/>
    <n v="3"/>
    <n v="3"/>
    <n v="100"/>
    <m/>
    <m/>
    <e v="#DIV/0!"/>
    <m/>
    <m/>
    <e v="#DIV/0!"/>
    <n v="12"/>
    <n v="6"/>
    <n v="100"/>
    <d v="2026-04-01T00:00:00"/>
    <d v="2027-03-31T00:00:00"/>
    <s v="N/A"/>
    <s v="SGP-SALUD-SALUD PUBLICA (1.2.4.2.02)"/>
    <s v="1.2.4.2.02"/>
    <n v="75000000"/>
    <n v="75000000"/>
    <n v="75000000"/>
    <n v="75000000"/>
    <s v="Familias, colectivos y comunidades"/>
    <s v="N/A"/>
    <x v="14"/>
    <m/>
  </r>
  <r>
    <n v="9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Gestion de insumos de interes en salud publica para garantizar la implementacion de la estrategia de vacunacion sin barreras a los 29 Municipios"/>
    <s v="Desarrollo institucional y sectorial para el ejercicio de la autoridad sanitaria"/>
    <s v="Realizar Mantenimiento preventivo y correctivo a la red de frio departamental"/>
    <s v="Procesos transversales de la Gestion de la Salud Pública"/>
    <n v="1"/>
    <s v="Porcentaje"/>
    <n v="0.25"/>
    <n v="0"/>
    <n v="0"/>
    <n v="0.25"/>
    <n v="1"/>
    <n v="400"/>
    <n v="0.25"/>
    <m/>
    <n v="0"/>
    <n v="0.25"/>
    <m/>
    <n v="0"/>
    <n v="1"/>
    <n v="1"/>
    <n v="200"/>
    <d v="2026-04-01T00:00:00"/>
    <d v="2027-03-31T00:00:00"/>
    <s v="N/A"/>
    <s v="SGP-SALUD-SALUD PUBLICA (1.2.4.2.02)"/>
    <s v="1.2.4.2.02"/>
    <n v="67000000"/>
    <n v="67000000"/>
    <n v="67000000"/>
    <n v="0"/>
    <s v="Personal de Salud_x000a_"/>
    <s v="N/A"/>
    <x v="14"/>
    <m/>
  </r>
  <r>
    <n v="9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el traslado de insumos y biologicos del esquema regular y contra covid19 los 12 meses del año 2025 a los 29 muicipios conservando su red de frio"/>
    <s v="Procesos transversales de la Gestion de la Salud Pública"/>
    <n v="1"/>
    <s v="Porcentaje"/>
    <n v="0.25"/>
    <n v="3"/>
    <n v="1200"/>
    <n v="0.25"/>
    <n v="3"/>
    <n v="1200"/>
    <n v="1"/>
    <m/>
    <n v="0"/>
    <m/>
    <m/>
    <e v="#DIV/0!"/>
    <n v="1"/>
    <n v="6"/>
    <n v="1200"/>
    <d v="2026-04-01T00:00:00"/>
    <d v="2027-03-31T00:00:00"/>
    <s v="N/A"/>
    <s v="SGP-SALUD-SALUD PUBLICA (1.2.4.2.02)"/>
    <s v="1.2.4.2.02"/>
    <m/>
    <m/>
    <m/>
    <m/>
    <s v="Personal de Salud_x000a_"/>
    <s v="N/A"/>
    <x v="14"/>
    <m/>
  </r>
  <r>
    <n v="9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la proteccion y vida util de los biologicos e insumos criticos para el programa ampliado de inmunizaciones PAI a traves de una poliza de seguros todo riesgo"/>
    <s v="Procesos transversales de la Gestion de la Salud Pública"/>
    <n v="1"/>
    <s v="Porcentaje"/>
    <n v="1"/>
    <n v="0"/>
    <n v="0"/>
    <n v="1"/>
    <n v="1"/>
    <n v="100"/>
    <m/>
    <m/>
    <e v="#DIV/0!"/>
    <m/>
    <m/>
    <e v="#DIV/0!"/>
    <n v="1"/>
    <n v="1"/>
    <n v="50"/>
    <d v="2026-02-01T00:00:00"/>
    <d v="2027-03-31T00:00:00"/>
    <s v="N/A"/>
    <s v="SGP-SALUD-SALUD PUBLICA (1.2.4.2.02)"/>
    <s v="1.2.4.2.02"/>
    <n v="100000000"/>
    <n v="100000000"/>
    <n v="100000000"/>
    <n v="100000000"/>
    <s v="Personal de Salud_x000a_"/>
    <s v="N/A"/>
    <x v="14"/>
    <m/>
  </r>
  <r>
    <n v="9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cuatro (4) Comites del Programa Ampliado de Inmunizaciones PAI según lineamientos del MSPS, que garantice la participación de los actores del sector salud y otros sectores con el objetivo de lograr la meta de cobertura propuesta."/>
    <s v="Procesos transversales de la Gestion de la Salud Pública"/>
    <n v="4"/>
    <s v="Número"/>
    <n v="0.25"/>
    <n v="0"/>
    <n v="0"/>
    <n v="0.25"/>
    <n v="1"/>
    <n v="400"/>
    <n v="0.25"/>
    <m/>
    <n v="0"/>
    <n v="0.25"/>
    <m/>
    <n v="0"/>
    <n v="4"/>
    <n v="1"/>
    <n v="200"/>
    <d v="2026-04-01T00:00:00"/>
    <d v="2027-03-31T00:00:00"/>
    <s v="N/A"/>
    <s v="SGP-SALUD-SALUD PUBLICA (1.2.4.2.02)"/>
    <s v="1.2.4.2.02"/>
    <n v="32000000"/>
    <n v="32000000"/>
    <n v="32000000"/>
    <n v="0"/>
    <m/>
    <s v="N/A"/>
    <x v="14"/>
    <m/>
  </r>
  <r>
    <n v="10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osicionamiento del sistema único de información en salud parametrizado y estandarizado acorde con la normatividad_x000a_  vigente, que tenga la capacidad de articular los sistemas propios de información en salud de los pueblos y comunidades existent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seguimiento y elaborar informe de un monitoreo rápido de coberturas realizados por los 29 municipios, conforme a lo establecido en los lineamientos del MSPS."/>
    <s v="Procesos transversales de la Gestion de la Salud Pública"/>
    <n v="1"/>
    <s v="Porcentaje"/>
    <n v="0"/>
    <n v="0"/>
    <e v="#DIV/0!"/>
    <n v="0.25"/>
    <n v="1"/>
    <n v="400"/>
    <n v="0.25"/>
    <m/>
    <n v="0"/>
    <n v="0.25"/>
    <m/>
    <n v="0"/>
    <n v="1"/>
    <n v="1"/>
    <n v="400"/>
    <d v="2026-04-01T00:00:00"/>
    <d v="2027-03-31T00:00:00"/>
    <s v="N/A"/>
    <s v="SGP-SALUD-SALUD PUBLICA (1.2.4.2.02)"/>
    <s v="1.2.4.2.02"/>
    <m/>
    <m/>
    <m/>
    <m/>
    <m/>
    <s v="N/A"/>
    <x v="14"/>
    <m/>
  </r>
  <r>
    <n v="10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s tècnicas y seguimientos, para la implementación y fortalecimiento deI Programa Ampliado de Inmunizaciones en todos sus componentes en las IPS/ESE ,IPS de atención al recien nacidos y EAPB de los 29 municipios."/>
    <s v="Procesos transversales de la Gestion de la Salud Pública"/>
    <n v="29"/>
    <s v="Número"/>
    <n v="5"/>
    <n v="7"/>
    <n v="140"/>
    <n v="5"/>
    <n v="22"/>
    <n v="440.00000000000006"/>
    <n v="9"/>
    <m/>
    <n v="0"/>
    <n v="10"/>
    <m/>
    <n v="0"/>
    <n v="29"/>
    <n v="29"/>
    <n v="290"/>
    <d v="2026-02-01T00:00:00"/>
    <d v="2027-03-31T00:00:00"/>
    <s v="N/A"/>
    <s v="SGP-SALUD-SALUD PUBLICA (1.2.4.2.02)"/>
    <s v="1.2.4.2.02"/>
    <m/>
    <m/>
    <m/>
    <m/>
    <m/>
    <s v="N/A"/>
    <x v="14"/>
    <m/>
  </r>
  <r>
    <n v="10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de mecanismos para el fortalecimiento de la conducción y articulación sectorial e intersectorial, la regulación, la conformación y operación de redes integrales e integradas territoriales de servicios de salud y la rendición de cuentas conforme a las competencias establecid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r las acciones con el equipo de vigilancia en salud pública, así como participar en las salas de análisis de riesgo, comités de vigilancia epidemiológica, equipos de respuesta inmediata, sala situacional, unidad de analisis ESAVI, comite de expertos de EAPV, entre otras."/>
    <s v="Procesos transversales de la Gestion de la Salud Pública"/>
    <n v="4"/>
    <s v="Número"/>
    <n v="1"/>
    <n v="1"/>
    <n v="100"/>
    <n v="1"/>
    <n v="1"/>
    <n v="100"/>
    <n v="1"/>
    <m/>
    <n v="0"/>
    <n v="1"/>
    <m/>
    <n v="0"/>
    <n v="4"/>
    <n v="2"/>
    <n v="100"/>
    <d v="2026-04-01T00:00:00"/>
    <d v="2027-03-31T00:00:00"/>
    <s v="N/A"/>
    <s v="SGP-SALUD-SALUD PUBLICA (1.2.4.2.02)"/>
    <s v="1.2.4.2.02"/>
    <m/>
    <m/>
    <m/>
    <m/>
    <m/>
    <s v="N/A"/>
    <x v="14"/>
    <m/>
  </r>
  <r>
    <n v="10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iseño e implementación de estrategias para la transversafización de los enfoques diferencial, de género y diversidad, curso de vida, salud familiar y comunitaria y_x000a_  psicosocial para pueblos y comunidad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Programar y gerenciar las estrategias del programa ampliado de inmunizaciones PAI del Departamento (Informes ejecutivos del programa, jornadas de vacunación ESQUEMA REGULAR a las que haya lugar grarantizando el control de los bilógicos e insumos, sistema de información, formulación planes de acción, desarrollo de capacidades y seguimientos en entorno educativa ,entre otros)"/>
    <s v="Procesos transversales de la Gestion de la Salud Pública"/>
    <n v="4"/>
    <s v="Porcentaje"/>
    <n v="1"/>
    <n v="1"/>
    <n v="100"/>
    <n v="1"/>
    <n v="1"/>
    <n v="100"/>
    <n v="1"/>
    <m/>
    <n v="0"/>
    <n v="1"/>
    <m/>
    <n v="0"/>
    <n v="4"/>
    <n v="2"/>
    <n v="100"/>
    <d v="2026-04-01T00:00:00"/>
    <d v="2027-03-31T00:00:00"/>
    <s v="N/A"/>
    <s v="SGP-SALUD-SALUD PUBLICA (1.2.4.2.02)"/>
    <s v="1.2.4.2.02"/>
    <m/>
    <m/>
    <m/>
    <m/>
    <s v="Personal de Salud_x000a_"/>
    <s v="N/A"/>
    <x v="14"/>
    <m/>
  </r>
  <r>
    <n v="10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Educacion en salud a los pacientes privados de la libertad (carceles y estacion de policia) sobre Identificación de signos y síntomas de tuberculosis.Realizar busqueda activa de sintomaticos respiratorios y su canalizacion respectiva para diagnostico oportuno"/>
    <s v="PIC(Anexo técnico)"/>
    <n v="29"/>
    <s v="Número"/>
    <n v="0"/>
    <n v="0"/>
    <e v="#DIV/0!"/>
    <n v="10"/>
    <n v="1"/>
    <n v="10"/>
    <n v="10"/>
    <m/>
    <n v="0"/>
    <n v="9"/>
    <m/>
    <n v="0"/>
    <n v="29"/>
    <n v="1"/>
    <n v="10"/>
    <d v="2026-02-01T00:00:00"/>
    <d v="2027-03-31T00:00:00"/>
    <s v="N/A"/>
    <s v="SGP-SALUD-SALUD PUBLICA (1.2.4.2.02)"/>
    <s v="1.2.4.2.02"/>
    <n v="100000000"/>
    <n v="100000000"/>
    <n v="100000000"/>
    <n v="0"/>
    <s v="Personal de Salud_x000a_"/>
    <s v="N/A"/>
    <x v="15"/>
    <m/>
  </r>
  <r>
    <n v="10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è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Desarrollo de capacidades al Talento Humano del SGSSS en tuberculosis en los temas de gestión, diagnostico, sistema de información, análisis y seguimiento de indicadores y prevención y manejo de la coinfeccion TB/VIH y manejo programático de TB-MDR y socializacion del plan estrategico a los actores del sistema"/>
    <s v="Procesos transversales de la Gestion de la Salud Pública"/>
    <n v="1"/>
    <s v="Número"/>
    <n v="0"/>
    <n v="0"/>
    <e v="#DIV/0!"/>
    <n v="0"/>
    <n v="0"/>
    <e v="#DIV/0!"/>
    <n v="1"/>
    <m/>
    <n v="0"/>
    <n v="0"/>
    <m/>
    <e v="#DIV/0!"/>
    <n v="1"/>
    <n v="0"/>
    <e v="#DIV/0!"/>
    <d v="2026-02-01T00:00:00"/>
    <d v="2027-03-31T00:00:00"/>
    <s v="N/A"/>
    <s v="SGP-SALUD-SALUD PUBLICA (1.2.4.2.02)"/>
    <s v="1.2.4.2.02"/>
    <n v="30000000"/>
    <n v="30000000"/>
    <n v="30000000"/>
    <n v="0"/>
    <s v="Personal de Salud_x000a_"/>
    <s v="N/A"/>
    <x v="15"/>
    <m/>
  </r>
  <r>
    <n v="10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
    <s v="Educación en salud de TB para la promoción y la gestión del riesgo y la transformación positiva de los diferentes entornos (hogar, comunitario) de los pacientes, ex-pacientes, sus familias"/>
    <s v="PIC(Anexo técnico)"/>
    <n v="29"/>
    <s v="Número"/>
    <n v="0"/>
    <n v="0"/>
    <e v="#DIV/0!"/>
    <n v="11"/>
    <n v="0"/>
    <n v="0"/>
    <n v="10"/>
    <m/>
    <n v="0"/>
    <n v="8"/>
    <m/>
    <n v="0"/>
    <n v="29"/>
    <n v="0"/>
    <n v="0"/>
    <d v="2026-02-01T00:00:00"/>
    <d v="2027-03-31T00:00:00"/>
    <s v="N/A"/>
    <s v="SGP-SALUD-SALUD PUBLICA (1.2.4.2.02)"/>
    <s v="1.2.4.2.02"/>
    <n v="100000000"/>
    <n v="100000000"/>
    <n v="100000000"/>
    <n v="0"/>
    <s v="Personal de Salud_x000a_"/>
    <s v="N/A"/>
    <x v="15"/>
    <m/>
  </r>
  <r>
    <n v="10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4-A 2031, se logra reducir el 50% la tasa de mortalidad por 100mil habitantes, causada por la tuberculosis en Colombia."/>
    <s v="94-A 2031, se logra reducir el 50% la tasa de mortalidad por 100mil habitantes, causada por la tuberculosis en Colombia."/>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un plan de asistencia tecnica a los diferentes actores del sistema de los 29 Municipios en el programa de tuberculosis y Apoyar la adopcion del Plan Estrategico post 2015 facia el fin el la Tuberculosis. PLAN ESTRATEGICO 2025"/>
    <s v="Procesos transversales de la Gestion de la Salud Pública"/>
    <n v="29"/>
    <s v="Número"/>
    <n v="0"/>
    <n v="0"/>
    <e v="#DIV/0!"/>
    <n v="10"/>
    <n v="10"/>
    <n v="100"/>
    <n v="10"/>
    <m/>
    <n v="0"/>
    <n v="9"/>
    <m/>
    <n v="0"/>
    <n v="29"/>
    <n v="10"/>
    <n v="100"/>
    <d v="2026-01-04T00:00:00"/>
    <d v="2027-03-31T00:00:00"/>
    <s v="N/A"/>
    <s v="SGP-SALUD-SALUD PUBLICA (1.2.4.2.02)"/>
    <s v="1.2.4.2.02"/>
    <n v="126000000"/>
    <n v="126000000"/>
    <n v="126000000"/>
    <n v="0"/>
    <s v="Personal de Salud_x000a_"/>
    <s v="N/A"/>
    <x v="15"/>
    <m/>
  </r>
  <r>
    <n v="10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n v="0"/>
    <e v="#DIV/0!"/>
    <n v="1"/>
    <m/>
    <n v="0"/>
    <n v="0"/>
    <m/>
    <e v="#DIV/0!"/>
    <n v="1"/>
    <n v="0"/>
    <e v="#DIV/0!"/>
    <d v="2026-04-01T00:00:00"/>
    <d v="2027-03-31T00:00:00"/>
    <s v="N/A"/>
    <s v="SGP-SALUD-SALUD PUBLICA (1.2.4.2.02)"/>
    <s v="1.2.4.2.02"/>
    <n v="18000000"/>
    <n v="18000000"/>
    <n v="18000000"/>
    <n v="0"/>
    <s v="Familias, colectivos y comunidades"/>
    <s v="N/A"/>
    <x v="15"/>
    <m/>
  </r>
  <r>
    <n v="10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Fomentar la inversión en investigación, desarrollo innovaciòn y produccion local de TE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departamental, municipal  han  desarrollado procesos de ajuste institucional para el fortalecimiento de las capacidades de las autoridades sanitarias y apropiacion territorial del modelo de salud basado en la APS"/>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Adquisicion de insumos de laboratorios para apoyo de la red "/>
    <s v="Procesos transversales de la Gestion de la Salud Pública"/>
    <n v="1"/>
    <s v="Número"/>
    <n v="0"/>
    <n v="0"/>
    <e v="#DIV/0!"/>
    <n v="0"/>
    <n v="0"/>
    <e v="#DIV/0!"/>
    <n v="1"/>
    <m/>
    <n v="0"/>
    <n v="0"/>
    <m/>
    <e v="#DIV/0!"/>
    <n v="1"/>
    <n v="0"/>
    <e v="#DIV/0!"/>
    <d v="2026-04-01T00:00:00"/>
    <d v="2027-03-31T00:00:00"/>
    <s v="N/A"/>
    <s v="SGP-SALUD-SALUD PUBLICA (1.2.4.2.02)"/>
    <s v="1.2.4.2.02"/>
    <n v="18000000"/>
    <n v="18000000"/>
    <n v="18000000"/>
    <n v="0"/>
    <s v="Personal de Salud_x000a_"/>
    <s v="N/A"/>
    <x v="15"/>
    <m/>
  </r>
  <r>
    <n v="11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Familias, colectivos y comunidades"/>
    <s v="N/A"/>
    <x v="15"/>
    <m/>
  </r>
  <r>
    <n v="11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Fortalecer acciones de protección en infancia: rastreo de contactos en niños expuestos a casos de TB bacilífera para asegurar profilaxis según lineamiento nacional, educación a familias de los niños intervenidos en ESE municipales – EPS"/>
    <s v="PIC(Anexo técnico)"/>
    <n v="29"/>
    <s v="Número"/>
    <n v="0"/>
    <n v="0"/>
    <e v="#DIV/0!"/>
    <n v="10"/>
    <n v="0"/>
    <n v="0"/>
    <n v="10"/>
    <m/>
    <n v="0"/>
    <n v="9"/>
    <m/>
    <n v="0"/>
    <n v="29"/>
    <n v="0"/>
    <n v="0"/>
    <d v="2026-02-01T00:00:00"/>
    <d v="2027-03-31T00:00:00"/>
    <s v="N/A"/>
    <s v="SGP-SALUD-SALUD PUBLICA (1.2.4.2.02)"/>
    <s v="1.2.4.2.02"/>
    <n v="100000000"/>
    <n v="100000000"/>
    <n v="100000000"/>
    <n v="0"/>
    <s v="Personal de Salud_x000a_"/>
    <s v="N/A"/>
    <x v="15"/>
    <m/>
  </r>
  <r>
    <n v="11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rializadas, universales, sistemáticas, permanentes y participativas bajo un enfoque familiar y comunitario."/>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A 2031, reducir en 50% la tasa de mortalidad por EDA en menores de 5 años"/>
    <s v="9-A 2031, reducir en 50% la tasa de mortalidad por EDA en menores de 5 años"/>
    <s v="Salud Pública"/>
    <s v="Medico en tu casa"/>
    <s v="Fortalecimiento de Estrategias para la Promoción de la Salud y Prevención de Enfermedades en Comunidades, mediante acciones Integrales, Participativas y Sostenibles en el Departamento del Magdalena."/>
    <s v="Realizar seguimiento a la implementación del programa nacional de prevención, manejo y control de IRA en las 33 ESE del departamento"/>
    <s v="Cuidado de la salud en el territorio"/>
    <s v="Desarrollar un proceso de fortalecimiento de capacidades dirigido a líderes comunitarios, representantes de instituciones educativas, madres y líderes de hogares del ICBF de los ámbitos urbano y rural de los municipios. Este proceso se llevará a cabo en las unidades comunitarias UROC-UAIRAC (Unidades de Rehidratación Oral Comunitaria y Unidades de Atención Integral a las Infecciones Respiratorias Agudas), e incluirá las 18 prácticas clave del AIEPI Comunitario, con el fin de facilitar su implementación, funcionamiento y los procesos de referencia y contrarreferencia en el entorno comunitario."/>
    <s v="PIC(Anexo técnico)"/>
    <n v="29"/>
    <s v="Número"/>
    <n v="0"/>
    <n v="0"/>
    <e v="#DIV/0!"/>
    <n v="9"/>
    <m/>
    <n v="0"/>
    <n v="10"/>
    <m/>
    <n v="0"/>
    <n v="10"/>
    <m/>
    <n v="0"/>
    <n v="29"/>
    <n v="0"/>
    <e v="#DIV/0!"/>
    <d v="2026-04-01T00:00:00"/>
    <d v="2027-03-31T00:00:00"/>
    <s v="N/A"/>
    <s v="SGP-SALUD-SALUD PUBLICA (1.2.4.2.02)"/>
    <s v="1.2.4.2.02"/>
    <n v="200000000"/>
    <n v="200000000"/>
    <n v="200000000"/>
    <n v="0"/>
    <s v="Personal de Salud_x000a_"/>
    <s v="N/A"/>
    <x v="16"/>
    <m/>
  </r>
  <r>
    <n v="11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as de actividades de educación en salud en los entornos comunitario y escolar, dirigidas a niñas, niños y adolescentes de 1 a 14 años. Estas acciones estarán enfocadas en sensibilizar sobre la importancia de la desparasitación antihelmíntica en los 29 municipios del Departamento del Magdalena."/>
    <s v="PIC(Anexo técnico)"/>
    <n v="58"/>
    <s v="Número"/>
    <n v="0"/>
    <n v="0"/>
    <e v="#DIV/0!"/>
    <n v="29"/>
    <n v="0"/>
    <n v="0"/>
    <n v="29"/>
    <m/>
    <n v="0"/>
    <n v="29"/>
    <m/>
    <n v="0"/>
    <n v="58"/>
    <n v="0"/>
    <n v="0"/>
    <d v="2026-04-01T00:00:00"/>
    <d v="2027-03-31T00:00:00"/>
    <s v="N/A"/>
    <s v="SGP-SALUD-SALUD PUBLICA (1.2.4.2.02)"/>
    <s v="1.2.4.2.02"/>
    <n v="100000000"/>
    <n v="100000000"/>
    <n v="100000000"/>
    <n v="0"/>
    <s v="Personal de Salud_x000a_"/>
    <s v="N/A"/>
    <x v="16"/>
    <m/>
  </r>
  <r>
    <n v="11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tnica (indígena) en todos los entornos, a niños(as) y adolescentes de 1 a 14 años, sobre la importancia de la desparasitación antihelmíntica en los municipios de Aracataca, Ciénaga, Fundación y Sabanas de San Angel."/>
    <s v="PIC(Anexo técnico)"/>
    <n v="4"/>
    <s v="Número"/>
    <n v="0"/>
    <n v="0"/>
    <n v="0"/>
    <m/>
    <m/>
    <e v="#DIV/0!"/>
    <n v="1"/>
    <m/>
    <n v="0"/>
    <m/>
    <m/>
    <e v="#DIV/0!"/>
    <n v="4"/>
    <n v="0"/>
    <e v="#DIV/0!"/>
    <d v="2026-04-01T00:00:00"/>
    <d v="2027-03-31T00:00:00"/>
    <s v="N/A"/>
    <s v="SGP-SALUD-SALUD PUBLICA (1.2.4.2.02)"/>
    <s v="1.2.4.2.02"/>
    <n v="80000000"/>
    <n v="80000000"/>
    <n v="80000000"/>
    <n v="0"/>
    <s v="Personal de Salud_x000a_"/>
    <s v="N/A"/>
    <x v="16"/>
    <m/>
  </r>
  <r>
    <n v="11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capacidades a nivel nacional y territorial_x000a_para la vigilancia en salud pública, el fortalecimiento de los_x000a_laboratorios de salud pública, la inspección, vigilancia y control_x000a_sanitarios y la garantía de insumos de interés en salud pública_x000a_reconociendo los avances y logros de los pueblos y_x000a_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un fortalecimiento de capacidades certificado para la adecuada aplicación de la Escala Abreviada de Desarrollo-3 (EAD-3), cuestionarios e instrumentos de la Ruta para la Promocion y Mantenimiento de la salud mediante una actividad de entrenamiento, dirigido al Talento Humano en Salud de las ESE e IPS de los 29 municipios del Departamento del Magdalena."/>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Primera infancia, Infancia "/>
    <s v="N/A"/>
    <x v="16"/>
    <m/>
  </r>
  <r>
    <n v="11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Implementación de mecanismos para l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o de un taller teórico práctico en AIEPI clinico, dirigido al Talento Humano en Salud de las ESE e IPS de los 29 municipios del Departamento del Magdalena."/>
    <s v="Procesos transversales de la Gestion de la Salud Pública"/>
    <n v="1"/>
    <s v="Número"/>
    <m/>
    <m/>
    <e v="#DIV/0!"/>
    <n v="0"/>
    <m/>
    <e v="#DIV/0!"/>
    <n v="1"/>
    <m/>
    <n v="0"/>
    <n v="0"/>
    <m/>
    <e v="#DIV/0!"/>
    <n v="1"/>
    <n v="0"/>
    <n v="0"/>
    <d v="2026-04-01T00:00:00"/>
    <d v="2027-03-31T00:00:00"/>
    <s v="N/A"/>
    <s v="SGP-SALUD-SALUD PUBLICA (1.2.4.2.02)"/>
    <s v="1.2.4.2.02"/>
    <n v="50000000"/>
    <n v="50000000"/>
    <n v="50000000"/>
    <n v="0"/>
    <s v="Familias, colectivos y comunidades;"/>
    <s v="N/A"/>
    <x v="16"/>
    <m/>
  </r>
  <r>
    <n v="11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coordinación y gestión de la operación de las redes integrales e integradas territoriales de salud en el marco de un modelo preventivo, predictivo y resolutivo basado en la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 tecnica en la estrategia de desparasitacion antihelmintica (Lineamientos desparasitacion antihelmintica quimioterapia preventiva), en los 29 Municipios"/>
    <s v="Procesos transversales de la Gestion de la Salud Pública"/>
    <n v="4"/>
    <s v="Número"/>
    <n v="0"/>
    <n v="0"/>
    <e v="#DIV/0!"/>
    <n v="1"/>
    <m/>
    <n v="0"/>
    <n v="1"/>
    <m/>
    <n v="0"/>
    <n v="2"/>
    <m/>
    <n v="0"/>
    <n v="4"/>
    <n v="0"/>
    <e v="#DIV/0!"/>
    <d v="2026-04-01T00:00:00"/>
    <d v="2027-03-31T00:00:00"/>
    <s v="N/A"/>
    <s v="SGP-SALUD-SALUD PUBLICA (1.2.4.2.02)"/>
    <s v="1.2.4.2.02"/>
    <m/>
    <m/>
    <m/>
    <m/>
    <s v="Primera infancia, Infancia y adolescencia"/>
    <s v="N/A"/>
    <x v="16"/>
    <m/>
  </r>
  <r>
    <n v="11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
    <s v="coordinación y gestión de la operación de las redes integrales e integradas territoriales de salud en el marco de un modelo preventivo, predictivo y resolutivo basado en la AP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2-A 2031, reducir a 13,5 por cada 1.000 nacidos vivos la tasa de mortalidad perinatal"/>
    <s v="2-A 2031, reducir a 13,5 por cada 1.000 nacidos vivos la tasa de mortalidad perinata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
    <s v="Desarrollo institucional y sectorial para el ejercicio de la autoridad sanitaria "/>
    <s v="Desarrollo de capacidades teórico práctico al Talento Humano en Salud de las ESE e IPS de los 29 mumicipios del Departamento del Magdalena en Reanimación Neonatal Básica-Programa de Resucitación Neonatal (PRN)."/>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Indigenas"/>
    <s v="N/A"/>
    <x v="17"/>
    <m/>
  </r>
  <r>
    <n v="11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 No relación"/>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a familias en el uso adecuado de antimicrobianos y el correcto lavado de manos"/>
    <s v="PIC(Anexo técnico)"/>
    <n v="29"/>
    <s v="Número"/>
    <n v="0"/>
    <n v="0"/>
    <e v="#DIV/0!"/>
    <n v="10"/>
    <m/>
    <n v="0"/>
    <n v="10"/>
    <m/>
    <n v="0"/>
    <n v="9"/>
    <m/>
    <n v="0"/>
    <n v="29"/>
    <n v="0"/>
    <e v="#DIV/0!"/>
    <d v="2026-04-01T00:00:00"/>
    <d v="2027-03-31T00:00:00"/>
    <s v="N/A"/>
    <s v="SGP-SALUD-SALUD PUBLICA (1.2.4.2.02)"/>
    <s v="1.2.4.2.02"/>
    <n v="50000000"/>
    <n v="50000000"/>
    <n v="50000000"/>
    <n v="0"/>
    <s v="Personal de Salud_x000a_"/>
    <s v="N/A"/>
    <x v="16"/>
    <m/>
  </r>
  <r>
    <n v="12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Busqueda activa permanente mediante la Revisión Clinica de los convivientes de pacientes y expacientes de hansen, para la detecciön temprana, canalizacion a la IPS para diagnostico precoz, notificacion , registro y seguimiento, en el ambito urbano y rural de los 29 Municipios del magdalena."/>
    <s v="PIC(Anexo técnico)"/>
    <n v="29"/>
    <s v="Número"/>
    <n v="0"/>
    <n v="0"/>
    <e v="#DIV/0!"/>
    <n v="10"/>
    <m/>
    <n v="0"/>
    <n v="10"/>
    <m/>
    <n v="0"/>
    <n v="9"/>
    <m/>
    <n v="0"/>
    <n v="29"/>
    <n v="0"/>
    <e v="#DIV/0!"/>
    <d v="2026-04-01T00:00:00"/>
    <d v="2027-03-31T00:00:00"/>
    <s v="N/A"/>
    <s v="SGP-SALUD-SALUD PUBLICA (1.2.4.2.02)"/>
    <s v="1.2.4.2.02"/>
    <n v="120000000"/>
    <n v="120000000"/>
    <n v="120000000"/>
    <n v="0"/>
    <s v="Personal de Salud_x000a_"/>
    <s v="N/A"/>
    <x v="16"/>
    <m/>
  </r>
  <r>
    <n v="12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
    <s v="PIC(Anexo técnico)"/>
    <n v="29"/>
    <s v="Número"/>
    <n v="0"/>
    <n v="0"/>
    <e v="#DIV/0!"/>
    <n v="0"/>
    <m/>
    <e v="#DIV/0!"/>
    <n v="0"/>
    <m/>
    <e v="#DIV/0!"/>
    <n v="29"/>
    <m/>
    <n v="0"/>
    <n v="29"/>
    <n v="0"/>
    <e v="#DIV/0!"/>
    <d v="2026-02-01T00:00:00"/>
    <d v="2027-03-31T00:00:00"/>
    <s v="N/A"/>
    <s v="SGP-SALUD-SALUD PUBLICA (1.2.4.2.02)"/>
    <s v="1.2.4.2.02"/>
    <n v="9239653"/>
    <n v="9239653"/>
    <n v="9239653"/>
    <n v="0"/>
    <m/>
    <s v="N/A"/>
    <x v="16"/>
    <m/>
  </r>
  <r>
    <n v="12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
    <s v="PIC(Anexo técnico)"/>
    <n v="29"/>
    <s v="Número"/>
    <n v="0"/>
    <n v="0"/>
    <e v="#DIV/0!"/>
    <n v="0"/>
    <m/>
    <e v="#DIV/0!"/>
    <n v="0"/>
    <m/>
    <e v="#DIV/0!"/>
    <n v="29"/>
    <m/>
    <n v="0"/>
    <n v="29"/>
    <n v="0"/>
    <e v="#DIV/0!"/>
    <d v="2026-04-01T00:00:00"/>
    <d v="2027-03-31T00:00:00"/>
    <s v="N/A"/>
    <s v="SGP-SALUD-SALUD PUBLICA (1.2.4.2.02)"/>
    <s v="1.2.4.2.02"/>
    <n v="92000000"/>
    <n v="92000000"/>
    <n v="92000000"/>
    <n v="0"/>
    <s v="Personal de Salud_x000a_"/>
    <s v="N/A"/>
    <x v="16"/>
    <m/>
  </r>
  <r>
    <n v="12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d v="2026-04-01T00:00:00"/>
    <d v="2027-03-31T00:00:00"/>
    <s v="N/A"/>
    <s v="SGP-SALUD-SALUD PUBLICA (1.2.4.2.02)"/>
    <s v="1.2.4.2.02"/>
    <n v="9239653"/>
    <n v="9239653"/>
    <n v="9239653"/>
    <n v="0"/>
    <s v="Familias, colectivos y comunidades;"/>
    <s v="N/A"/>
    <x v="16"/>
    <m/>
  </r>
  <r>
    <n v="12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d v="2026-04-01T00:00:00"/>
    <d v="2027-03-31T00:00:00"/>
    <s v="N/A"/>
    <s v="SGP-SALUD-SALUD PUBLICA (1.2.4.2.02)"/>
    <s v="1.2.4.2.02"/>
    <n v="15000000"/>
    <n v="15000000"/>
    <n v="15000000"/>
    <n v="0"/>
    <s v="Familias, colectivos y comunidades"/>
    <s v="N/A"/>
    <x v="18"/>
    <m/>
  </r>
  <r>
    <n v="12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
    <s v="A 2031 el 100% de las Entidades Territoriales del orden departamental, distrital y municipal desarrollan mecanismos para el fortalecimiento de la rectoría en salud en su territorio, conforme a las competencias establecidas.  "/>
    <s v="A 2027 el 100% de las Entidades Territoriales del orden municipal desarrollan mecanismos para el fortalecimiento de la rectoría en salud en su territorio, conforme a las competencias establecidas.  "/>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Desarrollo institucional y sectorial para el ejercicio de la autoridad sanitaria"/>
    <s v="Realizar un plan de  asistencia tecnica a los diferentes actores del entorno institucional de los 29 Municipios en el programa de lepra y Apoyar la formulacion del plan Magdalena libre de Hansen"/>
    <s v="Procesos transversales de la Gestion de la Salud Pública"/>
    <n v="100"/>
    <s v="Porcentaje"/>
    <n v="25"/>
    <n v="0"/>
    <n v="0"/>
    <n v="25"/>
    <n v="0"/>
    <n v="0"/>
    <n v="25"/>
    <m/>
    <n v="0"/>
    <n v="25"/>
    <m/>
    <n v="0"/>
    <n v="100"/>
    <n v="0"/>
    <n v="0"/>
    <d v="2026-04-01T00:00:00"/>
    <d v="2027-03-31T00:00:00"/>
    <s v="N/A"/>
    <s v="SGP-SALUD-SALUD PUBLICA (1.2.4.2.02)"/>
    <s v="1.2.4.2.02"/>
    <n v="58261013"/>
    <n v="58261013"/>
    <n v="58261013"/>
    <n v="0"/>
    <s v="Familias, colectivos y comunidades"/>
    <s v="N/A"/>
    <x v="18"/>
    <m/>
  </r>
  <r>
    <n v="12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
    <s v="Gestio territorial para el cuidado de la salud basado en la atencion primaria en salud."/>
    <s v="Evitar que la tasa de incidencia de la enfermedad de hansen este por encima del 1,39%."/>
    <s v="Evitar que la tasa de incidencia de la enfermedad de hansen este por encima del 1,39%."/>
    <s v="Evitar que la tasa de incidencia de la enfermedad de hansen este por encima del 1,39%."/>
    <s v="Evitar que la tasa de incidencia de la enfermedad de hansen este por encima del 1,39%."/>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Cuidado de la salud en el territorio  "/>
    <s v="educacion en salud en el entorno educativo de los ambitos rural y urbano de los territorios priorizados dirigido a jovener de 9,10 y 11 en deteccion y prevencion de la enfermedad, prevencion del estigma y discriminacion de hansen de los 29 municipios del departamento del magdalena."/>
    <s v="PIC(Anexo técnico)"/>
    <n v="29"/>
    <s v="Número"/>
    <n v="0"/>
    <n v="0"/>
    <e v="#DIV/0!"/>
    <n v="10"/>
    <m/>
    <n v="0"/>
    <n v="10"/>
    <m/>
    <n v="0"/>
    <n v="9"/>
    <m/>
    <n v="0"/>
    <n v="29"/>
    <n v="0"/>
    <e v="#DIV/0!"/>
    <d v="2026-04-01T00:00:00"/>
    <d v="2027-03-31T00:00:00"/>
    <s v="N/A"/>
    <s v="SGP-SALUD-SALUD PUBLICA (1.2.4.2.02)"/>
    <s v="1.2.4.2.02"/>
    <n v="100000000"/>
    <n v="100000000"/>
    <n v="100000000"/>
    <n v="0"/>
    <s v="Familias, colectivos y comunidades"/>
    <s v="N/A"/>
    <x v="18"/>
    <m/>
  </r>
  <r>
    <n v="12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Garantizar los mecanismos para salvaguardar el conocimiento relacionado con las formas, experiencias, prácticas y acciones en salud de las personas y colectivos, con el fin de fortalecer la transmisión intergeneracion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Acuerdos sociales y comunitarios para la transformación de las inequidades en salud y la incidencia sobre los DSS en el territorio "/>
    <s v="realizar seguimiento del plan de acción de la RED de RBC para la implementación de la estrategia RBC (rehabilitación basada en comunidad), como un proceso de desarrollo local inclusivo de caracter intersectorial de las personas con discapacidad y sus cuidadores en los entornos institucional y comunitario en el area urbana y/o rural de los microterritorios priorizados de los 29 municicipios "/>
    <s v="Procesos transversales de la Gestion de la Salud Pública"/>
    <n v="29"/>
    <s v="Número"/>
    <n v="0"/>
    <n v="0"/>
    <e v="#DIV/0!"/>
    <n v="10"/>
    <m/>
    <n v="0"/>
    <n v="10"/>
    <m/>
    <n v="0"/>
    <n v="9"/>
    <m/>
    <n v="0"/>
    <n v="29"/>
    <n v="0"/>
    <e v="#DIV/0!"/>
    <d v="2026-04-01T00:00:00"/>
    <d v="2027-03-31T00:00:00"/>
    <s v="N/A"/>
    <s v="SGP-SALUD-SALUD PUBLICA (1.2.4.2.02)"/>
    <s v="1.2.4.2.02"/>
    <n v="60000000"/>
    <n v="60000000"/>
    <n v="60000000"/>
    <n v="0"/>
    <s v="Personal de Salud_x000a_"/>
    <s v="N/A"/>
    <x v="18"/>
    <m/>
  </r>
  <r>
    <n v="12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4.600 personas con discapacidad en el departamento"/>
    <s v="Desarrollo institucional y sectorial para el ejercicio de la autoridad sanitaria  "/>
    <s v="Desarrollo de capacidades para preescripción de ayudas tecnicas para bancos municipales (SSM) de las personas con discapacidad en el departamento del Magdalena "/>
    <s v="Procesos transversales de la Gestion de la Salud Pública"/>
    <n v="1"/>
    <s v="Número"/>
    <n v="0"/>
    <n v="0"/>
    <e v="#DIV/0!"/>
    <n v="0"/>
    <m/>
    <e v="#DIV/0!"/>
    <n v="1"/>
    <m/>
    <n v="0"/>
    <n v="0"/>
    <m/>
    <e v="#DIV/0!"/>
    <n v="1"/>
    <n v="0"/>
    <e v="#DIV/0!"/>
    <d v="2026-04-01T00:00:00"/>
    <d v="2027-03-31T00:00:00"/>
    <s v="N/A"/>
    <s v="SGP-SALUD-SALUD PUBLICA (1.2.4.2.02)"/>
    <s v="1.2.4.2.02"/>
    <n v="30000000"/>
    <n v="30000000"/>
    <n v="30000000"/>
    <n v="0"/>
    <s v="Personal de Salud_x000a_"/>
    <s v="N/A"/>
    <x v="18"/>
    <m/>
  </r>
  <r>
    <n v="12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_x000a_planeación integral en salud y la gestión territorial en el marco_x000a_del Modelo de Salud preventivo, predictivo y resolutivo basado_x000a_en Atención Primaria en Salud - APS"/>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Desarrollo institucional y sectorial para el ejercicio de la autoridad sanitaria  "/>
    <s v="Mesa de articulación intersectorial para la prestación de servicios en salud de la población con discapacidad y trastornos mentales "/>
    <s v="Procesos transversales de la Gestion de la Salud Pública"/>
    <n v="1"/>
    <s v="Número"/>
    <n v="0"/>
    <n v="0"/>
    <n v="0"/>
    <n v="0"/>
    <m/>
    <e v="#DIV/0!"/>
    <n v="0"/>
    <m/>
    <e v="#DIV/0!"/>
    <n v="1"/>
    <m/>
    <n v="0"/>
    <n v="1"/>
    <n v="0"/>
    <e v="#DIV/0!"/>
    <d v="2026-04-01T00:00:00"/>
    <d v="2027-03-31T00:00:00"/>
    <s v="N/A"/>
    <s v="SGP-SALUD-SALUD PUBLICA (1.2.4.2.02)"/>
    <s v="1.2.4.2.02"/>
    <m/>
    <m/>
    <m/>
    <m/>
    <s v="Personal de Salud_x000a_"/>
    <s v="N/A"/>
    <x v="18"/>
    <m/>
  </r>
  <r>
    <n v="13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Establecimiento de mecanismos de participación basada en_x000a_atención primaria en salud — APS para la gobernanza propia_x000a_en salud de los pueblos y comunidades. "/>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Desarrollo de capacidad en valoraciones de apoyo -certificado (SSM, personeria, comesaria de familia) y fortalecimiento de la atención diferencial en salud ((SSM, personeria, comesaria de familia, IPS y EPS)para las personas con discapacidad "/>
    <s v="Procesos transversales de la Gestion de la Salud Pública"/>
    <n v="1"/>
    <s v="Número"/>
    <n v="0"/>
    <n v="0"/>
    <e v="#DIV/0!"/>
    <n v="1"/>
    <m/>
    <n v="0"/>
    <n v="0"/>
    <m/>
    <e v="#DIV/0!"/>
    <n v="0"/>
    <m/>
    <e v="#DIV/0!"/>
    <n v="1"/>
    <n v="0"/>
    <e v="#DIV/0!"/>
    <d v="2026-04-01T00:00:00"/>
    <d v="2026-12-31T00:00:00"/>
    <s v="N/A"/>
    <s v="SGP-SALUD-SALUD PUBLICA (1.2.4.2.02)"/>
    <s v="1.2.4.2.02"/>
    <n v="30000000"/>
    <n v="30000000"/>
    <n v="30000000"/>
    <n v="0"/>
    <s v="Familias, colectivos y comunidades"/>
    <s v="N/A"/>
    <x v="18"/>
    <m/>
  </r>
  <r>
    <n v="13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 2031 el 100% de las Entidades Territoriales del orden departamental, distrital y municipal desarrollan mecanismos para el fortalecimiento de la rectoría en salud en su territorio, conforme a las competencias establecidas&quot;"/>
    <s v="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Asistencia tecnica y acompañamiento sobre el componente de discapacidad  (Rehabilitación basada en la comunidad (RBC) - certificación de discapacidad y RLCPD  "/>
    <s v="Procesos transversales de la Gestion de la Salud Pública"/>
    <n v="29"/>
    <s v="Número"/>
    <n v="0"/>
    <n v="0"/>
    <e v="#DIV/0!"/>
    <n v="10"/>
    <n v="10"/>
    <n v="100"/>
    <n v="10"/>
    <m/>
    <n v="0"/>
    <n v="9"/>
    <m/>
    <n v="0"/>
    <n v="29"/>
    <n v="10"/>
    <e v="#REF!"/>
    <d v="2026-04-01T00:00:00"/>
    <d v="2027-03-01T00:00:00"/>
    <s v="N/A"/>
    <s v="SGP-SALUD-SALUD PUBLICA (1.2.4.2.02)"/>
    <s v="1.2.4.2.02"/>
    <m/>
    <m/>
    <m/>
    <m/>
    <s v="Personas con discapacidad"/>
    <s v="N/A"/>
    <x v="19"/>
    <m/>
  </r>
  <r>
    <n v="13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para la implementación del modelo de infancia a los actores que hacen parte del sistema de salud en los 29 municipios del departamento"/>
    <s v="Procesos transversales de la Gestion de la Salud Pública"/>
    <n v="29"/>
    <s v="Número"/>
    <n v="0"/>
    <n v="4"/>
    <e v="#DIV/0!"/>
    <n v="10"/>
    <m/>
    <n v="0"/>
    <n v="10"/>
    <m/>
    <n v="0"/>
    <n v="9"/>
    <m/>
    <n v="0"/>
    <n v="29"/>
    <n v="4"/>
    <e v="#DIV/0!"/>
    <d v="2026-03-01T00:00:00"/>
    <d v="2027-03-01T00:00:00"/>
    <s v="N/A"/>
    <s v="SGP-SALUD-SALUD PUBLICA (1.2.4.2.02)"/>
    <s v="1.2.4.2.02"/>
    <m/>
    <m/>
    <m/>
    <m/>
    <s v="Personas con discapacidad"/>
    <s v="N/A"/>
    <x v="19"/>
    <m/>
  </r>
  <r>
    <n v="13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y articulación intersectorial con los diferentes actores para la prevención del trabajo infantil en los 29 municipios del departamento"/>
    <s v="Procesos transversales de la Gestion de la Salud Pública"/>
    <n v="29"/>
    <s v="Número"/>
    <n v="0"/>
    <n v="4"/>
    <e v="#DIV/0!"/>
    <n v="10"/>
    <n v="8"/>
    <n v="80"/>
    <n v="10"/>
    <m/>
    <n v="0"/>
    <n v="9"/>
    <m/>
    <n v="0"/>
    <n v="29"/>
    <n v="12"/>
    <n v="120"/>
    <d v="2026-03-01T00:00:00"/>
    <d v="2027-03-01T00:00:00"/>
    <s v="N/A"/>
    <s v="SGP-SALUD-SALUD PUBLICA (1.2.4.2.02)"/>
    <s v="1.2.4.2.02"/>
    <m/>
    <m/>
    <m/>
    <m/>
    <s v="Personas con discapacidad"/>
    <s v="N/A"/>
    <x v="19"/>
    <m/>
  </r>
  <r>
    <n v="13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  Departamental  de  Salud  y Nutricion para el desarrollo Integral de Niños, Niñas y Adolescentes"/>
    <s v="Procesos transversales de la Gestion de la Salud Pública"/>
    <n v="1"/>
    <s v="Número"/>
    <n v="1"/>
    <n v="0"/>
    <e v="#DIV/0!"/>
    <n v="0"/>
    <n v="1"/>
    <e v="#DIV/0!"/>
    <n v="1"/>
    <m/>
    <n v="0"/>
    <m/>
    <m/>
    <e v="#DIV/0!"/>
    <n v="1"/>
    <n v="1"/>
    <n v="100"/>
    <d v="2026-03-01T00:00:00"/>
    <d v="2027-03-01T00:00:00"/>
    <s v="N/A"/>
    <s v="SGP-SALUD-SALUD PUBLICA (1.2.4.2.02)"/>
    <s v="1.2.4.2.02"/>
    <n v="10000000"/>
    <n v="10000000"/>
    <n v="10000000"/>
    <n v="10000000"/>
    <s v="Personas con discapacidad"/>
    <s v="N/A"/>
    <x v="19"/>
    <m/>
  </r>
  <r>
    <n v="13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y seguimiento para la implementación del modelo de envejecimiento activo en los 29 municipios del departamento"/>
    <s v="Procesos transversales de la Gestion de la Salud Pública"/>
    <n v="29"/>
    <s v="Número"/>
    <n v="0"/>
    <n v="16"/>
    <e v="#DIV/0!"/>
    <n v="0"/>
    <n v="6"/>
    <e v="#DIV/0!"/>
    <n v="10"/>
    <m/>
    <n v="0"/>
    <n v="19"/>
    <m/>
    <n v="0"/>
    <n v="29"/>
    <n v="22"/>
    <e v="#DIV/0!"/>
    <d v="2026-01-10T00:00:00"/>
    <d v="2026-12-31T00:00:00"/>
    <s v="N/A"/>
    <s v="SGP-SALUD-SALUD PUBLICA (1.2.4.2.02)"/>
    <s v="1.2.4.2.02"/>
    <m/>
    <m/>
    <m/>
    <m/>
    <s v="Personas con discapacidad"/>
    <s v="N/A"/>
    <x v="19"/>
    <m/>
  </r>
  <r>
    <n v="13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Generación y adecuación de estrategias que promuevan capacidades institucionales para la garantía del derecho a la"/>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Visita de seguimiento semestral para verificación de condiciones mínimas que dignifiquen la estadía de los adultos mayores en los centros de protección, centros de día e instituciones"/>
    <s v="Procesos transversales de la Gestion de la Salud Pública"/>
    <n v="15"/>
    <s v="Número"/>
    <n v="0"/>
    <n v="1"/>
    <e v="#DIV/0!"/>
    <n v="0"/>
    <n v="4"/>
    <e v="#DIV/0!"/>
    <n v="7"/>
    <m/>
    <n v="0"/>
    <n v="8"/>
    <m/>
    <n v="0"/>
    <n v="15"/>
    <n v="5"/>
    <e v="#DIV/0!"/>
    <d v="2026-02-01T00:00:00"/>
    <d v="2027-03-31T00:00:00"/>
    <s v="N/A"/>
    <s v="SGP-SALUD-SALUD PUBLICA (1.2.4.2.02)"/>
    <s v="1.2.4.2.02"/>
    <m/>
    <m/>
    <m/>
    <m/>
    <m/>
    <s v="N/A"/>
    <x v="19"/>
    <m/>
  </r>
  <r>
    <n v="13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rticular acciones con los diferentes ejes estratégicos para el seguimiento de casos de interes en salud publica de los adultos mayores"/>
    <s v="Procesos transversales de la Gestion de la Salud Pública"/>
    <n v="2"/>
    <s v="Número"/>
    <n v="0"/>
    <n v="0"/>
    <e v="#DIV/0!"/>
    <n v="0"/>
    <n v="0"/>
    <e v="#DIV/0!"/>
    <n v="1"/>
    <m/>
    <n v="0"/>
    <n v="1"/>
    <m/>
    <n v="0"/>
    <n v="2"/>
    <n v="0"/>
    <e v="#DIV/0!"/>
    <d v="2026-02-01T00:00:00"/>
    <d v="2027-03-31T00:00:00"/>
    <s v="N/A"/>
    <s v="SGP-SALUD-SALUD PUBLICA (1.2.4.2.02)"/>
    <s v="1.2.4.2.02"/>
    <m/>
    <m/>
    <m/>
    <m/>
    <m/>
    <s v="N/A"/>
    <x v="19"/>
    <m/>
  </r>
  <r>
    <n v="13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sobre politica publica de envejecimiento y vejez 2022- 2031 en los 29 municipios del departamento"/>
    <s v="Procesos transversales de la Gestion de la Salud Pública"/>
    <n v="29"/>
    <s v="Número"/>
    <n v="0"/>
    <n v="16"/>
    <e v="#DIV/0!"/>
    <n v="0"/>
    <n v="6"/>
    <e v="#DIV/0!"/>
    <n v="12"/>
    <m/>
    <n v="0"/>
    <n v="17"/>
    <m/>
    <n v="0"/>
    <n v="29"/>
    <n v="22"/>
    <e v="#DIV/0!"/>
    <d v="2026-04-01T00:00:00"/>
    <d v="2027-03-31T00:00:00"/>
    <s v="N/A"/>
    <s v="SGP-SALUD-SALUD PUBLICA (1.2.4.2.02)"/>
    <s v="1.2.4.2.02"/>
    <m/>
    <m/>
    <m/>
    <m/>
    <s v="Personal de Salud_x000a_"/>
    <s v="N/A"/>
    <x v="19"/>
    <m/>
  </r>
  <r>
    <n v="13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cognitiva dirigida a los adultos mayores de los 4 centros de bienestar del adulto mayor, en los municipios de banco, guamal, santa barbara de pinto y Sabanas de san Angel"/>
    <s v="Procesos transversales de la Gestion de la Salud Pública"/>
    <n v="4"/>
    <s v="Número"/>
    <n v="0"/>
    <n v="0"/>
    <e v="#DIV/0!"/>
    <n v="0"/>
    <m/>
    <e v="#DIV/0!"/>
    <n v="2"/>
    <m/>
    <n v="0"/>
    <n v="2"/>
    <m/>
    <n v="0"/>
    <n v="4"/>
    <n v="0"/>
    <e v="#DIV/0!"/>
    <d v="2026-02-01T00:00:00"/>
    <d v="2027-03-31T00:00:00"/>
    <s v="N/A"/>
    <s v="SGP-SALUD-SALUD PUBLICA (1.2.4.2.02)"/>
    <s v="1.2.4.2.02"/>
    <n v="40000000"/>
    <n v="40000000"/>
    <n v="40000000"/>
    <n v="0"/>
    <m/>
    <s v="N/A"/>
    <x v="19"/>
    <m/>
  </r>
  <r>
    <n v="14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para atención integral del adulto mayor con entidades territoriales, IPS, EAPB por subregiones"/>
    <s v="Procesos transversales de la Gestion de la Salud Pública"/>
    <n v="1"/>
    <s v="Número"/>
    <n v="0"/>
    <n v="0"/>
    <e v="#DIV/0!"/>
    <n v="0"/>
    <n v="0"/>
    <e v="#DIV/0!"/>
    <n v="1"/>
    <m/>
    <n v="0"/>
    <n v="0"/>
    <m/>
    <e v="#DIV/0!"/>
    <n v="1"/>
    <n v="0"/>
    <e v="#DIV/0!"/>
    <d v="2026-02-01T00:00:00"/>
    <d v="2027-03-31T00:00:00"/>
    <s v="N/A"/>
    <s v="SGP-SALUD-SALUD PUBLICA (1.2.4.2.02)"/>
    <s v="1.2.4.2.02"/>
    <n v="20000000"/>
    <n v="20000000"/>
    <n v="20000000"/>
    <n v="0"/>
    <m/>
    <s v="N/A"/>
    <x v="19"/>
    <m/>
  </r>
  <r>
    <n v="14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Reconocimiento y legitimación de los espacios e instancias de diálogo y concertación para para la construcción colectiva de sistemas propios, a través de saberes, prácticas y conocimientos de y con las personas y colectivos."/>
    <s v="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 ludico - recreatico para adultos mayores, familiares y cuidadores para loa Promocion del Envejecimiento Activo y Saludable y Prevencion del Maltrato a los Adultos Mayores y habitancia en calle en el entorno comunitario , hogar centro de vida y centros de bienestar donde aplique en el area urbana y/o rural de los microterritorios priorizados en los 29 munipios del Depar4tamento del Magdalena"/>
    <s v="PIC(Anexo técnico)"/>
    <n v="29"/>
    <s v="Número"/>
    <n v="0"/>
    <n v="0"/>
    <e v="#DIV/0!"/>
    <n v="9"/>
    <n v="0"/>
    <n v="0"/>
    <n v="10"/>
    <m/>
    <n v="0"/>
    <n v="10"/>
    <m/>
    <n v="0"/>
    <n v="29"/>
    <n v="0"/>
    <n v="0"/>
    <d v="2026-02-01T00:00:00"/>
    <d v="2027-03-31T00:00:00"/>
    <s v="N/A"/>
    <s v="SGP-SALUD-SALUD PUBLICA (1.2.4.2.02)"/>
    <s v="1.2.4.2.02"/>
    <n v="60000000"/>
    <n v="60000000"/>
    <n v="60000000"/>
    <n v="0"/>
    <m/>
    <s v="N/A"/>
    <x v="19"/>
    <m/>
  </r>
  <r>
    <n v="14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y seguimiento de las acciones de la política pública para habitantes de calle, fenómeno de habitanza en calle, las características y necesidades de la población habitante de la calle, en las entidades territoriales"/>
    <s v="Procesos transversales de la Gestion de la Salud Pública"/>
    <n v="29"/>
    <s v="Número"/>
    <n v="0"/>
    <n v="3"/>
    <e v="#DIV/0!"/>
    <n v="0"/>
    <n v="14"/>
    <e v="#DIV/0!"/>
    <n v="10"/>
    <m/>
    <n v="0"/>
    <n v="19"/>
    <m/>
    <n v="0"/>
    <n v="29"/>
    <n v="17"/>
    <e v="#DIV/0!"/>
    <d v="2026-02-01T00:00:00"/>
    <d v="2027-03-31T00:00:00"/>
    <s v="N/A"/>
    <s v="SGP-SALUD-SALUD PUBLICA (1.2.4.2.02)"/>
    <s v="1.2.4.2.02"/>
    <m/>
    <m/>
    <m/>
    <m/>
    <m/>
    <s v="N/A"/>
    <x v="19"/>
    <m/>
  </r>
  <r>
    <n v="14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con el fin de sensibilizar sobre prestación de servicios hacia la población habitante de calle para reducir el estigma y discriminación, dirigida a las entidades e instituciones a cargo de los servicios sociales y de salud"/>
    <s v="Procesos transversales de la Gestion de la Salud Pública"/>
    <n v="29"/>
    <s v="Número"/>
    <n v="0"/>
    <n v="3"/>
    <e v="#DIV/0!"/>
    <n v="0"/>
    <n v="14"/>
    <e v="#DIV/0!"/>
    <n v="10"/>
    <m/>
    <n v="0"/>
    <n v="19"/>
    <m/>
    <n v="0"/>
    <n v="29"/>
    <n v="17"/>
    <e v="#DIV/0!"/>
    <d v="2026-04-01T00:00:00"/>
    <d v="2027-03-31T00:00:00"/>
    <s v="N/A"/>
    <s v="SGP-SALUD-SALUD PUBLICA (1.2.4.2.02)"/>
    <s v="1.2.4.2.02"/>
    <m/>
    <m/>
    <m/>
    <m/>
    <s v="Persona mayor"/>
    <s v="N/A"/>
    <x v="19"/>
    <m/>
  </r>
  <r>
    <n v="14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 comun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2 mesa para el desarrollo de rutas sectoriales de atención integral para Personas Habitantes de la Calle"/>
    <s v="Procesos transversales de la Gestion de la Salud Pública"/>
    <n v="1"/>
    <s v="Número"/>
    <n v="0"/>
    <n v="0"/>
    <e v="#DIV/0!"/>
    <n v="0"/>
    <n v="1"/>
    <e v="#DIV/0!"/>
    <n v="1"/>
    <m/>
    <n v="0"/>
    <n v="1"/>
    <m/>
    <n v="0"/>
    <n v="1"/>
    <n v="1"/>
    <e v="#DIV/0!"/>
    <d v="2026-04-01T00:00:00"/>
    <d v="2027-03-31T00:00:00"/>
    <s v="N/A"/>
    <s v="SGP-SALUD-SALUD PUBLICA (1.2.4.2.02)"/>
    <s v="1.2.4.2.02"/>
    <n v="10000000"/>
    <n v="10000000"/>
    <n v="10000000"/>
    <n v="0"/>
    <s v="Personal de Salud_x000a_"/>
    <s v="N/A"/>
    <x v="19"/>
    <m/>
  </r>
  <r>
    <n v="14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de entidades territoriales, Deoparatamentales, Distritales y Municipales han implementado la estrategia de transversalización del enfoque de género en la planeacion integral en salud"/>
    <s v="A 2027 el 100% de entidades territoriales Municipales han implementado la estrategia de transversalización del enfoque de género en la planeacion integral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Taller educativo para generar sensibilización en el entorno comunitario sobre factores de riesgo asociados a la habitanza en calle, características de la población habitante de calle y su estilo de vida, así como la orientación hacia rutas y servicios sociales y de salud con el fin de reducir el estigma y la discriminación."/>
    <s v="PIC(Anexo técnico)"/>
    <n v="29"/>
    <s v="Número"/>
    <n v="0"/>
    <n v="0"/>
    <e v="#DIV/0!"/>
    <n v="10"/>
    <n v="0"/>
    <n v="0"/>
    <n v="10"/>
    <m/>
    <n v="0"/>
    <n v="9"/>
    <m/>
    <n v="0"/>
    <n v="29"/>
    <n v="0"/>
    <n v="0"/>
    <d v="2026-04-01T00:00:00"/>
    <d v="2027-03-31T00:00:00"/>
    <s v="N/A"/>
    <s v="SGP-SALUD-SALUD PUBLICA (1.2.4.2.02)"/>
    <s v="1.2.4.2.02"/>
    <n v="60000000"/>
    <n v="60000000"/>
    <n v="60000000"/>
    <n v="0"/>
    <s v="Persona mayor"/>
    <s v="N/A"/>
    <x v="19"/>
    <m/>
  </r>
  <r>
    <n v="14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acciones para la prevencion de trata de personas violencias basadas en género y diversidad en los 29 Municipios del departamento"/>
    <s v="Procesos transversales de la Gestion de la Salud Pública"/>
    <n v="29"/>
    <s v="Número"/>
    <n v="0"/>
    <n v="4"/>
    <e v="#DIV/0!"/>
    <n v="10"/>
    <n v="11"/>
    <n v="110.00000000000001"/>
    <n v="10"/>
    <m/>
    <n v="0"/>
    <n v="9"/>
    <m/>
    <n v="0"/>
    <n v="29"/>
    <n v="15"/>
    <n v="150"/>
    <d v="2026-02-01T00:00:00"/>
    <d v="2027-03-31T00:00:00"/>
    <s v="N/A"/>
    <s v="SGP-SALUD-SALUD PUBLICA (1.2.4.2.02)"/>
    <s v="1.2.4.2.02"/>
    <m/>
    <m/>
    <m/>
    <m/>
    <m/>
    <s v="N/A"/>
    <x v="19"/>
    <m/>
  </r>
  <r>
    <n v="14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humanizacion para la atencion sin discriminación y trato digno en los servicios en salud a población OSIG diversa y/o LGBTIQ+"/>
    <s v="Procesos transversales de la Gestion de la Salud Pública"/>
    <n v="29"/>
    <s v="Número"/>
    <n v="0"/>
    <n v="4"/>
    <e v="#DIV/0!"/>
    <n v="10"/>
    <n v="12"/>
    <n v="120"/>
    <n v="10"/>
    <m/>
    <n v="0"/>
    <n v="9"/>
    <m/>
    <n v="0"/>
    <n v="29"/>
    <n v="16"/>
    <n v="160"/>
    <d v="2026-02-01T00:00:00"/>
    <d v="2027-03-31T00:00:00"/>
    <s v="N/A"/>
    <s v="SGP-SALUD-SALUD PUBLICA (1.2.4.2.02)"/>
    <s v="1.2.4.2.02"/>
    <m/>
    <m/>
    <m/>
    <m/>
    <m/>
    <s v="N/A"/>
    <x v="19"/>
    <m/>
  </r>
  <r>
    <n v="14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Cuidado de la salud en el territorio"/>
    <s v="Implementacion de estatregia &quot;Ruta Segura&quot; simulacro de atencion en casos de trata de personas y violencias basadas en género. como actuar ante sospecha, situación y canalizacion de casos, con capacidad instalada en la creacion e implementacion de rutas de atención"/>
    <s v="PIC(Anexo técnico)"/>
    <n v="1"/>
    <s v="Número"/>
    <n v="0"/>
    <n v="0"/>
    <e v="#DIV/0!"/>
    <n v="0"/>
    <n v="0"/>
    <e v="#DIV/0!"/>
    <n v="1"/>
    <m/>
    <n v="0"/>
    <n v="0"/>
    <m/>
    <e v="#DIV/0!"/>
    <n v="1"/>
    <n v="0"/>
    <e v="#DIV/0!"/>
    <d v="2026-04-01T00:00:00"/>
    <d v="2027-03-31T00:00:00"/>
    <s v="N/A"/>
    <s v="SGP-SALUD-SALUD PUBLICA (1.2.4.2.02)"/>
    <s v="1.2.4.2.02"/>
    <n v="80000000"/>
    <n v="80000000"/>
    <n v="80000000"/>
    <n v="0"/>
    <s v="Personal de Salud_x000a_"/>
    <s v="N/A"/>
    <x v="19"/>
    <m/>
  </r>
  <r>
    <n v="14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de entidades territoriales, Deoparatamentales, Distritales y Municipales han implementado la estrategia de transversalización del enfoque de género en la planeacion integral en salud"/>
    <s v="A 2027 el 100%de entidades territoriales,  Municipales han implementado la estrategia de transversalización del enfoque de género en la planeacion integral en salud"/>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Desarrollar un programa radial sobre el ejercicio ciudadano de la participación social para cogestionar la garantía del derecho a la salud y desarrollar acciones para la prevención de no discriminación o estigmatización por causa o condición y  prevencion de violencia de cualquier tipo  y promocion de los entornos seguros en cada uno de los 29 municipios"/>
    <s v="Procesos transversales de la Gestion de la Salud Pública"/>
    <n v="29"/>
    <s v="Número"/>
    <n v="0"/>
    <n v="0"/>
    <e v="#DIV/0!"/>
    <n v="0"/>
    <n v="0"/>
    <e v="#DIV/0!"/>
    <n v="14"/>
    <n v="15"/>
    <n v="107.14285714285714"/>
    <n v="29"/>
    <m/>
    <n v="0"/>
    <n v="29"/>
    <n v="15"/>
    <n v="107.14285714285714"/>
    <d v="2026-04-01T00:00:00"/>
    <d v="2027-03-31T00:00:00"/>
    <s v="N/A"/>
    <s v="SGP-SALUD-SALUD PUBLICA (1.2.4.2.02)"/>
    <s v="1.2.4.2.02"/>
    <n v="60000000"/>
    <n v="60000000"/>
    <n v="60000000"/>
    <n v="0"/>
    <s v="Habitante de Calle"/>
    <s v="N/A"/>
    <x v="19"/>
    <m/>
  </r>
  <r>
    <n v="15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Políticas, planes, programas y estrategias en salud con transversalización de los enfoques de pueblos y comunidades, género y diferencial e integración de los sistemas de conocimiento propio y saberes de los pueblos y comunidades étnicas y campesinas"/>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Construccion de protocolo de atencion diferencial a la poblacion negra-afrodesciente- raizal y palanquero"/>
    <s v="Procesos transversales de la Gestion de la Salud Pública"/>
    <n v="1"/>
    <s v="Número"/>
    <n v="0"/>
    <n v="0"/>
    <e v="#DIV/0!"/>
    <n v="0"/>
    <n v="0"/>
    <e v="#DIV/0!"/>
    <n v="0"/>
    <m/>
    <e v="#DIV/0!"/>
    <n v="1"/>
    <m/>
    <n v="0"/>
    <n v="1"/>
    <n v="0"/>
    <e v="#DIV/0!"/>
    <d v="2026-02-01T00:00:00"/>
    <d v="2027-03-31T00:00:00"/>
    <s v="N/A"/>
    <s v="SGP-SALUD-SALUD PUBLICA (1.2.4.2.02)"/>
    <s v="1.2.4.2.02"/>
    <m/>
    <m/>
    <m/>
    <m/>
    <m/>
    <s v="N/A"/>
    <x v="19"/>
    <m/>
  </r>
  <r>
    <n v="15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con su respectivo tamizaje, a cada familia se le debe educar en el código internacional de Sucedáneos"/>
    <s v="PIC(Anexo técnico)"/>
    <n v="12"/>
    <s v="Número"/>
    <n v="3"/>
    <n v="0"/>
    <n v="0"/>
    <n v="3"/>
    <n v="0"/>
    <n v="0"/>
    <n v="3"/>
    <m/>
    <n v="0"/>
    <n v="3"/>
    <m/>
    <n v="0"/>
    <n v="12"/>
    <n v="0"/>
    <n v="0"/>
    <d v="2026-02-01T00:00:00"/>
    <d v="2027-03-31T00:00:00"/>
    <s v="N/A"/>
    <s v="SGP-SALUD-SALUD PUBLICA (1.2.4.2.02)"/>
    <s v="1.2.4.2.02"/>
    <n v="40000000"/>
    <n v="40000000"/>
    <n v="40000000"/>
    <n v="0"/>
    <m/>
    <s v="N/A"/>
    <x v="19"/>
    <m/>
  </r>
  <r>
    <n v="15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Prácticas, saberes Y conocimientos para la salud pública reconocidos y fortalecidos para Pueblos y comunidades étnicas, mujeres, población campesina, LBGTIQ+ y otras poblaciones por condición y/o situación."/>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4 mesas para la implemetacion piloto de atencion entre la salud ancestral y salud occidental"/>
    <s v="PIC(Anexo técnico)"/>
    <n v="4"/>
    <s v="Número"/>
    <n v="0"/>
    <n v="0"/>
    <e v="#DIV/0!"/>
    <n v="0"/>
    <n v="4"/>
    <e v="#DIV/0!"/>
    <n v="2"/>
    <m/>
    <n v="0"/>
    <n v="2"/>
    <m/>
    <n v="0"/>
    <n v="4"/>
    <n v="4"/>
    <e v="#DIV/0!"/>
    <d v="2026-04-01T00:00:00"/>
    <d v="2027-03-31T00:00:00"/>
    <s v="N/A"/>
    <s v="SGP-SALUD-SALUD PUBLICA (1.2.4.2.02)"/>
    <s v="1.2.4.2.02"/>
    <n v="40000000"/>
    <n v="40000000"/>
    <n v="40000000"/>
    <n v="0"/>
    <s v="Familias, colectivos y comunidades"/>
    <s v="N/A"/>
    <x v="19"/>
    <m/>
  </r>
  <r>
    <n v="15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educativas de socialización para promover hábitos de alimentación saludable, destacando la variedad de alimentos y su aporte nutricional en cada microterritorio en el entorno hogar utulizando el plato saludable"/>
    <s v="PIC(Anexo técnico)"/>
    <n v="2"/>
    <s v="Número"/>
    <n v="0"/>
    <n v="0"/>
    <e v="#DIV/0!"/>
    <n v="0"/>
    <n v="0"/>
    <e v="#DIV/0!"/>
    <n v="1"/>
    <m/>
    <n v="0"/>
    <n v="1"/>
    <m/>
    <n v="0"/>
    <n v="2"/>
    <n v="0"/>
    <e v="#DIV/0!"/>
    <d v="2026-04-01T00:00:00"/>
    <d v="2027-03-31T00:00:00"/>
    <s v="N/A"/>
    <s v="SGP-SALUD-SALUD PUBLICA (1.2.4.2.02)"/>
    <s v="1.2.4.2.02"/>
    <n v="40000000"/>
    <n v="40000000"/>
    <n v="40000000"/>
    <n v="0"/>
    <s v="Familias, colectivos y comunidades"/>
    <s v="N/A"/>
    <x v="19"/>
    <m/>
  </r>
  <r>
    <n v="15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en salud materna y neonatal, a mujeres en edad fertil, parteras y jefes del hogar en las comunidades priorizadas, sobre factores de riesgo de la gestante, reporte oportuno y atención en salud para evitar complicaciones en la madre y en su hijo"/>
    <s v="PIC(Anexo técnico)"/>
    <n v="2"/>
    <s v="Número"/>
    <n v="0"/>
    <n v="0"/>
    <n v="0"/>
    <n v="0"/>
    <n v="0"/>
    <e v="#DIV/0!"/>
    <n v="0"/>
    <m/>
    <e v="#DIV/0!"/>
    <n v="1"/>
    <m/>
    <n v="0"/>
    <n v="2"/>
    <n v="0"/>
    <e v="#DIV/0!"/>
    <d v="2026-02-01T00:00:00"/>
    <d v="2027-03-31T00:00:00"/>
    <s v="N/A"/>
    <s v="SGP-SALUD-SALUD PUBLICA (1.2.4.2.02)"/>
    <s v="1.2.4.2.02"/>
    <n v="40000000"/>
    <n v="40000000"/>
    <n v="40000000"/>
    <n v="0"/>
    <s v="Personal de Salud_x000a_"/>
    <s v="N/A"/>
    <x v="19"/>
    <m/>
  </r>
  <r>
    <n v="15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n el entorno escolar a niños(as) y adolescentes de 1 a 14 años, sobre la importancia de la desparasitación antihelmíntica en los municipios  priorizados "/>
    <s v="PIC(Anexo técnico)"/>
    <n v="2"/>
    <s v="Número"/>
    <n v="0"/>
    <n v="0"/>
    <e v="#DIV/0!"/>
    <n v="0"/>
    <n v="0"/>
    <e v="#DIV/0!"/>
    <n v="1"/>
    <m/>
    <n v="0"/>
    <n v="1"/>
    <m/>
    <n v="0"/>
    <n v="2"/>
    <n v="0"/>
    <e v="#DIV/0!"/>
    <d v="2026-04-01T00:00:00"/>
    <d v="2027-03-31T00:00:00"/>
    <s v="N/A"/>
    <s v="SGP-SALUD-SALUD PUBLICA (1.2.4.2.02)"/>
    <s v="1.2.4.2.02"/>
    <n v="40000000"/>
    <n v="40000000"/>
    <n v="40000000"/>
    <n v="0"/>
    <s v="Negros, Afrocolombianos, raizal y palanques"/>
    <s v="N/A"/>
    <x v="19"/>
    <m/>
  </r>
  <r>
    <n v="15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Negros- afrocolombianos-raizales-palenqueros para difundir los tres mensajes claves del programa de prevención, manejo y control de la IRA/EDA y la identificacion de signos de alarma de la Enfermedad diarreica aguda y enfermedad respiratoria aguda"/>
    <s v="PIC(Anexo técnico)"/>
    <n v="2"/>
    <s v="Número"/>
    <n v="1"/>
    <n v="0"/>
    <n v="0"/>
    <n v="1"/>
    <m/>
    <n v="0"/>
    <n v="0"/>
    <m/>
    <e v="#DIV/0!"/>
    <n v="1"/>
    <m/>
    <n v="0"/>
    <n v="2"/>
    <n v="0"/>
    <n v="0"/>
    <d v="2026-04-01T00:00:00"/>
    <d v="2027-03-31T00:00:00"/>
    <s v="N/A"/>
    <s v="SGP-SALUD-SALUD PUBLICA (1.2.4.2.02)"/>
    <s v="1.2.4.2.02"/>
    <n v="40000000"/>
    <n v="40000000"/>
    <n v="40000000"/>
    <n v="0"/>
    <s v="Negros, Afrocolombianos, raizal y palanques"/>
    <s v="N/A"/>
    <x v="19"/>
    <m/>
  </r>
  <r>
    <n v="15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Coordinar sectorial e inetrsectorialmente acciones que incentiven la demanda  de las atenciones defenidas en la resolucion 3280 de 2018 del Ministerio de Salud y Proteccion Socialm relacionadascon la primera infancia o la norma que la modifique , adicdion o sustituya"/>
    <s v="A 2031 el 100% de las Entidades Territoriales del orden departamental, distrital y municipal desarrollan mecanismos para el fortalecimiento de la rectoría en salud en su territorio, conforme a las competencias establecidas."/>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caracterizacion del territorio y poblacion negros, afrocolombianos, raizales y palenqueros asentada en el departamento con reconocimiento de la etnia en diferentes entornos en el area urbana y/o rural para la comunidad negros, afrocolombianos, raizales y palenqueros  en los microterritorios priorizados "/>
    <s v="PIC(Anexo técnico)"/>
    <n v="1"/>
    <s v="Número"/>
    <n v="0"/>
    <n v="0"/>
    <e v="#DIV/0!"/>
    <n v="0"/>
    <n v="0"/>
    <e v="#DIV/0!"/>
    <n v="0"/>
    <n v="0"/>
    <e v="#DIV/0!"/>
    <n v="1"/>
    <m/>
    <n v="0"/>
    <n v="1"/>
    <n v="0"/>
    <e v="#DIV/0!"/>
    <d v="2026-04-01T00:00:00"/>
    <d v="2027-03-31T00:00:00"/>
    <s v="N/A"/>
    <s v="SGP-SALUD-SALUD PUBLICA (1.2.4.2.02)"/>
    <s v="1.2.4.2.02"/>
    <n v="129400000"/>
    <n v="129400000"/>
    <n v="129400000"/>
    <n v="0"/>
    <s v="Negros, Afrocolombianos, raizal y palanques"/>
    <s v="N/A"/>
    <x v="19"/>
    <m/>
  </r>
  <r>
    <n v="15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Fortalecer las capacidades en los actores del sector salud y sector social en las entidades territoriales de los 29 munipicipios  del Departamento del Magdalena para gestionar de manera adecuada la atención de la población migrante y favorecer la convivencia social."/>
    <s v="Procesos transversales de la Gestion de la Salud Pública"/>
    <n v="1"/>
    <s v="Número"/>
    <n v="0"/>
    <n v="1"/>
    <e v="#DIV/0!"/>
    <n v="0"/>
    <n v="1"/>
    <e v="#DIV/0!"/>
    <n v="1"/>
    <m/>
    <n v="0"/>
    <n v="0"/>
    <m/>
    <e v="#DIV/0!"/>
    <n v="1"/>
    <n v="2"/>
    <e v="#DIV/0!"/>
    <d v="2026-04-01T00:00:00"/>
    <d v="2027-03-31T00:00:00"/>
    <s v="N/A"/>
    <s v="SGP-SALUD-SALUD PUBLICA (1.2.4.2.02)"/>
    <s v="1.2.4.2.02"/>
    <m/>
    <m/>
    <m/>
    <m/>
    <s v="Negros, Afrocolombianos, raizal y palanques"/>
    <s v="N/A"/>
    <x v="19"/>
    <m/>
  </r>
  <r>
    <n v="15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s de trabajo con cooperantes para la atención en salud de la población migrante en el departamento"/>
    <s v="Procesos transversales de la Gestion de la Salud Pública"/>
    <n v="2"/>
    <s v="Número"/>
    <n v="0"/>
    <n v="0"/>
    <e v="#DIV/0!"/>
    <n v="1"/>
    <n v="0"/>
    <n v="0"/>
    <n v="1"/>
    <m/>
    <n v="0"/>
    <n v="0"/>
    <m/>
    <e v="#DIV/0!"/>
    <n v="2"/>
    <n v="0"/>
    <n v="0"/>
    <d v="2026-04-01T00:00:00"/>
    <d v="2027-03-31T00:00:00"/>
    <s v="N/A"/>
    <s v="SGP-SALUD-SALUD PUBLICA (1.2.4.2.02)"/>
    <s v="1.2.4.2.02"/>
    <n v="10000000"/>
    <n v="10000000"/>
    <n v="10000000"/>
    <n v="0"/>
    <s v="Negros, Afrocolombianos, raizal y palanques"/>
    <s v="N/A"/>
    <x v="19"/>
    <m/>
  </r>
  <r>
    <n v="16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Primer foro de salud intercultural de los pueblos y comunidades indígenas del Magdalena: kogui, wiwa, arhuacos, chimila (SSM, IPS, EPS, Defensoría del Pueblo, promotores de salud, gremios en salud y académia)"/>
    <s v="Procesos transversales de la Gestion de la Salud Pública"/>
    <n v="1"/>
    <s v="Número"/>
    <n v="0"/>
    <n v="0"/>
    <n v="0"/>
    <n v="0"/>
    <n v="0"/>
    <e v="#DIV/0!"/>
    <n v="1"/>
    <m/>
    <n v="0"/>
    <n v="1"/>
    <m/>
    <n v="0"/>
    <n v="1"/>
    <n v="0"/>
    <e v="#DIV/0!"/>
    <d v="2026-04-01T00:00:00"/>
    <d v="2027-03-31T00:00:00"/>
    <s v="N/A"/>
    <s v="SGP-SALUD-SALUD PUBLICA (1.2.4.2.02)"/>
    <s v="1.2.4.2.02"/>
    <n v="30000000"/>
    <n v="30000000"/>
    <n v="30000000"/>
    <n v="0"/>
    <s v="Negros, Afrocolombianos, raizal y palanques"/>
    <s v="N/A"/>
    <x v="19"/>
    <m/>
  </r>
  <r>
    <n v="16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Relizar 4 mesas tematicas en territorio con la población etnica del departamento para fortalecer los procesos y practicas de salud de las comunidades y pueblos indigenas."/>
    <s v="Procesos transversales de la Gestion de la Salud Pública"/>
    <n v="4"/>
    <s v="Número"/>
    <n v="0"/>
    <n v="0"/>
    <n v="0"/>
    <n v="0"/>
    <n v="1"/>
    <e v="#DIV/0!"/>
    <n v="2"/>
    <m/>
    <n v="0"/>
    <n v="2"/>
    <m/>
    <n v="0"/>
    <n v="4"/>
    <n v="1"/>
    <e v="#DIV/0!"/>
    <d v="2026-04-01T00:00:00"/>
    <d v="2027-03-31T00:00:00"/>
    <s v="N/A"/>
    <s v="SGP-SALUD-SALUD PUBLICA (1.2.4.2.02)"/>
    <s v="1.2.4.2.02"/>
    <n v="40000000"/>
    <n v="40000000"/>
    <n v="40000000"/>
    <n v="0"/>
    <s v="Negros, Afrocolombianos, raizal y palanques"/>
    <s v="N/A"/>
    <x v="19"/>
    <m/>
  </r>
  <r>
    <n v="16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Taller con las entidades de salud, los trabajadores informales, UTI y GOTIS para promover prácticas para el mejoramiento de las condiciones de salud de esta población identificación y gestión de sus riesgos a la salud asociados a los determinantes ambientales, sanitarios, ocupacionales de la salud."/>
    <s v="Procesos transversales de la Gestion de la Salud Pública"/>
    <n v="4"/>
    <s v="Número"/>
    <n v="0"/>
    <n v="0"/>
    <e v="#DIV/0!"/>
    <n v="0"/>
    <n v="0"/>
    <e v="#DIV/0!"/>
    <n v="2"/>
    <m/>
    <n v="0"/>
    <n v="2"/>
    <m/>
    <n v="0"/>
    <n v="4"/>
    <n v="0"/>
    <e v="#DIV/0!"/>
    <d v="2026-04-01T00:00:00"/>
    <d v="2027-03-31T00:00:00"/>
    <s v="N/A"/>
    <s v="SGP-SALUD-SALUD PUBLICA (1.2.4.2.02)"/>
    <s v="1.2.4.2.02"/>
    <n v="40000000"/>
    <n v="40000000"/>
    <n v="40000000"/>
    <n v="0"/>
    <m/>
    <s v="N/A"/>
    <x v="19"/>
    <m/>
  </r>
  <r>
    <n v="16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Intevenidos determinantes sociales individuales que mitigan morbilidad y mortalidad  prematuras por enfermdades no trasmisibles"/>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izar Pruebas SRQ para la detección temprana de trastornos mentales en adultos en la poblacion infomal de los 29 munipios _x000a_"/>
    <s v="PIC(Anexo técnico)"/>
    <n v="29"/>
    <s v="Número"/>
    <n v="0"/>
    <n v="0"/>
    <e v="#DIV/0!"/>
    <n v="1"/>
    <n v="0"/>
    <n v="0"/>
    <n v="14"/>
    <m/>
    <n v="0"/>
    <n v="1"/>
    <m/>
    <n v="0"/>
    <n v="29"/>
    <n v="0"/>
    <n v="0"/>
    <d v="2026-04-01T00:00:00"/>
    <d v="2027-03-31T00:00:00"/>
    <s v="N/A"/>
    <s v="SGP-SALUD-SALUD PUBLICA (1.2.4.2.02)"/>
    <s v="1.2.4.2.02"/>
    <n v="120000000"/>
    <n v="120000000"/>
    <n v="120000000"/>
    <n v="0"/>
    <s v="Personal de Salud_x000a_"/>
    <s v="N/A"/>
    <x v="19"/>
    <m/>
  </r>
  <r>
    <n v="16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etnica indígena en los 4 municipios (Aracataca, Ciénaga, Fundación y Sabanas de San Angel) para difudinr los tres mensajes claves del programa de prevención, manejo y control de la IRA/EDA y la identificación de signos de alarma de la enfermedad diarreica aguda y enfermedad respiratoria aguda, donde se le entregara al promotor de la comunidad"/>
    <s v="PIC(Anexo técnico)"/>
    <n v="4"/>
    <s v="Número"/>
    <n v="0"/>
    <n v="0"/>
    <n v="0"/>
    <n v="0"/>
    <m/>
    <e v="#DIV/0!"/>
    <n v="1"/>
    <m/>
    <n v="0"/>
    <n v="0"/>
    <m/>
    <e v="#DIV/0!"/>
    <n v="4"/>
    <n v="0"/>
    <e v="#DIV/0!"/>
    <d v="2026-04-01T00:00:00"/>
    <d v="2027-03-31T00:00:00"/>
    <s v="N/A"/>
    <s v="SGP-SALUD-SALUD PUBLICA (1.2.4.2.02)"/>
    <s v="1.2.4.2.02"/>
    <n v="80000000"/>
    <n v="80000000"/>
    <n v="80000000"/>
    <n v="0"/>
    <s v="Personal de Salud_x000a_"/>
    <s v="N/A"/>
    <x v="19"/>
    <m/>
  </r>
  <r>
    <n v="16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es de Promoción, Prevención, Educación y Saneamiento tradicional (salud tradicional - salud intercultural - salud occidental)"/>
    <s v="PIC(Anexo técnico)"/>
    <n v="4"/>
    <s v="Número"/>
    <n v="0"/>
    <n v="0"/>
    <n v="0"/>
    <n v="0"/>
    <n v="0"/>
    <e v="#DIV/0!"/>
    <n v="2"/>
    <m/>
    <n v="0"/>
    <n v="2"/>
    <m/>
    <n v="0"/>
    <n v="4"/>
    <n v="0"/>
    <e v="#DIV/0!"/>
    <d v="2026-04-01T00:00:00"/>
    <d v="2027-03-31T00:00:00"/>
    <s v="N/A"/>
    <s v="SGP-SALUD-SALUD PUBLICA (1.2.4.2.02)"/>
    <s v="1.2.4.2.02"/>
    <n v="80000000"/>
    <n v="80000000"/>
    <n v="80000000"/>
    <n v="0"/>
    <s v="Indigenas"/>
    <s v="N/A"/>
    <x v="19"/>
    <m/>
  </r>
  <r>
    <n v="16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integral en salud materna y neonatal a Mujeres en edad fertil, gestantes en periodo de lactancia, sus familias, parteras, jefes del hogar, promotores de salud sobre la  lactancia materna y la adecuada alimentación complementaria en los microterritorios priorizados."/>
    <s v="PIC(Anexo técnico)"/>
    <n v="4"/>
    <s v="Número"/>
    <n v="0"/>
    <n v="0"/>
    <n v="0"/>
    <n v="0"/>
    <n v="0"/>
    <e v="#DIV/0!"/>
    <n v="2"/>
    <m/>
    <n v="0"/>
    <n v="2"/>
    <m/>
    <n v="0"/>
    <n v="4"/>
    <n v="0"/>
    <e v="#DIV/0!"/>
    <d v="2026-04-01T00:00:00"/>
    <d v="2027-03-31T00:00:00"/>
    <s v="N/A"/>
    <s v="SGP-SALUD-SALUD PUBLICA (1.2.4.2.02)"/>
    <s v="1.2.4.2.02"/>
    <n v="80000000"/>
    <n v="80000000"/>
    <n v="80000000"/>
    <n v="0"/>
    <s v="Personal de Salud_x000a_"/>
    <s v="N/A"/>
    <x v="19"/>
    <m/>
  </r>
  <r>
    <n v="16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 Garantizar una atención integral, intercultural y continua a la población, a través de un equipo multidisciplinario que intervenga de manera articulada en la promoción, prevención, diagnóstico y tratamiento en salud, desde la implementación del Plan de Cuidado, adaptado a la cosmovisión territorial de las comunidades indígenas, este plan se pondrá en marcha en los cuatro municipios del Departamento con reconocimiento de las etnias en diferentes entornos en el área urbana y/o rural. "/>
    <s v="PIC(Anexo técnico)"/>
    <n v="4"/>
    <s v="Número"/>
    <n v="0"/>
    <n v="0"/>
    <n v="0"/>
    <n v="0"/>
    <n v="0"/>
    <e v="#DIV/0!"/>
    <n v="14"/>
    <m/>
    <n v="0"/>
    <n v="15"/>
    <m/>
    <n v="0"/>
    <n v="4"/>
    <n v="0"/>
    <e v="#DIV/0!"/>
    <d v="2026-04-01T00:00:00"/>
    <d v="2027-03-31T00:00:00"/>
    <s v="N/A"/>
    <s v="SGP-SALUD-SALUD PUBLICA (1.2.4.2.02)"/>
    <s v="1.2.4.2.02"/>
    <n v="576000000"/>
    <n v="576000000"/>
    <n v="576000000"/>
    <n v="0"/>
    <s v="Poblacion Trabajadora Inforrmal"/>
    <s v="N/A"/>
    <x v="19"/>
    <m/>
  </r>
  <r>
    <n v="16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
    <s v="PIC(Anexo técnico)"/>
    <n v="4"/>
    <s v="Número"/>
    <n v="0"/>
    <n v="0"/>
    <n v="0"/>
    <n v="0"/>
    <n v="0"/>
    <e v="#DIV/0!"/>
    <n v="2"/>
    <m/>
    <n v="0"/>
    <n v="2"/>
    <m/>
    <n v="0"/>
    <n v="4"/>
    <n v="0"/>
    <e v="#DIV/0!"/>
    <d v="2026-04-01T00:00:00"/>
    <d v="2027-03-31T00:00:00"/>
    <s v="N/A"/>
    <s v="SGP-SALUD-SALUD PUBLICA (1.2.4.2.02)"/>
    <s v="1.2.4.2.02"/>
    <n v="18000000"/>
    <n v="18000000"/>
    <n v="18000000"/>
    <n v="0"/>
    <s v="Indigenas"/>
    <s v="N/A"/>
    <x v="19"/>
    <m/>
  </r>
  <r>
    <n v="16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
    <s v="PIC(Anexo técnico)"/>
    <n v="4"/>
    <s v="Número"/>
    <n v="0"/>
    <n v="0"/>
    <n v="0"/>
    <n v="0"/>
    <n v="0"/>
    <e v="#DIV/0!"/>
    <n v="2"/>
    <m/>
    <n v="0"/>
    <n v="2"/>
    <m/>
    <n v="0"/>
    <n v="4"/>
    <n v="0"/>
    <e v="#DIV/0!"/>
    <d v="2026-04-01T00:00:00"/>
    <d v="2027-03-31T00:00:00"/>
    <s v="N/A"/>
    <s v="SGP-SALUD-SALUD PUBLICA (1.2.4.2.02)"/>
    <s v="1.2.4.2.02"/>
    <n v="80000000"/>
    <n v="80000000"/>
    <n v="80000000"/>
    <n v="0"/>
    <s v="Indigenas"/>
    <s v="N/A"/>
    <x v="19"/>
    <m/>
  </r>
  <r>
    <n v="17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Desarrollo de capacidades al TH Indigena manejo de la DNT aguda "/>
    <s v="Procesos transversales de la Gestion de la Salud Pública"/>
    <n v="6"/>
    <s v="Número"/>
    <n v="0"/>
    <n v="0"/>
    <n v="0"/>
    <n v="0"/>
    <n v="0"/>
    <e v="#DIV/0!"/>
    <n v="2"/>
    <m/>
    <n v="0"/>
    <n v="2"/>
    <m/>
    <n v="0"/>
    <n v="6"/>
    <n v="0"/>
    <e v="#DIV/0!"/>
    <d v="2026-04-01T00:00:00"/>
    <d v="2027-03-31T00:00:00"/>
    <s v="N/A"/>
    <s v="SGP-SALUD-SALUD PUBLICA (1.2.4.2.02)"/>
    <s v="1.2.4.2.02"/>
    <n v="60000000"/>
    <n v="60000000"/>
    <n v="60000000"/>
    <n v="0"/>
    <s v="Indigenas"/>
    <s v="N/A"/>
    <x v="19"/>
    <m/>
  </r>
  <r>
    <n v="17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las capacidades del Talento Humano en_x000a_ la irnplementación de estrategias para la generación de_x000a_ conocimiento de las condiciones de salud de la población_x000a_ y sus determinantes tales como observatorios, ASIS,_x000a_ unidades de análisis, seminarios, entre otras."/>
    <s v="A 2031, mantener la tasa de mortalidad de suicidio por debajo de 5"/>
    <s v="A 2027, mantener la tasa de mortalidad de suicidio por debajo de 5"/>
    <s v="A 2031, mantener la tasa de mortalidad de suicidio por debajo de 5"/>
    <s v="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Garantizar la atención a 1.992 personas victimas de vilencia de género intrafamiliar, intentos de suicidio, entre otros trastornos relacionados con la salud mental, a traves de la línea telefónica de atención de emergencias en salud mental"/>
    <s v="Desarrollo institucional y sectorial para el ejercicio de la autoridad sanitaria"/>
    <s v="Desarrollo de capacidades a través de un taller para los actores del sistema de salud en atención integral en salud y psicosocial, para las victimas del conflicto armado (SSM, IPS, EAPB) - Normatividad - protocolo/ implementación - retos y avances."/>
    <s v="Procesos transversales de la Gestion de la Salud Pública"/>
    <n v="1"/>
    <s v="Número"/>
    <n v="0"/>
    <m/>
    <e v="#DIV/0!"/>
    <n v="0"/>
    <m/>
    <e v="#DIV/0!"/>
    <n v="2"/>
    <m/>
    <n v="0"/>
    <n v="2"/>
    <m/>
    <n v="0"/>
    <n v="1"/>
    <n v="0"/>
    <n v="0"/>
    <d v="2026-04-01T00:00:00"/>
    <d v="2027-03-31T00:00:00"/>
    <s v="N/A"/>
    <s v="SGP-SALUD-SALUD PUBLICA (1.2.4.2.02)"/>
    <s v="1.2.4.2.02"/>
    <n v="30000000"/>
    <n v="30000000"/>
    <n v="30000000"/>
    <n v="0"/>
    <s v="Indigenas"/>
    <s v="N/A"/>
    <x v="19"/>
    <m/>
  </r>
  <r>
    <n v="17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capacidades en la vigilancia sobre el uso, conservacion y aplicacion de los medicamentos dentro de los servicios farmaceuticos dependientes e independientes para minimizar errores en recpcion y dispensacion, a traves de 4 talleres"/>
    <s v="Procesos transversales de la Gestion de la Salud Pública"/>
    <n v="4"/>
    <s v="Número"/>
    <n v="0"/>
    <n v="0"/>
    <e v="#DIV/0!"/>
    <n v="0"/>
    <m/>
    <e v="#DIV/0!"/>
    <n v="2"/>
    <m/>
    <n v="0"/>
    <n v="2"/>
    <m/>
    <n v="0"/>
    <n v="4"/>
    <n v="0"/>
    <e v="#DIV/0!"/>
    <d v="2026-04-01T00:00:00"/>
    <d v="2027-03-31T00:00:00"/>
    <s v="N/A"/>
    <s v="SGP-SALUD-SALUD PUBLICA (1.2.4.2.02)"/>
    <s v="1.2.4.2.02"/>
    <n v="60000000"/>
    <n v="60000000"/>
    <n v="60000000"/>
    <n v="0"/>
    <s v="Indigenas"/>
    <s v="N/A"/>
    <x v="19"/>
    <m/>
  </r>
  <r>
    <n v="17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rticulacion Intersectorial para debatir politicas sobre el uso y conservacion de los medicamentos dentro de los servicios farmaceuticos dependientes e independientes para minimizar errores en recpcion y dispensacion, a traves de 5 reuniones "/>
    <s v="Procesos transversales de la Gestion de la Salud Pública"/>
    <n v="5"/>
    <s v="Número"/>
    <n v="0"/>
    <n v="0"/>
    <e v="#DIV/0!"/>
    <n v="0"/>
    <m/>
    <e v="#DIV/0!"/>
    <n v="2"/>
    <m/>
    <n v="0"/>
    <n v="2"/>
    <m/>
    <n v="0"/>
    <n v="5"/>
    <n v="0"/>
    <e v="#DIV/0!"/>
    <d v="2026-04-01T00:00:00"/>
    <d v="2027-03-31T00:00:00"/>
    <s v="N/A"/>
    <s v="SGP-SALUD-SALUD PUBLICA (1.2.4.2.02)"/>
    <s v="1.2.4.2.02"/>
    <n v="60000000"/>
    <n v="60000000"/>
    <n v="60000000"/>
    <n v="0"/>
    <s v="Indigenas"/>
    <s v="N/A"/>
    <x v="19"/>
    <m/>
  </r>
  <r>
    <n v="17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compra al Fondo Nacional de Estupefacientes ,para adquirir los medicamentos monopolio del estado, para garantizar la disponibilidad a la póblación, de conforidad con el plan de adquisiciones "/>
    <s v="Procesos transversales de la Gestion de la Salud Pública"/>
    <n v="1"/>
    <s v="Número"/>
    <n v="1"/>
    <n v="1"/>
    <n v="100"/>
    <m/>
    <m/>
    <e v="#DIV/0!"/>
    <n v="3"/>
    <m/>
    <n v="0"/>
    <n v="3"/>
    <m/>
    <n v="0"/>
    <n v="1"/>
    <n v="1"/>
    <n v="100"/>
    <d v="2026-04-01T00:00:00"/>
    <d v="2027-03-31T00:00:00"/>
    <s v="N/A"/>
    <s v="SGP-SALUD-SALUD PUBLICA (1.2.4.2.02)"/>
    <s v="1.2.4.2.02"/>
    <n v="270081900"/>
    <n v="270081900"/>
    <n v="270081900"/>
    <n v="49677450"/>
    <m/>
    <s v="N/A"/>
    <x v="20"/>
    <m/>
  </r>
  <r>
    <n v="17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dquirir 1000 recetarios oficiales para la prescripcion de medicamentos monopolio del Fondo Rotatorio de Estupefacientes"/>
    <s v="Procesos transversales de la Gestion de la Salud Pública"/>
    <n v="1000"/>
    <s v="Número"/>
    <n v="0"/>
    <n v="0"/>
    <e v="#DIV/0!"/>
    <m/>
    <m/>
    <e v="#DIV/0!"/>
    <n v="1"/>
    <m/>
    <n v="0"/>
    <m/>
    <m/>
    <e v="#DIV/0!"/>
    <n v="1000"/>
    <n v="0"/>
    <e v="#DIV/0!"/>
    <d v="2026-04-01T00:00:00"/>
    <d v="2027-03-31T00:00:00"/>
    <s v="N/A"/>
    <s v="SGP-SALUD-SALUD PUBLICA (1.2.4.2.02)"/>
    <s v="1.2.4.2.02"/>
    <n v="20000000"/>
    <n v="20000000"/>
    <n v="20000000"/>
    <n v="0"/>
    <m/>
    <s v="N/A"/>
    <x v="1"/>
    <m/>
  </r>
  <r>
    <n v="17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talecer el sistema de informacion institucional, para garantizar respuestas oportunas, completas y trazables a los requerimientos de los entes de control atraves de la actualizacion del Sistema Integrado de Vigilancia Sanitaria. Que permitan cantralizar, organizar y hacer seguimiento a cada solicitud desde su recepcion hasta su cierre."/>
    <s v="Procesos transversales de la Gestion de la Salud Pública"/>
    <n v="100"/>
    <s v="Número"/>
    <n v="0"/>
    <n v="0"/>
    <e v="#DIV/0!"/>
    <n v="0"/>
    <n v="0"/>
    <e v="#DIV/0!"/>
    <n v="50"/>
    <m/>
    <n v="0"/>
    <n v="50"/>
    <m/>
    <n v="0"/>
    <n v="100"/>
    <n v="0"/>
    <e v="#DIV/0!"/>
    <d v="2026-04-01T00:00:00"/>
    <d v="2027-03-31T00:00:00"/>
    <s v="N/A"/>
    <s v="SGP-SALUD-SALUD PUBLICA (1.2.4.2.02)"/>
    <s v="1.2.4.2.02"/>
    <n v="71161000"/>
    <n v="71161000"/>
    <n v="71161000"/>
    <n v="0"/>
    <s v="Personal de Salud_x000a_"/>
    <s v="N/A"/>
    <x v="1"/>
    <m/>
  </r>
  <r>
    <n v="17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os Departamentos, Distritos y Municipios del País integran en su Planes de Desarrollo Territoriales estrategias para afectar de manera positiva los determinantes sociales de la salud en sus territorios.    "/>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Generar espacios de encuentro y coordinación intersectorial con actores del sistema de vigilancia en salud pública una vez por mes (cove), reuniones de estadisticas vitales y reuniones bimensuales para fortalecer la respuesta, control y seguimiento a los EISP del departamento con otros actores."/>
    <s v="Procesos transversales de la Gestion de la Salud Pública"/>
    <n v="22"/>
    <s v="Número"/>
    <n v="4"/>
    <n v="4"/>
    <n v="100"/>
    <n v="6"/>
    <n v="6"/>
    <n v="100"/>
    <n v="6"/>
    <m/>
    <n v="0"/>
    <n v="6"/>
    <m/>
    <n v="0"/>
    <n v="22"/>
    <n v="10"/>
    <n v="100"/>
    <d v="2026-04-01T00:00:00"/>
    <d v="2027-03-31T00:00:00"/>
    <s v="N/A"/>
    <s v="SGP-SALUD-SALUD PUBLICA (1.2.4.2.02)"/>
    <s v="1.2.4.2.02"/>
    <n v="65000000"/>
    <n v="65000000"/>
    <n v="65000000"/>
    <n v="65000000"/>
    <s v="Personal de Salud_x000a_"/>
    <s v="N/A"/>
    <x v="21"/>
    <m/>
  </r>
  <r>
    <n v="17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la gestión de los insumos necesarios para dar respuesta de manera oportuna y eficiente a los EISP y EISPII del departamento"/>
    <s v="Procesos transversales de la Gestion de la Salud Pública"/>
    <n v="5"/>
    <s v="Número"/>
    <n v="0"/>
    <n v="0"/>
    <e v="#DIV/0!"/>
    <n v="1"/>
    <n v="4"/>
    <n v="400"/>
    <n v="4"/>
    <m/>
    <n v="0"/>
    <n v="0"/>
    <m/>
    <e v="#DIV/0!"/>
    <n v="5"/>
    <n v="4"/>
    <n v="400"/>
    <d v="2026-04-01T00:00:00"/>
    <d v="2027-03-31T00:00:00"/>
    <s v="N/A"/>
    <s v="RECURSOS PROPIOS DE ESTABLECIMIENTOS PUBLICOS O UNIDADES ADMINISTRATIVAS ESPECIALES (1.2.5.1.00)"/>
    <s v="1.2.5.1.00"/>
    <n v="218000000"/>
    <n v="218000000"/>
    <n v="218000000"/>
    <n v="0"/>
    <s v="Personal de Salud_x000a_"/>
    <s v="N/A"/>
    <x v="21"/>
    <m/>
  </r>
  <r>
    <n v="17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Gestión territorial para el cuidado de la salud basado en la atención prima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ncuesta de evaluación de coberturas de vacunación en zona urbana y rural de los 29 Municipios de Departamento"/>
    <s v="Procesos transversales de la Gestion de la Salud Pública"/>
    <n v="1"/>
    <s v="Documento"/>
    <n v="0"/>
    <n v="0"/>
    <e v="#DIV/0!"/>
    <n v="0"/>
    <n v="0"/>
    <e v="#DIV/0!"/>
    <n v="1"/>
    <m/>
    <n v="0"/>
    <n v="0"/>
    <m/>
    <e v="#DIV/0!"/>
    <n v="1"/>
    <n v="0"/>
    <e v="#DIV/0!"/>
    <d v="2026-04-01T00:00:00"/>
    <d v="2027-03-31T00:00:00"/>
    <s v="N/A"/>
    <s v="RECURSOS PROPIOS DE ESTABLECIMIENTOS PUBLICOS O UNIDADES ADMINISTRATIVAS ESPECIALES (1.2.5.1.00)"/>
    <s v="1.2.5.1.00"/>
    <n v="190000000"/>
    <n v="190000000"/>
    <n v="190000000"/>
    <n v="0"/>
    <s v="Personal de Salud_x000a_"/>
    <s v="N/A"/>
    <x v="21"/>
    <m/>
  </r>
  <r>
    <n v="18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Brindar asistencia técnica a las 29 direcciones territoriales de salud para verificar y fortalecer el funcionamiento del Sistema de Vigilancia en Salud Pública, con énfasis en la calidad de la notificación de los Eventos de Interés en Salud Pública (EISP), la implementación de los lineamientos nacionales del INS y la aplicación estandarizada de los protocolos vigentes."/>
    <s v="Procesos transversales de la Gestion de la Salud Pública"/>
    <n v="100"/>
    <s v="Porcentaje"/>
    <n v="10"/>
    <n v="92"/>
    <n v="919.99999999999989"/>
    <n v="30"/>
    <n v="84"/>
    <n v="280"/>
    <n v="30"/>
    <m/>
    <n v="0"/>
    <n v="30"/>
    <m/>
    <n v="0"/>
    <n v="100"/>
    <n v="176"/>
    <n v="440.00000000000006"/>
    <d v="2026-04-01T00:00:00"/>
    <d v="2027-03-31T00:00:00"/>
    <s v="N/A"/>
    <s v="RECURSOS PROPIOS DE ESTABLECIMIENTOS PUBLICOS O UNIDADES ADMINISTRATIVAS ESPECIALES (1.2.5.1.00)"/>
    <s v="1.2.5.1.00"/>
    <m/>
    <m/>
    <m/>
    <n v="0"/>
    <s v="Personal de Salud_x000a_"/>
    <s v="N/A"/>
    <x v="21"/>
    <m/>
  </r>
  <r>
    <n v="18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Actualizar y divulgar una vez al año el analisis de situacion en salud del departamento incluyendo la poblacion pertenecinete a grupos Etnicos, para conocer y comprender la complejidad en que se desarrollan los procesos de salud, enfermedad y calidad de vida de las poblaciones, permitiendo la adecuada y pertinente planeación de intervenciones."/>
    <s v="Procesos transversales de la Gestion de la Salud Pública"/>
    <n v="1"/>
    <s v="Documento"/>
    <n v="0"/>
    <n v="0"/>
    <e v="#DIV/0!"/>
    <n v="0"/>
    <n v="0"/>
    <e v="#DIV/0!"/>
    <n v="0"/>
    <m/>
    <e v="#DIV/0!"/>
    <n v="1"/>
    <m/>
    <n v="0"/>
    <n v="1"/>
    <n v="0"/>
    <e v="#DIV/0!"/>
    <d v="2026-04-01T00:00:00"/>
    <d v="2027-03-31T00:00:00"/>
    <s v="N/A"/>
    <s v="SGP-SALUD-SALUD PUBLICA (1.2.4.2.02)"/>
    <s v="1.2.4.2.02"/>
    <n v="60000000"/>
    <n v="60000000"/>
    <n v="60000000"/>
    <n v="0"/>
    <m/>
    <s v="N/A"/>
    <x v="21"/>
    <m/>
  </r>
  <r>
    <n v="18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l 100% de unidades de análisis de las mortalidades por EISP y de casos de morbilidad por EISP según lineamientos del INS"/>
    <s v="Procesos transversales de la Gestion de la Salud Pública"/>
    <n v="70"/>
    <s v="Porcentaje"/>
    <n v="8"/>
    <n v="15"/>
    <n v="187.5"/>
    <n v="21"/>
    <n v="26"/>
    <n v="123.80952380952381"/>
    <n v="21"/>
    <m/>
    <n v="0"/>
    <n v="20"/>
    <m/>
    <n v="0"/>
    <n v="70"/>
    <n v="41"/>
    <n v="141.37931034482759"/>
    <d v="2026-04-01T00:00:00"/>
    <d v="2027-03-31T00:00:00"/>
    <s v="N/A"/>
    <s v="SGP-SALUD-SALUD PUBLICA (1.2.4.2.02)"/>
    <s v="1.2.4.2.02"/>
    <m/>
    <m/>
    <m/>
    <n v="0"/>
    <m/>
    <s v="N/A"/>
    <x v="21"/>
    <m/>
  </r>
  <r>
    <n v="18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
    <s v="Fortalecimiento de las capacidades del Talento Humano en el acceso y uso de la oferta actual de información pública de salud y de otros sector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Desarrollar procesos de capacitación dirigidos al talento humano operativo de la Secretaría de Salud, orientados al fortalecimiento de competencias técnicas en vigilancia en salud pública, con el fin de mejorar la calidad del análisis, la notificación y la respuesta institucional frente a los eventos de interés en salud pública"/>
    <s v="Procesos transversales de la Gestion de la Salud Pública"/>
    <n v="5"/>
    <s v="Número"/>
    <n v="0"/>
    <n v="0"/>
    <e v="#DIV/0!"/>
    <n v="1"/>
    <n v="4"/>
    <n v="400"/>
    <n v="2"/>
    <m/>
    <n v="0"/>
    <n v="2"/>
    <m/>
    <n v="0"/>
    <n v="5"/>
    <n v="4"/>
    <n v="400"/>
    <d v="2026-04-01T00:00:00"/>
    <d v="2027-03-31T00:00:00"/>
    <s v="N/A"/>
    <s v="SGP-SALUD-SALUD PUBLICA (1.2.4.2.02)"/>
    <s v="1.2.4.2.02"/>
    <n v="327000000"/>
    <n v="327000000"/>
    <n v="327000000"/>
    <n v="0"/>
    <s v="Familias, colectivos y comunidades"/>
    <s v="N/A"/>
    <x v="21"/>
    <m/>
  </r>
  <r>
    <n v="18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Nivel Nacional y entes territoriales preparados y fortalecidos para la gestión del conocimiento, prevención, y atención sectorial e intersectorial de emergencias, desastres y pandemias."/>
    <s v="Fortalecimiento de capacidades comunitarias en la gestión del riesgo de emergencias y desastres que afecten la salud de la población."/>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talleres de REVCOM para fortalecer la participación social y comunitaria en la identificación oportuna de EISP o situaciones de riesgo en salud de la población general y poblacion migrante."/>
    <s v="Procesos transversales de la Gestion de la Salud Pública"/>
    <n v="2"/>
    <s v="Número"/>
    <n v="0"/>
    <n v="0"/>
    <e v="#DIV/0!"/>
    <n v="2"/>
    <n v="2"/>
    <n v="100"/>
    <n v="0"/>
    <m/>
    <e v="#DIV/0!"/>
    <n v="0"/>
    <m/>
    <e v="#DIV/0!"/>
    <n v="2"/>
    <n v="2"/>
    <n v="100"/>
    <d v="2026-02-01T00:00:00"/>
    <d v="2027-03-31T00:00:00"/>
    <s v="N/A"/>
    <s v="SGP-SALUD-SALUD PUBLICA (1.2.4.2.02)"/>
    <s v="1.2.4.2.02"/>
    <n v="80000000"/>
    <n v="80000000"/>
    <n v="80000000"/>
    <n v="80000000"/>
    <s v="Personal de Salud_x000a_"/>
    <s v="N/A"/>
    <x v="21"/>
    <m/>
  </r>
  <r>
    <n v="18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Producción, organización, depuración y reporte de la información en salud pública"/>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Elaborar, analisar y divulgar boletines epidemiológicos quincenales con información actualizada sobre la dinámica de los Eventos de Interés en Salud Pública (EISP) notificados a la Unidad Notificadora Departamental (UND), incorporando el análisis diferencial por etnia, con el propósito de fortalecer la respuesta intersectorial, orientar las políticas, apoyar la planeación en salud y facilitar la toma oportuna de decisiones."/>
    <s v="Procesos transversales de la Gestion de la Salud Pública"/>
    <n v="24"/>
    <s v="Documento"/>
    <n v="6"/>
    <n v="6"/>
    <n v="100"/>
    <n v="6"/>
    <n v="6"/>
    <n v="100"/>
    <n v="6"/>
    <m/>
    <n v="0"/>
    <n v="6"/>
    <m/>
    <n v="0"/>
    <n v="24"/>
    <n v="12"/>
    <n v="100"/>
    <d v="2026-04-01T00:00:00"/>
    <d v="2027-03-31T00:00:00"/>
    <s v="N/A"/>
    <s v="SGP-SALUD-SALUD PUBLICA (1.2.4.2.02)"/>
    <s v="1.2.4.2.02"/>
    <m/>
    <m/>
    <m/>
    <m/>
    <s v="Personal de Salud_x000a_"/>
    <s v="N/A"/>
    <x v="21"/>
    <m/>
  </r>
  <r>
    <n v="18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Fortalecimiento de las capacidades del Talento Humano en la implementación de estrategias para la generación de conocimiento de las condiciones de salud de la población y sus determinantes tales como observatorios, ASIS, unidades de análisis, seminarios,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Socializar periódicamente con cada área de la Secretaría de Salud los datos específicos relacionados con los Eventos de Interés en Salud Pública (EISP) y los principales fenómenos epidemiológicos de los municipios, con el fin de fortalecer la planificación, ejecución y evaluación de las intervenciones en salud pública a nivel departamental; mediante reuniones de articulación interáreas y la realización de salas de análisis de riesgo."/>
    <s v="Procesos transversales de la Gestion de la Salud Pública"/>
    <n v="55"/>
    <s v="Documento"/>
    <n v="10"/>
    <n v="21"/>
    <n v="210"/>
    <n v="15"/>
    <n v="45"/>
    <n v="300"/>
    <n v="15"/>
    <m/>
    <n v="0"/>
    <n v="15"/>
    <m/>
    <n v="0"/>
    <n v="55"/>
    <n v="66"/>
    <n v="264"/>
    <d v="2026-02-01T00:00:00"/>
    <d v="2027-03-31T00:00:00"/>
    <s v="N/A"/>
    <s v="SGP-SALUD-SALUD PUBLICA (1.2.4.2.02)"/>
    <s v="1.2.4.2.02"/>
    <m/>
    <m/>
    <m/>
    <m/>
    <s v="Personal de Salud_x000a_"/>
    <s v="N/A"/>
    <x v="21"/>
    <m/>
  </r>
  <r>
    <n v="18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recoleccion mensual de los residuos peligrosos y químicos en el laboratorio de salud publica del Magdalena"/>
    <s v="Procesos transversales de la Gestion de la Salud Pública"/>
    <n v="100"/>
    <s v="Porcentaje"/>
    <n v="0"/>
    <m/>
    <e v="#DIV/0!"/>
    <n v="1"/>
    <m/>
    <n v="0"/>
    <n v="2"/>
    <m/>
    <n v="0"/>
    <n v="2"/>
    <m/>
    <n v="0"/>
    <n v="100"/>
    <n v="0"/>
    <n v="0"/>
    <d v="2026-04-01T00:00:00"/>
    <d v="2027-03-31T00:00:00"/>
    <s v="N/A"/>
    <s v="SGP-SALUD-SALUD PUBLICA (1.2.4.2.02)"/>
    <s v="1.2.4.2.02"/>
    <n v="25000000"/>
    <n v="25000000"/>
    <n v="25000000"/>
    <n v="0"/>
    <s v="Personal de Salud_x000a_"/>
    <s v="N/A"/>
    <x v="20"/>
    <m/>
  </r>
  <r>
    <n v="18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transporte aéreo y terrestre de sustancias infecciosas, aguas , alimentos y material entomologico al Instituto Nacional de Salud, INVIMA y otros laboratorios del País."/>
    <s v="Procesos transversales de la Gestion de la Salud Pública"/>
    <n v="100"/>
    <s v="Porcentaje"/>
    <n v="0"/>
    <m/>
    <e v="#DIV/0!"/>
    <n v="1"/>
    <m/>
    <n v="0"/>
    <n v="2"/>
    <m/>
    <n v="0"/>
    <n v="1"/>
    <m/>
    <n v="0"/>
    <n v="100"/>
    <n v="0"/>
    <n v="0"/>
    <d v="2026-04-01T00:00:00"/>
    <d v="2027-03-31T00:00:00"/>
    <s v="N/A"/>
    <s v="SGP-SALUD-SALUD PUBLICA (1.2.4.2.02)"/>
    <s v="1.2.4.2.02"/>
    <n v="70000000"/>
    <n v="70000000"/>
    <n v="70000000"/>
    <n v="0"/>
    <s v="Familias, colectivos y comunidades"/>
    <s v="N/A"/>
    <x v="20"/>
    <m/>
  </r>
  <r>
    <n v="18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ursos de entrenamiento para profesionales de la salud, en montaje y lectura de pruebas rapidas de VIH, Hepatitis y sifilis en el marco del cumplimiento de la Resolución 1314/2020"/>
    <s v="Procesos transversales de la Gestion de la Salud Pública"/>
    <n v="5"/>
    <s v="Número"/>
    <n v="6"/>
    <m/>
    <n v="0"/>
    <n v="6"/>
    <m/>
    <n v="0"/>
    <n v="6"/>
    <m/>
    <n v="0"/>
    <n v="6"/>
    <m/>
    <n v="0"/>
    <n v="5"/>
    <n v="0"/>
    <n v="0"/>
    <d v="2026-04-01T00:00:00"/>
    <d v="2027-03-31T00:00:00"/>
    <s v="N/A"/>
    <s v="SGP-SALUD-SALUD PUBLICA (1.2.4.2.02)"/>
    <s v="1.2.4.2.02"/>
    <n v="110000000"/>
    <n v="110000000"/>
    <n v="110000000"/>
    <n v="0"/>
    <s v="Personal de Salud_x000a_"/>
    <s v="N/A"/>
    <x v="20"/>
    <m/>
  </r>
  <r>
    <n v="19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Curso teórico Práctico de herramientas diagnósticas de eventos de interés de Salud Pública a toda la red departamental"/>
    <s v="Procesos transversales de la Gestion de la Salud Pública"/>
    <n v="4"/>
    <s v="Número"/>
    <n v="10"/>
    <m/>
    <n v="0"/>
    <n v="15"/>
    <m/>
    <n v="0"/>
    <n v="15"/>
    <m/>
    <n v="0"/>
    <n v="15"/>
    <m/>
    <n v="0"/>
    <n v="4"/>
    <n v="0"/>
    <n v="0"/>
    <d v="2026-02-01T00:00:00"/>
    <d v="2027-03-31T00:00:00"/>
    <s v="N/A"/>
    <s v="SGP-SALUD-SALUD PUBLICA (1.2.4.2.02)"/>
    <s v="1.2.4.2.02"/>
    <n v="80000000"/>
    <n v="80000000"/>
    <n v="80000000"/>
    <n v="0"/>
    <s v="Personal de Salud_x000a_"/>
    <s v="N/A"/>
    <x v="20"/>
    <m/>
  </r>
  <r>
    <n v="19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correctivo, calibración y calificación de los equipos del Laboratorio de Salud Publica, asegurando el cumplimiento de los requisitos del Organismo Nacional de Acreditación de Colombia ONAC y su documento normativo CEA-4.1-02 de Los proveedores."/>
    <s v="Procesos transversales de la Gestion de la Salud Pública"/>
    <n v="100"/>
    <s v="Porcentaje"/>
    <n v="25"/>
    <m/>
    <n v="0"/>
    <n v="25"/>
    <m/>
    <n v="0"/>
    <n v="25"/>
    <m/>
    <n v="0"/>
    <n v="25"/>
    <m/>
    <n v="0"/>
    <n v="100"/>
    <n v="0"/>
    <n v="0"/>
    <d v="2026-04-01T00:00:00"/>
    <d v="2027-03-31T00:00:00"/>
    <s v="N/A"/>
    <s v="SGP-SALUD-SALUD PUBLICA (1.2.4.2.02)"/>
    <s v="1.2.4.2.02"/>
    <n v="500000000"/>
    <n v="500000000"/>
    <n v="500000000"/>
    <n v="0"/>
    <s v="Personal de Salud_x000a_"/>
    <s v="N/A"/>
    <x v="22"/>
    <m/>
  </r>
  <r>
    <n v="19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y Correctivo de la Planta Electrica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d v="2026-04-01T00:00:00"/>
    <d v="2027-03-31T00:00:00"/>
    <s v="N/A"/>
    <s v="SGP-SALUD-SALUD PUBLICA (1.2.4.2.02)"/>
    <s v="1.2.4.2.02"/>
    <n v="40000000"/>
    <n v="40000000"/>
    <n v="40000000"/>
    <n v="0"/>
    <s v="Personal de Salud_x000a_"/>
    <s v="N/A"/>
    <x v="22"/>
    <m/>
  </r>
  <r>
    <n v="19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equipos biomedicos, de sistema de informacion, para cumplir con los procesos misionales y para la bioseguridad en el LSP que garantice las acciones de vigilancia de salud Pública por el LSP ."/>
    <s v="Procesos transversales de la Gestion de la Salud Pública"/>
    <n v="100"/>
    <s v="Porcentaje"/>
    <n v="1"/>
    <m/>
    <n v="0"/>
    <n v="2"/>
    <m/>
    <n v="0"/>
    <n v="1"/>
    <m/>
    <n v="0"/>
    <n v="1"/>
    <m/>
    <n v="0"/>
    <n v="100"/>
    <n v="0"/>
    <n v="0"/>
    <d v="2026-04-01T00:00:00"/>
    <d v="2027-03-31T00:00:00"/>
    <s v="N/A"/>
    <s v="SGP-SALUD-SALUD PUBLICA (1.2.4.2.02)"/>
    <s v="1.2.4.2.02"/>
    <n v="500000000"/>
    <n v="500000000"/>
    <n v="500000000"/>
    <n v="0"/>
    <s v="Personal de Salud_x000a_"/>
    <s v="N/A"/>
    <x v="22"/>
    <m/>
  </r>
  <r>
    <n v="19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insumos y reactivos para cumplir con los procesos misionales y para la bioseguridad en el LSP que garantice las acciones de vigilancia de salud Pública por el LSP ."/>
    <s v="Procesos transversales de la Gestion de la Salud Pública"/>
    <n v="100"/>
    <s v="Porcentaje"/>
    <n v="1"/>
    <m/>
    <n v="0"/>
    <n v="1"/>
    <m/>
    <n v="0"/>
    <n v="1"/>
    <m/>
    <n v="0"/>
    <n v="1"/>
    <m/>
    <n v="0"/>
    <n v="100"/>
    <n v="0"/>
    <n v="0"/>
    <d v="2026-04-01T00:00:00"/>
    <d v="2027-03-31T00:00:00"/>
    <s v="N/A"/>
    <s v="SGP-SALUD-SALUD PUBLICA (1.2.4.2.02)"/>
    <s v="1.2.4.2.02"/>
    <n v="1000000000"/>
    <n v="1000000000"/>
    <n v="1000000000"/>
    <n v="0"/>
    <s v="Personal de Salud_x000a_"/>
    <s v="N/A"/>
    <x v="22"/>
    <m/>
  </r>
  <r>
    <n v="19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Mantenimiento y actualizacion de software para el Laboratorio de Salud Publica para el manejo del sistema de gestion de la calidad"/>
    <s v="Procesos transversales de la Gestion de la Salud Pública"/>
    <n v="100"/>
    <s v="Porcentaje"/>
    <n v="25"/>
    <m/>
    <n v="0"/>
    <n v="25"/>
    <m/>
    <n v="0"/>
    <n v="25"/>
    <m/>
    <n v="0"/>
    <n v="25"/>
    <m/>
    <n v="0"/>
    <n v="100"/>
    <n v="0"/>
    <n v="0"/>
    <d v="2026-04-01T00:00:00"/>
    <d v="2027-03-31T00:00:00"/>
    <s v="N/A"/>
    <s v="SGP-SALUD-SALUD PUBLICA (1.2.4.2.02)"/>
    <s v="1.2.4.2.02"/>
    <n v="100000000"/>
    <n v="100000000"/>
    <n v="100000000"/>
    <n v="0"/>
    <s v="Personal de Salud_x000a_"/>
    <s v="N/A"/>
    <x v="22"/>
    <m/>
  </r>
  <r>
    <n v="19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Adquisicion de software para gestionar las muestras en el area Microbiologia de Alimentos para laboratorio de salud publica"/>
    <s v="Procesos transversales de la Gestion de la Salud Pública"/>
    <n v="1"/>
    <s v="Número"/>
    <n v="25"/>
    <m/>
    <n v="0"/>
    <n v="25"/>
    <m/>
    <n v="0"/>
    <n v="25"/>
    <m/>
    <n v="0"/>
    <n v="25"/>
    <m/>
    <n v="0"/>
    <n v="1"/>
    <n v="0"/>
    <n v="0"/>
    <d v="2026-04-01T00:00:00"/>
    <d v="2027-03-31T00:00:00"/>
    <s v="N/A"/>
    <s v="SGP-SALUD-SALUD PUBLICA (1.2.4.2.02)"/>
    <s v="1.2.4.2.02"/>
    <n v="200000000"/>
    <n v="200000000"/>
    <n v="200000000"/>
    <n v="0"/>
    <s v="Personal de Salud_x000a_"/>
    <s v="N/A"/>
    <x v="22"/>
    <m/>
  </r>
  <r>
    <n v="19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control de plagas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d v="2026-04-01T00:00:00"/>
    <d v="2027-03-31T00:00:00"/>
    <s v="N/A"/>
    <s v="SGP-SALUD-SALUD PUBLICA (1.2.4.2.02)"/>
    <s v="1.2.4.2.02"/>
    <n v="10000000"/>
    <n v="10000000"/>
    <n v="10000000"/>
    <n v="0"/>
    <s v="Personal de Salud_x000a_"/>
    <s v="N/A"/>
    <x v="22"/>
    <m/>
  </r>
  <r>
    <n v="19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analisis de vertimientos de acuerdo a la resolucion Resolución 0631 de 2015 el cual debe llevarlo a cabo una laboratorio acreditado."/>
    <s v="Procesos transversales de la Gestion de la Salud Pública"/>
    <n v="100"/>
    <s v="Porcentaje"/>
    <n v="25"/>
    <m/>
    <n v="0"/>
    <n v="25"/>
    <m/>
    <n v="0"/>
    <n v="25"/>
    <m/>
    <n v="0"/>
    <n v="25"/>
    <m/>
    <n v="0"/>
    <n v="100"/>
    <n v="0"/>
    <n v="0"/>
    <d v="2026-04-01T00:00:00"/>
    <d v="2027-03-31T00:00:00"/>
    <s v="N/A"/>
    <s v="SGP-SALUD-SALUD PUBLICA (1.2.4.2.02)"/>
    <s v="1.2.4.2.02"/>
    <n v="10000000"/>
    <n v="10000000"/>
    <n v="10000000"/>
    <n v="0"/>
    <s v="Personal de Salud_x000a_"/>
    <s v="N/A"/>
    <x v="22"/>
    <m/>
  </r>
  <r>
    <n v="19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mantenimiento de motobombas y limpieza y desinfeccion del sistema de suministro de agua del laboratorio de salud Publica el cual debe llevarlo a cabo 2 veces al año una empresa cuyo domicilio principal y razon social este en la ciudad de Santa Marta (Magdalena)."/>
    <s v="Procesos transversales de la Gestion de la Salud Pública"/>
    <n v="100"/>
    <s v="Porcentaje"/>
    <n v="25"/>
    <m/>
    <n v="0"/>
    <n v="25"/>
    <m/>
    <n v="0"/>
    <n v="25"/>
    <m/>
    <n v="0"/>
    <n v="25"/>
    <m/>
    <n v="0"/>
    <n v="100"/>
    <n v="0"/>
    <n v="0"/>
    <d v="2026-04-01T00:00:00"/>
    <d v="2027-03-31T00:00:00"/>
    <s v="N/A"/>
    <s v="SGP-SALUD-SALUD PUBLICA (1.2.4.2.02)"/>
    <s v="1.2.4.2.02"/>
    <n v="15000000"/>
    <n v="15000000"/>
    <n v="15000000"/>
    <n v="0"/>
    <s v="Personal de Salud_x000a_"/>
    <s v="N/A"/>
    <x v="22"/>
    <m/>
  </r>
  <r>
    <n v="20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migracion de la Norma ISO/IEC 17025 2005 a Norma ISO/IEC 17025 2017 para dar cumplimiento a los halazgos del INS e INVIMA y actualizar el sistema de Gestion de la Calidad del laboratorio de Salud Publica"/>
    <s v="Procesos transversales de la Gestion de la Salud Pública"/>
    <n v="100"/>
    <s v="Porcentaje"/>
    <m/>
    <m/>
    <e v="#DIV/0!"/>
    <m/>
    <m/>
    <e v="#DIV/0!"/>
    <m/>
    <m/>
    <e v="#DIV/0!"/>
    <n v="1"/>
    <m/>
    <n v="0"/>
    <n v="100"/>
    <n v="0"/>
    <n v="0"/>
    <d v="2026-04-01T00:00:00"/>
    <d v="2027-03-31T00:00:00"/>
    <s v="N/A"/>
    <s v="SGP-SALUD-SALUD PUBLICA (1.2.4.2.02)"/>
    <s v="1.2.4.2.02"/>
    <n v="70000000"/>
    <n v="70000000"/>
    <n v="70000000"/>
    <n v="0"/>
    <s v="Personal de Salud_x000a_"/>
    <s v="N/A"/>
    <x v="22"/>
    <m/>
  </r>
  <r>
    <n v="20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encuentro de laboratorios de Banco Sangre departamental para la concertar estrategias para la concientizacion de la donacion de sangre"/>
    <s v="Procesos transversales de la Gestion de la Salud Pública"/>
    <n v="1"/>
    <s v="Número"/>
    <n v="25"/>
    <m/>
    <n v="0"/>
    <n v="25"/>
    <m/>
    <n v="0"/>
    <n v="25"/>
    <m/>
    <n v="0"/>
    <n v="25"/>
    <m/>
    <n v="0"/>
    <n v="1"/>
    <n v="0"/>
    <n v="0"/>
    <d v="2026-04-01T00:00:00"/>
    <d v="2027-03-31T00:00:00"/>
    <s v="N/A"/>
    <s v="SGP-SALUD-SALUD PUBLICA (1.2.4.2.02)"/>
    <s v="1.2.4.2.02"/>
    <n v="50000000"/>
    <n v="50000000"/>
    <n v="50000000"/>
    <n v="0"/>
    <s v="Personal de Salud_x000a_"/>
    <s v="N/A"/>
    <x v="22"/>
    <m/>
  </r>
  <r>
    <n v="20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85-A 2031, 15% de municipios endémicos para malaria pasan de categoría de riesgo 4 a 3"/>
    <s v="85-A 2031, 15% de municipios endémicos para malaria pasan de categoría de riesgo 4 a 3"/>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Hacer captura de material entomologico para malaria, chagas y leishmaniasis en municipios priorizados según programacion definida"/>
    <s v="Procesos transversales de la Gestion de la Salud Pública"/>
    <n v="100"/>
    <s v="Porcentaje"/>
    <n v="25"/>
    <m/>
    <n v="0"/>
    <n v="25"/>
    <m/>
    <n v="0"/>
    <n v="25"/>
    <m/>
    <n v="0"/>
    <n v="25"/>
    <m/>
    <n v="0"/>
    <n v="100"/>
    <n v="0"/>
    <n v="0"/>
    <d v="2026-04-01T00:00:00"/>
    <d v="2027-03-31T00:00:00"/>
    <s v="N/A"/>
    <s v="SGP-SALUD-SALUD PUBLICA (1.2.4.2.02)"/>
    <s v="1.2.4.2.02"/>
    <m/>
    <m/>
    <m/>
    <m/>
    <s v="Personal de Salud_x000a_"/>
    <s v="N/A"/>
    <x v="22"/>
    <m/>
  </r>
  <r>
    <n v="20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 calidad de agua para consumo humano (IRCA ) de los municipios del departamento del Magdalena con reporte a SIVICAP"/>
    <s v="Procesos transversales de la Gestion de la Salud Pública"/>
    <n v="120"/>
    <s v="Número"/>
    <n v="25"/>
    <m/>
    <n v="0"/>
    <n v="25"/>
    <m/>
    <n v="0"/>
    <n v="25"/>
    <m/>
    <n v="0"/>
    <n v="25"/>
    <m/>
    <n v="0"/>
    <n v="120"/>
    <n v="0"/>
    <n v="0"/>
    <d v="2026-04-01T00:00:00"/>
    <d v="2027-03-31T00:00:00"/>
    <s v="N/A"/>
    <s v="SGP-SALUD-SALUD PUBLICA (1.2.4.2.02)"/>
    <s v="1.2.4.2.02"/>
    <m/>
    <m/>
    <m/>
    <m/>
    <s v="Personal de Salud_x000a_"/>
    <s v="N/A"/>
    <x v="22"/>
    <m/>
  </r>
  <r>
    <n v="20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os alimentos y ETAS en los municipios del Departamento del Magdalena y su reporte al Epiinfo."/>
    <s v="Procesos transversales de la Gestion de la Salud Pública"/>
    <n v="12"/>
    <s v="Número"/>
    <n v="25"/>
    <m/>
    <n v="0"/>
    <n v="25"/>
    <m/>
    <n v="0"/>
    <n v="25"/>
    <m/>
    <n v="0"/>
    <n v="25"/>
    <m/>
    <n v="0"/>
    <n v="12"/>
    <n v="0"/>
    <n v="0"/>
    <d v="2026-04-01T00:00:00"/>
    <d v="2027-03-31T00:00:00"/>
    <s v="N/A"/>
    <s v="SGP-SALUD-SALUD PUBLICA (1.2.4.2.02)"/>
    <s v="1.2.4.2.02"/>
    <m/>
    <m/>
    <m/>
    <m/>
    <s v="Personal de Salud_x000a_"/>
    <s v="N/A"/>
    <x v="22"/>
    <m/>
  </r>
  <r>
    <n v="20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s Intoxicación ocasionadas por plaguicidas, organofosforados y carbamatos en Municipios priorizados del Departamento del Magdalena."/>
    <s v="Procesos transversales de la Gestion de la Salud Pública"/>
    <n v="4"/>
    <s v="Número"/>
    <m/>
    <m/>
    <e v="#DIV/0!"/>
    <m/>
    <m/>
    <e v="#DIV/0!"/>
    <n v="1"/>
    <m/>
    <n v="0"/>
    <m/>
    <m/>
    <e v="#DIV/0!"/>
    <n v="4"/>
    <n v="0"/>
    <n v="0"/>
    <d v="2026-04-01T00:00:00"/>
    <d v="2027-03-31T00:00:00"/>
    <s v="N/A"/>
    <s v="SGP-SALUD-SALUD PUBLICA (1.2.4.2.02)"/>
    <s v="1.2.4.2.02"/>
    <m/>
    <m/>
    <m/>
    <m/>
    <s v="Personal de Salud_x000a_"/>
    <s v="N/A"/>
    <x v="22"/>
    <m/>
  </r>
  <r>
    <n v="20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ontrol de Calidad por laboratorio de los eventos de interes en salud publica de las muestras enviadas por la red de laboratorios del Distrito y del Departamento"/>
    <s v="Procesos transversales de la Gestion de la Salud Pública"/>
    <n v="400"/>
    <s v="Porcentaje"/>
    <n v="25"/>
    <m/>
    <n v="0"/>
    <n v="25"/>
    <m/>
    <n v="0"/>
    <n v="25"/>
    <m/>
    <n v="0"/>
    <n v="25"/>
    <m/>
    <n v="0"/>
    <n v="400"/>
    <n v="0"/>
    <n v="0"/>
    <d v="2026-02-01T00:00:00"/>
    <d v="2027-03-31T00:00:00"/>
    <s v="N/A"/>
    <s v="SGP-SALUD-SALUD PUBLICA (1.2.4.2.02)"/>
    <s v="1.2.4.2.02"/>
    <m/>
    <m/>
    <m/>
    <m/>
    <s v="Personal de Salud_x000a_"/>
    <s v="N/A"/>
    <x v="22"/>
    <m/>
  </r>
  <r>
    <n v="20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9-A 2031, 50% de las personas que son confirmadas por banco de sangre para HTLV, VIH, Hepatitis B y C, enfermedad de Chagas y sífilis acceden a la atención integral en salud."/>
    <s v="79-A 2031, 50% de las personas que son confirmadas por banco de sangre para HTLV, VIH, Hepatitis B y C, enfermedad de Chagas y sífilis acceden a la atención integral en salud."/>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visitas e inspeccion y asistencia tecnicas a los Bancos de sangre del Departamento del Magdalena"/>
    <s v="Procesos transversales de la Gestion de la Salud Pública"/>
    <n v="9"/>
    <s v="Número"/>
    <n v="30"/>
    <m/>
    <n v="0"/>
    <n v="30"/>
    <m/>
    <n v="0"/>
    <n v="30"/>
    <m/>
    <n v="0"/>
    <n v="30"/>
    <m/>
    <n v="0"/>
    <n v="9"/>
    <n v="0"/>
    <n v="0"/>
    <d v="2026-02-01T00:00:00"/>
    <d v="2027-03-31T00:00:00"/>
    <s v="N/A"/>
    <s v="SGP-SALUD-SALUD PUBLICA (1.2.4.2.02)"/>
    <s v="1.2.4.2.02"/>
    <m/>
    <m/>
    <m/>
    <m/>
    <s v="Personal de Salud_x000a_"/>
    <s v="N/A"/>
    <x v="22"/>
    <m/>
  </r>
  <r>
    <n v="20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Gestionar la contratación del talento humano operativo para el desarrollo de los procesos a cargo de la Entidad territorial como autoridad sanitaria, orientados a que las estrategias, procedimientos e intervenciones de Salud Pública se realicen de manera efectiva, coordinada y organizada entre los diferentes actores del SGSSS, otros sectores y la comunidad."/>
    <s v="Procesos transversales de la Gestion de la Salud Pública"/>
    <n v="100"/>
    <s v="Porcentaje"/>
    <n v="3"/>
    <m/>
    <n v="0"/>
    <n v="3"/>
    <m/>
    <n v="0"/>
    <n v="3"/>
    <m/>
    <n v="0"/>
    <n v="3"/>
    <m/>
    <n v="0"/>
    <n v="100"/>
    <n v="0"/>
    <n v="0"/>
    <d v="2026-02-01T00:00:00"/>
    <d v="2027-03-31T00:00:00"/>
    <s v="N/A"/>
    <s v="SGP-SALUD-SALUD PUBLICA (1.2.4.2.02)"/>
    <s v="1.2.4.2.02"/>
    <n v="6174978000"/>
    <n v="6174978000"/>
    <n v="6174978000"/>
    <n v="0"/>
    <s v="Personal de Salud_x000a_"/>
    <s v="N/A"/>
    <x v="22"/>
    <m/>
  </r>
  <r>
    <n v="20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frente a la planeacion integral en salud, la Formulacion coherente, pertinente y oportuna de las intervenciones del PIC/GSP Resolucion 1597/25"/>
    <s v="Procesos transversales de la Gestion de la Salud Pública"/>
    <n v="2"/>
    <s v="Número"/>
    <n v="0"/>
    <m/>
    <e v="#DIV/0!"/>
    <n v="1"/>
    <m/>
    <n v="0"/>
    <n v="2"/>
    <m/>
    <n v="0"/>
    <n v="1"/>
    <m/>
    <n v="0"/>
    <n v="2"/>
    <n v="0"/>
    <n v="0"/>
    <d v="2026-02-01T00:00:00"/>
    <d v="2027-03-31T00:00:00"/>
    <s v="N/A"/>
    <s v="SGP-SALUD-SALUD PUBLICA (1.2.4.2.02)"/>
    <s v="1.2.4.2.02"/>
    <n v="100000000"/>
    <n v="100000000"/>
    <n v="100000000"/>
    <n v="0"/>
    <s v="Personal de Salud_x000a_"/>
    <s v="N/A"/>
    <x v="22"/>
    <m/>
  </r>
  <r>
    <n v="21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los EBS para la optima ejecucion de las acciones en campo"/>
    <s v="Procesos transversales de la Gestion de la Salud Pública"/>
    <n v="2"/>
    <s v="Número"/>
    <n v="100"/>
    <m/>
    <n v="0"/>
    <n v="100"/>
    <m/>
    <n v="0"/>
    <n v="100"/>
    <m/>
    <n v="0"/>
    <n v="100"/>
    <m/>
    <n v="0"/>
    <n v="2"/>
    <n v="0"/>
    <n v="0"/>
    <d v="2026-02-01T00:00:00"/>
    <d v="2027-03-31T00:00:00"/>
    <s v="N/A"/>
    <s v="SGP-SALUD-SALUD PUBLICA (1.2.4.2.02)"/>
    <s v="1.2.4.2.02"/>
    <n v="100000000"/>
    <n v="100000000"/>
    <n v="100000000"/>
    <n v="0"/>
    <s v="Personal de Salud_x000a_"/>
    <s v="N/A"/>
    <x v="22"/>
    <m/>
  </r>
  <r>
    <n v="21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en Plan Terrirotial de Salud"/>
    <s v="Procesos transversales de la Gestion de la Salud Pública"/>
    <n v="4"/>
    <s v="Número"/>
    <n v="0"/>
    <m/>
    <e v="#DIV/0!"/>
    <n v="3"/>
    <m/>
    <n v="0"/>
    <n v="3"/>
    <m/>
    <n v="0"/>
    <n v="3"/>
    <m/>
    <n v="0"/>
    <n v="4"/>
    <n v="0"/>
    <n v="0"/>
    <d v="2026-02-01T00:00:00"/>
    <d v="2027-03-31T00:00:00"/>
    <s v="N/A"/>
    <s v="SGP-SALUD-SALUD PUBLICA (1.2.4.2.02)"/>
    <s v="1.2.4.2.02"/>
    <n v="80000000"/>
    <n v="80000000"/>
    <n v="80000000"/>
    <n v="0"/>
    <s v="Personal de Salud_x000a_"/>
    <s v="N/A"/>
    <x v="22"/>
    <m/>
  </r>
  <r>
    <n v="21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Mejorar la dotacion del Fondo Rotatorio de Estupefacientes con la adquisicion de 4 aires acondicionados ( 2 de 24000 BTU, 2 12000 BTU), desmonte de aires viejos e instalación de los nuevos."/>
    <s v="Procesos transversales de la Gestion de la Salud Pública"/>
    <n v="100"/>
    <s v="Número"/>
    <m/>
    <m/>
    <e v="#DIV/0!"/>
    <n v="60"/>
    <m/>
    <n v="0"/>
    <n v="20"/>
    <m/>
    <n v="0"/>
    <n v="20"/>
    <m/>
    <n v="0"/>
    <n v="100"/>
    <n v="0"/>
    <n v="0"/>
    <d v="2026-02-01T00:00:00"/>
    <d v="2027-03-31T00:00:00"/>
    <s v="N/A"/>
    <s v="SGP-SALUD-SALUD PUBLICA (1.2.4.2.02)"/>
    <s v="1.2.4.2.02"/>
    <n v="30000000"/>
    <n v="30000000"/>
    <n v="30000000"/>
    <n v="0"/>
    <s v="Personal de Salud_x000a_"/>
    <s v="N/A"/>
    <x v="23"/>
    <m/>
  </r>
  <r>
    <n v="213"/>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DESARROLLO INSTITUCIONAL Y SECTORIAL PARA EL EJERCICIO DE LA AUTORIDAD SANITARIA."/>
    <s v="Diseñar y formalizar el protocolo técnico-operativo de la línea telefónica departamental de atención en salud mental por parte de la Secretaría Seccional de Salud del Magdalena mediante acto administrativo que defina ruta de atención, perfiles del talento humano, articulación intersectorial y sistema de monitoreo"/>
    <s v="Procesos transversales de la Gestion de la Salud Pública"/>
    <n v="1"/>
    <s v="Documento"/>
    <m/>
    <m/>
    <e v="#DIV/0!"/>
    <m/>
    <m/>
    <e v="#DIV/0!"/>
    <n v="2"/>
    <m/>
    <n v="0"/>
    <m/>
    <m/>
    <e v="#DIV/0!"/>
    <n v="1"/>
    <n v="0"/>
    <n v="0"/>
    <d v="2026-04-01T00:00:00"/>
    <d v="2027-03-31T00:00:00"/>
    <s v="N/A"/>
    <s v="SGP-SALUD-SALUD PUBLICA (1.2.4.2.02)"/>
    <s v="1.2.4.2.02"/>
    <n v="15000000"/>
    <n v="15000000"/>
    <n v="15000000"/>
    <n v="0"/>
    <s v="Personal de Salud_x000a_"/>
    <s v="N/A"/>
    <x v="24"/>
    <m/>
  </r>
  <r>
    <n v="214"/>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ACUERDOS SOCIALES Y COMUNITARIOS PARA LA TRANSFORMACIÓN DE LAS INEQUIDADES EN SALUD  Y LA INCIDENCIA SOBRE LOS DETERMINANTES SOCIALES DE LA SALUD EN EL TERRITORIO."/>
    <s v="Concertar acuerdos territoriales de promoción y uso de la línea telefónica de salud mental con actores comunitarios, educativos y sociales del departamento del Magdalena mediante mesas de trabajo que definan estrategias de difusión, enfoque diferencial y canales de referencia comunitaria."/>
    <s v="Procesos transversales de la Gestion de la Salud Pública"/>
    <n v="100"/>
    <s v="Porcentaaje de gestión"/>
    <m/>
    <m/>
    <e v="#DIV/0!"/>
    <n v="2"/>
    <m/>
    <n v="0"/>
    <n v="2"/>
    <m/>
    <n v="0"/>
    <m/>
    <m/>
    <e v="#DIV/0!"/>
    <n v="100"/>
    <n v="0"/>
    <n v="0"/>
    <d v="2026-04-01T00:00:00"/>
    <d v="2026-03-31T00:00:00"/>
    <s v="N/A"/>
    <s v="SGP-SALUD-SALUD PUBLICA (1.2.4.2.02)"/>
    <s v="1.2.4.2.02"/>
    <n v="58000000"/>
    <n v="58000000"/>
    <n v="58000000"/>
    <n v="0"/>
    <s v="Personal de Salud_x000a_"/>
    <s v="N/A"/>
    <x v="24"/>
    <m/>
  </r>
  <r>
    <n v="215"/>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Cuidado de la Salud en el Territorio."/>
    <s v="Implementar la operación continua de la línea telefónica departamental de atención en salud mental por el equipo interdisciplinario contratado mediante prestación de servicio 24/7 que garantice orientación, intervención en crisis y activación oportuna de la ruta de atención en el territorio."/>
    <s v="Procesos transversales de la Gestion de la Salud Pública"/>
    <n v="360"/>
    <s v="dias"/>
    <m/>
    <m/>
    <e v="#DIV/0!"/>
    <m/>
    <m/>
    <e v="#DIV/0!"/>
    <n v="2"/>
    <m/>
    <n v="0"/>
    <n v="2"/>
    <m/>
    <n v="0"/>
    <n v="360"/>
    <n v="0"/>
    <n v="0"/>
    <d v="2026-04-01T00:00:00"/>
    <d v="2027-03-31T00:00:00"/>
    <s v="N/A"/>
    <s v="SGP-SALUD-SALUD PUBLICA (1.2.4.2.02)"/>
    <s v="1.2.4.2.02"/>
    <n v="60000000"/>
    <n v="60000000"/>
    <n v="60000000"/>
    <n v="0"/>
    <s v="Personal de Salud_x000a_"/>
    <s v="N/A"/>
    <x v="24"/>
    <m/>
  </r>
  <r>
    <n v="216"/>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DESARROLLO INSTITUCIONAL Y SECTORIAL PARA EL EJERCICIO DE LA AUTORIDAD SANITARIA."/>
    <s v="Diseñar y adoptar el plan técnico departamental de comunicación en salud sexual y reproductiva para IED priorizadas por la Secretaría Seccional de Salud del Magdalena mediante acto administrativo que defina lineamientos pedagógicos, enfoque diferencial, articulación con sector educación y sistema de seguimiento."/>
    <s v="Procesos transversales de la Gestion de la Salud Pública"/>
    <n v="1"/>
    <s v="Documento( Plan )"/>
    <n v="0"/>
    <n v="0"/>
    <e v="#DIV/0!"/>
    <n v="0"/>
    <n v="0"/>
    <e v="#DIV/0!"/>
    <n v="1"/>
    <m/>
    <n v="0"/>
    <n v="0"/>
    <m/>
    <e v="#DIV/0!"/>
    <n v="1"/>
    <n v="0"/>
    <e v="#DIV/0!"/>
    <d v="2026-04-01T00:00:00"/>
    <d v="2027-03-31T00:00:00"/>
    <s v="N/A"/>
    <s v="SGP-SALUD-SALUD PUBLICA (1.2.4.2.02)"/>
    <s v="1.2.4.2.02"/>
    <m/>
    <m/>
    <m/>
    <m/>
    <s v="Personal de Salud_x000a_"/>
    <s v="N/A"/>
    <x v="1"/>
    <m/>
  </r>
  <r>
    <n v="217"/>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ACUERDOS SOCIALES Y COMUNITARIOS PARA LA TRANSFORMACIÓN DE LAS INEQUIDADES EN SALUD  Y LA INCIDENCIA SOBRE LOS DETERMINANTES SOCIALES DE LA SALUD EN EL TERRITORIO."/>
    <s v="Concertar acuerdos intersectoriales de implementación de estrategias de educomunicación en salud sexual y reproductiva con directivos docentes, asociaciones de padres y líderes juveniles en los municipios del departamento mediante mesas territoriales que definan compromisos, rutas de participación y mecanismos de corresponsabilidad."/>
    <s v="Procesos transversales de la Gestion de la Salud Pública"/>
    <n v="29"/>
    <s v="municipios"/>
    <m/>
    <m/>
    <e v="#DIV/0!"/>
    <m/>
    <m/>
    <e v="#DIV/0!"/>
    <n v="1"/>
    <m/>
    <n v="0"/>
    <m/>
    <m/>
    <e v="#DIV/0!"/>
    <n v="29"/>
    <n v="0"/>
    <n v="0"/>
    <d v="2026-04-01T00:00:00"/>
    <d v="2027-03-31T00:00:00"/>
    <m/>
    <s v="SGP-SALUD-SALUD PUBLICA (1.2.4.2.02)"/>
    <s v="1.2.4.2.02"/>
    <n v="30000000"/>
    <n v="30000000"/>
    <n v="30000000"/>
    <n v="0"/>
    <s v="Familias, colectivos y comunidades"/>
    <s v="N/A"/>
    <x v="25"/>
    <m/>
  </r>
  <r>
    <n v="218"/>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Cuidado de la Salud en el Territorio."/>
    <s v="Implementar jornadas pedagógicas y campañas educomunicativas en salud sexual y reproductiva en IED priorizadas por el equipo técnico de salud pública en cada municipio  del Deparatemento para la activación de rutas de orientación y acceso a servicios amigables."/>
    <s v="Procesos transversales de la Gestion de la Salud Pública"/>
    <n v="29"/>
    <s v="municipios"/>
    <m/>
    <m/>
    <e v="#DIV/0!"/>
    <m/>
    <m/>
    <e v="#DIV/0!"/>
    <n v="50"/>
    <m/>
    <n v="0"/>
    <n v="50"/>
    <m/>
    <n v="0"/>
    <n v="29"/>
    <n v="0"/>
    <n v="0"/>
    <d v="2026-04-01T00:00:00"/>
    <d v="2027-03-31T00:00:00"/>
    <m/>
    <s v="SGP-SALUD-SALUD PUBLICA (1.2.4.2.02)"/>
    <s v="1.2.4.2.02"/>
    <n v="30000000"/>
    <n v="30000000"/>
    <n v="30000000"/>
    <n v="0"/>
    <s v="Familias, colectivos y comunidades"/>
    <s v="NA"/>
    <x v="25"/>
    <m/>
  </r>
  <r>
    <n v="219"/>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DESARROLLO INSTITUCIONAL Y SECTORIAL PARA EL EJERCICIO DE LA AUTORIDAD SANITARIA."/>
    <s v="Adoptar y reglamentar la estrategia nacional de prevención de la conducta suicida en las IPS públicas del departamento por la Secretaría Seccional de Salud del Magdalena mediante acto administrativo que defina lineamientos técnicos, responsabilidades institucionales, indicadores de seguimiento y sistema de reporte obligatorio"/>
    <s v="Procesos transversales de la Gestion de la Salud Pública"/>
    <n v="1"/>
    <s v="Estrategia"/>
    <n v="0"/>
    <n v="0"/>
    <e v="#DIV/0!"/>
    <n v="0"/>
    <n v="0"/>
    <e v="#DIV/0!"/>
    <n v="1"/>
    <m/>
    <n v="0"/>
    <n v="0"/>
    <m/>
    <e v="#DIV/0!"/>
    <n v="1"/>
    <n v="0"/>
    <e v="#DIV/0!"/>
    <d v="2026-04-01T00:00:00"/>
    <d v="2027-03-31T00:00:00"/>
    <m/>
    <s v="SGP-SALUD-SALUD PUBLICA (1.2.4.2.02)"/>
    <s v="1.2.4.2.02"/>
    <m/>
    <m/>
    <m/>
    <m/>
    <s v="Familias, colectivos y comunidades"/>
    <s v="NA"/>
    <x v="5"/>
    <m/>
  </r>
  <r>
    <n v="220"/>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ACUERDOS SOCIALES Y COMUNITARIOS PARA LA TRANSFORMACIÓN DE LAS INEQUIDADES EN SALUD  Y LA INCIDENCIA SOBRE LOS DETERMINANTES SOCIALES DE LA SALUD EN EL TERRITORIO."/>
    <s v="Articular compromisos intersectoriales de prevención de la conducta suicida con sector educativo, comisarías de familia y organizaciones comunitarias del departamento mediante mesas territoriales que establezcan rutas de detección temprana, referencia y acompañamiento psicosocial."/>
    <s v="Procesos transversales de la Gestion de la Salud Pública"/>
    <n v="100"/>
    <s v="Porcentaaje de gestión"/>
    <n v="100"/>
    <n v="0"/>
    <n v="0"/>
    <n v="100"/>
    <n v="46"/>
    <n v="46"/>
    <n v="100"/>
    <m/>
    <n v="0"/>
    <n v="100"/>
    <m/>
    <n v="0"/>
    <n v="100"/>
    <n v="46"/>
    <n v="23"/>
    <d v="2026-04-01T00:00:00"/>
    <d v="2027-03-31T00:00:00"/>
    <m/>
    <m/>
    <m/>
    <m/>
    <m/>
    <m/>
    <m/>
    <s v="Familias, colectivos y comunidades"/>
    <s v="NA"/>
    <x v="5"/>
    <m/>
  </r>
  <r>
    <n v="221"/>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Cuidado de la Salud en el Territorio."/>
    <s v="mplementar la estrategia nacional de prevención de la conducta suicida en las IPS públicas del departamento por los equipos interdisciplinarios de salud mental mediante capacitación al talento humano, tamizaje sistemático de riesgo y activación oportuna de la ruta integral de atención."/>
    <s v="Procesos transversales de la Gestion de la Salud Pública"/>
    <n v="1"/>
    <s v="Estrategia"/>
    <n v="0"/>
    <n v="0"/>
    <e v="#DIV/0!"/>
    <n v="0"/>
    <n v="0"/>
    <e v="#DIV/0!"/>
    <n v="1"/>
    <m/>
    <n v="0"/>
    <m/>
    <m/>
    <e v="#DIV/0!"/>
    <n v="1"/>
    <n v="0"/>
    <e v="#DIV/0!"/>
    <d v="2026-04-01T00:00:00"/>
    <d v="2027-03-31T00:00:00"/>
    <m/>
    <s v="SGP-SALUD-SALUD PUBLICA (1.2.4.2.02)"/>
    <s v="1.2.4.2.02"/>
    <n v="30000000"/>
    <n v="30000000"/>
    <n v="30000000"/>
    <n v="0"/>
    <s v="Adolescencia"/>
    <s v="NA"/>
    <x v="5"/>
    <m/>
  </r>
  <r>
    <n v="222"/>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establecerán en el 100% de los Departamentos y Distritos, sistemas de alerta temprana para la identificación del riesgo por el cambio climático y la posible vulnerabilidad de la población desde un enfoque territorial.  "/>
    <s v="Fortalecimiento de capacidades comunitarias en la gestión del riesgo de emergencias y desastres que afecten la salud de la población.  "/>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Mé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Articular compromisos comunitarios de apoyo a la vigilancia epidemiológica con actores sociales y educativos de los 29 municipios mediante jornadas participativas que promuevan la identificación temprana de eventos y la activación de rutas institucionales."/>
    <s v="Procesos transversales de la Gestion de la Salud Pública"/>
    <n v="29"/>
    <s v="municipios"/>
    <n v="0"/>
    <n v="0"/>
    <e v="#DIV/0!"/>
    <n v="5"/>
    <n v="0"/>
    <n v="0"/>
    <n v="13"/>
    <m/>
    <n v="0"/>
    <n v="11"/>
    <m/>
    <n v="0"/>
    <n v="29"/>
    <n v="0"/>
    <n v="0"/>
    <d v="2026-04-01T00:00:00"/>
    <d v="2027-03-31T00:00:00"/>
    <m/>
    <s v="SGP-SALUD-SALUD PUBLICA (1.2.4.2.02)"/>
    <s v="1.2.4.2.02"/>
    <m/>
    <m/>
    <m/>
    <m/>
    <s v="Adolescencia"/>
    <s v="NA"/>
    <x v="25"/>
    <m/>
  </r>
  <r>
    <n v="223"/>
    <s v="Deficiencias en la infraestructura sanitaria que se ve reflejada en bajas coberturas de alcantarillado y prestación del servicio de aseo, así como la mala calidad del agua, que condiciona la incidencia de enfermedades transmitidas por el agua y los alimentos, infecciones gastrointestinales, parasitosis y otras enfermedades de origen hídrico."/>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Lograr la formulación  y socialización de Planes municipales de Gestion integrl de riesgos de desastres en los 29 municipios"/>
    <s v="CUIDADO DE LA SALUD EN EL TERRITORIO."/>
    <s v="Médico en tu casa"/>
    <s v="Fortalecimiento de Estrategias para la Promoción de la Salud y Prevención de Enfermedades en Comunidades, mediante acciones Integrales, Participativas y Sostenibles en el Departamento del Magdalena."/>
    <s v="Lograr la formulación  y socialización de Planes municipales de Gestion integrl de riesgos de desastres en los 29 municipios"/>
    <s v="Cuidado de la Salud en el Territorio."/>
    <s v="Implementar procesos territoriales de acompañamiento técnico para la formulación y socialización de los Planes Municipales de Gestión Integral del Riesgo de Desastres en los 29 municipios por el equipo departamental de salud pública mediante asistencia técnica directa, simulacros comunitarios y validación participativa de rutas de respuesta en salud."/>
    <s v="Procesos transversales de la Gestion de la Salud Pública"/>
    <n v="29"/>
    <s v="municipios"/>
    <n v="0"/>
    <n v="0"/>
    <e v="#DIV/0!"/>
    <n v="5"/>
    <n v="0"/>
    <n v="0"/>
    <n v="13"/>
    <m/>
    <n v="0"/>
    <n v="11"/>
    <m/>
    <n v="0"/>
    <n v="29"/>
    <n v="0"/>
    <n v="0"/>
    <d v="2026-04-01T00:00:00"/>
    <d v="2027-03-31T00:00:00"/>
    <m/>
    <m/>
    <m/>
    <m/>
    <m/>
    <m/>
    <m/>
    <s v="Personal de Salud."/>
    <s v="NA"/>
    <x v="25"/>
    <m/>
  </r>
  <r>
    <n v="22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a 2031 Contener la tasa de Mortalidad en menores de 5 años"/>
    <s v="Lograr que los 29 municipios conozcan y apliquen el reglamento sanitario internacional 2005"/>
    <s v="CUIDADO DE LA SALUD EN EL TERRITORIO."/>
    <s v="Médico en tu casa"/>
    <s v="Fortalecimiento de Estrategias para la Promoción de la Salud y Prevención de Enfermedades en Comunidades, mediante acciones Integrales, Participativas y Sostenibles en el Departamento del Magdalena."/>
    <s v="Lograr que los 29 municipios conozcan y apliquen el reglamento sanitario internacional 2005"/>
    <s v="Cuidado de la Salud en el Territorio."/>
    <s v="Implementar procesos de capacitación y acompañamiento técnico para la aplicación del Reglamento Sanitario Internacional 2005 en los 29 municipios por el equipo departamental de vigilancia en salud pública mediante talleres prácticos, simulacros de eventos de importancia internacional y seguimiento a la activación de capacidades básicas locales"/>
    <s v="Procesos transversales de la Gestion de la Salud Pública"/>
    <n v="29"/>
    <s v="municipios"/>
    <n v="0"/>
    <n v="0"/>
    <e v="#DIV/0!"/>
    <n v="5"/>
    <n v="0"/>
    <n v="0"/>
    <n v="13"/>
    <m/>
    <n v="0"/>
    <n v="11"/>
    <m/>
    <n v="0"/>
    <n v="29"/>
    <n v="0"/>
    <n v="0"/>
    <d v="2026-04-01T00:00:00"/>
    <d v="2027-03-31T00:00:00"/>
    <m/>
    <m/>
    <m/>
    <m/>
    <m/>
    <m/>
    <m/>
    <s v="Familias, colectivos y comunidades"/>
    <m/>
    <x v="25"/>
    <m/>
  </r>
  <r>
    <n v="225"/>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socialización RSI 2006"/>
    <s v="A 2027 Lograr promover el conocimiento de riesgos de desastres en los 29 municipios con el fin de que respondan con eficacia ante las emergencias y desastres que enfrenten"/>
    <s v="CUIDADO DE LA SALUD EN EL TERRITORIO."/>
    <s v="Médico en tu casa"/>
    <s v="Fortalecimiento de Estrategias para la Promoción de la Salud y Prevención de Enfermedades en Comunidades, mediante acciones Integrales, Participativas y Sostenibles en el Departamento del Magdalena."/>
    <s v="Lograr promover el conocimiento de riesgos de desastres en los 29 municipios con el fin de que respondan con eficacia ante las emergencias y desastres que enfrenten"/>
    <s v="Cuidado de la Salud en el Territorio."/>
    <s v="Implementar programas municipales de preparación y respuesta en gestión del riesgo de desastres en los 29 municipios por el equipo departamental de emergencias en salud mediante realización de mínimo un simulacro anual por municipio, capacitación certificada a líderes comunitarios y evaluación técnica de planes de respuesta sanitaria."/>
    <s v="Procesos transversales de la Gestion de la Salud Pública"/>
    <n v="29"/>
    <s v="municipios"/>
    <n v="0"/>
    <n v="0"/>
    <e v="#DIV/0!"/>
    <n v="5"/>
    <n v="0"/>
    <n v="0"/>
    <n v="13"/>
    <m/>
    <n v="0"/>
    <n v="11"/>
    <m/>
    <n v="0"/>
    <n v="29"/>
    <n v="0"/>
    <n v="0"/>
    <d v="2026-04-01T00:00:00"/>
    <d v="2027-03-31T00:00:00"/>
    <m/>
    <s v="SGP-SALUD-SALUD PUBLICA (1.2.4.2.02)"/>
    <s v="1.2.4.2.02"/>
    <m/>
    <m/>
    <m/>
    <m/>
    <s v="Personal de Salud."/>
    <m/>
    <x v="25"/>
    <m/>
  </r>
  <r>
    <n v="226"/>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tarias nacionales, distritales y locales, aseguradoras y prestadores, así como de la comunidad y entidades de otros sectores."/>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n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4 Mesas de Saneamiento de Cartera trimestral (Circular conjunta 030 de 2013) con su respectivo seguimiento a la red prestadora de salud del Departamento del Magdalena."/>
    <s v="Procesos transversales de la Gestion de la Salud Pública"/>
    <n v="4"/>
    <s v="Número"/>
    <m/>
    <m/>
    <e v="#DIV/0!"/>
    <n v="5"/>
    <m/>
    <n v="0"/>
    <n v="13"/>
    <m/>
    <n v="0"/>
    <n v="11"/>
    <m/>
    <n v="0"/>
    <n v="4"/>
    <n v="0"/>
    <n v="0"/>
    <d v="2026-04-01T00:00:00"/>
    <d v="2027-03-31T00:00:00"/>
    <m/>
    <m/>
    <m/>
    <n v="10826626481"/>
    <n v="10826626481"/>
    <n v="10826626481"/>
    <n v="0"/>
    <s v="Familias, colectivos y comunidades"/>
    <m/>
    <x v="26"/>
    <m/>
  </r>
  <r>
    <n v="227"/>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sistencias tecnicas  presenciales y/o virtuales en materia de aseguramiento a los entes territoriales municipales del Departamento del Magdalena. Realizar 4 Mesas de Saneamiento de Cartera trimestral (Circular conjunta 030 de 2013) con su respectivo seguimiento a la red prestadora de salud del Departamento del Magdalena"/>
    <s v="Procesos transversales de la Gestion de la Salud Pública"/>
    <n v="60"/>
    <s v="Número"/>
    <m/>
    <m/>
    <e v="#DIV/0!"/>
    <n v="5"/>
    <m/>
    <n v="0"/>
    <n v="13"/>
    <m/>
    <n v="0"/>
    <n v="11"/>
    <m/>
    <n v="0"/>
    <n v="60"/>
    <n v="0"/>
    <n v="0"/>
    <d v="2026-04-01T00:00:00"/>
    <d v="2027-03-31T00:00:00"/>
    <m/>
    <m/>
    <m/>
    <n v="300000000"/>
    <n v="300000000"/>
    <n v="300000000"/>
    <n v="0"/>
    <s v="Familias, colectivos y comunidades"/>
    <m/>
    <x v="26"/>
    <m/>
  </r>
  <r>
    <n v="228"/>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cciones de Inspección, Vigilancia y Control - IVC en materia de Aseguramiento (Base de Datos, Flujo de Recursos, Contratación Red, Auditorias, Régimen Subsidiado, Regimen Contributivo y Especial), del Departamento del Magdalena"/>
    <s v="Procesos transversales de la Gestion de la Salud Pública"/>
    <n v="60"/>
    <s v="Número"/>
    <m/>
    <m/>
    <e v="#DIV/0!"/>
    <n v="5"/>
    <m/>
    <n v="0"/>
    <n v="13"/>
    <m/>
    <n v="0"/>
    <n v="11"/>
    <m/>
    <n v="0"/>
    <n v="60"/>
    <n v="0"/>
    <n v="0"/>
    <d v="2026-04-01T00:00:00"/>
    <d v="2027-03-31T00:00:00"/>
    <m/>
    <m/>
    <m/>
    <n v="4926057603"/>
    <n v="4926057603"/>
    <n v="4926057603"/>
    <n v="0"/>
    <s v="Familias, colectivos y comunidades"/>
    <m/>
    <x v="26"/>
    <m/>
  </r>
  <r>
    <n v="229"/>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verificación a los informes de Inspección y Vigilancias a las Entidades Promotoras de Salud - EPS realizados por los 29 Entes Territoriales Municipales. D emanera semestral."/>
    <s v="Procesos transversales de la Gestion de la Salud Pública"/>
    <n v="58"/>
    <s v="Número"/>
    <m/>
    <m/>
    <e v="#DIV/0!"/>
    <n v="5"/>
    <m/>
    <n v="0"/>
    <n v="13"/>
    <m/>
    <n v="0"/>
    <n v="11"/>
    <m/>
    <n v="0"/>
    <n v="58"/>
    <n v="0"/>
    <n v="0"/>
    <d v="2026-04-01T00:00:00"/>
    <d v="2027-03-31T00:00:00"/>
    <m/>
    <m/>
    <m/>
    <n v="1782154298"/>
    <n v="1782154298"/>
    <n v="1782154298"/>
    <n v="0"/>
    <s v="Familias, colectivos y comunidades"/>
    <m/>
    <x v="26"/>
    <m/>
  </r>
  <r>
    <n v="230"/>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Lograr afiliación de 68986 personas en e departamento al año 2026"/>
    <s v="Procesos transversales de la Gestion de la Salud Pública"/>
    <n v="68986"/>
    <s v="Número"/>
    <n v="1"/>
    <m/>
    <n v="0"/>
    <n v="1"/>
    <m/>
    <n v="0"/>
    <n v="1"/>
    <m/>
    <n v="0"/>
    <n v="1"/>
    <m/>
    <n v="0"/>
    <n v="68986"/>
    <n v="0"/>
    <n v="0"/>
    <d v="2026-04-01T00:00:00"/>
    <d v="2027-03-31T00:00:00"/>
    <m/>
    <s v="SGP-SALUD-REGIMEN SUBSIDIADO (1.2.4.2.01)"/>
    <s v="1.3.3.7.01"/>
    <n v="9064996090"/>
    <n v="9064996090"/>
    <n v="9064996090"/>
    <n v="0"/>
    <s v="Familias, colectivos y comunidades"/>
    <s v="RS - E4 Atención Primaria Salud - L3 Cuidado de la Salud - Transferencias Afiliación"/>
    <x v="26"/>
    <m/>
  </r>
  <r>
    <n v="231"/>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 actvidad transversal a resultados"/>
    <s v="CAMBIO EN LOS SERVICIOS DE SALUD"/>
    <s v="Na"/>
    <s v="Seguimiento y vigilancia a las Ese, EAPB,  SAC y SIAU municipales"/>
    <s v="Realizar acciones de seguimiento y asistencias técnicas a los 29 munipios para garantizar la adecuada operatividad y cumplimiento de funciones en la atención al usuario y la gestión de servicios de salud."/>
    <s v="DESARROLLO INSTITUCIONAL Y SECTORIAL PARA EL EJERCICIO DE LA AUTORIDAD SANITARIA."/>
    <s v="Realizar 14 asistencias técnicas, control , vigilancia y Seguimiento  a las Secretarias de Salud , ESES y EPS  en los 29 municipios del Departamento del Magdalena en el componente del SAC y SIAU en relacion a la operatividad en el marco de sus funciones."/>
    <s v="Procesos transversales de la Gestion de la Salud Pública"/>
    <n v="14"/>
    <s v="NUMERO"/>
    <m/>
    <m/>
    <e v="#DIV/0!"/>
    <n v="20"/>
    <m/>
    <n v="0"/>
    <n v="20"/>
    <m/>
    <n v="0"/>
    <n v="20"/>
    <m/>
    <n v="0"/>
    <n v="14"/>
    <n v="0"/>
    <n v="0"/>
    <d v="2026-04-01T00:00:00"/>
    <d v="2027-03-31T00:00:00"/>
    <m/>
    <s v="SGP-SALUD-REGIMEN SUBSIDIADO (1.2.4.2.01)"/>
    <s v="1.3.3.7.01"/>
    <n v="0"/>
    <n v="0"/>
    <n v="0"/>
    <m/>
    <s v="Familias, colectivos y comunidades"/>
    <s v="RS - E4 Atención Primaria Salud - L3 Cuidado de la Salud - Transferencias Afiliación"/>
    <x v="27"/>
    <m/>
  </r>
  <r>
    <n v="232"/>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Seguimiento  a la implementación de la Política de Participación Social en Salud ( PPSS"/>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Creación y seguiiento de la PPSS vigente según decreto 2063 del 2017 con los actores involucrados en el proceso enfatizando los SAC y SIAU en los 29 municipios del departamento del Magdalena."/>
    <s v="Procesos transversales de la Gestion de la Salud Pública"/>
    <n v="62"/>
    <s v="Número"/>
    <m/>
    <m/>
    <e v="#DIV/0!"/>
    <n v="20"/>
    <m/>
    <n v="0"/>
    <n v="20"/>
    <m/>
    <n v="0"/>
    <n v="20"/>
    <m/>
    <n v="0"/>
    <n v="62"/>
    <n v="0"/>
    <n v="0"/>
    <d v="2026-04-01T00:00:00"/>
    <d v="2027-03-31T00:00:00"/>
    <m/>
    <s v="SGP-SALUD-REGIMEN SUBSIDIADO (1.2.4.2.01)"/>
    <s v="1.3.3.7.01"/>
    <n v="0"/>
    <n v="0"/>
    <n v="0"/>
    <m/>
    <s v="Familias, colectivos y comunidades"/>
    <s v="RS - E4 Atención Primaria Salud - L3 Cuidado de la Salud - Transferencias Afiliación"/>
    <x v="27"/>
    <m/>
  </r>
  <r>
    <n v="233"/>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Seguimiento de la PPSS vigente según decreto 2063 del 2017 con 100% de  los actores involucrados en el proceso enfatizando los SAC y SIAU en los 29 municipios del departamento del Magdalena."/>
    <s v="Procesos transversales de la Gestion de la Salud Pública"/>
    <n v="100"/>
    <s v="Porcentaje"/>
    <m/>
    <m/>
    <e v="#DIV/0!"/>
    <n v="29"/>
    <m/>
    <n v="0"/>
    <m/>
    <m/>
    <e v="#DIV/0!"/>
    <n v="29"/>
    <m/>
    <n v="0"/>
    <n v="100"/>
    <n v="0"/>
    <n v="0"/>
    <d v="2026-04-01T00:00:00"/>
    <d v="2027-03-31T00:00:00"/>
    <m/>
    <s v="SGP-SALUD-REGIMEN SUBSIDIADO (1.2.4.2.01)"/>
    <s v="1.3.3.7.01"/>
    <n v="0"/>
    <n v="0"/>
    <n v="0"/>
    <m/>
    <s v="Familias, colectivos y comunidades"/>
    <s v="RS - E4 Atención Primaria Salud - L3 Cuidado de la Salud - Transferencias Afiliación"/>
    <x v="27"/>
    <m/>
  </r>
  <r>
    <n v="234"/>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Ejercer seguimiento y control  en el 100%, a la conformación  y activación de los mecanismos de participación social en salud (COPACOS, veedurías, comités de ética hospitalaria y consejo territoriales) en los 29 municipios del departamento del Magdalena."/>
    <s v="Procesos transversales de la Gestion de la Salud Pública"/>
    <n v="100"/>
    <s v="Porcentaje"/>
    <m/>
    <m/>
    <e v="#DIV/0!"/>
    <m/>
    <m/>
    <e v="#DIV/0!"/>
    <m/>
    <m/>
    <e v="#DIV/0!"/>
    <m/>
    <m/>
    <e v="#DIV/0!"/>
    <n v="100"/>
    <n v="0"/>
    <n v="0"/>
    <d v="2026-04-01T00:00:00"/>
    <d v="2027-03-31T00:00:00"/>
    <m/>
    <s v="SGP-SALUD-REGIMEN SUBSIDIADO (1.2.4.2.01)"/>
    <n v="0"/>
    <n v="0"/>
    <n v="0"/>
    <n v="0"/>
    <m/>
    <s v="Familias, colectivos y comunidades"/>
    <s v="RS - E4 Atención Primaria Salud - L3 Cuidado de la Salud - Transferencias Afiliación"/>
    <x v="27"/>
    <m/>
  </r>
  <r>
    <n v="235"/>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Aplicar, consolidar y hacer análisis de las 400 encuestas de satisfacción aplicada  al usuarios del Departamento del Magdalena y mujeres en estado de embarazo para conocer la calidad en la atención en salud  brindada por las ESE, EPS e IPS,  asimismo, ejercer el control  y velar  por la aplicación de las mismas en los 29 municipio de  manera trimestral."/>
    <s v="Procesos transversales de la Gestion de la Salud Pública"/>
    <n v="400"/>
    <s v="Número"/>
    <n v="1"/>
    <m/>
    <n v="0"/>
    <n v="4"/>
    <m/>
    <n v="0"/>
    <n v="4"/>
    <m/>
    <n v="0"/>
    <n v="5"/>
    <m/>
    <n v="0"/>
    <n v="400"/>
    <n v="0"/>
    <n v="0"/>
    <d v="2026-04-01T00:00:00"/>
    <d v="2027-03-31T00:00:00"/>
    <s v="N/A"/>
    <m/>
    <n v="0"/>
    <n v="0"/>
    <n v="0"/>
    <n v="0"/>
    <m/>
    <s v="Familias, colectivos y comunidades"/>
    <s v="SPC - E1 Gobernabilidad y Gobernanza - L1 Desarrollo Institucional y Sectorial - Planeación Integral en Salud"/>
    <x v="27"/>
    <m/>
  </r>
  <r>
    <n v="236"/>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10-A 2031, reducir a 5 por cada 100.000 menores de 5 años la tasa de mortalidad asociada a desnutrición aguda."/>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Ejercer el seguimiento y dar respuesta a 100 de las PQRD radicadas ante la secretaría seccional de salud, asimismo, realizar acciones de control al cumplimiento del mismo las oficinas SAC y SIAU de los  29 Municipios del Departamento del Magdalena, con base en  los lineamientos vigentes."/>
    <s v="Procesos transversales de la Gestion de la Salud Pública"/>
    <n v="100"/>
    <s v="Porcentaje"/>
    <n v="62"/>
    <m/>
    <n v="0"/>
    <n v="0"/>
    <m/>
    <e v="#DIV/0!"/>
    <n v="0"/>
    <m/>
    <e v="#DIV/0!"/>
    <n v="0"/>
    <m/>
    <e v="#DIV/0!"/>
    <n v="100"/>
    <n v="0"/>
    <n v="0"/>
    <d v="2026-04-01T00:00:00"/>
    <d v="2027-03-31T00:00:00"/>
    <s v="N/A"/>
    <m/>
    <n v="0"/>
    <n v="0"/>
    <n v="0"/>
    <n v="0"/>
    <m/>
    <s v="Familias, colectivos y comunidades"/>
    <s v="SPC - E1 Gobernabilidad y Gobernanza - L1 Desarrollo Institucional y Sectorial - Planeación Integral en Salud"/>
    <x v="27"/>
    <m/>
  </r>
  <r>
    <n v="237"/>
    <s v="Inseguridad alimentaria y Desnutrición"/>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una  asistencia técnica por subregión, en lo relacionado con las acciones contempladas en la Resolución 2350 de 2020 y 2465 de 2016, en las E.S.E / IPS y EPS                                                                                                                                                                                 "/>
    <s v="Procesos transversales de la Gestion de la Salud Pública"/>
    <n v="4"/>
    <s v="Número"/>
    <n v="25"/>
    <m/>
    <n v="0"/>
    <n v="25"/>
    <m/>
    <n v="0"/>
    <n v="25"/>
    <m/>
    <n v="0"/>
    <n v="25"/>
    <m/>
    <n v="0"/>
    <n v="4"/>
    <n v="0"/>
    <n v="0"/>
    <d v="2026-04-01T00:00:00"/>
    <d v="2027-03-31T00:00:00"/>
    <s v="N/A"/>
    <m/>
    <n v="0"/>
    <n v="0"/>
    <n v="0"/>
    <n v="0"/>
    <m/>
    <s v="Familias, colectivos y comunidades"/>
    <s v="SPC - E1 Gobernabilidad y Gobernanza - L1 Desarrollo Institucional y Sectorial - Planeación Integral en Salud"/>
    <x v="28"/>
    <m/>
  </r>
  <r>
    <n v="238"/>
    <s v="Inseguridad alimentaria y Desnutrición"/>
    <s v="Gobernabilidad y gobernanza de la salud pública"/>
    <s v="i). Gobernabilidad, Gobernanza y Territorialización"/>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visitas de I.V.C , en lo relacionado con las acciones contempladas en la Resolución 2350 de 2020 y 2465 de 2016, en las E.S.E / IPS, Secretarías municipales de salud y EPS, y a las instituciones que presenten mortalidad por DNT en menores de 5 años"/>
    <s v="Procesos transversales de la Gestion de la Salud Pública"/>
    <n v="29"/>
    <s v="Número"/>
    <n v="25"/>
    <m/>
    <n v="0"/>
    <n v="25"/>
    <m/>
    <n v="0"/>
    <n v="25"/>
    <m/>
    <n v="0"/>
    <n v="25"/>
    <m/>
    <n v="0"/>
    <n v="29"/>
    <n v="0"/>
    <n v="0"/>
    <d v="2026-04-01T00:00:00"/>
    <d v="2027-03-31T00:00:00"/>
    <s v="N/A"/>
    <m/>
    <n v="0"/>
    <n v="0"/>
    <n v="0"/>
    <n v="0"/>
    <m/>
    <s v="Familias, colectivos y comunidades"/>
    <s v="SPC - E1 Gobernabilidad y Gobernanza - L1 Desarrollo Institucional y Sectorial - Planeación Integral en Salud"/>
    <x v="28"/>
    <m/>
  </r>
  <r>
    <n v="239"/>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A 2027, reducir a 52 por 100.000 nacidos vivos la_x000a_razón de mortalidad materna "/>
    <s v="CAMBIO POR LA SALUD"/>
    <s v="CAMBIO EN LA RED PÚBLICA HOSPITALARIA "/>
    <m/>
    <s v="Operativizar el Plan de Desaceleración de la Mortalidad Materna -PARE MM, en las E.S.Es de los 29 Municipios del Departamento del Magdalena"/>
    <s v="Cuidado de la Salud en el Territorio."/>
    <s v="Ejecutar el 80% de las actividades contempladas en las 6 líneas del PARE-MM 2026, aprobado por el MSPS"/>
    <s v="Procesos transversales de la Gestion de la Salud Pública"/>
    <n v="80"/>
    <s v="Porcentaje"/>
    <n v="50"/>
    <m/>
    <n v="0"/>
    <n v="120"/>
    <m/>
    <n v="0"/>
    <n v="260"/>
    <m/>
    <n v="0"/>
    <n v="70"/>
    <m/>
    <n v="0"/>
    <n v="80"/>
    <n v="0"/>
    <n v="0"/>
    <d v="2026-04-01T00:00:00"/>
    <d v="2027-03-31T00:00:00"/>
    <s v="N/A"/>
    <m/>
    <n v="0"/>
    <n v="0"/>
    <n v="0"/>
    <n v="0"/>
    <m/>
    <s v="Familias, colectivos y comunidades"/>
    <s v="SPC - E1 Gobernabilidad y Gobernanza - L1 Desarrollo Institucional y Sectorial - Planeación Integral en Salud"/>
    <x v="28"/>
    <m/>
  </r>
  <r>
    <n v="240"/>
    <s v="Condiciones de vida, estilos de vida saludables y enfermedades crónicas"/>
    <s v="Atención Primaria en Salud"/>
    <s v="i). Gobernabilidad, Gobernanza y Territorialización"/>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23-A 2031, el 70% de las mujeres entre 25 y 29 años son tamizadas para cáncer de cuello uterino con citología cervicouterina."/>
    <s v="A 2031 el 80% de las necesidades en salud de la población Colombiana se resuelven en el nivel primario de atención en salud"/>
    <s v="CAMBIO POR LA SALUD"/>
    <s v="CAMBIO EN LA RED PÚBLICA HOSPITALARIA "/>
    <m/>
    <s v="Realizar seguimiento a los indicadores de oportunidad de los procesos de detección temprana de cancer de cancer de cuello uterino en las EAPB e IPS, teniendo en cuenta la Ruta de Promoción y Mantenimiento de la Salud."/>
    <s v="Cuidado de la Salud en el Territorio."/>
    <s v="Realizar seguimiento trimestral a los indicadores de oportunidad de los procesos de detección temprana de cancer de cancer de cuello uterino en las EAPB e IPS, teniendo en cuenta la Ruta de Promoción y Mantenimiento de la Salud."/>
    <s v="Procesos transversales de la Gestion de la Salud Pública"/>
    <n v="4"/>
    <s v="Número"/>
    <n v="25"/>
    <m/>
    <n v="0"/>
    <n v="25"/>
    <m/>
    <n v="0"/>
    <n v="25"/>
    <m/>
    <n v="0"/>
    <n v="25"/>
    <m/>
    <n v="0"/>
    <n v="4"/>
    <n v="0"/>
    <n v="0"/>
    <d v="2026-04-01T00:00:00"/>
    <d v="2027-03-31T00:00:00"/>
    <s v="N/A"/>
    <m/>
    <n v="0"/>
    <n v="0"/>
    <n v="0"/>
    <n v="0"/>
    <m/>
    <s v="Familias, colectivos y comunidades"/>
    <s v="SPC - E1 Gobernabilidad y Gobernanza - L1 Desarrollo Institucional y Sectorial - Planeación Integral en Salud"/>
    <x v="28"/>
    <m/>
  </r>
  <r>
    <n v="241"/>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acciones de I.V para la evaluación de la adherencia a los lineamientos y GPC, para la atención de los eventos de Enfermedades Transmitidas por Vectores -E.T.V, priorizando la red pública"/>
    <s v="Cuidado de la Salud en el Territorio."/>
    <s v="Realizar visitas de I.V a los prestadores de servicios de salud de los 29 municipios del departamento, para la evaluación de la adherencia a los lineamientos y GPC, para la atención de los eventos de Enfermedades Transmitidas por Vectores -E.T.V, priorizando la red pública"/>
    <s v="Procesos transversales de la Gestion de la Salud Pública"/>
    <n v="29"/>
    <s v="Número"/>
    <n v="1"/>
    <m/>
    <n v="0"/>
    <n v="1"/>
    <m/>
    <n v="0"/>
    <n v="1"/>
    <m/>
    <n v="0"/>
    <n v="1"/>
    <m/>
    <n v="0"/>
    <n v="29"/>
    <n v="0"/>
    <n v="0"/>
    <d v="2026-02-01T00:00:00"/>
    <d v="2026-12-31T00:00:00"/>
    <s v="NA"/>
    <m/>
    <m/>
    <n v="0"/>
    <n v="0"/>
    <n v="0"/>
    <m/>
    <s v="Primera infancia"/>
    <s v="SPC - E1 Gobernabilidad y Gobernanza - L1 Desarrollo Institucional y Sectorial - Planeación Integral en Salud"/>
    <x v="29"/>
    <m/>
  </r>
  <r>
    <n v="242"/>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visitas para la verificación de disposición de insumos necesarios para la atención de los eventos de Enfermedades Transmitidas por Vectores -E.T.V, priorizando la red pública"/>
    <s v="Cuidado de la Salud en el Territorio."/>
    <s v="Realizar visitas de I.V a los prestadores de servicios de salud de los 29 municipios del departamento, para  la verificación de disposición de insumos necesarios para la atención de los eventos de Enfermedades Transmitidas por Vectores -E.T.V, priorizando la red pública"/>
    <s v="Procesos transversales de la Gestion de la Salud Pública"/>
    <n v="29"/>
    <s v="Número"/>
    <n v="7"/>
    <m/>
    <n v="0"/>
    <n v="7"/>
    <m/>
    <n v="0"/>
    <n v="7"/>
    <m/>
    <n v="0"/>
    <n v="8"/>
    <m/>
    <n v="0"/>
    <n v="29"/>
    <n v="0"/>
    <n v="0"/>
    <d v="2026-02-01T00:00:00"/>
    <d v="2026-12-31T00:00:00"/>
    <s v="NA"/>
    <m/>
    <m/>
    <n v="0"/>
    <n v="0"/>
    <n v="0"/>
    <m/>
    <s v="Primera infancia"/>
    <s v="SPC - E1 Gobernabilidad y Gobernanza - L1 Desarrollo Institucional y Sectorial - Planeación Integral en Salud"/>
    <x v="29"/>
    <m/>
  </r>
  <r>
    <n v="243"/>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mínimo el 70% de las visitas de verificación de condiciones de habilitación, contempladas en el Plan anual,  a los prestadores de servicios de salud que operen en el Departamento del Magdalena"/>
    <s v="DESARROLLO INSTITUCIONAL Y SECTORIAL PARA EL EJERCICIO DE LA AUTORIDAD SANITARIA."/>
    <s v="Realizar visitas de verificación de condiciones de habilitación al 70% de entidades contempladas en el Plan anual,  de los prestadores de servicios de salud que operen en el Departamento del Magdalena."/>
    <s v="Procesos transversales de la Gestion de la Salud Pública"/>
    <n v="70"/>
    <s v="Porcentaje"/>
    <n v="20"/>
    <m/>
    <n v="0"/>
    <n v="20"/>
    <m/>
    <n v="0"/>
    <n v="20"/>
    <m/>
    <n v="0"/>
    <n v="20"/>
    <m/>
    <n v="0"/>
    <n v="70"/>
    <n v="0"/>
    <n v="0"/>
    <d v="2026-02-01T00:00:00"/>
    <d v="2026-12-31T00:00:00"/>
    <s v="NA"/>
    <m/>
    <m/>
    <n v="0"/>
    <n v="0"/>
    <n v="0"/>
    <m/>
    <s v="Población materno perinatal"/>
    <s v="SPC - E1 Gobernabilidad y Gobernanza - L1 Desarrollo Institucional y Sectorial - Planeación Integral en Salud"/>
    <x v="30"/>
    <m/>
  </r>
  <r>
    <n v="244"/>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el 100% de las  visitas de IVC , de acuerdo a las solicitudes recibidas y/o de oficio "/>
    <s v="DESARROLLO INSTITUCIONAL Y SECTORIAL PARA EL EJERCICIO DE LA AUTORIDAD SANITARIA."/>
    <s v="Realizar visitas de IVC , de acuerdo a 100 % de las solicitudes recibidas por entes competentes y/o de oficio, PQR, y demas situaciones que impliquen la vigilancia y control del ente territorial"/>
    <s v="Procesos transversales de la Gestion de la Salud Pública"/>
    <n v="100"/>
    <s v="Porcentaje"/>
    <n v="1"/>
    <m/>
    <n v="0"/>
    <n v="1"/>
    <m/>
    <n v="0"/>
    <n v="1"/>
    <m/>
    <n v="0"/>
    <n v="1"/>
    <m/>
    <n v="0"/>
    <n v="100"/>
    <n v="0"/>
    <n v="0"/>
    <d v="2026-02-01T00:00:00"/>
    <d v="2026-12-31T00:00:00"/>
    <s v="NA"/>
    <m/>
    <m/>
    <n v="0"/>
    <n v="0"/>
    <n v="0"/>
    <m/>
    <s v="Familias, colectivos y comunidades"/>
    <s v="SPC - E1 Gobernabilidad y Gobernanza - L1 Desarrollo Institucional y Sectorial - Planeación Integral en Salud"/>
    <x v="31"/>
    <m/>
  </r>
  <r>
    <n v="245"/>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s Técnica a los Prestadores de Servicios de Salud del Departamente en el Sistema Obligatorio de Garantía de Calidad "/>
    <s v="DESARROLLO INSTITUCIONAL Y SECTORIAL PARA EL EJERCICIO DE LA AUTORIDAD SANITARIA."/>
    <s v="Realizar cuatro (4) Asistencias Técnica a los Prestadores de Servicios de Salud del Departamente en el Sistema Obligatorio de Garantía de Calidad "/>
    <s v="Procesos transversales de la Gestion de la Salud Pública"/>
    <n v="4"/>
    <s v="Número"/>
    <n v="7"/>
    <m/>
    <n v="0"/>
    <n v="7"/>
    <m/>
    <n v="0"/>
    <n v="7"/>
    <m/>
    <n v="0"/>
    <n v="8"/>
    <m/>
    <n v="0"/>
    <n v="4"/>
    <n v="0"/>
    <n v="0"/>
    <d v="2026-02-01T00:00:00"/>
    <d v="2026-12-31T00:00:00"/>
    <s v="NA"/>
    <m/>
    <m/>
    <n v="0"/>
    <n v="0"/>
    <n v="0"/>
    <m/>
    <s v="Familias, colectivos y comunidades"/>
    <s v="SPC - E1 Gobernabilidad y Gobernanza - L1 Desarrollo Institucional y Sectorial - Planeación Integral en Salud"/>
    <x v="30"/>
    <m/>
  </r>
  <r>
    <n v="246"/>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períodico al reporte y resultados de los indicadores de calidad establecidos en la Resolución 256 de 2016,   al 100% de las  Instituciones Prestadoras de Servicios de Salud y los servicios de transporte especial de pacientes del Departamento"/>
    <s v="DESARROLLO INSTITUCIONAL Y SECTORIAL PARA EL EJERCICIO DE LA AUTORIDAD SANITARIA."/>
    <s v="Consolidar y analizar la información de 100% de los Prestadores de Servicios de Salud-IPS y Transporte Asistencial de Pacientes; en lo relacionado con  el reporte y resultados de los indicadores de calidad establecidos en la Resolución 256 de 2016."/>
    <s v="Procesos transversales de la Gestion de la Salud Pública"/>
    <n v="100"/>
    <s v="Porcentaje"/>
    <n v="7"/>
    <m/>
    <n v="0"/>
    <n v="7"/>
    <m/>
    <n v="0"/>
    <n v="7"/>
    <m/>
    <n v="0"/>
    <n v="8"/>
    <m/>
    <n v="0"/>
    <n v="100"/>
    <n v="0"/>
    <n v="0"/>
    <d v="2026-02-01T00:00:00"/>
    <d v="2026-12-31T00:00:00"/>
    <s v="NA"/>
    <m/>
    <m/>
    <n v="0"/>
    <n v="0"/>
    <n v="0"/>
    <m/>
    <s v="Familias, colectivos y comunidades"/>
    <s v="SPC - E1 Gobernabilidad y Gobernanza - L1 Desarrollo Institucional y Sectorial - Planeación Integral en Salud"/>
    <x v="32"/>
    <m/>
  </r>
  <r>
    <n v="247"/>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 técnica por subregión para la implementación del Programa de Auditoria para el Mejoramiento de la Calidad en la Atención en Salud -PAMEC, a las Instituciones Prestadoras de Servicios de Salud del Departamento"/>
    <s v="DESARROLLO INSTITUCIONAL Y SECTORIAL PARA EL EJERCICIO DE LA AUTORIDAD SANITARIA."/>
    <s v="Realizar  asistencia técnica por subregión para la implementación del Programa de Auditoria para el Mejoramiento de la Calidad en la Atención en Salud -PAMEC, a las 100% de Instituciones Prestadoras de Servicios de Salud del Departamento"/>
    <s v="Procesos transversales de la Gestion de la Salud Pública"/>
    <n v="100"/>
    <s v="Porcentaje"/>
    <n v="17"/>
    <m/>
    <n v="0"/>
    <n v="17"/>
    <m/>
    <n v="0"/>
    <n v="17"/>
    <m/>
    <n v="0"/>
    <n v="18"/>
    <m/>
    <n v="0"/>
    <n v="100"/>
    <n v="0"/>
    <n v="0"/>
    <d v="2026-02-01T00:00:00"/>
    <d v="2026-12-31T00:00:00"/>
    <s v="NA"/>
    <m/>
    <m/>
    <n v="0"/>
    <n v="0"/>
    <n v="0"/>
    <m/>
    <s v="Familias, colectivos y comunidades"/>
    <s v="SPC - E1 Gobernabilidad y Gobernanza - L1 Desarrollo Institucional y Sectorial - Planeación Integral en Salud"/>
    <x v="32"/>
    <m/>
  </r>
  <r>
    <n v="248"/>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a la implementación del Programa de Auditoria para el Mejoramiento de la Calidad en la Atención en Salud PAMEC, mínimo al 80% de los prestadores de servicios de salud de los 29 Municipios del Departamento"/>
    <s v="DESARROLLO INSTITUCIONAL Y SECTORIAL PARA EL EJERCICIO DE LA AUTORIDAD SANITARIA."/>
    <s v="Realizar  seguimiento a la implementación del Programa de Auditoria para el Mejoramiento de la Calidad en la Atención en Salud PAMEC del 80% o más de los prestadores de los 29 Municipios del Departamento"/>
    <s v="Procesos transversales de la Gestion de la Salud Pública"/>
    <n v="80"/>
    <s v="Porcentaje"/>
    <n v="25"/>
    <m/>
    <n v="0"/>
    <n v="25"/>
    <m/>
    <n v="0"/>
    <n v="25"/>
    <m/>
    <n v="0"/>
    <n v="25"/>
    <m/>
    <n v="0"/>
    <n v="80"/>
    <n v="0"/>
    <n v="0"/>
    <d v="2026-02-01T00:00:00"/>
    <d v="2026-12-31T00:00:00"/>
    <s v="NA"/>
    <m/>
    <m/>
    <n v="0"/>
    <n v="0"/>
    <n v="0"/>
    <m/>
    <s v="Familias, colectivos y comunidades"/>
    <s v="SPC - E1 Gobernabilidad y Gobernanza - L1 Desarrollo Institucional y Sectorial - Planeación Integral en Salud"/>
    <x v="32"/>
    <m/>
  </r>
  <r>
    <n v="249"/>
    <s v="Prestación y Calidad de servicios"/>
    <s v="Personal de salud"/>
    <s v="Talento Humano en Salud formado para la gestión integral de la salud pública  "/>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la identificación y caracterización del Talento Humano en salud, de la red hospitalaria del Departamento del Magdalena"/>
    <s v="DESARROLLO INSTITUCIONAL Y SECTORIAL PARA EL EJERCICIO DE LA AUTORIDAD SANITARIA."/>
    <s v="Realizar y consolidar el censo del Talento Humano en salud, de cada una de las E.S.Es de la red hospitalaria del departamento del Magdalena"/>
    <s v="Procesos transversales de la Gestion de la Salud Pública"/>
    <n v="100"/>
    <s v="Porcentaje"/>
    <n v="1"/>
    <m/>
    <n v="0"/>
    <n v="1"/>
    <m/>
    <n v="0"/>
    <n v="1"/>
    <m/>
    <n v="0"/>
    <n v="1"/>
    <m/>
    <n v="0"/>
    <n v="100"/>
    <n v="0"/>
    <n v="0"/>
    <d v="2026-02-01T00:00:00"/>
    <d v="2026-12-31T00:00:00"/>
    <s v="NA"/>
    <m/>
    <m/>
    <n v="0"/>
    <n v="0"/>
    <n v="0"/>
    <m/>
    <s v="Familias, colectivos y comunidades"/>
    <s v="SPC - E1 Gobernabilidad y Gobernanza - L1 Desarrollo Institucional y Sectorial - Planeación Integral en Salud"/>
    <x v="33"/>
    <m/>
  </r>
  <r>
    <n v="250"/>
    <s v="Prestación y Calidad de servicios"/>
    <s v="Atención Primaria en Salud"/>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Lograr el fortalecimiento de la autoridad sanitaria en los 29 municipios del departamento del Magdalena"/>
    <s v="Cuidado de la Salud en el Territorio."/>
    <s v="Seguimiento al sistema de transporte asistencial de la red publica y privada del Departamento del Magdalena"/>
    <s v="No aplica"/>
    <n v="100"/>
    <s v="Porcentaje"/>
    <n v="25"/>
    <n v="25"/>
    <n v="100"/>
    <n v="25"/>
    <n v="25"/>
    <n v="100"/>
    <n v="25"/>
    <m/>
    <n v="0"/>
    <n v="25"/>
    <m/>
    <n v="0"/>
    <n v="100"/>
    <n v="50"/>
    <n v="100"/>
    <d v="2026-02-01T00:00:00"/>
    <d v="2026-12-31T00:00:00"/>
    <s v="NA"/>
    <m/>
    <m/>
    <n v="0"/>
    <n v="0"/>
    <n v="0"/>
    <m/>
    <s v="Familias, colectivos y comunidades"/>
    <s v="SPC - E1 Gobernabilidad y Gobernanza - L1 Desarrollo Institucional y Sectorial - Planeación Integral en Salud"/>
    <x v="25"/>
    <m/>
  </r>
  <r>
    <n v="251"/>
    <s v="tranversal a todos los nu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Dotar y activar equipos de radiocomunicaciones al CRUE y a las 5 IPS de la red pública y activación de la antena repetidora"/>
    <s v="No aplica"/>
    <n v="5"/>
    <s v="Número"/>
    <n v="25"/>
    <n v="25"/>
    <n v="100"/>
    <n v="25"/>
    <n v="12"/>
    <n v="48"/>
    <n v="25"/>
    <m/>
    <n v="0"/>
    <n v="25"/>
    <m/>
    <n v="0"/>
    <n v="5"/>
    <n v="37"/>
    <n v="74"/>
    <d v="2026-02-01T00:00:00"/>
    <d v="2026-12-31T00:00:00"/>
    <s v="NA"/>
    <m/>
    <m/>
    <n v="0"/>
    <n v="0"/>
    <n v="0"/>
    <m/>
    <s v="Familias, colectivos y comunidades"/>
    <s v="SPC - E1 Gobernabilidad y Gobernanza - L1 Desarrollo Institucional y Sectorial - Planeación Integral en Salud"/>
    <x v="25"/>
    <m/>
  </r>
  <r>
    <n v="252"/>
    <s v="Transversal a todos los nú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Brindar asistencia tecnica, y seguimiento a la implementación de equipos de radio comunicación"/>
    <s v="No aplica"/>
    <n v="5"/>
    <s v="Número"/>
    <n v="20"/>
    <n v="20"/>
    <n v="100"/>
    <n v="20"/>
    <n v="20"/>
    <n v="100"/>
    <n v="20"/>
    <m/>
    <n v="0"/>
    <n v="20"/>
    <m/>
    <n v="0"/>
    <n v="5"/>
    <n v="40"/>
    <n v="100"/>
    <d v="2026-02-01T00:00:00"/>
    <d v="2026-12-31T00:00:00"/>
    <s v="NA"/>
    <m/>
    <m/>
    <n v="0"/>
    <n v="0"/>
    <n v="0"/>
    <m/>
    <s v="Familias, colectivos y comunidades"/>
    <s v="SPC - E1 Gobernabilidad y Gobernanza - L1 Desarrollo Institucional y Sectorial - Planeación Integral en Salud"/>
    <x v="25"/>
    <m/>
  </r>
  <r>
    <n v="25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hospitales y puestos y centro  de salud priorizados en el departamento del Magdalena cumplan con los estándares de infraestructura y dotación de 17 ambulancias del cambio para entornos seguros, funcionales y dignos."/>
    <s v="No aplica"/>
    <n v="17"/>
    <s v="Número"/>
    <n v="25"/>
    <m/>
    <n v="0"/>
    <n v="25"/>
    <m/>
    <n v="0"/>
    <n v="25"/>
    <m/>
    <n v="0"/>
    <n v="25"/>
    <m/>
    <n v="0"/>
    <n v="17"/>
    <n v="0"/>
    <n v="0"/>
    <d v="2026-02-01T00:00:00"/>
    <d v="2026-12-31T00:00:00"/>
    <s v="NA"/>
    <m/>
    <m/>
    <m/>
    <m/>
    <m/>
    <m/>
    <s v="Personal de Salud."/>
    <s v="SPC - E1 Gobernabilidad y Gobernanza - L1 Desarrollo Institucional y Sectorial - Planeación Integral en Salud"/>
    <x v="23"/>
    <m/>
  </r>
  <r>
    <n v="25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prestadores públicos de salud priorizados en el departamento del Magdalena, cumplan con los estándares de infraestructura y dotación de hospitales para entornos seguros, funcionales y dignos, adecuaciones menores a 2 Hospitales, en construccion de 2 hospitales nuevos"/>
    <s v="No aplica"/>
    <n v="5"/>
    <s v="Número"/>
    <n v="25"/>
    <m/>
    <n v="0"/>
    <n v="25"/>
    <m/>
    <n v="0"/>
    <n v="25"/>
    <m/>
    <n v="0"/>
    <n v="25"/>
    <m/>
    <n v="0"/>
    <n v="5"/>
    <n v="0"/>
    <n v="0"/>
    <d v="2026-02-01T00:00:00"/>
    <d v="2026-12-31T00:00:00"/>
    <s v="NA"/>
    <m/>
    <m/>
    <m/>
    <m/>
    <m/>
    <m/>
    <s v="Varias poblaciones de protección constitucional específica"/>
    <s v="SPC - E1 Gobernabilidad y Gobernanza - L1 Desarrollo Institucional y Sectorial - Planeación Integral en Salud"/>
    <x v="23"/>
    <m/>
  </r>
  <r>
    <n v="25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de adecuaiones menores a 32  puestos y centro  de salud y seguimiento a 3 puestos de salud priorizados de zona rural, dispersa y urbana en el departamento del Magdalena cumplan con los estándares de infraestructura y dotación de puestos de salud para entornos seguros, funcionales y dignos"/>
    <s v="No aplica"/>
    <n v="35"/>
    <s v="Número"/>
    <m/>
    <m/>
    <e v="#DIV/0!"/>
    <m/>
    <m/>
    <e v="#DIV/0!"/>
    <m/>
    <m/>
    <e v="#DIV/0!"/>
    <n v="5"/>
    <m/>
    <n v="0"/>
    <n v="35"/>
    <n v="0"/>
    <n v="0"/>
    <d v="2026-02-01T00:00:00"/>
    <d v="2026-12-31T00:00:00"/>
    <s v="NA"/>
    <m/>
    <m/>
    <m/>
    <m/>
    <m/>
    <m/>
    <s v="Varias poblaciones de protección constitucional específica"/>
    <s v="SPC - E1 Gobernabilidad y Gobernanza - L1 Desarrollo Institucional y Sectorial - Planeación Integral en Salud"/>
    <x v="23"/>
    <m/>
  </r>
  <r>
    <n v="25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Formular, Coordinar y desarrollar el COAI y PAS de la vigencia 2026 del departamento, relizar monitoreo, seguimiento, control y cargue al portal web del MSPS de manera trimestral, con el equipo integral de la Secretaria de Salud por cada una de las dimensiones del PDSP."/>
    <s v="No aplica"/>
    <n v="1"/>
    <s v="Número"/>
    <m/>
    <m/>
    <e v="#DIV/0!"/>
    <m/>
    <m/>
    <e v="#DIV/0!"/>
    <m/>
    <m/>
    <e v="#DIV/0!"/>
    <n v="5"/>
    <m/>
    <n v="0"/>
    <n v="1"/>
    <n v="0"/>
    <n v="0"/>
    <d v="2026-02-01T00:00:00"/>
    <d v="2026-12-31T00:00:00"/>
    <s v="NA"/>
    <m/>
    <m/>
    <m/>
    <m/>
    <m/>
    <m/>
    <s v="Varias poblaciones de protección constitucional específica"/>
    <s v="SPC - E1 Gobernabilidad y Gobernanza - L1 Desarrollo Institucional y Sectorial - Planeación Integral en Salud"/>
    <x v="34"/>
    <m/>
  </r>
  <r>
    <n v="25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Someter a la aprobaciòn por  el Consejo de Gobierno y la sensibilizacion del CTSS  del COAI y PAS de la vigencia 2026 del departamento,  ejercer los reportes y entrega de la informaciòn del desarrollo y ejecuciòn de los mismos a la Oficina Asesora de Planeaciòn del departamento, oficina de control interno, cargue al portal Web -SISPRO del MSPS de manera trimestral, con el equipo integral de la Secretaria de Salud por cada una de las dimensiones del PDSP, para su monitoreo, control, segimiento por los entes del nivel nacional, territorial y la propia seretaria de salud y demas autoidades que ejercen control y evalauciòn incluido las veedurias y  el control social."/>
    <s v="No aplica"/>
    <n v="1"/>
    <s v="NUMERO"/>
    <m/>
    <m/>
    <e v="#DIV/0!"/>
    <m/>
    <m/>
    <e v="#DIV/0!"/>
    <m/>
    <m/>
    <e v="#DIV/0!"/>
    <n v="17"/>
    <m/>
    <n v="0"/>
    <n v="1"/>
    <n v="0"/>
    <n v="0"/>
    <d v="2026-02-01T00:00:00"/>
    <d v="2026-12-31T00:00:00"/>
    <s v="NA"/>
    <m/>
    <m/>
    <m/>
    <m/>
    <m/>
    <m/>
    <s v="Varias poblaciones de protección constitucional específica"/>
    <s v="SPC - E1 Gobernabilidad y Gobernanza - L1 Desarrollo Institucional y Sectorial - Planeación Integral en Salud"/>
    <x v="23"/>
    <m/>
  </r>
  <r>
    <n v="25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desarrollo de capacidades, monitoreo y seguimiento, a los planes de accion Municipales de la vigencia 2026 al 100% de los 29 municpios del departamento por subregiones, por demanda individual y vigilancia y control por municipio."/>
    <s v="No aplica"/>
    <n v="100"/>
    <s v="Porcentaje"/>
    <m/>
    <m/>
    <e v="#DIV/0!"/>
    <m/>
    <m/>
    <e v="#DIV/0!"/>
    <m/>
    <m/>
    <e v="#DIV/0!"/>
    <n v="5"/>
    <m/>
    <n v="0"/>
    <n v="100"/>
    <n v="0"/>
    <n v="0"/>
    <d v="2026-02-01T00:00:00"/>
    <d v="2026-12-31T00:00:00"/>
    <s v="NA"/>
    <m/>
    <m/>
    <m/>
    <m/>
    <m/>
    <m/>
    <s v="Varias poblaciones de protección constitucional específica"/>
    <s v="SPC - E1 Gobernabilidad y Gobernanza - L1 Desarrollo Institucional y Sectorial - Planeación Integral en Salud"/>
    <x v="34"/>
    <m/>
  </r>
  <r>
    <n v="26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Apoyar el proceso de rendicion de cuentas del sector Salud   Departamental  mediante la operativizacion del 100%  los mecanismos de transparencia en la evaluacion y el control social, por lo menos una vez al año."/>
    <s v="No aplica"/>
    <n v="1"/>
    <s v="Número"/>
    <m/>
    <m/>
    <e v="#DIV/0!"/>
    <m/>
    <m/>
    <e v="#DIV/0!"/>
    <m/>
    <m/>
    <e v="#DIV/0!"/>
    <n v="35"/>
    <m/>
    <n v="0"/>
    <n v="1"/>
    <n v="0"/>
    <n v="0"/>
    <d v="2026-02-01T00:00:00"/>
    <d v="2026-12-31T00:00:00"/>
    <s v="NA"/>
    <m/>
    <m/>
    <m/>
    <m/>
    <m/>
    <m/>
    <s v="Varias poblaciones de protección constitucional específica"/>
    <s v="SPC - E1 Gobernabilidad y Gobernanza - L1 Desarrollo Institucional y Sectorial - Planeación Integral en Salud"/>
    <x v="34"/>
    <m/>
  </r>
  <r>
    <n v="26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capacidades al talento humano al 100% de las 29 entidades territoriales  responsables de la planificacion en salud; para la construcciòn, formulación, implementación, seguimiento, monitoreo y evaluación de políticas, planes, programas, estrategias y proyectos en salud y del PDSP 2022 -2031"/>
    <s v="No aplica"/>
    <n v="100"/>
    <s v="Porcentaje"/>
    <n v="1"/>
    <m/>
    <n v="0"/>
    <m/>
    <m/>
    <e v="#DIV/0!"/>
    <m/>
    <m/>
    <e v="#DIV/0!"/>
    <m/>
    <m/>
    <e v="#DIV/0!"/>
    <n v="100"/>
    <n v="0"/>
    <n v="0"/>
    <d v="2026-01-31T00:00:00"/>
    <d v="2026-12-31T00:00:00"/>
    <s v="NA"/>
    <m/>
    <m/>
    <m/>
    <m/>
    <m/>
    <m/>
    <s v="Varias poblaciones de protección constitucional específica"/>
    <s v="SPC - E1 Gobernabilidad y Gobernanza - L1 Desarrollo Institucional y Sectorial - Planeación Integral en Salud"/>
    <x v="34"/>
    <m/>
  </r>
  <r>
    <n v="262"/>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el monitoreo, seguimiento, control y evaluacion trimestral a los planes de accion Municipales de la vigencia 2026, incluido al cargue en el portal Web del MSPS al 100% de los 29 municipios del departamento por subregiones, por demanda individual y vigilancia y control por municipios."/>
    <s v="No aplica"/>
    <n v="4"/>
    <s v="Número"/>
    <n v="1"/>
    <m/>
    <n v="0"/>
    <m/>
    <m/>
    <e v="#DIV/0!"/>
    <m/>
    <m/>
    <e v="#DIV/0!"/>
    <m/>
    <m/>
    <e v="#DIV/0!"/>
    <n v="4"/>
    <n v="0"/>
    <n v="0"/>
    <d v="2026-01-31T00:00:00"/>
    <d v="2026-12-31T00:00:00"/>
    <s v="NA"/>
    <m/>
    <m/>
    <m/>
    <m/>
    <m/>
    <m/>
    <s v="Varias poblaciones de protección constitucional específica"/>
    <s v="SPC - E1 Gobernabilidad y Gobernanza - L1 Desarrollo Institucional y Sectorial - Planeación Integral en Salud"/>
    <x v="34"/>
    <m/>
  </r>
  <r>
    <n v="26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la vigilancia y el control de la capacidad de gestion de los 5 municpios certificados en salud decreto 780 DE 2016 ART. 5 Y SIGUEIENTES, con base en los lineamientos y la herramienta implementada para su evaluaciòn en la prestacion de los servicios de salud vigencia 2022."/>
    <s v="No aplica"/>
    <n v="5"/>
    <s v="Número"/>
    <n v="25"/>
    <m/>
    <n v="0"/>
    <n v="25"/>
    <m/>
    <n v="0"/>
    <n v="25"/>
    <m/>
    <n v="0"/>
    <n v="25"/>
    <m/>
    <n v="0"/>
    <n v="5"/>
    <n v="0"/>
    <n v="0"/>
    <d v="2026-02-01T00:00:00"/>
    <d v="2026-12-31T00:00:00"/>
    <s v="NA"/>
    <m/>
    <m/>
    <m/>
    <m/>
    <m/>
    <m/>
    <s v="Varias poblaciones de protección constitucional específica"/>
    <s v="SPC - E1 Gobernabilidad y Gobernanza - L1 Desarrollo Institucional y Sectorial - Planeación Integral en Salud"/>
    <x v="34"/>
    <m/>
  </r>
  <r>
    <n v="26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lalizada las repuestas y de manera oportuna a los procesos juridicos, respuestas de las acciones de tutela y los procesos administartativos sansionatorios y de cumplimineto a las visitas de verifcacioón de la red de prestadores dell departamento"/>
    <s v="No aplica"/>
    <n v="100"/>
    <s v="Porcentaje"/>
    <m/>
    <m/>
    <e v="#DIV/0!"/>
    <m/>
    <m/>
    <e v="#DIV/0!"/>
    <m/>
    <m/>
    <e v="#DIV/0!"/>
    <n v="1"/>
    <m/>
    <n v="0"/>
    <n v="100"/>
    <n v="0"/>
    <n v="0"/>
    <d v="2026-02-01T00:00:00"/>
    <d v="2026-12-31T00:00:00"/>
    <s v="NA"/>
    <m/>
    <m/>
    <m/>
    <m/>
    <m/>
    <m/>
    <s v="Varias poblaciones de protección constitucional específica"/>
    <s v="SPC - E1 Gobernabilidad y Gobernanza - L1 Desarrollo Institucional y Sectorial - Planeación Integral en Salud"/>
    <x v="35"/>
    <m/>
  </r>
  <r>
    <n v="26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alizado el flujo, analisis y cargue de los sistemas de informacion para la salud, los RIPS  del 100% de las empresas prestadoras y los informes de  en la prestacion de los servicios de salud a la PPNA del departamento de manera eficiente y oportuna. "/>
    <s v="No aplica"/>
    <n v="100"/>
    <s v="Porcentaje"/>
    <n v="25"/>
    <m/>
    <n v="0"/>
    <n v="25"/>
    <m/>
    <n v="0"/>
    <n v="25"/>
    <m/>
    <n v="0"/>
    <n v="25"/>
    <m/>
    <n v="0"/>
    <n v="100"/>
    <n v="0"/>
    <n v="0"/>
    <d v="2026-02-01T00:00:00"/>
    <d v="2026-12-31T00:00:00"/>
    <s v="NA"/>
    <m/>
    <m/>
    <m/>
    <m/>
    <m/>
    <m/>
    <s v="Varias poblaciones de protección constitucional específica"/>
    <s v="SPC - E1 Gobernabilidad y Gobernanza - L1 Desarrollo Institucional y Sectorial - Planeación Integral en Salud"/>
    <x v="36"/>
    <m/>
  </r>
  <r>
    <n v="26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y Capacitación  del flujo, analisis y cargue de los sistemas de información para la salud, los RIPS  de las empresas prestadoras y los informes de la resolución  202 en la prestación de los servicios de salud a la PPNA del departamento de manera eficiente y oportuna a 100% de prestadores del departameto y municpios certificados que prestan servicios de salud."/>
    <s v="No aplica"/>
    <n v="100"/>
    <s v="Porcentaje"/>
    <n v="1"/>
    <m/>
    <n v="0"/>
    <n v="1"/>
    <m/>
    <n v="0"/>
    <n v="1"/>
    <m/>
    <n v="0"/>
    <n v="1"/>
    <m/>
    <n v="0"/>
    <n v="100"/>
    <n v="0"/>
    <n v="0"/>
    <d v="2026-02-01T00:00:00"/>
    <d v="2026-12-31T00:00:00"/>
    <s v="NA"/>
    <m/>
    <m/>
    <n v="0"/>
    <n v="0"/>
    <n v="0"/>
    <m/>
    <s v="Varias poblaciones de protección constitucional específica"/>
    <s v="SPC - E1 Gobernabilidad y Gobernanza - L1 Desarrollo Institucional y Sectorial - Planeación Integral en Salud"/>
    <x v="36"/>
    <m/>
  </r>
  <r>
    <n v="267"/>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alisis y cargue de los sistemas de informacion para la salud de la circular única, círcular 030 y 2193 en los proceos de inversion de infraestrutura, el plan bienal, Plan de Mantenimienrto, proyectos de inversion y actualizacion Catastro Fisico del deparatamento de manera eficiente y oportuna a todos los prestadores y municpios certificados que prestan servicios de salud.plan bienal AT y Control dos veces al año"/>
    <s v="No aplica"/>
    <n v="100"/>
    <s v="Porcentaje"/>
    <m/>
    <m/>
    <e v="#DIV/0!"/>
    <m/>
    <m/>
    <e v="#DIV/0!"/>
    <n v="5"/>
    <m/>
    <n v="0"/>
    <m/>
    <m/>
    <e v="#DIV/0!"/>
    <n v="100"/>
    <n v="0"/>
    <n v="0"/>
    <d v="2026-02-01T00:00:00"/>
    <d v="2026-12-31T00:00:00"/>
    <s v="NA"/>
    <m/>
    <m/>
    <n v="0"/>
    <n v="0"/>
    <n v="0"/>
    <m/>
    <s v="Varias poblaciones de protección constitucional específica"/>
    <s v="SPC - E1 Gobernabilidad y Gobernanza - L1 Desarrollo Institucional y Sectorial - Planeación Integral en Salud"/>
    <x v="36"/>
    <m/>
  </r>
  <r>
    <n v="26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álisis  plan de mantenimiento del departamento de manera eficiente y oportuna a todos los prestadores de los municipios Control dos veces al año."/>
    <s v="No aplica"/>
    <n v="58"/>
    <s v="Número"/>
    <n v="25"/>
    <m/>
    <n v="0"/>
    <n v="25"/>
    <m/>
    <n v="0"/>
    <n v="25"/>
    <m/>
    <n v="0"/>
    <n v="25"/>
    <m/>
    <n v="0"/>
    <n v="58"/>
    <n v="0"/>
    <n v="0"/>
    <d v="2026-02-01T00:00:00"/>
    <d v="2026-12-31T00:00:00"/>
    <s v="NA"/>
    <m/>
    <m/>
    <n v="0"/>
    <n v="0"/>
    <n v="0"/>
    <m/>
    <s v="Varias poblaciones de protección constitucional específica"/>
    <s v="SPC - E1 Gobernabilidad y Gobernanza - L1 Desarrollo Institucional y Sectorial - Planeación Integral en Salud"/>
    <x v="36"/>
    <m/>
  </r>
  <r>
    <n v="26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al catastro fisico de los municpios y ESE; AT e IVC y formulaciòn, viabiidad y evaluaciòn de proyectos  de infraestructura y dotacion de los 29 municpios semestralmente "/>
    <s v="No aplica"/>
    <n v="58"/>
    <s v="númeo"/>
    <n v="25"/>
    <m/>
    <n v="0"/>
    <n v="25"/>
    <m/>
    <n v="0"/>
    <n v="25"/>
    <m/>
    <n v="0"/>
    <n v="25"/>
    <m/>
    <n v="0"/>
    <n v="58"/>
    <n v="0"/>
    <n v="0"/>
    <d v="2026-02-01T00:00:00"/>
    <d v="2026-12-31T00:00:00"/>
    <s v="NA"/>
    <m/>
    <m/>
    <n v="0"/>
    <n v="0"/>
    <n v="0"/>
    <m/>
    <s v="Varias poblaciones de protección constitucional específica"/>
    <s v="SPC - E1 Gobernabilidad y Gobernanza - L1 Desarrollo Institucional y Sectorial - Planeación Integral en Salud"/>
    <x v="37"/>
    <m/>
  </r>
  <r>
    <n v="27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100 % de los proyectos presentados por las ESE hospitales de infraestructura y dotacion. Con base en la normatividad vigente"/>
    <s v="No aplica"/>
    <n v="100"/>
    <s v="Porcentaje"/>
    <n v="25"/>
    <m/>
    <n v="0"/>
    <n v="25"/>
    <m/>
    <n v="0"/>
    <n v="25"/>
    <m/>
    <n v="0"/>
    <n v="25"/>
    <m/>
    <n v="0"/>
    <n v="100"/>
    <n v="0"/>
    <n v="0"/>
    <d v="2026-02-01T00:00:00"/>
    <d v="2026-12-31T00:00:00"/>
    <s v="NA"/>
    <m/>
    <m/>
    <n v="0"/>
    <n v="0"/>
    <n v="0"/>
    <m/>
    <s v="Varias poblaciones de protección constitucional específica"/>
    <s v="SPC - E1 Gobernabilidad y Gobernanza - L1 Desarrollo Institucional y Sectorial - Planeación Integral en Salud"/>
    <x v="37"/>
    <m/>
  </r>
  <r>
    <n v="27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los proyectos presentados por las ESE hospitales de infraestructura y dotacion de 22 Ese con dotación de ambulancias. Con base en la normatividad vigente"/>
    <s v="No aplica"/>
    <n v="22"/>
    <s v="Número"/>
    <n v="25"/>
    <m/>
    <n v="0"/>
    <n v="25"/>
    <m/>
    <n v="0"/>
    <n v="25"/>
    <m/>
    <n v="0"/>
    <n v="25"/>
    <m/>
    <n v="0"/>
    <n v="22"/>
    <n v="0"/>
    <n v="0"/>
    <d v="2026-02-01T00:00:00"/>
    <d v="2026-12-31T00:00:00"/>
    <s v="NA"/>
    <m/>
    <m/>
    <n v="0"/>
    <n v="0"/>
    <n v="0"/>
    <m/>
    <s v="Varias poblaciones de protección constitucional específica"/>
    <s v="SPC - E1 Gobernabilidad y Gobernanza - L1 Desarrollo Institucional y Sectorial - Planeación Integral en Salud"/>
    <x v="23"/>
    <m/>
  </r>
  <r>
    <n v="27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1 vehiculos 24x7"/>
    <s v="Procesos transversales de la Gestion de la Salud Pública"/>
    <n v="100"/>
    <s v="Porcentaje"/>
    <n v="0"/>
    <n v="25"/>
    <e v="#DIV/0!"/>
    <n v="30"/>
    <n v="30"/>
    <n v="100"/>
    <n v="40"/>
    <m/>
    <n v="0"/>
    <n v="30"/>
    <m/>
    <n v="0"/>
    <n v="100"/>
    <n v="55"/>
    <n v="183.33333333333331"/>
    <d v="2026-02-01T00:00:00"/>
    <d v="2026-12-31T00:00:00"/>
    <s v="NA"/>
    <m/>
    <m/>
    <n v="162000364"/>
    <n v="162000364"/>
    <n v="162000364"/>
    <n v="0"/>
    <s v="Varias poblaciones de protección constitucional específica"/>
    <s v="SPC - E1 Gobernabilidad y Gobernanza - L1 Desarrollo Institucional y Sectorial - Planeación Integral en Salud"/>
    <x v="1"/>
    <m/>
  </r>
  <r>
    <n v="27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inducción y reinducción para todo funcionario que ingrese al equipo PAI, dirigidos al talento humano y demás actores según su competencia, abarcando todos los módulos del PAI."/>
    <s v="Procesos transversales de la Gestion de la Salud Pública"/>
    <n v="1"/>
    <s v="Número"/>
    <n v="1"/>
    <n v="1"/>
    <n v="100"/>
    <n v="1"/>
    <n v="0"/>
    <n v="0"/>
    <n v="29"/>
    <m/>
    <n v="0"/>
    <m/>
    <m/>
    <e v="#DIV/0!"/>
    <n v="1"/>
    <n v="1"/>
    <n v="50"/>
    <d v="2026-02-01T00:00:00"/>
    <d v="2026-12-31T00:00:00"/>
    <s v="NA"/>
    <m/>
    <m/>
    <n v="25000000"/>
    <n v="25000000"/>
    <n v="25000000"/>
    <n v="25000000"/>
    <s v="Varias poblaciones de protección constitucional específica"/>
    <s v="SPC - E1 Gobernabilidad y Gobernanza - L1 Desarrollo Institucional y Sectorial - Planeación Integral en Salud"/>
    <x v="24"/>
    <m/>
  </r>
  <r>
    <n v="27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Socializar los lineamientos para las jornadas nacionales de_x000a_ vacunación y planes de intensificación emitidos por el nivel nacional"/>
    <s v="Procesos transversales de la Gestion de la Salud Pública"/>
    <n v="4"/>
    <s v="Número"/>
    <n v="1"/>
    <n v="1"/>
    <n v="100"/>
    <n v="1"/>
    <n v="0"/>
    <n v="0"/>
    <n v="1"/>
    <m/>
    <n v="0"/>
    <n v="1"/>
    <m/>
    <n v="0"/>
    <n v="4"/>
    <n v="1"/>
    <n v="50"/>
    <d v="2026-02-01T00:00:00"/>
    <d v="2026-12-31T00:00:00"/>
    <s v="NA"/>
    <m/>
    <m/>
    <n v="50000000"/>
    <n v="50000000"/>
    <n v="50000000"/>
    <n v="50000000"/>
    <s v="Varias poblaciones de protección constitucional específica"/>
    <s v="SPC - E1 Gobernabilidad y Gobernanza - L1 Desarrollo Institucional y Sectorial - Planeación Integral en Salud"/>
    <x v="24"/>
    <m/>
  </r>
  <r>
    <n v="275"/>
    <s v="La falta de talento humano de planta, la alta rotación de personal contratista, la falta de vehículos, la falta de adherencia a lineamientos programáticos y misionales por parte del talento humano para brindar asistencia técnica a los actores, la complejidad y de organización de procesos administrativos que generan reprocesos; dificultan la ejecución de las acciones de orden misional perdiendo gobernanza y autoridad frente a os vigilad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auditoria externa para verificar el cumoplimiento de los requisitos de la norma NTC-ISO/IEC 17025 version vigente y/o criterios ONC"/>
    <s v="Procesos transversales de la Gestion de la Salud Pública"/>
    <n v="1"/>
    <s v="NUMERO"/>
    <n v="0"/>
    <m/>
    <e v="#DIV/0!"/>
    <n v="1"/>
    <m/>
    <n v="0"/>
    <m/>
    <m/>
    <e v="#DIV/0!"/>
    <n v="22"/>
    <m/>
    <n v="0"/>
    <n v="1"/>
    <n v="0"/>
    <n v="0"/>
    <d v="2026-02-01T00:00:00"/>
    <d v="2026-12-31T00:00:00"/>
    <s v="NA"/>
    <m/>
    <m/>
    <n v="40000000"/>
    <n v="40000000"/>
    <n v="40000000"/>
    <n v="0"/>
    <s v="Varias poblaciones de protección constitucional específica"/>
    <s v="SPC - E1 Gobernabilidad y Gobernanza - L1 Desarrollo Institucional y Sectorial - Planeación Integral en Salud"/>
    <x v="22"/>
    <m/>
  </r>
  <r>
    <n v="27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s técnicas en las subregiones del Departamento sobre abordaje a trabajadores de la economia popular y cominitaria Magdalena UTIS Y GOTIS en: Riesgos – peligros, actos y condiciones seguras Incentivar la afiliación al sistema de riesgos laborales Prevención de enfermedades y accidentes relacionados con el trabajo Socialización de la ruta de atención en servicios de salud_x000a_  Socialización de factores de riesgo para condiciones crónicas no transmisibles y salud mental"/>
    <s v="Procesos transversales de la Gestion de la Salud Pública"/>
    <n v="29"/>
    <s v="Número"/>
    <n v="3"/>
    <n v="3"/>
    <n v="100"/>
    <n v="4"/>
    <n v="18"/>
    <n v="450"/>
    <n v="11"/>
    <m/>
    <n v="0"/>
    <n v="11"/>
    <m/>
    <n v="0"/>
    <n v="29"/>
    <n v="21"/>
    <n v="300"/>
    <d v="2026-02-01T00:00:00"/>
    <d v="2026-12-31T00:00:00"/>
    <m/>
    <m/>
    <m/>
    <m/>
    <m/>
    <m/>
    <m/>
    <s v="Juventud, Adultez y Persona mayor"/>
    <s v="N/A"/>
    <x v="19"/>
    <m/>
  </r>
  <r>
    <n v="27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 tecnica y mesas de trabajo con las EAPB, IPS, SSM y ESE de los 29 municipios del departamento en el desarrollo de jornadas de salud y seguimiento a los reportes de accidentes laborales en trabajadores informales"/>
    <s v="Procesos transversales de la Gestion de la Salud Pública"/>
    <n v="29"/>
    <s v="Número"/>
    <n v="3"/>
    <n v="3"/>
    <n v="100"/>
    <n v="4"/>
    <n v="18"/>
    <n v="450"/>
    <n v="11"/>
    <m/>
    <n v="0"/>
    <n v="11"/>
    <m/>
    <n v="0"/>
    <n v="29"/>
    <n v="21"/>
    <n v="300"/>
    <d v="2026-02-01T00:00:00"/>
    <d v="2026-12-31T00:00:00"/>
    <m/>
    <m/>
    <m/>
    <m/>
    <m/>
    <m/>
    <m/>
    <s v="Juventud, Adultez y Persona mayor"/>
    <s v="N/A"/>
    <x v="1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
  <r>
    <n v="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a las comunidades para el desarrollo de la APS con_x000a_  acciones territorializadas, universales, sistemáticas, permanentes y participativas bajo un enfoque_x000a_  familiar y comunitario."/>
    <s v="a 2031 el 100% de las entidades territoriales del orden departamental, distrital y municipal han desarrollado procesos de ajuste institucional para el fortalecimiento de las capacidades de la autoridad sanitaria y la apropiacion territorial del modelo de "/>
    <s v="a 2027 el 100% de las entidades territoriales del orden departamental, han desarrollado procesos de ajuste institucional para el fortalecimiento de las capacidades de la autoridad sanitaria y la apropiacion territorial del modelo de salud basado en APS"/>
    <s v="98-Actividad trasversal a Resultado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Implementar el plan de cuidado e intervencion de las personas y familias por microterritorio en el entorno hogar de acuerdo al curso de vida, garantizando la canalizacion oportuna a los servicios de salud y el seguimiento de manera permanente hasta lograr"/>
    <s v="PIC(Anexo técnico)"/>
    <n v="29"/>
    <s v="Número"/>
    <n v="29"/>
    <m/>
    <e v="#DIV/0!"/>
    <n v="29"/>
    <m/>
    <n v="0"/>
    <n v="29"/>
    <m/>
    <n v="0"/>
    <n v="29"/>
    <m/>
    <n v="0"/>
    <n v="29"/>
    <n v="0"/>
    <n v="0"/>
  </r>
  <r>
    <n v="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l 2027,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397 toma de muestra de agua en la red de distribución del departamento, de acuerdo con los articulos 24 y 26 de la resolución 2115 de 2007."/>
    <s v="Procesos transversales de la Gestion de la Salud Pública"/>
    <n v="397"/>
    <s v="Número"/>
    <n v="66"/>
    <n v="66"/>
    <n v="100"/>
    <n v="131"/>
    <n v="159"/>
    <n v="121.37404580152671"/>
    <n v="100"/>
    <m/>
    <n v="0"/>
    <n v="100"/>
    <m/>
    <n v="0"/>
    <n v="397"/>
    <n v="225"/>
    <n v="114.21319796954315"/>
  </r>
  <r>
    <n v="3"/>
    <s v="Aumento de la Tasa de Incidencia de las enfermedades transmitidas por vectores como el dengue;"/>
    <s v="Conocimiento en salud pública y Soberanía Sanitaria"/>
    <s v="i). Gobernabilidad, Gobernanza y Territorialización"/>
    <s v="Capacidades fortalecidas para la gestión del conocimiento en salud pública"/>
    <s v="Fortlecimiento de capacidades tecnicas para el ejercicio en la rectoria en salud."/>
    <s v="A 2031 se fortalecerá en el 100% de los territorios la apropiación social del conocimiento en salud pública y el desarrollo de investigaciones que den respuesta a las necesidades en salud de cada territorio"/>
    <s v="A 2027 se fortalecerá en el 100% de los territorios la apropiación social del conocimiento en salud pública y el desarrollo de investigaciones que den respuesta a las necesidades en salud de cada territorio"/>
    <s v="A 2031, el 100% las DTS departamentales, distritales y municipios habrán implementado las estrategias de Entornos Saludables"/>
    <s v="A 2027,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capacidades a los entes territoriales en gestion de riesgo quimico"/>
    <s v="Desarrollo institucional y sectorial para el ejercicio de la autoridad sanitaria"/>
    <s v="Desarrollar duarnte la vigencia una jornada de formación de 3 dias a las alcaldias municipales en la implementacion del modelo de seguridad quimica para el desarrollo de capacidades municipales."/>
    <s v="Procesos transversales de la Gestion de la Salud Pública"/>
    <n v="1"/>
    <s v="Número"/>
    <n v="1"/>
    <n v="1"/>
    <n v="100"/>
    <n v="0"/>
    <n v="0"/>
    <e v="#DIV/0!"/>
    <n v="0"/>
    <n v="0"/>
    <e v="#DIV/0!"/>
    <n v="0"/>
    <n v="0"/>
    <e v="#DIV/0!"/>
    <n v="1"/>
    <n v="1"/>
    <n v="100"/>
  </r>
  <r>
    <n v="4"/>
    <s v="Aumento de la Tasa de Incidencia de las enfermedades transmitidas por vectores como el dengue;"/>
    <s v="Conocimiento en salud pública y Soberanía Sanitaria"/>
    <s v="i). Gobernabilidad, Gobernanza y Territorialización"/>
    <s v="Políticas en salud pública para contribuir a la mitigación y adaptación al cambio climático."/>
    <s v="Fortalecimiento de las capacidades del personal de salud en todo lo relacionado con los posibles efectos de la variabilidad del cambio climático"/>
    <s v="A 2031 se incorporará en el 100% de los departamentos y distritos, el plan de gestión en sistemas de alerta temprana para la identificación del riesgos por el cambio climático y la posible vulnerabilidad de la población desde un enfoque territorial"/>
    <s v="Al 2027 se incorporará en el 100% de los municipios, el plan de gestión en sistemas de alerta temprana para la identificación del riesgos por el cambio climático y la posible vulnerabilidad de la población desde un enfoque territorial"/>
    <s v="Al 2031, se formularán acciones de adaptación en promoción de la salud y prevención de la enfermedad que aporten a reducir los casos de enfermedades sensibles al clima en el 100% de las Entidades Territoriales en el sector salud, del nivel departamental, "/>
    <s v="A 2027, se formularán acciones de adaptación en promoción de la salud y prevención de la enfermedad que aporten a reducir los casos de enfermedades sensibles al clima en el 100% de las Entidades Territoriales en el sector salud, del nivel departamental, d"/>
    <s v="Salud Pública"/>
    <s v="Médico en tu casa"/>
    <s v="Fortalecimiento de Estrategias para la Promoción de la Salud y Prevención de Enfermedades en Comunidades, mediante acciones Integrales, Participativas y Sostenibles en el Departamento del Magdalena."/>
    <s v="Implementar el PACCSA"/>
    <s v="Desarrollo institucional y sectorial para el ejercicio de la autoridad sanitaria"/>
    <s v="Desarrollar durante la vigencia una jornada de formación de 3 dias a las alcaldias municipales en medidas de adaptacion al cambio climatico para el desarrollo de capacidades municipales"/>
    <s v="Procesos transversales de la Gestion de la Salud Pública"/>
    <n v="1"/>
    <s v="Número"/>
    <n v="0"/>
    <n v="0"/>
    <e v="#DIV/0!"/>
    <n v="1"/>
    <n v="1"/>
    <n v="100"/>
    <m/>
    <m/>
    <e v="#DIV/0!"/>
    <n v="0"/>
    <m/>
    <e v="#DIV/0!"/>
    <n v="1"/>
    <n v="1"/>
    <n v="100"/>
  </r>
  <r>
    <n v="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una jornada de capacitación de 3 dias a las alcaldias municipales en el modelo de IVC y fomento de conciencia sanitaria para el desarrollo de capacidades municipales"/>
    <s v="Procesos transversales de la Gestion de la Salud Pública"/>
    <n v="1"/>
    <s v="Número"/>
    <n v="0"/>
    <n v="0"/>
    <e v="#DIV/0!"/>
    <n v="1"/>
    <n v="1"/>
    <n v="100"/>
    <n v="0"/>
    <m/>
    <e v="#DIV/0!"/>
    <n v="0"/>
    <m/>
    <e v="#DIV/0!"/>
    <n v="1"/>
    <n v="1"/>
    <n v="100"/>
  </r>
  <r>
    <n v="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 para la planeación integral en salud y la gestión territorial en el marco del modelo de salud preventivo, predictivo y resolutivo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mular e Implementar el  plan de fortalecimiento de capacidades de gestion en salud ambiental a partir del diagnostico realizado con base en la informacion de la vigencia 2025  (GETSA)"/>
    <s v="Procesos transversales de la Gestion de la Salud Pública"/>
    <n v="1"/>
    <s v="Porcentaje"/>
    <n v="1"/>
    <n v="1"/>
    <n v="100"/>
    <n v="0"/>
    <m/>
    <e v="#DIV/0!"/>
    <n v="0"/>
    <m/>
    <e v="#DIV/0!"/>
    <n v="0"/>
    <m/>
    <e v="#DIV/0!"/>
    <n v="1"/>
    <n v="1"/>
    <n v="100"/>
  </r>
  <r>
    <n v="7"/>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Tomar muestras de agua en 30 puntos definidos para monitorear Cristosporidium , entregar resultados e informe"/>
    <s v="Procesos transversales de la Gestion de la Salud Pública"/>
    <n v="30"/>
    <s v="Número"/>
    <n v="0"/>
    <n v="0"/>
    <e v="#DIV/0!"/>
    <n v="0"/>
    <n v="0"/>
    <e v="#DIV/0!"/>
    <n v="0"/>
    <m/>
    <e v="#DIV/0!"/>
    <n v="30"/>
    <m/>
    <n v="0"/>
    <n v="30"/>
    <n v="0"/>
    <e v="#DIV/0!"/>
  </r>
  <r>
    <n v="8"/>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adquisisiones de insumos parea la vigilancia sanitaria de la calidad del agua y alimentos"/>
    <s v="Procesos transversales de la Gestion de la Salud Pública"/>
    <n v="100"/>
    <s v="Porcentaje"/>
    <n v="0"/>
    <n v="0"/>
    <e v="#DIV/0!"/>
    <n v="0"/>
    <n v="0"/>
    <e v="#DIV/0!"/>
    <n v="0"/>
    <m/>
    <e v="#DIV/0!"/>
    <n v="100"/>
    <m/>
    <n v="0"/>
    <n v="100"/>
    <n v="0"/>
    <e v="#DIV/0!"/>
  </r>
  <r>
    <n v="9"/>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el 100% de los Departamentos, Distritos y Municipios del País integran en su Planes de Desarrollo Territoriales estrategias para afectar de manera positiva los determinantes sociales de la salud en sus territorios."/>
    <s v="A 2027 el 100% de Municipios del País integran en su Planes de Desarrollo Territoriales estrategias para afectar de manera positiva los determinantes sociales de la salud en sus territorio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o de capacidades a los facilitadores de la red com (capacitadores), en coordinacion con el area de VSP "/>
    <s v="Procesos transversales de la Gestion de la Salud Pública"/>
    <n v="1"/>
    <s v="Número"/>
    <n v="0"/>
    <n v="0"/>
    <e v="#DIV/0!"/>
    <n v="1"/>
    <n v="1"/>
    <n v="100"/>
    <n v="0"/>
    <m/>
    <e v="#DIV/0!"/>
    <n v="0"/>
    <m/>
    <e v="#DIV/0!"/>
    <n v="1"/>
    <n v="1"/>
    <n v="100"/>
  </r>
  <r>
    <n v="10"/>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IVC formulado para la vigencia para dar respuesta a lo dispuesto en al Resolucion 1229 de 2013"/>
    <s v="Procesos transversales de la Gestion de la Salud Pública"/>
    <n v="100"/>
    <s v="Porcentaje"/>
    <n v="10"/>
    <n v="25"/>
    <n v="250"/>
    <n v="30"/>
    <n v="30"/>
    <n v="100"/>
    <n v="30"/>
    <m/>
    <n v="0"/>
    <n v="30"/>
    <m/>
    <n v="0"/>
    <n v="100"/>
    <n v="55"/>
    <n v="137.5"/>
  </r>
  <r>
    <n v="11"/>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2 vehiculos 24x7"/>
    <s v="Procesos transversales de la Gestion de la Salud Pública"/>
    <n v="100"/>
    <s v="Porcentaje"/>
    <n v="0"/>
    <n v="10"/>
    <e v="#DIV/0!"/>
    <n v="30"/>
    <n v="30"/>
    <n v="100"/>
    <n v="40"/>
    <m/>
    <n v="0"/>
    <n v="30"/>
    <m/>
    <n v="0"/>
    <n v="100"/>
    <n v="40"/>
    <n v="133.33333333333331"/>
  </r>
  <r>
    <n v="12"/>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Gestión transectorial a través de 32 reuniones del COTSA y las mesas de calidad de agua, Comité de residuos, comité de cárceles, comité de entornos saludables y movilidad segura, comité de plaguicidas, comité de sanidad portuaria, comité secciona"/>
    <s v="Procesos transversales de la Gestion de la Salud Pública"/>
    <n v="32"/>
    <s v="Número"/>
    <n v="8"/>
    <n v="6"/>
    <n v="75"/>
    <n v="8"/>
    <n v="8"/>
    <n v="100"/>
    <n v="8"/>
    <n v="0"/>
    <n v="0"/>
    <n v="8"/>
    <m/>
    <n v="0"/>
    <n v="32"/>
    <n v="14"/>
    <n v="58.333333333333336"/>
  </r>
  <r>
    <n v="13"/>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los planes de accion de las mesas y comites asociados al COTSA"/>
    <s v="Procesos transversales de la Gestion de la Salud Pública"/>
    <n v="100"/>
    <s v="Porcentaje"/>
    <n v="10"/>
    <n v="25"/>
    <n v="250"/>
    <n v="30"/>
    <n v="30"/>
    <n v="100"/>
    <n v="30"/>
    <m/>
    <n v="0"/>
    <n v="30"/>
    <m/>
    <n v="0"/>
    <n v="100"/>
    <n v="55"/>
    <n v="137.5"/>
  </r>
  <r>
    <n v="14"/>
    <s v="Deficiencias en la infraestructura sanitaria que se ve reflejada en bajas coberturas de alcantarillado y prestación del servicio de aseo así como la mala calidad del agua que condiciona la incidencia de "/>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de comunicación, educación, para el cambio de comportamiento y de acción colectiva que favorezcan la transformación de la cultura de seguridad social en salud y promover los entornos saludables y protector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Cuidado de la salud en el territorio"/>
    <s v="Capacitar a 30000 familias del departamento en las 10 normas basicas de manipulacion de alimentos en el marco de las visitas familiares."/>
    <s v="PIC(Anexo técnico)"/>
    <n v="30000"/>
    <s v="Número"/>
    <n v="10"/>
    <n v="0"/>
    <n v="0"/>
    <n v="30"/>
    <n v="0"/>
    <n v="0"/>
    <n v="30"/>
    <n v="0"/>
    <n v="0"/>
    <n v="30"/>
    <n v="0"/>
    <n v="0"/>
    <n v="30000"/>
    <n v="0"/>
    <n v="0"/>
  </r>
  <r>
    <n v="1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sociales del orden departamental y municipal desarrollan mecanismos para el fortalecimiento de la rectoría en salud en su territorio, conforme a las competencias establecidas"/>
    <s v="A 2027 el 100% de las entidades territoriales sociales del orden departamental y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de capacidades los equipos municipales y departamental en prevencion y manejo de ETAS"/>
    <s v="Procesos transversales de la Gestion de la Salud Pública"/>
    <n v="1"/>
    <s v="Número"/>
    <n v="0"/>
    <n v="0"/>
    <e v="#DIV/0!"/>
    <n v="30"/>
    <n v="0"/>
    <n v="0"/>
    <n v="40"/>
    <m/>
    <n v="0"/>
    <n v="30"/>
    <m/>
    <n v="0"/>
    <n v="1"/>
    <n v="0"/>
    <n v="0"/>
  </r>
  <r>
    <n v="1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e implementación de otras estrategias para la generación de conocimiento acerca de las condiciones en salud de la población y sus DSS a nivel territorial tales como observatorios, ASIS, unidades de análisis, seminarios, evaluaciones de riesgo 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la reunion departamental de salud ambiental de dos dias de duracion, con el tema central de entorno educativo saludable"/>
    <s v="Procesos transversales de la Gestion de la Salud Pública"/>
    <n v="1"/>
    <s v="Número"/>
    <n v="0"/>
    <n v="0"/>
    <e v="#DIV/0!"/>
    <n v="0"/>
    <n v="0"/>
    <e v="#DIV/0!"/>
    <n v="1"/>
    <m/>
    <n v="0"/>
    <n v="0"/>
    <m/>
    <e v="#DIV/0!"/>
    <n v="1"/>
    <n v="0"/>
    <e v="#DIV/0!"/>
  </r>
  <r>
    <n v="17"/>
    <s v="Las agresiones por animales potencialmente transmisores de la rabia"/>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u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Desarrollo institucional y sectorial para el ejercicio de la autoridad sanitaria"/>
    <s v="Desarrollo de capacidades a los miembros del comite SAN en practicas de inocuidad de alimentos "/>
    <s v="Procesos transversales de la Gestion de la Salud Pública"/>
    <n v="1"/>
    <s v="Número"/>
    <n v="0"/>
    <n v="1"/>
    <e v="#DIV/0!"/>
    <n v="1"/>
    <n v="0"/>
    <n v="0"/>
    <n v="0"/>
    <n v="0"/>
    <n v="0"/>
    <n v="0"/>
    <n v="0"/>
    <e v="#DIV/0!"/>
    <n v="1"/>
    <n v="1"/>
    <n v="100"/>
  </r>
  <r>
    <n v="18"/>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jornada de vacunación antirrábica canina y felina masiva casa a casa (entorno hogar), en los 29 municipios del departamento del Magdalena en zona urbana, rural y rural disperso, garantizando cobertura del 90% en animales mayores de tres meses,"/>
    <s v="PIC(Anexo técnico)"/>
    <n v="100"/>
    <s v="Porcentaje"/>
    <n v="0"/>
    <n v="0"/>
    <e v="#DIV/0!"/>
    <n v="0"/>
    <n v="5"/>
    <e v="#DIV/0!"/>
    <n v="0"/>
    <m/>
    <e v="#DIV/0!"/>
    <n v="100"/>
    <m/>
    <n v="0"/>
    <n v="100"/>
    <n v="5"/>
    <e v="#DIV/0!"/>
  </r>
  <r>
    <n v="19"/>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Realizar mantenimiento a  la vacunación antirrábica de perros y gatos durante los meses que no se esté realizando la masiva, mediante la busqueda de animales que no se pudieron vacunar en la masiva, animales nuevos que ingresen o nazcan en el periodo, vac"/>
    <s v="PIC(Anexo técnico)"/>
    <n v="100"/>
    <s v="Porcentaje"/>
    <n v="33.299999999999997"/>
    <n v="0"/>
    <n v="0"/>
    <n v="33.299999999999997"/>
    <n v="33.299999999999997"/>
    <n v="100"/>
    <n v="33.299999999999997"/>
    <m/>
    <n v="0"/>
    <n v="33.4"/>
    <m/>
    <n v="0"/>
    <n v="100"/>
    <n v="33.299999999999997"/>
    <n v="50"/>
  </r>
  <r>
    <n v="20"/>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Fortalecimiento de la red de frio para la vacunacion antirrábica canina y felina"/>
    <s v="Procesos transversales de la Gestion de la Salud Pública"/>
    <n v="100"/>
    <s v="Porcentaje"/>
    <n v="0"/>
    <n v="0"/>
    <e v="#DIV/0!"/>
    <n v="0"/>
    <n v="0"/>
    <e v="#DIV/0!"/>
    <n v="100"/>
    <m/>
    <n v="0"/>
    <n v="0"/>
    <m/>
    <e v="#DIV/0!"/>
    <n v="100"/>
    <n v="0"/>
    <e v="#DIV/0!"/>
  </r>
  <r>
    <n v="21"/>
    <s v="Las agresiones por animales potencialmente transmisores de la rabia"/>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
    <s v="Implementación de acciones dirigidas a mejorar la_x000a_ relación salud-ambiente-territorio para promover_x000a_ acciones dirigidas a mejorar las condiciones de vid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la vacunacion de perros y gatos en municipios con poblacion indigena Cienaga, Fundación, Aracataca y San Angel) y actividades de información, educación y  comuncicación de riesgo  de la rabia en IED indígena o mixta "/>
    <s v="PIC(Anexo técnico)"/>
    <n v="100"/>
    <s v="Porcentaje"/>
    <n v="0"/>
    <n v="0"/>
    <n v="0"/>
    <n v="20"/>
    <n v="5"/>
    <n v="25"/>
    <n v="40"/>
    <m/>
    <n v="0"/>
    <n v="40"/>
    <n v="0"/>
    <n v="0"/>
    <n v="100"/>
    <n v="5"/>
    <n v="8.3333333333333321"/>
  </r>
  <r>
    <n v="22"/>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de cobertura en en 100% de  los municipios que se prioricen."/>
    <s v="Procesos transversales de la Gestion de la Salud Pública"/>
    <n v="100"/>
    <s v="Porcentaje"/>
    <n v="25"/>
    <n v="0"/>
    <n v="0"/>
    <n v="25"/>
    <n v="0"/>
    <n v="0"/>
    <n v="25"/>
    <m/>
    <n v="0"/>
    <n v="25"/>
    <m/>
    <n v="0"/>
    <n v="100"/>
    <n v="0"/>
    <n v="0"/>
  </r>
  <r>
    <n v="23"/>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uministrar insumos para la vacunación antirrábica de perros y gatos y control de rabia de acuerdo al plan de adquisiciones"/>
    <s v="Procesos transversales de la Gestion de la Salud Pública"/>
    <n v="100"/>
    <s v="Porcentaje"/>
    <n v="0"/>
    <n v="0"/>
    <e v="#DIV/0!"/>
    <n v="100"/>
    <n v="33.299999999999997"/>
    <n v="33.299999999999997"/>
    <n v="0"/>
    <m/>
    <e v="#DIV/0!"/>
    <n v="0"/>
    <m/>
    <e v="#DIV/0!"/>
    <n v="100"/>
    <n v="33.299999999999997"/>
    <n v="33.299999999999997"/>
  </r>
  <r>
    <n v="24"/>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 Desarrollar un programa radial sobre la prevención de la rabia y otras zoonosis (accidente Ofídico, leptospira, toxoplasmosis) en cada uno de los 29 municipios "/>
    <s v="PIC(Anexo técnico)"/>
    <n v="29"/>
    <s v="Número"/>
    <n v="0"/>
    <n v="0"/>
    <e v="#DIV/0!"/>
    <n v="0"/>
    <n v="0"/>
    <e v="#DIV/0!"/>
    <n v="29"/>
    <m/>
    <n v="0"/>
    <n v="0"/>
    <m/>
    <e v="#DIV/0!"/>
    <n v="29"/>
    <n v="0"/>
    <e v="#DIV/0!"/>
  </r>
  <r>
    <n v="25"/>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Conmemorar el dia mundial contra la rabia realizando actividad de información educación y comunicación de riesgo de la rabia en (1) una institución educativa   de cada uno de los 29 municipios "/>
    <s v="PIC(Anexo técnico)"/>
    <n v="29"/>
    <s v="Número"/>
    <n v="0"/>
    <n v="0"/>
    <e v="#DIV/0!"/>
    <n v="0"/>
    <n v="0"/>
    <e v="#DIV/0!"/>
    <n v="29"/>
    <m/>
    <n v="0"/>
    <n v="0"/>
    <m/>
    <e v="#DIV/0!"/>
    <n v="29"/>
    <n v="0"/>
    <e v="#DIV/0!"/>
  </r>
  <r>
    <n v="26"/>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actividad de información educación y comunicación de riesgo sobre la TENENCIA RESPONSABLE DE MASCOTAS, en una institución educativa de cada uno de los 29 municipios "/>
    <s v="PIC(Anexo técnico)"/>
    <n v="29"/>
    <s v="Número"/>
    <n v="0"/>
    <n v="0"/>
    <e v="#DIV/0!"/>
    <n v="0"/>
    <n v="0"/>
    <e v="#DIV/0!"/>
    <n v="29"/>
    <m/>
    <n v="0"/>
    <n v="0"/>
    <m/>
    <e v="#DIV/0!"/>
    <n v="29"/>
    <n v="0"/>
    <e v="#DIV/0!"/>
  </r>
  <r>
    <n v="27"/>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eguimiento al 50% de los casos de exposicion leve y grave a rabia"/>
    <s v="Procesos transversales de la Gestion de la Salud Pública"/>
    <n v="50"/>
    <s v="Porcentaje"/>
    <n v="12.5"/>
    <n v="12.5"/>
    <n v="100"/>
    <n v="12.5"/>
    <n v="12.5"/>
    <n v="100"/>
    <n v="12.5"/>
    <m/>
    <n v="0"/>
    <n v="12.5"/>
    <m/>
    <n v="0"/>
    <n v="50"/>
    <n v="25"/>
    <n v="100"/>
  </r>
  <r>
    <n v="28"/>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88-A 2031, el 100% de las DTS departamentales, distritales y municipios categorías especial, 1, 2 y 3 a riesgo, implementan los planes estratégicos para la vigilancia y control de zoonosis (brucelosis bovina, toxoplasmosis congénita y gestacional, acciden"/>
    <s v="88-A 2031, el 100% de las DTS departamentales, distritales y municipios categorías especial, 1, 2 y 3 a riesgo, implementan los planes estratégicos para la vigilancia y control de zoonosis (brucelosis bovina, toxoplasmosis congénita y gestacional, acciden"/>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al 100% de la red publica y privada que cuente con servicio de urgencias en la disponibilidad de sueros antiofidicos"/>
    <s v="Procesos transversales de la Gestion de la Salud Pública"/>
    <n v="100"/>
    <s v="Porcentaje"/>
    <n v="25"/>
    <n v="25"/>
    <n v="100"/>
    <n v="25"/>
    <n v="25"/>
    <n v="100"/>
    <n v="25"/>
    <m/>
    <n v="0"/>
    <n v="25"/>
    <m/>
    <n v="0"/>
    <n v="100"/>
    <n v="50"/>
    <n v="100"/>
  </r>
  <r>
    <n v="29"/>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al recurso humano en salud para la atencion integral de accidente ofidico y APTR para medicos de area rural y EBS"/>
    <s v="Procesos transversales de la Gestion de la Salud Pública"/>
    <n v="1"/>
    <s v="Número"/>
    <n v="0"/>
    <n v="0"/>
    <e v="#DIV/0!"/>
    <n v="0"/>
    <n v="0"/>
    <e v="#DIV/0!"/>
    <n v="1"/>
    <m/>
    <n v="0"/>
    <n v="0"/>
    <m/>
    <e v="#DIV/0!"/>
    <n v="1"/>
    <n v="0"/>
    <e v="#DIV/0!"/>
  </r>
  <r>
    <n v="30"/>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institucionales con el fin de mejorar las habilidades individuales en la prevención y control de de zoonosis al nivel municipal"/>
    <s v="Procesos transversales de la Gestion de la Salud Pública"/>
    <n v="1"/>
    <s v="Número"/>
    <n v="0"/>
    <n v="0"/>
    <e v="#DIV/0!"/>
    <n v="0"/>
    <n v="1"/>
    <e v="#DIV/0!"/>
    <n v="0"/>
    <n v="0"/>
    <e v="#DIV/0!"/>
    <n v="1"/>
    <n v="0"/>
    <n v="0"/>
    <n v="1"/>
    <n v="1"/>
    <n v="100"/>
  </r>
  <r>
    <n v="31"/>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1-A 2031, la prevalencia de caries se reduce al menos en 10 puntos porcentuales en primera infancia, en infancia y en adolescencia."/>
    <s v="61-A 2031, la prevalencia de caries se reduce al menos en 10 puntos porcentuales en primera infancia, en infancia y en adolescencia."/>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Promover la adopcion de habitos saludables relacionados con higiene visual, cuidado auditivo y autocuidado oral en niños, niñas y adolescentes, mediante estrategias ludicas y educativas que fomenten el aprendizaje práctico y participativo en los ambitos u"/>
    <s v="PIC(Anexo técnico)"/>
    <n v="29"/>
    <s v="Número"/>
    <n v="0"/>
    <n v="0"/>
    <e v="#DIV/0!"/>
    <n v="10"/>
    <m/>
    <n v="0"/>
    <n v="10"/>
    <m/>
    <n v="0"/>
    <n v="9"/>
    <m/>
    <n v="0"/>
    <n v="29"/>
    <n v="0"/>
    <e v="#DIV/0!"/>
  </r>
  <r>
    <n v="32"/>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y Municipales fortalecidas como autoridad sanitaria local para la Gobernanza en Salud Pública."/>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40-A 2031, se garantiza que entre la sospecha médica y la confirmación diagnóstica de cáncer de cuello uterino transcurran en promedio 30 días o menos"/>
    <s v="40-A 2031, se garantiza que entre la sospecha médica y la confirmación diagnóstica de cáncer de cuello uterino transcurran en promedio 30 días o men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Jornadas de salud que permitan identificar el riesgo haciendo promocion de la salud bucal, auditiva, comunicatva, tamizaje de riesgo cardiovascular, tamizaje para CCU, autoexamen de seno, aplicacion de barniz de fluor, de acuerdo al curso de vida en el en"/>
    <s v="PIC(Anexo técnico)"/>
    <n v="29"/>
    <s v="Número"/>
    <n v="0"/>
    <n v="0"/>
    <e v="#DIV/0!"/>
    <n v="10"/>
    <n v="0"/>
    <n v="0"/>
    <n v="10"/>
    <m/>
    <n v="0"/>
    <n v="9"/>
    <m/>
    <n v="0"/>
    <n v="29"/>
    <n v="0"/>
    <n v="0"/>
  </r>
  <r>
    <n v="33"/>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Conmemorar la semana de hábitos y estilos de vida saludables a través de actividades educativas, recreativas y de sensibilización enfocadas en la alimentación balanceada, la actividad física, el bienestar emocional y la prevención de enfermedades, fortale"/>
    <s v="PIC(Anexo técnico)"/>
    <n v="29"/>
    <s v="Número"/>
    <n v="0"/>
    <n v="0"/>
    <e v="#DIV/0!"/>
    <n v="10"/>
    <n v="0"/>
    <n v="0"/>
    <n v="10"/>
    <m/>
    <n v="0"/>
    <n v="9"/>
    <m/>
    <n v="0"/>
    <n v="29"/>
    <n v="0"/>
    <n v="0"/>
  </r>
  <r>
    <n v="34"/>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31 el 100% de las Entidades Territoriales del orden departamental, distrital y municipal desarrollan mecanismos para el fortalecimiento de la rectoría en salud en su territorio, conforme a las competencias establecidas."/>
    <s v="62-A 2031, las personas sin pérdida dental (dentición permanente) por enfermedad bucodental prevenible, se incrementa en 5 puntos porcentuales (mínimo) en las edades de 20-34 años; 35-44 años; 45-64 años y 65-79 y más años"/>
    <s v="62-A 2031, las personas sin pérdida dental (dentición permanente) por enfermedad bucodental prevenible, se incrementa en 5 puntos porcentuales (mínimo) en las edades de 20-34 años; 35-44 años; 45-64 años y 65-79 y más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Desarrollo institucional y sectorial para el ejercicio de la autoridad sanitaria"/>
    <s v="Alianzas transectoriales, que busquen fortalecer la promoción de la salud bucal mediante el desarrollo de actividades y estrategias de prevención, educación, detección temprana, atención integral y oportuna."/>
    <s v="Procesos transversales de la Gestion de la Salud Pública"/>
    <n v="3"/>
    <s v="Número"/>
    <n v="0"/>
    <n v="0"/>
    <n v="0"/>
    <n v="1"/>
    <m/>
    <n v="0"/>
    <n v="1"/>
    <m/>
    <n v="0"/>
    <n v="1"/>
    <m/>
    <n v="0"/>
    <n v="3"/>
    <n v="0"/>
    <e v="#DIV/0!"/>
  </r>
  <r>
    <n v="35"/>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Brindar asistencia Tecnica a todos los actores del sistema en todos los componentes de Promocion Y prevencion de las enfermedades crónicas no transmisibles mediante levantamiento de linea base de total de personas que padecen HTA . DM y ERC  ( incidencia "/>
    <s v="Procesos transversales de la Gestion de la Salud Pública"/>
    <n v="29"/>
    <s v="Número"/>
    <n v="8"/>
    <n v="0"/>
    <n v="0"/>
    <n v="8"/>
    <n v="7"/>
    <n v="87.5"/>
    <n v="8"/>
    <m/>
    <n v="0"/>
    <n v="5"/>
    <m/>
    <n v="0"/>
    <n v="29"/>
    <n v="7"/>
    <n v="43.75"/>
  </r>
  <r>
    <n v="36"/>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0-A 2031, se reducirá la tasa ajustada de mortalidad por cáncer infantil a menos de 4,00 x 100000 niños, niñas y adolescentes"/>
    <s v="50-A 2031, se reducirá la tasa ajustada de mortalidad por cáncer infantil a menos de 4,00 x 100000 niños, niñas y adolescentes"/>
    <s v="Salud Pública"/>
    <s v="Médico en tu casa"/>
    <s v="Fortalecimiento de Estrategias para la Promoción de la Salud y Prevención de Enfermedades en Comunidades, mediante acciones Integrales, Participativas y Sostenibles en el Departamento del Magdalena."/>
    <s v="Consolidar los planes de choque en Cancer de mama, cáncer cervicouterino y cáncer infantil de los 29 municipios y EAPB del departamento del Magdalena"/>
    <s v="Desarrollo institucional y sectorial para el ejercicio de la autoridad sanitaria"/>
    <s v="Realizar 4 sesiones del Consejo Departamental Asesor en Cancer Infantil de la mano de los actores definidos en la resolucion 1101 del 15 de noviembre de 2012 y el reglamento interno del CODACAI"/>
    <s v="Procesos transversales de la Gestion de la Salud Pública"/>
    <n v="4"/>
    <m/>
    <n v="1"/>
    <n v="1"/>
    <n v="100"/>
    <n v="1"/>
    <n v="1"/>
    <n v="100"/>
    <n v="1"/>
    <m/>
    <n v="0"/>
    <n v="1"/>
    <m/>
    <n v="0"/>
    <n v="4"/>
    <n v="2"/>
    <n v="100"/>
  </r>
  <r>
    <n v="37"/>
    <s v="Los malos hábitos alimenticios, los estilos de vida y el entorno laboral contribuyen a la alta prevalencia de HTA y diabetes y ERC. El sedentarismo se ha convertido en un flagelo del siglo XXI ; el 4 % de los asistentes a las mesas lo reconoció como un pr"/>
    <s v="Conocimiento en salud pública y Soberanía Sanitaria"/>
    <s v="i). Gobernabilidad, Gobernanza y Territorialización"/>
    <s v="Entidades Territoriales Departamentales, Distritales y Municipales con mecanismos fortalecidos para el ejercicio de la Rectoría en Salud."/>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Realizar promocion activa de CERSS - fase de ejecucion, monitoreo y evaluacion (Herramientas: Implementacion de CERSS, monitoreo y evaluacion en los 29 municipios. Realizacion de taller para la implementacion, monitoreo y evaluacion de la estrategias CERS"/>
    <s v="Procesos transversales de la Gestion de la Salud Pública"/>
    <n v="4"/>
    <s v="Número"/>
    <n v="0"/>
    <n v="0"/>
    <e v="#DIV/0!"/>
    <n v="0"/>
    <n v="0"/>
    <e v="#DIV/0!"/>
    <n v="2"/>
    <m/>
    <n v="0"/>
    <n v="2"/>
    <m/>
    <n v="0"/>
    <n v="4"/>
    <n v="0"/>
    <e v="#DIV/0!"/>
  </r>
  <r>
    <n v="38"/>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Desarrollo de capacidades en enfermedades cronicas dirigido a medicos y enfermeros jefes de las entidades prestadoras de servicios en el departamento del Magdalena."/>
    <s v="Procesos transversales de la Gestion de la Salud Pública"/>
    <n v="1"/>
    <s v="Número"/>
    <n v="0"/>
    <n v="0"/>
    <e v="#DIV/0!"/>
    <n v="0"/>
    <n v="0"/>
    <e v="#DIV/0!"/>
    <n v="0"/>
    <m/>
    <e v="#DIV/0!"/>
    <n v="1"/>
    <m/>
    <n v="0"/>
    <n v="1"/>
    <n v="0"/>
    <e v="#DIV/0!"/>
  </r>
  <r>
    <n v="39"/>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Implementar las Zonas de Orientación y/o Centros de Escucha en el entorno educativo en cada uno de los 29 municipios, fortaleciendo la promoción y atención primaria de la salud mental, la prevención del consumo de SPA, la conducta suicida y las violencias"/>
    <s v="PIC(Anexo técnico)"/>
    <n v="35"/>
    <s v="Número"/>
    <n v="35"/>
    <n v="0"/>
    <n v="0"/>
    <n v="35"/>
    <n v="10"/>
    <n v="28.571428571428569"/>
    <n v="35"/>
    <m/>
    <n v="0"/>
    <n v="35"/>
    <m/>
    <n v="0"/>
    <n v="35"/>
    <n v="10"/>
    <n v="14.285714285714285"/>
  </r>
  <r>
    <n v="40"/>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Promover la educación e información en salud en el entorno familiar y educativo orientado hacia la promocion de la salud mental, prevencion del consumo de spa, prevencion de la conducta suicida, prevencion de la violencia en el entorno escolar en los 29 M"/>
    <s v="PIC(Anexo técnico)"/>
    <n v="102"/>
    <s v="Número"/>
    <n v="0"/>
    <n v="0"/>
    <e v="#DIV/0!"/>
    <n v="34"/>
    <n v="24"/>
    <n v="70.588235294117652"/>
    <n v="34"/>
    <m/>
    <n v="0"/>
    <n v="34"/>
    <m/>
    <n v="0"/>
    <n v="102"/>
    <n v="24"/>
    <n v="70.588235294117652"/>
  </r>
  <r>
    <n v="41"/>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Realizar la conmemoración de: Día Mundial de la Salud Mental, Dia Internacional y semana  de la Prevención de la conducta suicida, Dia Internacional de la Eliminación de la violencia contra la mujer,  semana de la prevención del consumo de sustancias psic"/>
    <s v="PIC(Anexo técnico)"/>
    <n v="102"/>
    <s v="Número"/>
    <n v="0"/>
    <n v="0"/>
    <n v="0"/>
    <n v="34"/>
    <n v="29"/>
    <n v="85.294117647058826"/>
    <n v="34"/>
    <m/>
    <n v="0"/>
    <n v="34"/>
    <m/>
    <n v="0"/>
    <n v="102"/>
    <n v="29"/>
    <n v="85.294117647058826"/>
  </r>
  <r>
    <n v="42"/>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mplementación de estrategias para la generación de conocimiento de las condiciones de salud de la población y sus determinantes tales como observatorios, ASIS, unidades de análisis, seminarios, "/>
    <s v="A 2031 el 100% las entidades territoriales Departamentales, Distritales han implementado las medidas de atención para la atención a las mujeres víctimas de violencia de género."/>
    <s v="A 2027 el 100% las entidades territoriales han implementado las medidas de atención para la atención a las mujeres víctimas de violencia de género."/>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Desarrollar capacidades del Talento Humano en salud de las EAPB y ESE mediante talleres en Salud mental comunitaria e intervención temprana, atención en salud para las mujeres víctimas de violencias de genero e intrafamiliar, ruta de atención integral en "/>
    <s v="Procesos transversales de la Gestion de la Salud Pública"/>
    <n v="1"/>
    <s v="Número"/>
    <n v="0"/>
    <n v="0"/>
    <n v="0"/>
    <n v="0"/>
    <n v="0"/>
    <e v="#DIV/0!"/>
    <n v="1"/>
    <m/>
    <n v="0"/>
    <n v="1"/>
    <m/>
    <n v="0"/>
    <n v="1"/>
    <n v="0"/>
    <e v="#DIV/0!"/>
  </r>
  <r>
    <n v="43"/>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de capacidades a través de un taller por subregión, referente a primeros auxilios psicológicos, dirigido a los equipos de profesionales de las ESE, equipos básicos en atención primaria en salud y docentes orientadores de los 29 municipios que c"/>
    <s v="Procesos transversales de la Gestion de la Salud Pública"/>
    <n v="4"/>
    <s v="Número"/>
    <n v="0"/>
    <n v="0"/>
    <n v="0"/>
    <n v="1"/>
    <n v="0"/>
    <n v="0"/>
    <n v="2"/>
    <m/>
    <n v="0"/>
    <n v="4"/>
    <m/>
    <n v="0"/>
    <n v="4"/>
    <n v="0"/>
    <n v="0"/>
  </r>
  <r>
    <n v="44"/>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por subregión, referente  a Promover la salud integral e integrada y prevenir el consumo de SPA,  rutas de atención para garantizar el acceso a la detección, tratamiento y atención de los p"/>
    <s v="Procesos transversales de la Gestion de la Salud Pública"/>
    <n v="4"/>
    <s v="Número"/>
    <n v="0"/>
    <n v="0"/>
    <n v="0"/>
    <n v="1"/>
    <n v="0"/>
    <n v="0"/>
    <n v="1"/>
    <m/>
    <n v="0"/>
    <n v="2"/>
    <m/>
    <n v="0"/>
    <n v="4"/>
    <n v="0"/>
    <n v="0"/>
  </r>
  <r>
    <n v="45"/>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referente a reducir la conducta suicida en el departamento, con estrategias locales y en contexto, diferenciadas por curso de vida y entornos de desarrollo. Fortalecer las rutas de promoció"/>
    <s v="Procesos transversales de la Gestion de la Salud Pública"/>
    <n v="2"/>
    <s v="Número"/>
    <n v="0"/>
    <n v="0"/>
    <n v="0"/>
    <n v="0"/>
    <n v="0"/>
    <e v="#DIV/0!"/>
    <n v="1"/>
    <m/>
    <n v="0"/>
    <n v="1"/>
    <m/>
    <n v="0"/>
    <n v="2"/>
    <n v="0"/>
    <e v="#DIV/0!"/>
  </r>
  <r>
    <n v="46"/>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disminuir la tasa de violencia interpersonal a 230 por 100.000 habitantes"/>
    <s v="A 2027, mantener la tasa de mortalidad de suicidio"/>
    <s v="95-A 2031, mantener la tasa de mortalidad de suicidio por debajo de 5"/>
    <s v="A 2027,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Realizar encuentro departamental de referentes de convivencia social y salud mental de los 29 municipios del departamento"/>
    <s v="Procesos transversales de la Gestion de la Salud Pública"/>
    <n v="1"/>
    <s v="Número"/>
    <n v="0"/>
    <n v="0"/>
    <n v="0"/>
    <n v="1"/>
    <n v="0"/>
    <n v="0"/>
    <n v="0"/>
    <m/>
    <e v="#DIV/0!"/>
    <n v="0"/>
    <m/>
    <e v="#DIV/0!"/>
    <n v="1"/>
    <n v="0"/>
    <n v="0"/>
  </r>
  <r>
    <n v="47"/>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implmentación integral en salud y la gestion territorial en el marco del modelo de salud preventivo y predictivo y resolución basado en AP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Desarrollo institucional y sectorial para el ejercicio de la autoridad sanitaria"/>
    <s v="Realizar 2 sesiones de Comités de Departamental de Drogas; 2 de Consejo Seccional de Estupefacientes; 2 de consejos de departamental de salud mental.  2 mesas de articulación para la atención integral de las violencias basadas en genero. "/>
    <s v="Procesos transversales de la Gestion de la Salud Pública"/>
    <n v="9"/>
    <s v="Número"/>
    <n v="0"/>
    <m/>
    <n v="0"/>
    <n v="3"/>
    <n v="2"/>
    <n v="66.666666666666657"/>
    <n v="3"/>
    <m/>
    <n v="0"/>
    <n v="3"/>
    <m/>
    <n v="0"/>
    <n v="9"/>
    <n v="2"/>
    <e v="#DIV/0!"/>
  </r>
  <r>
    <n v="4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para la organización y acompañamiento de la participación ciudadana dirigida a la identificación de problemáticas, análisis, comprensión y definición de decisiones que impacten de manera positiva la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15-A 2031, reducir en un 20% la prevalencia de anemia en los niños, niñas menores de 5 años"/>
    <s v="15-A 2031, reducir en un 20% la prevalencia de anemia en los niños, niñas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 implementación de huertas en megacolegios con continuidad, capacitación en las nuevas GABAS con enfoque diferencial dirigido a docentes y rectores de colegios la promoción de loncheras saludables con articulación intersectorial "/>
    <s v="PIC(Anexo técnico)"/>
    <n v="29"/>
    <s v="Número"/>
    <n v="7"/>
    <n v="0"/>
    <n v="0"/>
    <n v="7"/>
    <n v="0"/>
    <n v="0"/>
    <n v="7"/>
    <m/>
    <n v="0"/>
    <n v="8"/>
    <m/>
    <n v="0"/>
    <n v="29"/>
    <n v="0"/>
    <n v="0"/>
  </r>
  <r>
    <n v="4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a"/>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de los 4 municipios a cada familia se le debe educar en el código internacional de Sucedáneos, implementacion de p"/>
    <s v="PIC(Anexo técnico)"/>
    <n v="4"/>
    <s v="Número"/>
    <n v="1"/>
    <n v="0"/>
    <n v="0"/>
    <n v="1"/>
    <n v="0"/>
    <n v="0"/>
    <n v="1"/>
    <m/>
    <n v="0"/>
    <n v="1"/>
    <m/>
    <n v="0"/>
    <n v="4"/>
    <n v="0"/>
    <n v="0"/>
  </r>
  <r>
    <n v="5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A 2031 el 100% de las Entidades Territoriales del orden departamental, distrital y municipal han desarrollado procesos de ajuste institucional para el fortalecimiento de las capacidades de la autoridad sanitaria y la apropiación territorial del modelo de "/>
    <s v="Gestión territorial para el cuidado de la salud basado en la atención primaria en salud. "/>
    <s v="Gestión territorial para el cuidado de la salud basado en la atención primaria en salud.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Realizar Busqueda activa comunitaria bimensual de niños(as) menores de cinco años en riesgo de desnutricion aguda en el entorno hogar, agrupados , IED y Programas de ICBF en los territorios y microterritorios totales en los 29 municpios a cada familia se "/>
    <s v="PIC(Anexo técnico)"/>
    <n v="200"/>
    <s v="Número"/>
    <n v="50"/>
    <n v="0"/>
    <n v="0"/>
    <n v="50"/>
    <n v="0"/>
    <n v="0"/>
    <n v="50"/>
    <n v="0"/>
    <n v="0"/>
    <n v="50"/>
    <m/>
    <n v="0"/>
    <n v="200"/>
    <n v="0"/>
    <n v="0"/>
  </r>
  <r>
    <n v="5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A 2031, el 40% de los niños menores de 6 meses tienen lactancia materna exclusiva"/>
    <s v="A 2027, el 40% de los niños menores de 6 meses tienen lactancia materna exclusiv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Capacitar al talento humano de las EPS, IPS, EBS  y PIC de los 29 municipios del departamento del Magdalena sobre lactancia y relactancia materna y Código Internacional de Comercialización de Sucedáneos de la Leche materna (CICSLM) "/>
    <s v="Procesos transversales de la Gestion de la Salud Pública"/>
    <n v="1"/>
    <s v="Número"/>
    <n v="0"/>
    <n v="0"/>
    <e v="#DIV/0!"/>
    <n v="0"/>
    <n v="1"/>
    <e v="#DIV/0!"/>
    <n v="1"/>
    <n v="0"/>
    <n v="0"/>
    <n v="0"/>
    <m/>
    <e v="#DIV/0!"/>
    <n v="1"/>
    <n v="1"/>
    <n v="100"/>
  </r>
  <r>
    <n v="5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A 2031 el 100% de las Entidades Territoriales del orden departamental, distrital y municipal han desarrollado procesos de ajuste institucional para el fortalecimiento de las capacidades de la autoridad sanitaria y la apropiación territorial del modelo de "/>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Conmemorar la semana mundial de la LM realizar por sub-región en articulación del comité SAN municipal, líderes, líderesas y gestores comunitarios acciones de movilización y sensibilización a mujeres gestantes y lactantes y sus familias a cerca de la impo"/>
    <s v="PIC(Anexo técnico)"/>
    <n v="29"/>
    <s v="Número"/>
    <n v="0"/>
    <n v="0"/>
    <e v="#DIV/0!"/>
    <n v="0"/>
    <n v="0"/>
    <e v="#DIV/0!"/>
    <n v="29"/>
    <n v="0"/>
    <n v="0"/>
    <n v="0"/>
    <m/>
    <e v="#DIV/0!"/>
    <n v="29"/>
    <n v="0"/>
    <n v="0"/>
  </r>
  <r>
    <n v="5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teorico practico de dos dias para la construcción de Planes de SAN Municipales en los 29 municipios del departamento del Magdalena."/>
    <s v="Procesos transversales de la Gestion de la Salud Pública"/>
    <n v="2"/>
    <s v="Número"/>
    <n v="0"/>
    <n v="0"/>
    <e v="#DIV/0!"/>
    <n v="1"/>
    <n v="1"/>
    <n v="100"/>
    <n v="1"/>
    <m/>
    <n v="0"/>
    <n v="0"/>
    <m/>
    <e v="#DIV/0!"/>
    <n v="2"/>
    <n v="1"/>
    <n v="100"/>
  </r>
  <r>
    <n v="5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Realizar el acompañamiento técnico a las EAPB priorizadas la implementación de la Resolución 3280 de 2018  énfasis en las atenciones que promuevan la lactancia materna y adecuada alimentación complementaria, el seguimiento y monitoreo a la consulta partic"/>
    <s v="Procesos transversales de la Gestion de la Salud Pública"/>
    <n v="29"/>
    <s v="Número"/>
    <n v="0"/>
    <n v="0"/>
    <e v="#DIV/0!"/>
    <n v="10"/>
    <n v="0"/>
    <n v="0"/>
    <n v="10"/>
    <m/>
    <n v="0"/>
    <n v="9"/>
    <m/>
    <n v="0"/>
    <n v="29"/>
    <n v="0"/>
    <n v="0"/>
  </r>
  <r>
    <n v="5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Sesionar 4 Mesas de trabajo durante el año con el comité departamental SAN para evaluar y ajustar la ejecución de la politica departamental mediante plan de acción con Matriz de monitoreo para el cumplimiento del derecho humano a la alimentacion Adecuada "/>
    <s v="Procesos transversales de la Gestion de la Salud Pública"/>
    <n v="4"/>
    <s v="Número"/>
    <n v="1"/>
    <n v="0"/>
    <n v="0"/>
    <n v="1"/>
    <n v="1"/>
    <n v="100"/>
    <n v="1"/>
    <m/>
    <n v="0"/>
    <n v="1"/>
    <m/>
    <n v="0"/>
    <n v="4"/>
    <n v="1"/>
    <n v="50"/>
  </r>
  <r>
    <n v="5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ar Capacidades técnicas, científicas y operativas al RH de la DTS, IPS, EAPB en la Resolución 2465 /2016 y resolucion 2350/2020, con la revison de los planes de la desaceleracion de la desnutricon en los 29 municipios."/>
    <s v="Procesos transversales de la Gestion de la Salud Pública"/>
    <n v="29"/>
    <s v="Número"/>
    <n v="7"/>
    <n v="0"/>
    <n v="0"/>
    <n v="7"/>
    <n v="0"/>
    <n v="0"/>
    <n v="7"/>
    <m/>
    <n v="0"/>
    <n v="8"/>
    <m/>
    <n v="0"/>
    <n v="29"/>
    <n v="0"/>
    <n v="0"/>
  </r>
  <r>
    <n v="57"/>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órico práctico al talento humano de las Secretarías de Salud, Profesionales de la Salud de IPS, EPS, EBS, Madres FAMI, ICBF, rectores y docentes de colegios y Alcaldias de los 29 municipios sobre las nuevas GABA con enfoque dif"/>
    <s v="Procesos transversales de la Gestion de la Salud Pública"/>
    <n v="29"/>
    <s v="Número"/>
    <n v="0"/>
    <n v="0"/>
    <e v="#DIV/0!"/>
    <n v="10"/>
    <n v="10"/>
    <n v="100"/>
    <n v="10"/>
    <m/>
    <n v="0"/>
    <n v="9"/>
    <m/>
    <n v="0"/>
    <n v="29"/>
    <n v="10"/>
    <n v="100"/>
  </r>
  <r>
    <n v="5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orico practico, certificado sobre la estrategia Instituciones Amiga de la Mujer y la Infacia- IAMII, Salas Amigas de Extracción Manual de la leche materna, código internacional de sucedáneos de la leche materna, RIAS 3280, RIAS"/>
    <s v="Procesos transversales de la Gestion de la Salud Pública"/>
    <n v="4"/>
    <s v="Número"/>
    <n v="0"/>
    <n v="0"/>
    <e v="#DIV/0!"/>
    <n v="2"/>
    <n v="0"/>
    <n v="0"/>
    <n v="2"/>
    <m/>
    <n v="0"/>
    <n v="0"/>
    <m/>
    <e v="#DIV/0!"/>
    <n v="4"/>
    <n v="0"/>
    <n v="0"/>
  </r>
  <r>
    <n v="5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en Resolucion 3280 dirigido al TH de las ESE, IPS; DTS de los 29 municipios"/>
    <s v="Procesos transversales de la Gestion de la Salud Pública"/>
    <n v="1"/>
    <s v="Número"/>
    <n v="1"/>
    <n v="0"/>
    <n v="0"/>
    <n v="0"/>
    <n v="1"/>
    <e v="#DIV/0!"/>
    <n v="1"/>
    <m/>
    <n v="0"/>
    <n v="0"/>
    <m/>
    <e v="#DIV/0!"/>
    <n v="1"/>
    <n v="1"/>
    <n v="100"/>
  </r>
  <r>
    <n v="6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4-A 2031, mantener en &lt; 9% la proporción de Bajo Peso al Nacer"/>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Realizar comité trimestral del  plan  desaceleracion de muerte por desnutricion haciendo seguimientos mensuales a las EAPB Y MUNICIPIOS sobre la busquedad activa de niños reportados en la base sivigila ,según la resolucion 2350 y 2465  y realizar asistenc"/>
    <s v="Procesos transversales de la Gestion de la Salud Pública"/>
    <n v="4"/>
    <s v="Número"/>
    <n v="1"/>
    <n v="1"/>
    <n v="100"/>
    <n v="1"/>
    <n v="0"/>
    <n v="0"/>
    <n v="1"/>
    <m/>
    <n v="0"/>
    <n v="1"/>
    <m/>
    <n v="0"/>
    <n v="4"/>
    <n v="1"/>
    <n v="50"/>
  </r>
  <r>
    <n v="6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en el componente de prevencion de embarazo en adolescentes, prevencion de las violencias, planificacion familiar, prevencion de las enfermedades de transmisión sexual ETS (VIH/SIDA)) en el entorno escolar jovenes y adolescentes (6 a 11 "/>
    <s v="PIC(Anexo técnico)"/>
    <n v="29"/>
    <s v="Número"/>
    <n v="5"/>
    <n v="0"/>
    <n v="0"/>
    <n v="10"/>
    <n v="0"/>
    <n v="0"/>
    <n v="10"/>
    <m/>
    <n v="0"/>
    <n v="4"/>
    <m/>
    <n v="0"/>
    <n v="29"/>
    <n v="0"/>
    <n v="0"/>
  </r>
  <r>
    <n v="6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a padres de familia, maestros, lideres comunitarios y otros actores, en la promoción de la salud sexual y reproductiva;  fomentando un entorno de apoyo, comprensión promover relaciones respetuosas, igualitarias y libres de violencia; co"/>
    <s v="PIC(Anexo técnico)"/>
    <n v="29"/>
    <s v="Número"/>
    <n v="5"/>
    <n v="0"/>
    <n v="0"/>
    <n v="10"/>
    <n v="0"/>
    <n v="0"/>
    <n v="10"/>
    <m/>
    <n v="0"/>
    <n v="4"/>
    <m/>
    <n v="0"/>
    <n v="29"/>
    <n v="0"/>
    <n v="0"/>
  </r>
  <r>
    <n v="63"/>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Realizar educación en salud materna y neonatal, a mujeres en edad fertil, parteras y jefes del hogar en las comunidades priorizadas, sobre factores de riesgo y desarmonías, reporte oportuno y atención en salud para evitar complicaciones en la madre y en s"/>
    <s v="PIC(Anexo técnico)"/>
    <n v="4"/>
    <s v="Número"/>
    <n v="1"/>
    <n v="0"/>
    <n v="0"/>
    <n v="1"/>
    <n v="0"/>
    <n v="0"/>
    <n v="1"/>
    <m/>
    <n v="0"/>
    <n v="1"/>
    <m/>
    <n v="0"/>
    <n v="4"/>
    <n v="0"/>
    <n v="0"/>
  </r>
  <r>
    <n v="6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3-A 2031, reducir a 6 por cada 1.000 nacidos vivos la tasa de mortalidad neonatal"/>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Educacion en salud para la promocion y prevencion de la salud materno perinatal dirigida a mamos, medicos, parteras y lideres con el fin de fortalecer el manejo de la guia materno perinatal"/>
    <s v="PIC(Anexo técnico)"/>
    <n v="4"/>
    <s v="Número"/>
    <n v="1"/>
    <n v="0"/>
    <n v="0"/>
    <n v="1"/>
    <n v="0"/>
    <n v="0"/>
    <n v="1"/>
    <m/>
    <n v="0"/>
    <n v="1"/>
    <m/>
    <n v="0"/>
    <n v="4"/>
    <n v="0"/>
    <n v="0"/>
  </r>
  <r>
    <n v="6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bajo escenario de simulacion presencial teorico practicos al talento humano en salud de las ESE e IPS del Departamento del Magdalena,  sobre Ruta Materno Perinatal,  emergencias obstetricas, Planificacion Familiar dirigido a medi"/>
    <s v="Procesos transversales de la Gestion de la Salud Pública"/>
    <n v="2"/>
    <s v="Número"/>
    <n v="0"/>
    <n v="0"/>
    <e v="#DIV/0!"/>
    <n v="0"/>
    <n v="0"/>
    <e v="#DIV/0!"/>
    <n v="1"/>
    <m/>
    <n v="0"/>
    <n v="1"/>
    <m/>
    <n v="0"/>
    <n v="2"/>
    <n v="0"/>
    <e v="#DIV/0!"/>
  </r>
  <r>
    <n v="6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ar capacidades  del Talento Humano  en salud  de las EAPB y ESE mediante taller en atencion en salud para las mujeres victimas de violencias de genero e intrafamiliar, ruta de atención integral de los 29 municipios del departamento del Magdalena "/>
    <s v="Procesos transversales de la Gestion de la Salud Pública"/>
    <n v="1"/>
    <s v="Número"/>
    <n v="0"/>
    <n v="0"/>
    <e v="#DIV/0!"/>
    <n v="0"/>
    <n v="0"/>
    <e v="#DIV/0!"/>
    <n v="1"/>
    <m/>
    <n v="0"/>
    <n v="1"/>
    <m/>
    <n v="0"/>
    <n v="1"/>
    <n v="0"/>
    <e v="#DIV/0!"/>
  </r>
  <r>
    <n v="6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Asistencia Tecnica Seguimiento y monitoreo a la operativizacion de la ruta de atención en salud para víctimas de violencias sexuales y violencias de genero al entorno institucional, en el marco del Modelo Atención Integral de Salud en los 29 Municipios de"/>
    <s v="Procesos transversales de la Gestion de la Salud Pública"/>
    <n v="29"/>
    <s v="Número"/>
    <n v="5"/>
    <n v="0"/>
    <n v="0"/>
    <n v="10"/>
    <n v="4"/>
    <n v="40"/>
    <n v="10"/>
    <m/>
    <n v="0"/>
    <n v="4"/>
    <m/>
    <n v="0"/>
    <n v="29"/>
    <n v="4"/>
    <n v="26.666666666666668"/>
  </r>
  <r>
    <n v="6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Realizar la conmemoracion de la semana andina de prevencion de embarazo en adolescentes y niñas en los 29 municipios del  departamento de magdalena "/>
    <s v="PIC(Anexo técnico)"/>
    <n v="29"/>
    <s v="Número"/>
    <n v="4"/>
    <n v="0"/>
    <n v="0"/>
    <n v="10"/>
    <n v="0"/>
    <n v="0"/>
    <n v="10"/>
    <m/>
    <n v="0"/>
    <n v="5"/>
    <m/>
    <n v="0"/>
    <n v="29"/>
    <n v="0"/>
    <n v="0"/>
  </r>
  <r>
    <n v="69"/>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9-A 2031, disminuir la tasa especifica de fecundidad adolescente de 10 a 14 años a cero nacimientos por cada 1.000 niñas de 10 a 14 años."/>
    <s v="19-A 2031, disminuir la tasa especifica de fecundidad adolescente de 10 a 14 años a cero nacimientos por cada 1.000 niñas de 10 a 14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ón En Salud Sexual y Reproductiva con Enfoque Diferencial (Lgbtiq+) y de Género en las IED de cada microterritorio dirigida a los grados 10 y 11 "/>
    <s v="PIC(Anexo técnico)"/>
    <n v="29"/>
    <s v="Número"/>
    <n v="0"/>
    <n v="0"/>
    <e v="#DIV/0!"/>
    <n v="0"/>
    <n v="0"/>
    <e v="#DIV/0!"/>
    <n v="14"/>
    <m/>
    <n v="0"/>
    <n v="15"/>
    <m/>
    <n v="0"/>
    <n v="29"/>
    <n v="0"/>
    <e v="#DIV/0!"/>
  </r>
  <r>
    <n v="7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del Departamento del Magdalena, sobre la estrategia ETMIPLUS"/>
    <s v="Procesos transversales de la Gestion de la Salud Pública"/>
    <n v="2"/>
    <s v="Número"/>
    <n v="0"/>
    <n v="0"/>
    <e v="#DIV/0!"/>
    <n v="0"/>
    <n v="0"/>
    <e v="#DIV/0!"/>
    <n v="1"/>
    <m/>
    <n v="0"/>
    <n v="1"/>
    <m/>
    <n v="0"/>
    <n v="2"/>
    <n v="0"/>
    <e v="#DIV/0!"/>
  </r>
  <r>
    <n v="71"/>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dquisicion de suministro insumo criticos para el control integral de vectores (sujeto a auotorizacion del ministerio)"/>
    <s v="Procesos transversales de la Gestion de la Salud Pública"/>
    <n v="30"/>
    <s v="Porcentaje"/>
    <n v="0"/>
    <n v="0"/>
    <e v="#DIV/0!"/>
    <n v="30"/>
    <n v="0"/>
    <n v="0"/>
    <n v="0"/>
    <m/>
    <e v="#DIV/0!"/>
    <n v="0"/>
    <m/>
    <e v="#DIV/0!"/>
    <n v="30"/>
    <n v="0"/>
    <n v="0"/>
  </r>
  <r>
    <n v="72"/>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84-A 2031, se reduce en 40% las muertes por malaria en el periodo 2022- 2031."/>
    <s v="84-A 2031, se reduce en 40% las muertes por malaria en el periodo 2022- 203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Garantizar el acceso y disponibilidad a medicamentos para el tratamiento de Malaria, Leishmaniasis y Enfermedad de Chagas."/>
    <s v="Procesos transversales de la Gestion de la Salud Pública"/>
    <n v="12"/>
    <s v="Número"/>
    <n v="3"/>
    <n v="0"/>
    <n v="0"/>
    <n v="3"/>
    <m/>
    <n v="0"/>
    <n v="3"/>
    <m/>
    <n v="0"/>
    <n v="3"/>
    <m/>
    <n v="0"/>
    <n v="12"/>
    <n v="0"/>
    <n v="0"/>
  </r>
  <r>
    <n v="73"/>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Abogacia e incidencia tecnica y politica en la agenda de otros sectores , a fin de generar acciones intersectoriales y transectoriales definiendo temas transversales y objetivos comune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Fortalecer la articulación intersectorial mediante reuniones de la mesa sectorial de ETV ."/>
    <s v="Procesos transversales de la Gestion de la Salud Pública"/>
    <n v="4"/>
    <s v="Número"/>
    <n v="1"/>
    <n v="0"/>
    <n v="0"/>
    <n v="1"/>
    <n v="2"/>
    <n v="200"/>
    <n v="1"/>
    <m/>
    <n v="0"/>
    <n v="1"/>
    <m/>
    <n v="0"/>
    <n v="4"/>
    <n v="2"/>
    <n v="100"/>
  </r>
  <r>
    <n v="74"/>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las maquinas del programa que lo requieran según diagnostico"/>
    <s v="Procesos transversales de la Gestion de la Salud Pública"/>
    <n v="100"/>
    <s v="Porcentaje"/>
    <n v="0"/>
    <n v="0"/>
    <e v="#DIV/0!"/>
    <n v="0"/>
    <n v="0"/>
    <e v="#DIV/0!"/>
    <n v="0"/>
    <m/>
    <e v="#DIV/0!"/>
    <n v="100"/>
    <m/>
    <n v="0"/>
    <n v="100"/>
    <n v="0"/>
    <e v="#DIV/0!"/>
  </r>
  <r>
    <n v="75"/>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de dos (2) vehiculos al servicio del programa según terminos de referencia, compra de SOAT y seguros"/>
    <s v="Procesos transversales de la Gestion de la Salud Pública"/>
    <n v="2"/>
    <s v="Número"/>
    <n v="0"/>
    <n v="0"/>
    <e v="#DIV/0!"/>
    <n v="0"/>
    <n v="1"/>
    <e v="#DIV/0!"/>
    <n v="0"/>
    <m/>
    <e v="#DIV/0!"/>
    <n v="2"/>
    <m/>
    <n v="0"/>
    <n v="2"/>
    <n v="1"/>
    <e v="#DIV/0!"/>
  </r>
  <r>
    <n v="7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han desarrollado procesos de ajuste institucional para el fortalecimiento de lad capacidades de la autoridad sanitaria y la apropiación territorial del modelo de salud basado en APS"/>
    <s v="A 2027 el 100% de las Entidades Territoriales han desarrollado procesos de ajuste institucional para el fortalecimiento de lad capacidades de la autoridad sanitaria y la apropiació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Taller teórico-práctico de 5 días para ingenieros ambientales y técnicos de E.S.E. y hospitales, enfocado en la identificación y control de criaderos, captura entomológica de arbovirosis y uso de la plataforma Epicollect para la recolección y visualizació"/>
    <s v="Procesos transversales de la Gestion de la Salud Pública"/>
    <n v="1"/>
    <s v="Número"/>
    <n v="0"/>
    <n v="0"/>
    <e v="#DIV/0!"/>
    <n v="1"/>
    <n v="0.5"/>
    <n v="50"/>
    <n v="0"/>
    <m/>
    <e v="#DIV/0!"/>
    <n v="0"/>
    <m/>
    <e v="#DIV/0!"/>
    <n v="1"/>
    <n v="0.5"/>
    <n v="50"/>
  </r>
  <r>
    <n v="77"/>
    <s v="Aumento de la Tasa de Incidencia de las enfermedades transmitidas por vectores como el dengue;"/>
    <s v="Conocimiento en salud pública y Soberanía Sanitari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o de capacidades de ocho (8) horas sobre la socialización de la estrategia de Manejo Integrado de Vectores, dirigido a funcionarios de las alcaldías municipales y E.S.E. Hospitales públicos del departamento (una persona por entidad). La actividad"/>
    <s v="Procesos transversales de la Gestion de la Salud Pública"/>
    <n v="1"/>
    <s v="Porcentaje"/>
    <n v="0"/>
    <n v="0"/>
    <e v="#DIV/0!"/>
    <n v="1"/>
    <n v="0.5"/>
    <n v="50"/>
    <n v="0"/>
    <m/>
    <e v="#DIV/0!"/>
    <n v="0"/>
    <m/>
    <e v="#DIV/0!"/>
    <n v="1"/>
    <n v="0.5"/>
    <n v="50"/>
  </r>
  <r>
    <n v="78"/>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sistencia ténica al talento humano por parte del medico del área de prestación de servicios (presencial o virtual) para la adherencia a guías de atención integral de casos (Dengue / Chikunguña / Zika), Fiebre amarilla, Leishmaniasis, Malaria y Chagas en"/>
    <s v="Procesos transversales de la Gestion de la Salud Pública"/>
    <n v="1"/>
    <s v="Número"/>
    <n v="0"/>
    <n v="0"/>
    <e v="#DIV/0!"/>
    <n v="0"/>
    <n v="0"/>
    <e v="#DIV/0!"/>
    <n v="0"/>
    <m/>
    <e v="#DIV/0!"/>
    <n v="1"/>
    <m/>
    <n v="0"/>
    <n v="1"/>
    <n v="0"/>
    <e v="#DIV/0!"/>
  </r>
  <r>
    <n v="79"/>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os espacios e instancias intersectoriales inlcuyen en sus planes de accion la transversalizacion de los enfoques de puebos y comunidades . Genero y diferencial e integran los sistemas de conocimiento propio d elos pueblos y comunidades "/>
    <s v="A 2027 el 100% de los espacios e instancias intersectoriales inlcuyen en sus planes de accion la transversalizacion de los enfoques de puebos y comunidades Genero y diferencial e integran los sistemas de conocimiento propio d elos pueblos y comunidades et"/>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comunidades etnicas para la implementacion de acciones de promocion y prevencion de las ETV"/>
    <s v="Procesos transversales de la Gestion de la Salud Pública"/>
    <n v="1"/>
    <s v="Número"/>
    <n v="0"/>
    <n v="0"/>
    <e v="#DIV/0!"/>
    <n v="0"/>
    <n v="1"/>
    <e v="#DIV/0!"/>
    <n v="0"/>
    <m/>
    <e v="#DIV/0!"/>
    <n v="1"/>
    <m/>
    <n v="0"/>
    <n v="1"/>
    <n v="1"/>
    <e v="#DIV/0!"/>
  </r>
  <r>
    <n v="80"/>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Prevenir la transmisión de ETV mediante uso de control químico en municipios en brote según analisis de la informacion epidemiologica (a demanda)"/>
    <s v="PIC(Anexo técnico)"/>
    <n v="100"/>
    <s v="Porcentaje"/>
    <n v="25"/>
    <n v="0"/>
    <n v="0"/>
    <n v="25"/>
    <n v="0"/>
    <n v="0"/>
    <n v="25"/>
    <m/>
    <n v="0"/>
    <n v="25"/>
    <m/>
    <n v="0"/>
    <n v="100"/>
    <n v="0"/>
    <n v="0"/>
  </r>
  <r>
    <n v="81"/>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levantamiento de indices aédicos, control larvario, destruccion de criadros y captura entomologica de larvas y adultos en el entorno hogar beneficiando a las familias en 29 municipios según programacion de los tecnicos de ETV y en los cementerios"/>
    <s v="PIC(Anexo técnico)"/>
    <n v="29"/>
    <s v="Número"/>
    <n v="6"/>
    <n v="0"/>
    <n v="0"/>
    <n v="8"/>
    <n v="12"/>
    <n v="150"/>
    <n v="9"/>
    <m/>
    <n v="0"/>
    <n v="6"/>
    <m/>
    <n v="0"/>
    <n v="29"/>
    <n v="12"/>
    <n v="85.714285714285708"/>
  </r>
  <r>
    <n v="82"/>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Levantar indices aedicos, destruccion de criaderos, control larvario y captura entomologica de larvas y adultos y educacion en signos y sintomas de alarma en el entorno educativo"/>
    <s v="PIC(Anexo técnico)"/>
    <n v="29"/>
    <s v="Número"/>
    <n v="7"/>
    <n v="0"/>
    <n v="0"/>
    <n v="7"/>
    <n v="18"/>
    <n v="257.14285714285717"/>
    <n v="8"/>
    <m/>
    <n v="0"/>
    <n v="7"/>
    <m/>
    <n v="0"/>
    <n v="29"/>
    <n v="18"/>
    <n v="128.57142857142858"/>
  </r>
  <r>
    <n v="83"/>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Instalación de cuatro (4) larvitrampas, captura de larvas y seguimiento de las mismas según lineamiento ubicados en terminales de transporte fluviales, aereos, y terrestres en los 29 municipios del departamento del Magdalena"/>
    <s v="PIC(Anexo técnico)"/>
    <n v="29"/>
    <s v="Número"/>
    <n v="7"/>
    <n v="0"/>
    <n v="0"/>
    <n v="7"/>
    <n v="5"/>
    <n v="71.428571428571431"/>
    <n v="8"/>
    <m/>
    <n v="0"/>
    <n v="7"/>
    <m/>
    <n v="0"/>
    <n v="29"/>
    <n v="5"/>
    <n v="35.714285714285715"/>
  </r>
  <r>
    <n v="84"/>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de comunicación para la difusión y el uso adecuado de la información en salud públic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un (1) programa radial en los 29 municipios del departamento del Magdalena sobre las ETV, dando a conocer el ciclo vectorial, habito de los vectores transmisores de arbovirosis, malaria, chagas y leishmania"/>
    <s v="PIC(Anexo técnico)"/>
    <n v="29"/>
    <s v="Número"/>
    <n v="0"/>
    <n v="0"/>
    <e v="#DIV/0!"/>
    <n v="0"/>
    <n v="0"/>
    <e v="#DIV/0!"/>
    <n v="29"/>
    <m/>
    <n v="0"/>
    <n v="0"/>
    <m/>
    <e v="#DIV/0!"/>
    <n v="29"/>
    <n v="0"/>
    <e v="#DIV/0!"/>
  </r>
  <r>
    <n v="85"/>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de macanismos para el fortalecimiento d ela conduccion y articulación sectorial e intersectorial, la conformación y operación de redes integrales e integradas territoriales de servicios de salud y la rendicion de cuentas conforme a las competen"/>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5-A 2031, se reduce 20% la letalidad acumulada (2022-2031) por enfermedad de Chagas agudo."/>
    <s v="75-A 2031, se reduce 20% la letalidad acumulada (2022-2031) por enfermedad de Chagas agudo."/>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EAPB para el tamizaje de chagas para maternas e hijos de maternas positivas en el marco de la estrategia MPLUS y seguimiento nominal de los casos"/>
    <s v="Procesos transversales de la Gestion de la Salud Pública"/>
    <n v="12"/>
    <s v="Número"/>
    <n v="3"/>
    <n v="0"/>
    <n v="0"/>
    <n v="3"/>
    <n v="3"/>
    <n v="100"/>
    <n v="3"/>
    <m/>
    <n v="0"/>
    <n v="3"/>
    <m/>
    <n v="0"/>
    <n v="12"/>
    <n v="3"/>
    <n v="50"/>
  </r>
  <r>
    <n v="8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ar capacidades al talento humano (profesionales de apoyo) en capacitación en identificación taxonomica de Culicidos y montaje de especimenes para la colección de referencia entomologica."/>
    <s v="Procesos transversales de la Gestion de la Salud Pública"/>
    <n v="1"/>
    <s v="Número"/>
    <n v="0"/>
    <n v="0"/>
    <e v="#DIV/0!"/>
    <n v="1"/>
    <n v="0"/>
    <n v="0"/>
    <n v="0"/>
    <m/>
    <e v="#DIV/0!"/>
    <n v="1"/>
    <m/>
    <n v="0"/>
    <n v="1"/>
    <n v="0"/>
    <n v="0"/>
  </r>
  <r>
    <n v="87"/>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
    <s v="Agentes del sistema de salud que garantizan el acceso de la población con criterios de longitudinalidad, continuidad, puerta de entrada, enfoques familiar y comunitario con acciones, universales, sistemáticas, permanentes y participativas bajo un enfoque "/>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lúdico de saberes con todas las Madres ICBF, padres de familia, los docentes y las madres lideres de Mas familias en acción cuyo énfasis sean estrategias asertivas en vacunación para la identificación de niños y niñas menores "/>
    <s v="Procesos transversales de la Gestion de la Salud Pública"/>
    <n v="29"/>
    <s v="Número"/>
    <n v="0"/>
    <n v="0"/>
    <e v="#DIV/0!"/>
    <n v="0"/>
    <n v="1"/>
    <e v="#DIV/0!"/>
    <n v="14"/>
    <m/>
    <n v="0"/>
    <n v="15"/>
    <m/>
    <n v="0"/>
    <n v="29"/>
    <n v="1"/>
    <e v="#DIV/0!"/>
  </r>
  <r>
    <n v="8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
    <s v="Agentes del sistema de salud que garantizan el acceso de la población con criterios de longitudinalidad, continuidad, puerta de entrada, enfoques familiar y comunitario con acciones, universales, sistemáticas, permanentes y participativas bajo un enfoque "/>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Programa comunicacional mensual en los 29 municipios donde se informe: esquema de vacunacion, jornadas, vacunacion segura, entre otros los 12 meses del año pueden usar medio radial de cobertura municipal o perifoneo demostrado en todo el municipio "/>
    <s v="PIC(Anexo técnico)"/>
    <n v="29"/>
    <s v="Número"/>
    <n v="29"/>
    <n v="0"/>
    <n v="0"/>
    <n v="29"/>
    <n v="0"/>
    <n v="0"/>
    <n v="29"/>
    <m/>
    <n v="0"/>
    <n v="29"/>
    <m/>
    <n v="0"/>
    <n v="29"/>
    <n v="0"/>
    <n v="0"/>
  </r>
  <r>
    <n v="8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Espacios e instancias intersectoriales que incluyen en sus planes de acción la transversalización de los enfoques de pueblos y comunidades, género y diferencial e integran los sistemas de conocimiento propio de los pueblos y comunidades étnicas y campesin"/>
    <s v="Establecimiento de mecanismos institucionales, sectoriales, intersectoriales y comunitarios que garanticen la participación de las diferentes formas y expresiones organizativas de los pueblos y comunidades en la planeación y la respuesta en salud"/>
    <s v="A 2031 el 100% de entidades territoriales Departamentales, Distritales y Municipales que tienen en su territorio pueblos y comunidades indígenas, comunidades negras, afrocolombianas, raizales y palenqueras y pueblo Rrom integran en sus planes territoriale"/>
    <s v="A 2027 el 100% de entidades territoriales  Municipales que tienen en su territorio pueblos y comunidades indígenas, comunidades negras, afrocolombianas, raizales y palenqueras y pueblo Rrom integran en sus planes territoriales de salud los acuerdos result"/>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didactico de saberes con comunidad indígena de los municipios de Ciénaga, Fundación, Aracataca y Sabana de San Ángel, con énfasis en estrategias asertivas de vacunación para la identificación de niños y niñas menores de seis ("/>
    <s v="PIC(Anexo técnico)"/>
    <n v="4"/>
    <s v="Número"/>
    <n v="0"/>
    <n v="0"/>
    <e v="#DIV/0!"/>
    <n v="0"/>
    <n v="0"/>
    <e v="#DIV/0!"/>
    <n v="2"/>
    <m/>
    <n v="0"/>
    <n v="2"/>
    <m/>
    <n v="0"/>
    <n v="4"/>
    <n v="0"/>
    <e v="#DIV/0!"/>
  </r>
  <r>
    <n v="9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8-A 2031, Colombia aumentará a un 90%, la cobertura de vacunación de VPH en niños y niñas de 9 años de edad"/>
    <s v="18-A 2031, Colombia aumentará a un 90%, la cobertura de vacunación de VPH en niños y niñas de 9 años de edad"/>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Garantizar el inicio, continuidad y finalizacion de los esquemas de vacunación según la edad, mediante jornadas dirigidas al 100% de las familias intervenidas por la estrategia de Atención Primaria en Salud que cuenten con miembros objeto del PAI, a travé"/>
    <s v="PIC(Anexo técnico)"/>
    <n v="2"/>
    <s v="Número"/>
    <n v="0"/>
    <n v="0"/>
    <e v="#DIV/0!"/>
    <n v="1"/>
    <n v="1"/>
    <n v="100"/>
    <n v="1"/>
    <m/>
    <n v="0"/>
    <n v="0"/>
    <m/>
    <e v="#DIV/0!"/>
    <n v="2"/>
    <n v="1"/>
    <n v="100"/>
  </r>
  <r>
    <n v="9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sobre Vacunacion segura y esquema gratuito, Realizar búsqueda activa de la poblacion objetivo del programa y la puesta al día de coberturas de vacunación en los 29 Municipios y de esta manera gestionar el cumplimiento de las metas progr"/>
    <s v="PIC(Anexo técnico)"/>
    <n v="1"/>
    <s v="Porcentaje"/>
    <s v="0,25"/>
    <n v="0"/>
    <n v="0"/>
    <s v="0,25"/>
    <n v="1"/>
    <n v="400"/>
    <s v="0,25"/>
    <m/>
    <n v="0"/>
    <s v="0,25"/>
    <m/>
    <n v="0"/>
    <n v="1"/>
    <n v="1"/>
    <n v="200"/>
  </r>
  <r>
    <n v="9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Vacunadores de los equipos y unidades vacunadoras de 29 municipios incluida IPS Indigena"/>
    <s v="Procesos transversales de la Gestion de la Salud Pública"/>
    <n v="4"/>
    <s v="Número"/>
    <n v="0"/>
    <n v="0"/>
    <e v="#DIV/0!"/>
    <n v="0"/>
    <n v="0"/>
    <e v="#DIV/0!"/>
    <n v="4"/>
    <m/>
    <n v="0"/>
    <n v="4"/>
    <m/>
    <n v="0"/>
    <n v="4"/>
    <n v="0"/>
    <e v="#DIV/0!"/>
  </r>
  <r>
    <n v="9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coordinadores de los equipos y unidades vacunadoras de 29 municipios incluida IPS Indigena"/>
    <s v="Procesos transversales de la Gestion de la Salud Pública"/>
    <n v="1"/>
    <s v="Número"/>
    <n v="0"/>
    <n v="0"/>
    <e v="#DIV/0!"/>
    <n v="0"/>
    <n v="0"/>
    <e v="#DIV/0!"/>
    <n v="1"/>
    <m/>
    <n v="0"/>
    <n v="1"/>
    <m/>
    <n v="0"/>
    <n v="1"/>
    <n v="0"/>
    <e v="#DIV/0!"/>
  </r>
  <r>
    <n v="9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cion con el SENA para garantizar la certificacion en las 2 competencias laborales (Adminstracion de Inmunobiologicos y Atencion al usuario) a los tecnicos (auxiliares) y profesionales (enfermeras) de las IPS de los 29 municipios, incluida la IPS I"/>
    <s v="Procesos transversales de la Gestion de la Salud Pública"/>
    <n v="29"/>
    <s v="Número"/>
    <n v="5"/>
    <n v="0"/>
    <n v="0"/>
    <n v="5"/>
    <n v="2"/>
    <n v="40"/>
    <n v="9"/>
    <m/>
    <n v="0"/>
    <n v="10"/>
    <m/>
    <n v="0"/>
    <n v="29"/>
    <n v="2"/>
    <n v="20"/>
  </r>
  <r>
    <n v="9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_x000a_  para la vigilancia en salud pública, el fortalecimiento de los_x000a_  laboratorios de salud pública, la inspección, vigilancia y control_x000a_  sanitarios y la garantía de insumos de interés en salud p"/>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la gestión de los insumos críticos del programa de la red de frio"/>
    <s v="Procesos transversales de la Gestion de la Salud Pública"/>
    <n v="12"/>
    <s v="Porcentaje"/>
    <n v="3"/>
    <n v="3"/>
    <n v="100"/>
    <n v="3"/>
    <n v="3"/>
    <n v="100"/>
    <m/>
    <m/>
    <e v="#DIV/0!"/>
    <m/>
    <m/>
    <e v="#DIV/0!"/>
    <n v="12"/>
    <n v="6"/>
    <n v="100"/>
  </r>
  <r>
    <n v="9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Gestion de insumos de interes en salud publica para garantizar la implementacion de la estrategia de vacunacion sin barreras a los 29 Municipios"/>
    <s v="Desarrollo institucional y sectorial para el ejercicio de la autoridad sanitaria"/>
    <s v="Realizar Mantenimiento preventivo y correctivo a la red de frio departamental"/>
    <s v="Procesos transversales de la Gestion de la Salud Pública"/>
    <n v="1"/>
    <s v="Porcentaje"/>
    <n v="0.25"/>
    <n v="0"/>
    <n v="0"/>
    <n v="0.25"/>
    <n v="1"/>
    <n v="400"/>
    <n v="0.25"/>
    <m/>
    <n v="0"/>
    <n v="0.25"/>
    <m/>
    <n v="0"/>
    <n v="1"/>
    <n v="1"/>
    <n v="200"/>
  </r>
  <r>
    <n v="9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el traslado de insumos y biologicos del esquema regular y contra covid19 los 12 meses del año 2025 a los 29 muicipios conservando su red de frio"/>
    <s v="Procesos transversales de la Gestion de la Salud Pública"/>
    <n v="1"/>
    <s v="Porcentaje"/>
    <n v="0.25"/>
    <n v="3"/>
    <n v="1200"/>
    <n v="0.25"/>
    <n v="3"/>
    <n v="1200"/>
    <n v="1"/>
    <m/>
    <n v="0"/>
    <m/>
    <m/>
    <e v="#DIV/0!"/>
    <n v="1"/>
    <n v="6"/>
    <n v="1200"/>
  </r>
  <r>
    <n v="9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la proteccion y vida util de los biologicos e insumos criticos para el programa ampliado de inmunizaciones PAI a traves de una poliza de seguros todo riesgo"/>
    <s v="Procesos transversales de la Gestion de la Salud Pública"/>
    <n v="1"/>
    <s v="Porcentaje"/>
    <n v="1"/>
    <n v="0"/>
    <n v="0"/>
    <n v="1"/>
    <n v="1"/>
    <n v="100"/>
    <m/>
    <m/>
    <e v="#DIV/0!"/>
    <m/>
    <m/>
    <e v="#DIV/0!"/>
    <n v="1"/>
    <n v="1"/>
    <n v="50"/>
  </r>
  <r>
    <n v="9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cuatro (4) Comites del Programa Ampliado de Inmunizaciones PAI según lineamientos del MSPS, que garantice la participación de los actores del sector salud y otros sectores con el objetivo de lograr la meta de cobertura propuesta."/>
    <s v="Procesos transversales de la Gestion de la Salud Pública"/>
    <n v="4"/>
    <s v="Número"/>
    <n v="0.25"/>
    <n v="0"/>
    <n v="0"/>
    <n v="0.25"/>
    <n v="1"/>
    <n v="400"/>
    <n v="0.25"/>
    <m/>
    <n v="0"/>
    <n v="0.25"/>
    <m/>
    <n v="0"/>
    <n v="4"/>
    <n v="1"/>
    <n v="200"/>
  </r>
  <r>
    <n v="10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osicionamiento del sistema único de información en salud parametrizado y estandarizado acorde con la normatividad_x000a_  vigente, que tenga la capacidad de articular los sistemas propios de información en salud de los pueblos y comunidades existent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seguimiento y elaborar informe de un monitoreo rápido de coberturas realizados por los 29 municipios, conforme a lo establecido en los lineamientos del MSPS."/>
    <s v="Procesos transversales de la Gestion de la Salud Pública"/>
    <n v="1"/>
    <s v="Porcentaje"/>
    <n v="0"/>
    <n v="0"/>
    <e v="#DIV/0!"/>
    <n v="0.25"/>
    <n v="1"/>
    <n v="400"/>
    <n v="0.25"/>
    <m/>
    <n v="0"/>
    <n v="0.25"/>
    <m/>
    <n v="0"/>
    <n v="1"/>
    <n v="1"/>
    <n v="400"/>
  </r>
  <r>
    <n v="10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s tècnicas y seguimientos, para la implementación y fortalecimiento deI Programa Ampliado de Inmunizaciones en todos sus componentes en las IPS/ESE ,IPS de atención al recien nacidos y EAPB de los 29 municipios."/>
    <s v="Procesos transversales de la Gestion de la Salud Pública"/>
    <n v="29"/>
    <s v="Número"/>
    <n v="5"/>
    <n v="7"/>
    <n v="140"/>
    <n v="5"/>
    <n v="22"/>
    <n v="440.00000000000006"/>
    <n v="9"/>
    <m/>
    <n v="0"/>
    <n v="10"/>
    <m/>
    <n v="0"/>
    <n v="29"/>
    <n v="29"/>
    <n v="290"/>
  </r>
  <r>
    <n v="10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de mecanismos para el fortalecimiento de la conducción y articulación sectorial e intersectorial, la regulación, la conformación y operación de redes integrales e integradas territoriales de servicios de salud y la rendición de cuentas conforme"/>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r las acciones con el equipo de vigilancia en salud pública, así como participar en las salas de análisis de riesgo, comités de vigilancia epidemiológica, equipos de respuesta inmediata, sala situacional, unidad de analisis ESAVI, comite de expert"/>
    <s v="Procesos transversales de la Gestion de la Salud Pública"/>
    <n v="4"/>
    <s v="Número"/>
    <n v="1"/>
    <n v="1"/>
    <n v="100"/>
    <n v="1"/>
    <n v="1"/>
    <n v="100"/>
    <n v="1"/>
    <m/>
    <n v="0"/>
    <n v="1"/>
    <m/>
    <n v="0"/>
    <n v="4"/>
    <n v="2"/>
    <n v="100"/>
  </r>
  <r>
    <n v="10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iseño e implementación de estrategias para la transversafización de los enfoques diferencial, de género y diversidad, curso de vida, salud familiar y comunitaria y_x000a_  psicosocial para pueblos y comunidad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Programar y gerenciar las estrategias del programa ampliado de inmunizaciones PAI del Departamento (Informes ejecutivos del programa, jornadas de vacunación ESQUEMA REGULAR a las que haya lugar grarantizando el control de los bilógicos e insumos, sistema "/>
    <s v="Procesos transversales de la Gestion de la Salud Pública"/>
    <n v="4"/>
    <s v="Porcentaje"/>
    <n v="1"/>
    <n v="1"/>
    <n v="100"/>
    <n v="1"/>
    <n v="1"/>
    <n v="100"/>
    <n v="1"/>
    <m/>
    <n v="0"/>
    <n v="1"/>
    <m/>
    <n v="0"/>
    <n v="4"/>
    <n v="2"/>
    <n v="100"/>
  </r>
  <r>
    <n v="104"/>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Educacion en salud a los pacientes privados de la libertad (carceles y estacion de policia) sobre Identificación de signos y síntomas de tuberculosis.Realizar busqueda activa de sintomaticos respiratorios y su canalizacion respectiva para diagnostico opor"/>
    <s v="PIC(Anexo técnico)"/>
    <n v="29"/>
    <s v="Número"/>
    <n v="0"/>
    <n v="0"/>
    <e v="#DIV/0!"/>
    <n v="10"/>
    <n v="1"/>
    <n v="10"/>
    <n v="10"/>
    <m/>
    <n v="0"/>
    <n v="9"/>
    <m/>
    <n v="0"/>
    <n v="29"/>
    <n v="1"/>
    <n v="10"/>
  </r>
  <r>
    <n v="10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è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Desarrollo de capacidades al Talento Humano del SGSSS en tuberculosis en los temas de gestión, diagnostico, sistema de información, análisis y seguimiento de indicadores y prevención y manejo de la coinfeccion TB/VIH y manejo programático de TB-MDR y soci"/>
    <s v="Procesos transversales de la Gestion de la Salud Pública"/>
    <n v="1"/>
    <s v="Número"/>
    <n v="0"/>
    <n v="0"/>
    <e v="#DIV/0!"/>
    <n v="0"/>
    <n v="0"/>
    <e v="#DIV/0!"/>
    <n v="1"/>
    <m/>
    <n v="0"/>
    <n v="0"/>
    <m/>
    <e v="#DIV/0!"/>
    <n v="1"/>
    <n v="0"/>
    <e v="#DIV/0!"/>
  </r>
  <r>
    <n v="106"/>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
    <s v="Educación en salud de TB para la promoción y la gestión del riesgo y la transformación positiva de los diferentes entornos (hogar, comunitario) de los pacientes, ex-pacientes, sus familias"/>
    <s v="PIC(Anexo técnico)"/>
    <n v="29"/>
    <s v="Número"/>
    <n v="0"/>
    <n v="0"/>
    <e v="#DIV/0!"/>
    <n v="11"/>
    <n v="0"/>
    <n v="0"/>
    <n v="10"/>
    <m/>
    <n v="0"/>
    <n v="8"/>
    <m/>
    <n v="0"/>
    <n v="29"/>
    <n v="0"/>
    <n v="0"/>
  </r>
  <r>
    <n v="107"/>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4-A 2031, se logra reducir el 50% la tasa de mortalidad por 100mil habitantes, causada por la tuberculosis en Colombia."/>
    <s v="94-A 2031, se logra reducir el 50% la tasa de mortalidad por 100mil habitantes, causada por la tuberculosis en Colombia."/>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un plan de asistencia tecnica a los diferentes actores del sistema de los 29 Municipios en el programa de tuberculosis y Apoyar la adopcion del Plan Estrategico post 2015 facia el fin el la Tuberculosis. PLAN ESTRATEGICO 2025"/>
    <s v="Procesos transversales de la Gestion de la Salud Pública"/>
    <n v="29"/>
    <s v="Número"/>
    <n v="0"/>
    <n v="0"/>
    <e v="#DIV/0!"/>
    <n v="10"/>
    <n v="10"/>
    <n v="100"/>
    <n v="10"/>
    <m/>
    <n v="0"/>
    <n v="9"/>
    <m/>
    <n v="0"/>
    <n v="29"/>
    <n v="10"/>
    <n v="100"/>
  </r>
  <r>
    <n v="10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n v="0"/>
    <e v="#DIV/0!"/>
    <n v="1"/>
    <m/>
    <n v="0"/>
    <n v="0"/>
    <m/>
    <e v="#DIV/0!"/>
    <n v="1"/>
    <n v="0"/>
    <e v="#DIV/0!"/>
  </r>
  <r>
    <n v="10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Fomentar la inversión en investigación, desarrollo innovaciòn y produccion local de TES"/>
    <s v="A 2031 el 100% de las entidades territoriales del orden departamental , distrital y municipal  han  desarrollado procesos de ajuste institucional para el fortalecimiento de las capacidades de las autoridades sanitarias y apropiacion territorial del modelo"/>
    <s v="A 2027 el 100% de las entidades territoriales del orden departamental, municipal  han  desarrollado procesos de ajuste institucional para el fortalecimiento de las capacidades de las autoridades sanitarias y apropiacion territorial del modelo de salud bas"/>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s v="Desarrollo institucional y sectorial para el ejercicio de la autoridad sanitaria"/>
    <s v="Adquisicion de insumos de laboratorios para apoyo de la red "/>
    <s v="Procesos transversales de la Gestion de la Salud Pública"/>
    <n v="1"/>
    <s v="Número"/>
    <n v="0"/>
    <n v="0"/>
    <e v="#DIV/0!"/>
    <n v="0"/>
    <n v="0"/>
    <e v="#DIV/0!"/>
    <n v="1"/>
    <m/>
    <n v="0"/>
    <n v="0"/>
    <m/>
    <e v="#DIV/0!"/>
    <n v="1"/>
    <n v="0"/>
    <e v="#DIV/0!"/>
  </r>
  <r>
    <n v="11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m/>
    <e v="#DIV/0!"/>
    <n v="1"/>
    <m/>
    <n v="0"/>
    <n v="0"/>
    <m/>
    <e v="#DIV/0!"/>
    <n v="1"/>
    <n v="0"/>
    <e v="#DIV/0!"/>
  </r>
  <r>
    <n v="11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Fortalecer acciones de protección en infancia: rastreo de contactos en niños expuestos a casos de TB bacilífera para asegurar profilaxis según lineamiento nacional, educación a familias de los niños intervenidos en ESE municipales – EPS"/>
    <s v="PIC(Anexo técnico)"/>
    <n v="29"/>
    <s v="Número"/>
    <n v="0"/>
    <n v="0"/>
    <e v="#DIV/0!"/>
    <n v="10"/>
    <n v="0"/>
    <n v="0"/>
    <n v="10"/>
    <m/>
    <n v="0"/>
    <n v="9"/>
    <m/>
    <n v="0"/>
    <n v="29"/>
    <n v="0"/>
    <n v="0"/>
  </r>
  <r>
    <n v="11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rializadas, universales, sistemáticas, permanentes y participativas bajo un enfoque familiar y comunitario."/>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A 2031, reducir en 50% la tasa de mortalidad por EDA en menores de 5 años"/>
    <s v="9-A 2031, reducir en 50% la tasa de mortalidad por EDA en menores de 5 años"/>
    <s v="Salud Pública"/>
    <s v="Medico en tu casa"/>
    <s v="Fortalecimiento de Estrategias para la Promoción de la Salud y Prevención de Enfermedades en Comunidades, mediante acciones Integrales, Participativas y Sostenibles en el Departamento del Magdalena."/>
    <s v="Realizar seguimiento a la implementación del programa nacional de prevención, manejo y control de IRA en las 33 ESE del departamento"/>
    <s v="Cuidado de la salud en el territorio"/>
    <s v="Desarrollar un proceso de fortalecimiento de capacidades dirigido a líderes comunitarios, representantes de instituciones educativas, madres y líderes de hogares del ICBF de los ámbitos urbano y rural de los municipios. Este proceso se llevará a cabo en l"/>
    <s v="PIC(Anexo técnico)"/>
    <n v="29"/>
    <s v="Número"/>
    <n v="0"/>
    <n v="0"/>
    <e v="#DIV/0!"/>
    <n v="9"/>
    <m/>
    <n v="0"/>
    <n v="10"/>
    <m/>
    <n v="0"/>
    <n v="10"/>
    <m/>
    <n v="0"/>
    <n v="29"/>
    <n v="0"/>
    <e v="#DIV/0!"/>
  </r>
  <r>
    <n v="113"/>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as de actividades de educación en salud en los entornos comunitario y escolar, dirigidas a niñas, niños y adolescentes de 1 a 14 años. Estas acciones estarán enfocadas en sensibilizar sobre la "/>
    <s v="PIC(Anexo técnico)"/>
    <n v="58"/>
    <s v="Número"/>
    <n v="0"/>
    <n v="0"/>
    <e v="#DIV/0!"/>
    <n v="29"/>
    <n v="0"/>
    <n v="0"/>
    <n v="29"/>
    <m/>
    <n v="0"/>
    <n v="29"/>
    <m/>
    <n v="0"/>
    <n v="58"/>
    <n v="0"/>
    <n v="0"/>
  </r>
  <r>
    <n v="11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tnica (indígena) en todos los entornos, a niños(as) y adolescentes de 1 a 14 años, sobre la importancia de la desparasitación antihelmíntica en los muni"/>
    <s v="PIC(Anexo técnico)"/>
    <n v="4"/>
    <s v="Número"/>
    <n v="0"/>
    <n v="0"/>
    <n v="0"/>
    <m/>
    <m/>
    <e v="#DIV/0!"/>
    <n v="1"/>
    <m/>
    <n v="0"/>
    <m/>
    <m/>
    <e v="#DIV/0!"/>
    <n v="4"/>
    <n v="0"/>
    <e v="#DIV/0!"/>
  </r>
  <r>
    <n v="11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capacidades a nivel nacional y territorial_x000a_para la vigilancia en salud pública, el fortalecimiento de los_x000a_laboratorios de salud pública, la inspección, vigilancia y control_x000a_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un fortalecimiento de capacidades certificado para la adecuada aplicación de la Escala Abreviada de Desarrollo-3 (EAD-3), cuestionarios e instrumentos de la Ruta para la Promocion y Mantenimiento de la salud mediante una actividad de entrenami"/>
    <s v="Procesos transversales de la Gestion de la Salud Pública"/>
    <n v="1"/>
    <s v="Número"/>
    <n v="0"/>
    <n v="0"/>
    <e v="#DIV/0!"/>
    <n v="0"/>
    <m/>
    <e v="#DIV/0!"/>
    <n v="1"/>
    <m/>
    <n v="0"/>
    <n v="0"/>
    <m/>
    <e v="#DIV/0!"/>
    <n v="1"/>
    <n v="0"/>
    <e v="#DIV/0!"/>
  </r>
  <r>
    <n v="11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Implementación de mecanismos para l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o de un taller teórico práctico en AIEPI clinico, dirigido al Talento Humano en Salud de las ESE e IPS de los 29 municipios del Departamento del Magdalena."/>
    <s v="Procesos transversales de la Gestion de la Salud Pública"/>
    <n v="1"/>
    <s v="Número"/>
    <m/>
    <m/>
    <e v="#DIV/0!"/>
    <n v="0"/>
    <m/>
    <e v="#DIV/0!"/>
    <n v="1"/>
    <m/>
    <n v="0"/>
    <n v="0"/>
    <m/>
    <e v="#DIV/0!"/>
    <n v="1"/>
    <n v="0"/>
    <n v="0"/>
  </r>
  <r>
    <n v="11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coordinación y gestión de la operación de las redes integrales e integradas territoriales de salud en el marco de un modelo preventivo, predictivo y resolutivo basado en la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 tecnica en la estrategia de desparasitacion antihelmintica (Lineamientos desparasitacion antihelmintica quimioterapia preventiva), en los 29 Municipios"/>
    <s v="Procesos transversales de la Gestion de la Salud Pública"/>
    <n v="4"/>
    <s v="Número"/>
    <n v="0"/>
    <n v="0"/>
    <e v="#DIV/0!"/>
    <n v="1"/>
    <m/>
    <n v="0"/>
    <n v="1"/>
    <m/>
    <n v="0"/>
    <n v="2"/>
    <m/>
    <n v="0"/>
    <n v="4"/>
    <n v="0"/>
    <e v="#DIV/0!"/>
  </r>
  <r>
    <n v="11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
    <s v="coordinación y gestión de la operación de las redes integrales e integradas territoriales de salud en el marco de un modelo preventivo, predictivo y resolutivo basado en la AP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2-A 2031, reducir a 13,5 por cada 1.000 nacidos vivos la tasa de mortalidad perinatal"/>
    <s v="2-A 2031, reducir a 13,5 por cada 1.000 nacidos vivos la tasa de mortalidad perinata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
    <s v="Desarrollo institucional y sectorial para el ejercicio de la autoridad sanitaria "/>
    <s v="Desarrollo de capacidades teórico práctico al Talento Humano en Salud de las ESE e IPS de los 29 mumicipios del Departamento del Magdalena en Reanimación Neonatal Básica-Programa de Resucitación Neonatal (PRN)."/>
    <s v="Procesos transversales de la Gestion de la Salud Pública"/>
    <n v="1"/>
    <s v="Número"/>
    <n v="0"/>
    <n v="0"/>
    <e v="#DIV/0!"/>
    <n v="0"/>
    <m/>
    <e v="#DIV/0!"/>
    <n v="1"/>
    <m/>
    <n v="0"/>
    <n v="0"/>
    <m/>
    <e v="#DIV/0!"/>
    <n v="1"/>
    <n v="0"/>
    <e v="#DIV/0!"/>
  </r>
  <r>
    <n v="119"/>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 No relación"/>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a familias en el uso adecuado de antimicrobianos y el correcto lavado de manos"/>
    <s v="PIC(Anexo técnico)"/>
    <n v="29"/>
    <s v="Número"/>
    <n v="0"/>
    <n v="0"/>
    <e v="#DIV/0!"/>
    <n v="10"/>
    <m/>
    <n v="0"/>
    <n v="10"/>
    <m/>
    <n v="0"/>
    <n v="9"/>
    <m/>
    <n v="0"/>
    <n v="29"/>
    <n v="0"/>
    <e v="#DIV/0!"/>
  </r>
  <r>
    <n v="12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Busqueda activa permanente mediante la Revisión Clinica de los convivientes de pacientes y expacientes de hansen, para la detecciön temprana, canalizacion a la IPS para diagnostico precoz, notificacion , registro y seguimiento, en el ambito urban"/>
    <s v="PIC(Anexo técnico)"/>
    <n v="29"/>
    <s v="Número"/>
    <n v="0"/>
    <n v="0"/>
    <e v="#DIV/0!"/>
    <n v="10"/>
    <m/>
    <n v="0"/>
    <n v="10"/>
    <m/>
    <n v="0"/>
    <n v="9"/>
    <m/>
    <n v="0"/>
    <n v="29"/>
    <n v="0"/>
    <e v="#DIV/0!"/>
  </r>
  <r>
    <n v="12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s v="PIC(Anexo técnico)"/>
    <n v="29"/>
    <s v="Número"/>
    <n v="0"/>
    <n v="0"/>
    <e v="#DIV/0!"/>
    <n v="0"/>
    <m/>
    <e v="#DIV/0!"/>
    <n v="0"/>
    <m/>
    <e v="#DIV/0!"/>
    <n v="29"/>
    <m/>
    <n v="0"/>
    <n v="29"/>
    <n v="0"/>
    <e v="#DIV/0!"/>
  </r>
  <r>
    <n v="12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s v="PIC(Anexo técnico)"/>
    <n v="29"/>
    <s v="Número"/>
    <n v="0"/>
    <n v="0"/>
    <e v="#DIV/0!"/>
    <n v="0"/>
    <m/>
    <e v="#DIV/0!"/>
    <n v="0"/>
    <m/>
    <e v="#DIV/0!"/>
    <n v="29"/>
    <m/>
    <n v="0"/>
    <n v="29"/>
    <n v="0"/>
    <e v="#DIV/0!"/>
  </r>
  <r>
    <n v="12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r>
  <r>
    <n v="124"/>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r>
  <r>
    <n v="125"/>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
    <s v="A 2027 el 100% de las Entidades Territoriales del orden municipal desarrollan mecanismos para el fortalecimiento de la rectoría en salud en su territorio, conforme a las competencias establecidas.  "/>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Desarrollo institucional y sectorial para el ejercicio de la autoridad sanitaria"/>
    <s v="Realizar un plan de  asistencia tecnica a los diferentes actores del entorno institucional de los 29 Municipios en el programa de lepra y Apoyar la formulacion del plan Magdalena libre de Hansen"/>
    <s v="Procesos transversales de la Gestion de la Salud Pública"/>
    <n v="100"/>
    <s v="Porcentaje"/>
    <n v="25"/>
    <n v="0"/>
    <n v="0"/>
    <n v="25"/>
    <n v="0"/>
    <n v="0"/>
    <n v="25"/>
    <m/>
    <n v="0"/>
    <n v="25"/>
    <m/>
    <n v="0"/>
    <n v="100"/>
    <n v="0"/>
    <n v="0"/>
  </r>
  <r>
    <n v="126"/>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
    <s v="Gestio territorial para el cuidado de la salud basado en la atencion primaria en salud."/>
    <s v="Evitar que la tasa de incidencia de la enfermedad de hansen este por encima del 1,39%."/>
    <s v="Evitar que la tasa de incidencia de la enfermedad de hansen este por encima del 1,39%."/>
    <s v="Evitar que la tasa de incidencia de la enfermedad de hansen este por encima del 1,39%."/>
    <s v="Evitar que la tasa de incidencia de la enfermedad de hansen este por encima del 1,39%."/>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Cuidado de la salud en el territorio  "/>
    <s v="educacion en salud en el entorno educativo de los ambitos rural y urbano de los territorios priorizados dirigido a jovener de 9,10 y 11 en deteccion y prevencion de la enfermedad, prevencion del estigma y discriminacion de hansen de los 29 municipios del "/>
    <s v="PIC(Anexo técnico)"/>
    <n v="29"/>
    <s v="Número"/>
    <n v="0"/>
    <n v="0"/>
    <e v="#DIV/0!"/>
    <n v="10"/>
    <m/>
    <n v="0"/>
    <n v="10"/>
    <m/>
    <n v="0"/>
    <n v="9"/>
    <m/>
    <n v="0"/>
    <n v="29"/>
    <n v="0"/>
    <e v="#DIV/0!"/>
  </r>
  <r>
    <n v="12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Garantizar los mecanismos para salvaguardar el conocimiento relacionado con las formas, experiencias, prácticas y acciones en salud de las personas y colectivos, con el fin de fortalecer la transmisión intergeneracion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Acuerdos sociales y comunitarios para la transformación de las inequidades en salud y la incidencia sobre los DSS en el territorio "/>
    <s v="realizar seguimiento del plan de acción de la RED de RBC para la implementación de la estrategia RBC (rehabilitación basada en comunidad), como un proceso de desarrollo local inclusivo de caracter intersectorial de las personas con discapacidad y sus cuid"/>
    <s v="Procesos transversales de la Gestion de la Salud Pública"/>
    <n v="29"/>
    <s v="Número"/>
    <n v="0"/>
    <n v="0"/>
    <e v="#DIV/0!"/>
    <n v="10"/>
    <m/>
    <n v="0"/>
    <n v="10"/>
    <m/>
    <n v="0"/>
    <n v="9"/>
    <m/>
    <n v="0"/>
    <n v="29"/>
    <n v="0"/>
    <e v="#DIV/0!"/>
  </r>
  <r>
    <n v="12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4.600 personas con discapacidad en el departamento"/>
    <s v="Desarrollo institucional y sectorial para el ejercicio de la autoridad sanitaria  "/>
    <s v="Desarrollo de capacidades para preescripción de ayudas tecnicas para bancos municipales (SSM) de las personas con discapacidad en el departamento del Magdalena "/>
    <s v="Procesos transversales de la Gestion de la Salud Pública"/>
    <n v="1"/>
    <s v="Número"/>
    <n v="0"/>
    <n v="0"/>
    <e v="#DIV/0!"/>
    <n v="0"/>
    <m/>
    <e v="#DIV/0!"/>
    <n v="1"/>
    <m/>
    <n v="0"/>
    <n v="0"/>
    <m/>
    <e v="#DIV/0!"/>
    <n v="1"/>
    <n v="0"/>
    <e v="#DIV/0!"/>
  </r>
  <r>
    <n v="12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_x000a_planeación integral en salud y la gestión territorial en el marco_x000a_del Modelo de Salud preventivo, predictivo y resolutivo basado_x000a_en Atención Primaria en Salud - APS"/>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Desarrollo institucional y sectorial para el ejercicio de la autoridad sanitaria  "/>
    <s v="Mesa de articulación intersectorial para la prestación de servicios en salud de la población con discapacidad y trastornos mentales "/>
    <s v="Procesos transversales de la Gestion de la Salud Pública"/>
    <n v="1"/>
    <s v="Número"/>
    <n v="0"/>
    <n v="0"/>
    <n v="0"/>
    <n v="0"/>
    <m/>
    <e v="#DIV/0!"/>
    <n v="0"/>
    <m/>
    <e v="#DIV/0!"/>
    <n v="1"/>
    <m/>
    <n v="0"/>
    <n v="1"/>
    <n v="0"/>
    <e v="#DIV/0!"/>
  </r>
  <r>
    <n v="13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Establecimiento de mecanismos de participación basada en_x000a_atención primaria en salud — APS para la gobernanza propia_x000a_en salud de los pueblos y comunidades. "/>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Desarrollo de capacidad en valoraciones de apoyo -certificado (SSM, personeria, comesaria de familia) y fortalecimiento de la atención diferencial en salud ((SSM, personeria, comesaria de familia, IPS y EPS)para las personas con discapacidad "/>
    <s v="Procesos transversales de la Gestion de la Salud Pública"/>
    <n v="1"/>
    <s v="Número"/>
    <n v="0"/>
    <n v="0"/>
    <e v="#DIV/0!"/>
    <n v="1"/>
    <m/>
    <n v="0"/>
    <n v="0"/>
    <m/>
    <e v="#DIV/0!"/>
    <n v="0"/>
    <m/>
    <e v="#DIV/0!"/>
    <n v="1"/>
    <n v="0"/>
    <e v="#DIV/0!"/>
  </r>
  <r>
    <n v="13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 2031 el 100% de las Entidades Territoriales del orden departamental, distrital y municipal desarrollan mecanismos para el fortalecimiento de la rectoría en salud en su territorio, conforme a las competencias establecidas&quot;"/>
    <s v="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Asistencia tecnica y acompañamiento sobre el componente de discapacidad  (Rehabilitación basada en la comunidad (RBC) - certificación de discapacidad y RLCPD  "/>
    <s v="Procesos transversales de la Gestion de la Salud Pública"/>
    <n v="29"/>
    <s v="Número"/>
    <n v="0"/>
    <n v="0"/>
    <e v="#DIV/0!"/>
    <n v="10"/>
    <n v="10"/>
    <n v="100"/>
    <n v="10"/>
    <m/>
    <n v="0"/>
    <n v="9"/>
    <m/>
    <n v="0"/>
    <n v="29"/>
    <n v="10"/>
    <e v="#REF!"/>
  </r>
  <r>
    <n v="13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para la implementación del modelo de infancia a los actores que hacen parte del sistema de salud en los 29 municipios del departamento"/>
    <s v="Procesos transversales de la Gestion de la Salud Pública"/>
    <n v="29"/>
    <s v="Número"/>
    <n v="0"/>
    <n v="4"/>
    <e v="#DIV/0!"/>
    <n v="10"/>
    <m/>
    <n v="0"/>
    <n v="10"/>
    <m/>
    <n v="0"/>
    <n v="9"/>
    <m/>
    <n v="0"/>
    <n v="29"/>
    <n v="4"/>
    <e v="#DIV/0!"/>
  </r>
  <r>
    <n v="13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y articulación intersectorial con los diferentes actores para la prevención del trabajo infantil en los 29 municipios del departamento"/>
    <s v="Procesos transversales de la Gestion de la Salud Pública"/>
    <n v="29"/>
    <s v="Número"/>
    <n v="0"/>
    <n v="4"/>
    <e v="#DIV/0!"/>
    <n v="10"/>
    <n v="8"/>
    <n v="80"/>
    <n v="10"/>
    <m/>
    <n v="0"/>
    <n v="9"/>
    <m/>
    <n v="0"/>
    <n v="29"/>
    <n v="12"/>
    <n v="120"/>
  </r>
  <r>
    <n v="13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  Departamental  de  Salud  y Nutricion para el desarrollo Integral de Niños, Niñas y Adolescentes"/>
    <s v="Procesos transversales de la Gestion de la Salud Pública"/>
    <n v="1"/>
    <s v="Número"/>
    <n v="1"/>
    <n v="0"/>
    <e v="#DIV/0!"/>
    <n v="0"/>
    <n v="1"/>
    <e v="#DIV/0!"/>
    <n v="1"/>
    <m/>
    <n v="0"/>
    <m/>
    <m/>
    <e v="#DIV/0!"/>
    <n v="1"/>
    <n v="1"/>
    <n v="100"/>
  </r>
  <r>
    <n v="13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y seguimiento para la implementación del modelo de envejecimiento activo en los 29 municipios del departamento"/>
    <s v="Procesos transversales de la Gestion de la Salud Pública"/>
    <n v="29"/>
    <s v="Número"/>
    <n v="0"/>
    <n v="16"/>
    <e v="#DIV/0!"/>
    <n v="0"/>
    <n v="6"/>
    <e v="#DIV/0!"/>
    <n v="10"/>
    <m/>
    <n v="0"/>
    <n v="19"/>
    <m/>
    <n v="0"/>
    <n v="29"/>
    <n v="22"/>
    <e v="#DIV/0!"/>
  </r>
  <r>
    <n v="13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Generación y adecuación de estrategias que promuevan capacidades institucionales para la garantía del derecho a la"/>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Visita de seguimiento semestral para verificación de condiciones mínimas que dignifiquen la estadía de los adultos mayores en los centros de protección, centros de día e instituciones"/>
    <s v="Procesos transversales de la Gestion de la Salud Pública"/>
    <n v="15"/>
    <s v="Número"/>
    <n v="0"/>
    <n v="1"/>
    <e v="#DIV/0!"/>
    <n v="0"/>
    <n v="4"/>
    <e v="#DIV/0!"/>
    <n v="7"/>
    <m/>
    <n v="0"/>
    <n v="8"/>
    <m/>
    <n v="0"/>
    <n v="15"/>
    <n v="5"/>
    <e v="#DIV/0!"/>
  </r>
  <r>
    <n v="13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rticular acciones con los diferentes ejes estratégicos para el seguimiento de casos de interes en salud publica de los adultos mayores"/>
    <s v="Procesos transversales de la Gestion de la Salud Pública"/>
    <n v="2"/>
    <s v="Número"/>
    <n v="0"/>
    <n v="0"/>
    <e v="#DIV/0!"/>
    <n v="0"/>
    <n v="0"/>
    <e v="#DIV/0!"/>
    <n v="1"/>
    <m/>
    <n v="0"/>
    <n v="1"/>
    <m/>
    <n v="0"/>
    <n v="2"/>
    <n v="0"/>
    <e v="#DIV/0!"/>
  </r>
  <r>
    <n v="13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sobre politica publica de envejecimiento y vejez 2022- 2031 en los 29 municipios del departamento"/>
    <s v="Procesos transversales de la Gestion de la Salud Pública"/>
    <n v="29"/>
    <s v="Número"/>
    <n v="0"/>
    <n v="16"/>
    <e v="#DIV/0!"/>
    <n v="0"/>
    <n v="6"/>
    <e v="#DIV/0!"/>
    <n v="12"/>
    <m/>
    <n v="0"/>
    <n v="17"/>
    <m/>
    <n v="0"/>
    <n v="29"/>
    <n v="22"/>
    <e v="#DIV/0!"/>
  </r>
  <r>
    <n v="13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cognitiva dirigida a los adultos mayores de los 4 centros de bienestar del adulto mayor, en los municipios de banco, guamal, santa barbara de pinto y Sabanas de san Angel"/>
    <s v="Procesos transversales de la Gestion de la Salud Pública"/>
    <n v="4"/>
    <s v="Número"/>
    <n v="0"/>
    <n v="0"/>
    <e v="#DIV/0!"/>
    <n v="0"/>
    <m/>
    <e v="#DIV/0!"/>
    <n v="2"/>
    <m/>
    <n v="0"/>
    <n v="2"/>
    <m/>
    <n v="0"/>
    <n v="4"/>
    <n v="0"/>
    <e v="#DIV/0!"/>
  </r>
  <r>
    <n v="14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para atención integral del adulto mayor con entidades territoriales, IPS, EAPB por subregiones"/>
    <s v="Procesos transversales de la Gestion de la Salud Pública"/>
    <n v="1"/>
    <s v="Número"/>
    <n v="0"/>
    <n v="0"/>
    <e v="#DIV/0!"/>
    <n v="0"/>
    <n v="0"/>
    <e v="#DIV/0!"/>
    <n v="1"/>
    <m/>
    <n v="0"/>
    <n v="0"/>
    <m/>
    <e v="#DIV/0!"/>
    <n v="1"/>
    <n v="0"/>
    <e v="#DIV/0!"/>
  </r>
  <r>
    <n v="141"/>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Reconocimiento y legitimación de los espacios e instancias de diálogo y concertación para para la construcción colectiva de sistemas propios, a través de saberes, prácticas y conocimientos de y con las personas y colectivos."/>
    <s v="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 ludico - recreatico para adultos mayores, familiares y cuidadores para loa Promocion del Envejecimiento Activo y Saludable y Prevencion del Maltrato a los Adultos Mayores y habitancia en calle en el entorno comunitario , hogar centro de vida y c"/>
    <s v="PIC(Anexo técnico)"/>
    <n v="29"/>
    <s v="Número"/>
    <n v="0"/>
    <n v="0"/>
    <e v="#DIV/0!"/>
    <n v="9"/>
    <n v="0"/>
    <n v="0"/>
    <n v="10"/>
    <m/>
    <n v="0"/>
    <n v="10"/>
    <m/>
    <n v="0"/>
    <n v="29"/>
    <n v="0"/>
    <n v="0"/>
  </r>
  <r>
    <n v="14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y seguimiento de las acciones de la política pública para habitantes de calle, fenómeno de habitanza en calle, las características y necesidades de la población habitante de la calle, en las entidades territoriales"/>
    <s v="Procesos transversales de la Gestion de la Salud Pública"/>
    <n v="29"/>
    <s v="Número"/>
    <n v="0"/>
    <n v="3"/>
    <e v="#DIV/0!"/>
    <n v="0"/>
    <n v="14"/>
    <e v="#DIV/0!"/>
    <n v="10"/>
    <m/>
    <n v="0"/>
    <n v="19"/>
    <m/>
    <n v="0"/>
    <n v="29"/>
    <n v="17"/>
    <e v="#DIV/0!"/>
  </r>
  <r>
    <n v="14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con el fin de sensibilizar sobre prestación de servicios hacia la población habitante de calle para reducir el estigma y discriminación, dirigida a las entidades e instituciones a cargo de los servicios sociales y de salud"/>
    <s v="Procesos transversales de la Gestion de la Salud Pública"/>
    <n v="29"/>
    <s v="Número"/>
    <n v="0"/>
    <n v="3"/>
    <e v="#DIV/0!"/>
    <n v="0"/>
    <n v="14"/>
    <e v="#DIV/0!"/>
    <n v="10"/>
    <m/>
    <n v="0"/>
    <n v="19"/>
    <m/>
    <n v="0"/>
    <n v="29"/>
    <n v="17"/>
    <e v="#DIV/0!"/>
  </r>
  <r>
    <n v="14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 comun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2 mesa para el desarrollo de rutas sectoriales de atención integral para Personas Habitantes de la Calle"/>
    <s v="Procesos transversales de la Gestion de la Salud Pública"/>
    <n v="1"/>
    <s v="Número"/>
    <n v="0"/>
    <n v="0"/>
    <e v="#DIV/0!"/>
    <n v="0"/>
    <n v="1"/>
    <e v="#DIV/0!"/>
    <n v="1"/>
    <m/>
    <n v="0"/>
    <n v="1"/>
    <m/>
    <n v="0"/>
    <n v="1"/>
    <n v="1"/>
    <e v="#DIV/0!"/>
  </r>
  <r>
    <n v="14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de entidades territoriales, Deoparatamentales, Distritales y Municipales han implementado la estrategia de transversalización del enfoque de género en la planeacion integral en salud"/>
    <s v="A 2027 el 100% de entidades territoriales Municipales han implementado la estrategia de transversalización del enfoque de género en la planeacion integral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Taller educativo para generar sensibilización en el entorno comunitario sobre factores de riesgo asociados a la habitanza en calle, características de la población habitante de calle y su estilo de vida, así como la orientación hacia rutas y servicios soc"/>
    <s v="PIC(Anexo técnico)"/>
    <n v="29"/>
    <s v="Número"/>
    <n v="0"/>
    <n v="0"/>
    <e v="#DIV/0!"/>
    <n v="10"/>
    <n v="0"/>
    <n v="0"/>
    <n v="10"/>
    <m/>
    <n v="0"/>
    <n v="9"/>
    <m/>
    <n v="0"/>
    <n v="29"/>
    <n v="0"/>
    <n v="0"/>
  </r>
  <r>
    <n v="14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acciones para la prevencion de trata de personas violencias basadas en género y diversidad en los 29 Municipios del departamento"/>
    <s v="Procesos transversales de la Gestion de la Salud Pública"/>
    <n v="29"/>
    <s v="Número"/>
    <n v="0"/>
    <n v="4"/>
    <e v="#DIV/0!"/>
    <n v="10"/>
    <n v="11"/>
    <n v="110.00000000000001"/>
    <n v="10"/>
    <m/>
    <n v="0"/>
    <n v="9"/>
    <m/>
    <n v="0"/>
    <n v="29"/>
    <n v="15"/>
    <n v="150"/>
  </r>
  <r>
    <n v="14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humanizacion para la atencion sin discriminación y trato digno en los servicios en salud a población OSIG diversa y/o LGBTIQ+"/>
    <s v="Procesos transversales de la Gestion de la Salud Pública"/>
    <n v="29"/>
    <s v="Número"/>
    <n v="0"/>
    <n v="4"/>
    <e v="#DIV/0!"/>
    <n v="10"/>
    <n v="12"/>
    <n v="120"/>
    <n v="10"/>
    <m/>
    <n v="0"/>
    <n v="9"/>
    <m/>
    <n v="0"/>
    <n v="29"/>
    <n v="16"/>
    <n v="160"/>
  </r>
  <r>
    <n v="148"/>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Cuidado de la salud en el territorio"/>
    <s v="Implementacion de estatregia &quot;Ruta Segura&quot; simulacro de atencion en casos de trata de personas y violencias basadas en género. como actuar ante sospecha, situación y canalizacion de casos, con capacidad instalada en la creacion e implementacion de rutas d"/>
    <s v="PIC(Anexo técnico)"/>
    <n v="1"/>
    <s v="Número"/>
    <n v="0"/>
    <n v="0"/>
    <e v="#DIV/0!"/>
    <n v="0"/>
    <n v="0"/>
    <e v="#DIV/0!"/>
    <n v="1"/>
    <m/>
    <n v="0"/>
    <n v="0"/>
    <m/>
    <e v="#DIV/0!"/>
    <n v="1"/>
    <n v="0"/>
    <e v="#DIV/0!"/>
  </r>
  <r>
    <n v="14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de entidades territoriales, Deoparatamentales, Distritales y Municipales han implementado la estrategia de transversalización del enfoque de género en la planeacion integral en salud"/>
    <s v="A 2027 el 100%de entidades territoriales,  Municipales han implementado la estrategia de transversalización del enfoque de género en la planeacion integral en salud"/>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Desarrollar un programa radial sobre el ejercicio ciudadano de la participación social para cogestionar la garantía del derecho a la salud y desarrollar acciones para la prevención de no discriminación o estigmatización por causa o condición y  prevencion"/>
    <s v="Procesos transversales de la Gestion de la Salud Pública"/>
    <n v="29"/>
    <s v="Número"/>
    <n v="0"/>
    <n v="0"/>
    <e v="#DIV/0!"/>
    <n v="0"/>
    <n v="0"/>
    <e v="#DIV/0!"/>
    <n v="14"/>
    <n v="15"/>
    <n v="107.14285714285714"/>
    <n v="29"/>
    <m/>
    <n v="0"/>
    <n v="29"/>
    <n v="15"/>
    <n v="107.14285714285714"/>
  </r>
  <r>
    <n v="15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Políticas, planes, programas y estrategias en salud con transversalización de los enfoques de pueblos y comunidades, género y diferencial e integración de los sistemas de conocimiento propio y saberes de los pueblos y comunidades étnicas y campesinas"/>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Construccion de protocolo de atencion diferencial a la poblacion negra-afrodesciente- raizal y palanquero"/>
    <s v="Procesos transversales de la Gestion de la Salud Pública"/>
    <n v="1"/>
    <s v="Número"/>
    <n v="0"/>
    <n v="0"/>
    <e v="#DIV/0!"/>
    <n v="0"/>
    <n v="0"/>
    <e v="#DIV/0!"/>
    <n v="0"/>
    <m/>
    <e v="#DIV/0!"/>
    <n v="1"/>
    <m/>
    <n v="0"/>
    <n v="1"/>
    <n v="0"/>
    <e v="#DIV/0!"/>
  </r>
  <r>
    <n v="151"/>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con su respectivo tamizaje, a cada familia se le debe educar en el código internacional de Sucedáneos"/>
    <s v="PIC(Anexo técnico)"/>
    <n v="12"/>
    <s v="Número"/>
    <n v="3"/>
    <n v="0"/>
    <n v="0"/>
    <n v="3"/>
    <n v="0"/>
    <n v="0"/>
    <n v="3"/>
    <m/>
    <n v="0"/>
    <n v="3"/>
    <m/>
    <n v="0"/>
    <n v="12"/>
    <n v="0"/>
    <n v="0"/>
  </r>
  <r>
    <n v="15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Prácticas, saberes Y conocimientos para la salud pública reconocidos y fortalecidos para Pueblos y comunidades étnicas, mujeres, población campesina, LBGTIQ+ y otras poblaciones por condición y/o situación."/>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4 mesas para la implemetacion piloto de atencion entre la salud ancestral y salud occidental"/>
    <s v="PIC(Anexo técnico)"/>
    <n v="4"/>
    <s v="Número"/>
    <n v="0"/>
    <n v="0"/>
    <e v="#DIV/0!"/>
    <n v="0"/>
    <n v="4"/>
    <e v="#DIV/0!"/>
    <n v="2"/>
    <m/>
    <n v="0"/>
    <n v="2"/>
    <m/>
    <n v="0"/>
    <n v="4"/>
    <n v="4"/>
    <e v="#DIV/0!"/>
  </r>
  <r>
    <n v="153"/>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educativas de socialización para promover hábitos de alimentación saludable, destacando la variedad de alimentos y su aporte nutricional en cada microterritorio en el entorno hogar utulizando el plato saludable"/>
    <s v="PIC(Anexo técnico)"/>
    <n v="2"/>
    <s v="Número"/>
    <n v="0"/>
    <n v="0"/>
    <e v="#DIV/0!"/>
    <n v="0"/>
    <n v="0"/>
    <e v="#DIV/0!"/>
    <n v="1"/>
    <m/>
    <n v="0"/>
    <n v="1"/>
    <m/>
    <n v="0"/>
    <n v="2"/>
    <n v="0"/>
    <e v="#DIV/0!"/>
  </r>
  <r>
    <n v="15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en salud materna y neonatal, a mujeres en edad fertil, parteras y jefes del hogar en las comunidades priorizadas, sobre factores de riesgo de la gestante, reporte oportuno y atención en salud para evitar complicaciones en la madre y en "/>
    <s v="PIC(Anexo técnico)"/>
    <n v="2"/>
    <s v="Número"/>
    <n v="0"/>
    <n v="0"/>
    <n v="0"/>
    <n v="0"/>
    <n v="0"/>
    <e v="#DIV/0!"/>
    <n v="0"/>
    <m/>
    <e v="#DIV/0!"/>
    <n v="1"/>
    <m/>
    <n v="0"/>
    <n v="2"/>
    <n v="0"/>
    <e v="#DIV/0!"/>
  </r>
  <r>
    <n v="15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n el entorno escolar a niños(as) y adolescentes de 1 a 14 años, sobre la importancia de la desparasitación antihelmíntica en los municipios  priorizados"/>
    <s v="PIC(Anexo técnico)"/>
    <n v="2"/>
    <s v="Número"/>
    <n v="0"/>
    <n v="0"/>
    <e v="#DIV/0!"/>
    <n v="0"/>
    <n v="0"/>
    <e v="#DIV/0!"/>
    <n v="1"/>
    <m/>
    <n v="0"/>
    <n v="1"/>
    <m/>
    <n v="0"/>
    <n v="2"/>
    <n v="0"/>
    <e v="#DIV/0!"/>
  </r>
  <r>
    <n v="156"/>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Negros- afrocolombianos-raizales-palenqueros para difundir los tres mensajes claves del programa de prevención, manejo y control de la IRA/EDA y la ident"/>
    <s v="PIC(Anexo técnico)"/>
    <n v="2"/>
    <s v="Número"/>
    <n v="1"/>
    <n v="0"/>
    <n v="0"/>
    <n v="1"/>
    <m/>
    <n v="0"/>
    <n v="0"/>
    <m/>
    <e v="#DIV/0!"/>
    <n v="1"/>
    <m/>
    <n v="0"/>
    <n v="2"/>
    <n v="0"/>
    <n v="0"/>
  </r>
  <r>
    <n v="15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Coordinar sectorial e inetrsectorialmente acciones que incentiven la demanda  de las atenciones defenidas en la resolucion 3280 de 2018 del Ministerio de Salud y Proteccion Socialm relacionadascon la primera infancia o la norma que la modifique , adicdion"/>
    <s v="A 2031 el 100% de las Entidades Territoriales del orden departamental, distrital y municipal desarrollan mecanismos para el fortalecimiento de la rectoría en salud en su territorio, conforme a las competencias establecidas."/>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caracterizacion del territorio y poblacion negros, afrocolombianos, raizales y palenqueros asentada en el departamento con reconocimiento de la etnia en diferentes entornos en el area urbana y/o rural para la comunidad negros, afrocolombianos, ra"/>
    <s v="PIC(Anexo técnico)"/>
    <n v="1"/>
    <s v="Número"/>
    <n v="0"/>
    <n v="0"/>
    <e v="#DIV/0!"/>
    <n v="0"/>
    <n v="0"/>
    <e v="#DIV/0!"/>
    <n v="0"/>
    <n v="0"/>
    <e v="#DIV/0!"/>
    <n v="1"/>
    <m/>
    <n v="0"/>
    <n v="1"/>
    <n v="0"/>
    <e v="#DIV/0!"/>
  </r>
  <r>
    <n v="15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Fortalecer las capacidades en los actores del sector salud y sector social en las entidades territoriales de los 29 munipicipios  del Departamento del Magdalena para gestionar de manera adecuada la atención de la población migrante y favorecer la conviven"/>
    <s v="Procesos transversales de la Gestion de la Salud Pública"/>
    <n v="1"/>
    <s v="Número"/>
    <n v="0"/>
    <n v="1"/>
    <e v="#DIV/0!"/>
    <n v="0"/>
    <n v="1"/>
    <e v="#DIV/0!"/>
    <n v="1"/>
    <m/>
    <n v="0"/>
    <n v="0"/>
    <m/>
    <e v="#DIV/0!"/>
    <n v="1"/>
    <n v="2"/>
    <e v="#DIV/0!"/>
  </r>
  <r>
    <n v="15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s de trabajo con cooperantes para la atención en salud de la población migrante en el departamento"/>
    <s v="Procesos transversales de la Gestion de la Salud Pública"/>
    <n v="2"/>
    <s v="Número"/>
    <n v="0"/>
    <n v="0"/>
    <e v="#DIV/0!"/>
    <n v="1"/>
    <n v="0"/>
    <n v="0"/>
    <n v="1"/>
    <m/>
    <n v="0"/>
    <n v="0"/>
    <m/>
    <e v="#DIV/0!"/>
    <n v="2"/>
    <n v="0"/>
    <n v="0"/>
  </r>
  <r>
    <n v="16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Primer foro de salud intercultural de los pueblos y comunidades indígenas del Magdalena: kogui, wiwa, arhuacos, chimila (SSM, IPS, EPS, Defensoría del Pueblo, promotores de salud, gremios en salud y académia)"/>
    <s v="Procesos transversales de la Gestion de la Salud Pública"/>
    <n v="1"/>
    <s v="Número"/>
    <n v="0"/>
    <n v="0"/>
    <n v="0"/>
    <n v="0"/>
    <n v="0"/>
    <e v="#DIV/0!"/>
    <n v="1"/>
    <m/>
    <n v="0"/>
    <n v="1"/>
    <m/>
    <n v="0"/>
    <n v="1"/>
    <n v="0"/>
    <e v="#DIV/0!"/>
  </r>
  <r>
    <n v="16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Relizar 4 mesas tematicas en territorio con la población etnica del departamento para fortalecer los procesos y practicas de salud de las comunidades y pueblos indigenas."/>
    <s v="Procesos transversales de la Gestion de la Salud Pública"/>
    <n v="4"/>
    <s v="Número"/>
    <n v="0"/>
    <n v="0"/>
    <n v="0"/>
    <n v="0"/>
    <n v="1"/>
    <e v="#DIV/0!"/>
    <n v="2"/>
    <m/>
    <n v="0"/>
    <n v="2"/>
    <m/>
    <n v="0"/>
    <n v="4"/>
    <n v="1"/>
    <e v="#DIV/0!"/>
  </r>
  <r>
    <n v="162"/>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Taller con las entidades de salud, los trabajadores informales, UTI y GOTIS para promover prácticas para el mejoramiento de las condiciones de salud de esta población identificación y gestión de sus riesgos a la salud asociados a los determinantes ambient"/>
    <s v="Procesos transversales de la Gestion de la Salud Pública"/>
    <n v="4"/>
    <s v="Número"/>
    <n v="0"/>
    <n v="0"/>
    <e v="#DIV/0!"/>
    <n v="0"/>
    <n v="0"/>
    <e v="#DIV/0!"/>
    <n v="2"/>
    <m/>
    <n v="0"/>
    <n v="2"/>
    <m/>
    <n v="0"/>
    <n v="4"/>
    <n v="0"/>
    <e v="#DIV/0!"/>
  </r>
  <r>
    <n v="163"/>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Intevenidos determinantes sociales individuales que mitigan morbilidad y mortalidad  prematuras por enfermdades no trasmisibles"/>
    <s v="Fortalecimiento de las capacidades del Talento Humano en la irnplementación de estrategias para la generación de conocimiento de las condiciones de salud de la población y sus determinantes tales como bservatorios, ASIS, unidades de análisis, seminarios, "/>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izar Pruebas SRQ para la detección temprana de trastornos mentales en adultos en la poblacion infomal de los 29 munipios _x000a_"/>
    <s v="PIC(Anexo técnico)"/>
    <n v="29"/>
    <s v="Número"/>
    <n v="0"/>
    <n v="0"/>
    <e v="#DIV/0!"/>
    <n v="1"/>
    <n v="0"/>
    <n v="0"/>
    <n v="14"/>
    <m/>
    <n v="0"/>
    <n v="1"/>
    <m/>
    <n v="0"/>
    <n v="29"/>
    <n v="0"/>
    <n v="0"/>
  </r>
  <r>
    <n v="16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etnica indígena en los 4 municipios (Aracataca, Ciénaga, Fundación y Sabanas de San Angel) para difudinr los tres mensajes claves del programa de prevenc"/>
    <s v="PIC(Anexo técnico)"/>
    <n v="4"/>
    <s v="Número"/>
    <n v="0"/>
    <n v="0"/>
    <n v="0"/>
    <n v="0"/>
    <m/>
    <e v="#DIV/0!"/>
    <n v="1"/>
    <m/>
    <n v="0"/>
    <n v="0"/>
    <m/>
    <e v="#DIV/0!"/>
    <n v="4"/>
    <n v="0"/>
    <e v="#DIV/0!"/>
  </r>
  <r>
    <n v="16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es de Promoción, Prevención, Educación y Saneamiento tradicional (salud tradicional - salud intercultural - salud occidental)"/>
    <s v="PIC(Anexo técnico)"/>
    <n v="4"/>
    <s v="Número"/>
    <n v="0"/>
    <n v="0"/>
    <n v="0"/>
    <n v="0"/>
    <n v="0"/>
    <e v="#DIV/0!"/>
    <n v="2"/>
    <m/>
    <n v="0"/>
    <n v="2"/>
    <m/>
    <n v="0"/>
    <n v="4"/>
    <n v="0"/>
    <e v="#DIV/0!"/>
  </r>
  <r>
    <n v="166"/>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integral en salud materna y neonatal a Mujeres en edad fertil, gestantes en periodo de lactancia, sus familias, parteras, jefes del hogar, promotores de salud sobre la  lactancia materna y la adecuada alimentación complementaria en los "/>
    <s v="PIC(Anexo técnico)"/>
    <n v="4"/>
    <s v="Número"/>
    <n v="0"/>
    <n v="0"/>
    <n v="0"/>
    <n v="0"/>
    <n v="0"/>
    <e v="#DIV/0!"/>
    <n v="2"/>
    <m/>
    <n v="0"/>
    <n v="2"/>
    <m/>
    <n v="0"/>
    <n v="4"/>
    <n v="0"/>
    <e v="#DIV/0!"/>
  </r>
  <r>
    <n v="16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 Garantizar una atención integral, intercultural y continua a la población, a través de un equipo multidisciplinario que intervenga de manera articulada en la promoción, prevención, diagnóstico y tratamiento en salud, desde la implementación del Plan de C"/>
    <s v="PIC(Anexo técnico)"/>
    <n v="4"/>
    <s v="Número"/>
    <n v="0"/>
    <n v="0"/>
    <n v="0"/>
    <n v="0"/>
    <n v="0"/>
    <e v="#DIV/0!"/>
    <n v="14"/>
    <m/>
    <n v="0"/>
    <n v="15"/>
    <m/>
    <n v="0"/>
    <n v="4"/>
    <n v="0"/>
    <e v="#DIV/0!"/>
  </r>
  <r>
    <n v="168"/>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
    <s v="PIC(Anexo técnico)"/>
    <n v="4"/>
    <s v="Número"/>
    <n v="0"/>
    <n v="0"/>
    <n v="0"/>
    <n v="0"/>
    <n v="0"/>
    <e v="#DIV/0!"/>
    <n v="2"/>
    <m/>
    <n v="0"/>
    <n v="2"/>
    <m/>
    <n v="0"/>
    <n v="4"/>
    <n v="0"/>
    <e v="#DIV/0!"/>
  </r>
  <r>
    <n v="16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
    <s v="PIC(Anexo técnico)"/>
    <n v="4"/>
    <s v="Número"/>
    <n v="0"/>
    <n v="0"/>
    <n v="0"/>
    <n v="0"/>
    <n v="0"/>
    <e v="#DIV/0!"/>
    <n v="2"/>
    <m/>
    <n v="0"/>
    <n v="2"/>
    <m/>
    <n v="0"/>
    <n v="4"/>
    <n v="0"/>
    <e v="#DIV/0!"/>
  </r>
  <r>
    <n v="17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Desarrollo de capacidades al TH Indigena manejo de la DNT aguda "/>
    <s v="Procesos transversales de la Gestion de la Salud Pública"/>
    <n v="6"/>
    <s v="Número"/>
    <n v="0"/>
    <n v="0"/>
    <n v="0"/>
    <n v="0"/>
    <n v="0"/>
    <e v="#DIV/0!"/>
    <n v="2"/>
    <m/>
    <n v="0"/>
    <n v="2"/>
    <m/>
    <n v="0"/>
    <n v="6"/>
    <n v="0"/>
    <e v="#DIV/0!"/>
  </r>
  <r>
    <n v="17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las capacidades del Talento Humano en_x000a_ la irnplementación de estrategias para la generación de_x000a_ conocimiento de las condiciones de salud de la población_x000a_ y sus determinantes tales como observatorios, ASIS,_x000a_ unidades de análisis, seminar"/>
    <s v="A 2031, mantener la tasa de mortalidad de suicidio por debajo de 5"/>
    <s v="A 2027, mantener la tasa de mortalidad de suicidio por debajo de 5"/>
    <s v="A 2031, mantener la tasa de mortalidad de suicidio por debajo de 5"/>
    <s v="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Garantizar la atención a 1.992 personas victimas de vilencia de género intrafamiliar, intentos de suicidio, entre otros trastornos relacionados con la salud mental, a traves de la línea telefónica de atención de emergencias en salud mental"/>
    <s v="Desarrollo institucional y sectorial para el ejercicio de la autoridad sanitaria"/>
    <s v="Desarrollo de capacidades a través de un taller para los actores del sistema de salud en atención integral en salud y psicosocial, para las victimas del conflicto armado (SSM, IPS, EAPB) - Normatividad - protocolo/ implementación - retos y avances."/>
    <s v="Procesos transversales de la Gestion de la Salud Pública"/>
    <n v="1"/>
    <s v="Número"/>
    <n v="0"/>
    <m/>
    <e v="#DIV/0!"/>
    <n v="0"/>
    <m/>
    <e v="#DIV/0!"/>
    <n v="2"/>
    <m/>
    <n v="0"/>
    <n v="2"/>
    <m/>
    <n v="0"/>
    <n v="1"/>
    <n v="0"/>
    <n v="0"/>
  </r>
  <r>
    <n v="172"/>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capacidades en la vigilancia sobre el uso, conservacion y aplicacion de los medicamentos dentro de los servicios farmaceuticos dependientes e independientes para minimizar errores en recpcion y dispensacion, a traves de 4 talleres"/>
    <s v="Procesos transversales de la Gestion de la Salud Pública"/>
    <n v="4"/>
    <s v="Número"/>
    <n v="0"/>
    <n v="0"/>
    <e v="#DIV/0!"/>
    <n v="0"/>
    <m/>
    <e v="#DIV/0!"/>
    <n v="2"/>
    <m/>
    <n v="0"/>
    <n v="2"/>
    <m/>
    <n v="0"/>
    <n v="4"/>
    <n v="0"/>
    <e v="#DIV/0!"/>
  </r>
  <r>
    <n v="17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rticulacion Intersectorial para debatir politicas sobre el uso y conservacion de los medicamentos dentro de los servicios farmaceuticos dependientes e independientes para minimizar errores en recpcion y dispensacion, a traves de 5 reuniones "/>
    <s v="Procesos transversales de la Gestion de la Salud Pública"/>
    <n v="5"/>
    <s v="Número"/>
    <n v="0"/>
    <n v="0"/>
    <e v="#DIV/0!"/>
    <n v="0"/>
    <m/>
    <e v="#DIV/0!"/>
    <n v="2"/>
    <m/>
    <n v="0"/>
    <n v="2"/>
    <m/>
    <n v="0"/>
    <n v="5"/>
    <n v="0"/>
    <e v="#DIV/0!"/>
  </r>
  <r>
    <n v="17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compra al Fondo Nacional de Estupefacientes ,para adquirir los medicamentos monopolio del estado, para garantizar la disponibilidad a la póblación, de conforidad con el plan de adquisiciones "/>
    <s v="Procesos transversales de la Gestion de la Salud Pública"/>
    <n v="1"/>
    <s v="Número"/>
    <n v="1"/>
    <n v="1"/>
    <n v="100"/>
    <m/>
    <m/>
    <e v="#DIV/0!"/>
    <n v="3"/>
    <m/>
    <n v="0"/>
    <n v="3"/>
    <m/>
    <n v="0"/>
    <n v="1"/>
    <n v="1"/>
    <n v="100"/>
  </r>
  <r>
    <n v="17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dquirir 1000 recetarios oficiales para la prescripcion de medicamentos monopolio del Fondo Rotatorio de Estupefacientes"/>
    <s v="Procesos transversales de la Gestion de la Salud Pública"/>
    <n v="1000"/>
    <s v="Número"/>
    <n v="0"/>
    <n v="0"/>
    <e v="#DIV/0!"/>
    <m/>
    <m/>
    <e v="#DIV/0!"/>
    <n v="1"/>
    <m/>
    <n v="0"/>
    <m/>
    <m/>
    <e v="#DIV/0!"/>
    <n v="1000"/>
    <n v="0"/>
    <e v="#DIV/0!"/>
  </r>
  <r>
    <n v="17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talecer el sistema de informacion institucional, para garantizar respuestas oportunas, completas y trazables a los requerimientos de los entes de control atraves de la actualizacion del Sistema Integrado de Vigilancia Sanitaria. Que permitan cantraliza"/>
    <s v="Procesos transversales de la Gestion de la Salud Pública"/>
    <n v="100"/>
    <s v="Número"/>
    <n v="0"/>
    <n v="0"/>
    <e v="#DIV/0!"/>
    <n v="0"/>
    <n v="0"/>
    <e v="#DIV/0!"/>
    <n v="50"/>
    <m/>
    <n v="0"/>
    <n v="50"/>
    <m/>
    <n v="0"/>
    <n v="100"/>
    <n v="0"/>
    <e v="#DIV/0!"/>
  </r>
  <r>
    <n v="17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os Departamentos, Distritos y Municipios del País integran en su Planes de Desarrollo Territoriales estrategias para afectar de manera positiva los determinantes sociales de la salud en sus territorios.    "/>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Generar espacios de encuentro y coordinación intersectorial con actores del sistema de vigilancia en salud pública una vez por mes (cove), reuniones de estadisticas vitales y reuniones bimensuales para fortalecer la respuesta, control y seguimiento a los "/>
    <s v="Procesos transversales de la Gestion de la Salud Pública"/>
    <n v="22"/>
    <s v="Número"/>
    <n v="4"/>
    <n v="4"/>
    <n v="100"/>
    <n v="6"/>
    <n v="6"/>
    <n v="100"/>
    <n v="6"/>
    <m/>
    <n v="0"/>
    <n v="6"/>
    <m/>
    <n v="0"/>
    <n v="22"/>
    <n v="10"/>
    <n v="100"/>
  </r>
  <r>
    <n v="17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la gestión de los insumos necesarios para dar respuesta de manera oportuna y eficiente a los EISP y EISPII del departamento"/>
    <s v="Procesos transversales de la Gestion de la Salud Pública"/>
    <n v="5"/>
    <s v="Número"/>
    <n v="0"/>
    <n v="0"/>
    <e v="#DIV/0!"/>
    <n v="1"/>
    <n v="4"/>
    <n v="400"/>
    <n v="4"/>
    <m/>
    <n v="0"/>
    <n v="0"/>
    <m/>
    <e v="#DIV/0!"/>
    <n v="5"/>
    <n v="4"/>
    <n v="400"/>
  </r>
  <r>
    <n v="17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Gestión territorial para el cuidado de la salud basado en la atención prima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ncuesta de evaluación de coberturas de vacunación en zona urbana y rural de los 29 Municipios de Departamento"/>
    <s v="Procesos transversales de la Gestion de la Salud Pública"/>
    <n v="1"/>
    <s v="Documento"/>
    <n v="0"/>
    <n v="0"/>
    <e v="#DIV/0!"/>
    <n v="0"/>
    <n v="0"/>
    <e v="#DIV/0!"/>
    <n v="1"/>
    <m/>
    <n v="0"/>
    <n v="0"/>
    <m/>
    <e v="#DIV/0!"/>
    <n v="1"/>
    <n v="0"/>
    <e v="#DIV/0!"/>
  </r>
  <r>
    <n v="18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Brindar asistencia técnica a las 29 direcciones territoriales de salud para verificar y fortalecer el funcionamiento del Sistema de Vigilancia en Salud Pública, con énfasis en la calidad de la notificación de los Eventos de Interés en Salud Pública (EISP)"/>
    <s v="Procesos transversales de la Gestion de la Salud Pública"/>
    <n v="100"/>
    <s v="Porcentaje"/>
    <n v="10"/>
    <n v="92"/>
    <n v="919.99999999999989"/>
    <n v="30"/>
    <n v="84"/>
    <n v="280"/>
    <n v="30"/>
    <m/>
    <n v="0"/>
    <n v="30"/>
    <m/>
    <n v="0"/>
    <n v="100"/>
    <n v="176"/>
    <n v="440.00000000000006"/>
  </r>
  <r>
    <n v="18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Actualizar y divulgar una vez al año el analisis de situacion en salud del departamento incluyendo la poblacion pertenecinete a grupos Etnicos, para conocer y comprender la complejidad en que se desarrollan los procesos de salud, enfermedad y calidad de v"/>
    <s v="Procesos transversales de la Gestion de la Salud Pública"/>
    <n v="1"/>
    <s v="Documento"/>
    <n v="0"/>
    <n v="0"/>
    <e v="#DIV/0!"/>
    <n v="0"/>
    <n v="0"/>
    <e v="#DIV/0!"/>
    <n v="0"/>
    <m/>
    <e v="#DIV/0!"/>
    <n v="1"/>
    <m/>
    <n v="0"/>
    <n v="1"/>
    <n v="0"/>
    <e v="#DIV/0!"/>
  </r>
  <r>
    <n v="18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l 100% de unidades de análisis de las mortalidades por EISP y de casos de morbilidad por EISP según lineamientos del INS"/>
    <s v="Procesos transversales de la Gestion de la Salud Pública"/>
    <n v="70"/>
    <s v="Porcentaje"/>
    <n v="8"/>
    <n v="15"/>
    <n v="187.5"/>
    <n v="21"/>
    <n v="26"/>
    <n v="123.80952380952381"/>
    <n v="21"/>
    <m/>
    <n v="0"/>
    <n v="20"/>
    <m/>
    <n v="0"/>
    <n v="70"/>
    <n v="41"/>
    <n v="141.37931034482759"/>
  </r>
  <r>
    <n v="18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
    <s v="Fortalecimiento de las capacidades del Talento Humano en el acceso y uso de la oferta actual de información pública de salud y de otros sector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Desarrollar procesos de capacitación dirigidos al talento humano operativo de la Secretaría de Salud, orientados al fortalecimiento de competencias técnicas en vigilancia en salud pública, con el fin de mejorar la calidad del análisis, la notificación y l"/>
    <s v="Procesos transversales de la Gestion de la Salud Pública"/>
    <n v="5"/>
    <s v="Número"/>
    <n v="0"/>
    <n v="0"/>
    <e v="#DIV/0!"/>
    <n v="1"/>
    <n v="4"/>
    <n v="400"/>
    <n v="2"/>
    <m/>
    <n v="0"/>
    <n v="2"/>
    <m/>
    <n v="0"/>
    <n v="5"/>
    <n v="4"/>
    <n v="400"/>
  </r>
  <r>
    <n v="184"/>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Nivel Nacional y entes territoriales preparados y fortalecidos para la gestión del conocimiento, prevención, y atención sectorial e intersectorial de emergencias, desastres y pandemias."/>
    <s v="Fortalecimiento de capacidades comunitarias en la gestión del riesgo de emergencias y desastres que afecten la salud de la población."/>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talleres de REVCOM para fortalecer la participación social y comunitaria en la identificación oportuna de EISP o situaciones de riesgo en salud de la población general y poblacion migrante."/>
    <s v="Procesos transversales de la Gestion de la Salud Pública"/>
    <n v="2"/>
    <s v="Número"/>
    <n v="0"/>
    <n v="0"/>
    <e v="#DIV/0!"/>
    <n v="2"/>
    <n v="2"/>
    <n v="100"/>
    <n v="0"/>
    <m/>
    <e v="#DIV/0!"/>
    <n v="0"/>
    <m/>
    <e v="#DIV/0!"/>
    <n v="2"/>
    <n v="2"/>
    <n v="100"/>
  </r>
  <r>
    <n v="18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Producción, organización, depuración y reporte de la información en salud pública"/>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Elaborar, analisar y divulgar boletines epidemiológicos quincenales con información actualizada sobre la dinámica de los Eventos de Interés en Salud Pública (EISP) notificados a la Unidad Notificadora Departamental (UND), incorporando el análisis diferenc"/>
    <s v="Procesos transversales de la Gestion de la Salud Pública"/>
    <n v="24"/>
    <s v="Documento"/>
    <n v="6"/>
    <n v="6"/>
    <n v="100"/>
    <n v="6"/>
    <n v="6"/>
    <n v="100"/>
    <n v="6"/>
    <m/>
    <n v="0"/>
    <n v="6"/>
    <m/>
    <n v="0"/>
    <n v="24"/>
    <n v="12"/>
    <n v="100"/>
  </r>
  <r>
    <n v="18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Fortalecimiento de las capacidades del Talento Humano en la implementación de estrategias para la generación de conocimiento de las condiciones de salud de la población y sus determinantes tales como observatorios, ASIS, unidades de análisis, seminario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Socializar periódicamente con cada área de la Secretaría de Salud los datos específicos relacionados con los Eventos de Interés en Salud Pública (EISP) y los principales fenómenos epidemiológicos de los municipios, con el fin de fortalecer la planificació"/>
    <s v="Procesos transversales de la Gestion de la Salud Pública"/>
    <n v="55"/>
    <s v="Documento"/>
    <n v="10"/>
    <n v="21"/>
    <n v="210"/>
    <n v="15"/>
    <n v="45"/>
    <n v="300"/>
    <n v="15"/>
    <m/>
    <n v="0"/>
    <n v="15"/>
    <m/>
    <n v="0"/>
    <n v="55"/>
    <n v="66"/>
    <n v="264"/>
  </r>
  <r>
    <n v="18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recoleccion mensual de los residuos peligrosos y químicos en el laboratorio de salud publica del Magdalena"/>
    <s v="Procesos transversales de la Gestion de la Salud Pública"/>
    <n v="100"/>
    <s v="Porcentaje"/>
    <n v="0"/>
    <m/>
    <e v="#DIV/0!"/>
    <n v="1"/>
    <m/>
    <n v="0"/>
    <n v="2"/>
    <m/>
    <n v="0"/>
    <n v="2"/>
    <m/>
    <n v="0"/>
    <n v="100"/>
    <n v="0"/>
    <n v="0"/>
  </r>
  <r>
    <n v="18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transporte aéreo y terrestre de sustancias infecciosas, aguas , alimentos y material entomologico al Instituto Nacional de Salud, INVIMA y otros laboratorios del País."/>
    <s v="Procesos transversales de la Gestion de la Salud Pública"/>
    <n v="100"/>
    <s v="Porcentaje"/>
    <n v="0"/>
    <m/>
    <e v="#DIV/0!"/>
    <n v="1"/>
    <m/>
    <n v="0"/>
    <n v="2"/>
    <m/>
    <n v="0"/>
    <n v="1"/>
    <m/>
    <n v="0"/>
    <n v="100"/>
    <n v="0"/>
    <n v="0"/>
  </r>
  <r>
    <n v="18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ursos de entrenamiento para profesionales de la salud, en montaje y lectura de pruebas rapidas de VIH, Hepatitis y sifilis en el marco del cumplimiento de la Resolución 1314/2020"/>
    <s v="Procesos transversales de la Gestion de la Salud Pública"/>
    <n v="5"/>
    <s v="Número"/>
    <n v="6"/>
    <m/>
    <n v="0"/>
    <n v="6"/>
    <m/>
    <n v="0"/>
    <n v="6"/>
    <m/>
    <n v="0"/>
    <n v="6"/>
    <m/>
    <n v="0"/>
    <n v="5"/>
    <n v="0"/>
    <n v="0"/>
  </r>
  <r>
    <n v="19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Curso teórico Práctico de herramientas diagnósticas de eventos de interés de Salud Pública a toda la red departamental"/>
    <s v="Procesos transversales de la Gestion de la Salud Pública"/>
    <n v="4"/>
    <s v="Número"/>
    <n v="10"/>
    <m/>
    <n v="0"/>
    <n v="15"/>
    <m/>
    <n v="0"/>
    <n v="15"/>
    <m/>
    <n v="0"/>
    <n v="15"/>
    <m/>
    <n v="0"/>
    <n v="4"/>
    <n v="0"/>
    <n v="0"/>
  </r>
  <r>
    <n v="19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correctivo, calibración y calificación de los equipos del Laboratorio de Salud Publica, asegurando el cumplimiento de los requisitos del Organismo Nacional de Acreditación de Colombia ONAC y su documento norma"/>
    <s v="Procesos transversales de la Gestion de la Salud Pública"/>
    <n v="100"/>
    <s v="Porcentaje"/>
    <n v="25"/>
    <m/>
    <n v="0"/>
    <n v="25"/>
    <m/>
    <n v="0"/>
    <n v="25"/>
    <m/>
    <n v="0"/>
    <n v="25"/>
    <m/>
    <n v="0"/>
    <n v="100"/>
    <n v="0"/>
    <n v="0"/>
  </r>
  <r>
    <n v="19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y Correctivo de la Planta Electrica del Laboratorio de Salud Publica Departamental del Magdalena; el cual debe llevarlo a cabo una empresa cuyo domicilio principal y razon social este en la ciudad de Santa Mart"/>
    <s v="Procesos transversales de la Gestion de la Salud Pública"/>
    <n v="100"/>
    <s v="Porcentaje"/>
    <n v="25"/>
    <m/>
    <n v="0"/>
    <n v="25"/>
    <m/>
    <n v="0"/>
    <n v="25"/>
    <m/>
    <n v="0"/>
    <n v="25"/>
    <m/>
    <n v="0"/>
    <n v="100"/>
    <n v="0"/>
    <n v="0"/>
  </r>
  <r>
    <n v="19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equipos biomedicos, de sistema de informacion, para cumplir con los procesos misionales y para la bioseguridad en el LSP que garantice las acciones de vigilancia de salud Pública por el LSP ."/>
    <s v="Procesos transversales de la Gestion de la Salud Pública"/>
    <n v="100"/>
    <s v="Porcentaje"/>
    <n v="1"/>
    <m/>
    <n v="0"/>
    <n v="2"/>
    <m/>
    <n v="0"/>
    <n v="1"/>
    <m/>
    <n v="0"/>
    <n v="1"/>
    <m/>
    <n v="0"/>
    <n v="100"/>
    <n v="0"/>
    <n v="0"/>
  </r>
  <r>
    <n v="19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insumos y reactivos para cumplir con los procesos misionales y para la bioseguridad en el LSP que garantice las acciones de vigilancia de salud Pública por el LSP ."/>
    <s v="Procesos transversales de la Gestion de la Salud Pública"/>
    <n v="100"/>
    <s v="Porcentaje"/>
    <n v="1"/>
    <m/>
    <n v="0"/>
    <n v="1"/>
    <m/>
    <n v="0"/>
    <n v="1"/>
    <m/>
    <n v="0"/>
    <n v="1"/>
    <m/>
    <n v="0"/>
    <n v="100"/>
    <n v="0"/>
    <n v="0"/>
  </r>
  <r>
    <n v="19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Mantenimiento y actualizacion de software para el Laboratorio de Salud Publica para el manejo del sistema de gestion de la calidad"/>
    <s v="Procesos transversales de la Gestion de la Salud Pública"/>
    <n v="100"/>
    <s v="Porcentaje"/>
    <n v="25"/>
    <m/>
    <n v="0"/>
    <n v="25"/>
    <m/>
    <n v="0"/>
    <n v="25"/>
    <m/>
    <n v="0"/>
    <n v="25"/>
    <m/>
    <n v="0"/>
    <n v="100"/>
    <n v="0"/>
    <n v="0"/>
  </r>
  <r>
    <n v="19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Adquisicion de software para gestionar las muestras en el area Microbiologia de Alimentos para laboratorio de salud publica"/>
    <s v="Procesos transversales de la Gestion de la Salud Pública"/>
    <n v="1"/>
    <s v="Número"/>
    <n v="25"/>
    <m/>
    <n v="0"/>
    <n v="25"/>
    <m/>
    <n v="0"/>
    <n v="25"/>
    <m/>
    <n v="0"/>
    <n v="25"/>
    <m/>
    <n v="0"/>
    <n v="1"/>
    <n v="0"/>
    <n v="0"/>
  </r>
  <r>
    <n v="19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control de plagas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r>
  <r>
    <n v="19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analisis de vertimientos de acuerdo a la resolucion Resolución 0631 de 2015 el cual debe llevarlo a cabo una laboratorio acreditado."/>
    <s v="Procesos transversales de la Gestion de la Salud Pública"/>
    <n v="100"/>
    <s v="Porcentaje"/>
    <n v="25"/>
    <m/>
    <n v="0"/>
    <n v="25"/>
    <m/>
    <n v="0"/>
    <n v="25"/>
    <m/>
    <n v="0"/>
    <n v="25"/>
    <m/>
    <n v="0"/>
    <n v="100"/>
    <n v="0"/>
    <n v="0"/>
  </r>
  <r>
    <n v="19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mantenimiento de motobombas y limpieza y desinfeccion del sistema de suministro de agua del laboratorio de salud Publica el cual debe llevarlo a cabo 2 veces al año una empresa cuyo domicilio principal y razon social este en la ciudad de San"/>
    <s v="Procesos transversales de la Gestion de la Salud Pública"/>
    <n v="100"/>
    <s v="Porcentaje"/>
    <n v="25"/>
    <m/>
    <n v="0"/>
    <n v="25"/>
    <m/>
    <n v="0"/>
    <n v="25"/>
    <m/>
    <n v="0"/>
    <n v="25"/>
    <m/>
    <n v="0"/>
    <n v="100"/>
    <n v="0"/>
    <n v="0"/>
  </r>
  <r>
    <n v="20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migracion de la Norma ISO/IEC 17025 2005 a Norma ISO/IEC 17025 2017 para dar cumplimiento a los halazgos del INS e INVIMA y actualizar el sistema de Gestion de la Calidad del laboratorio de Salud Publica"/>
    <s v="Procesos transversales de la Gestion de la Salud Pública"/>
    <n v="100"/>
    <s v="Porcentaje"/>
    <m/>
    <m/>
    <e v="#DIV/0!"/>
    <m/>
    <m/>
    <e v="#DIV/0!"/>
    <m/>
    <m/>
    <e v="#DIV/0!"/>
    <n v="1"/>
    <m/>
    <n v="0"/>
    <n v="100"/>
    <n v="0"/>
    <n v="0"/>
  </r>
  <r>
    <n v="20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encuentro de laboratorios de Banco Sangre departamental para la concertar estrategias para la concientizacion de la donacion de sangre"/>
    <s v="Procesos transversales de la Gestion de la Salud Pública"/>
    <n v="1"/>
    <s v="Número"/>
    <n v="25"/>
    <m/>
    <n v="0"/>
    <n v="25"/>
    <m/>
    <n v="0"/>
    <n v="25"/>
    <m/>
    <n v="0"/>
    <n v="25"/>
    <m/>
    <n v="0"/>
    <n v="1"/>
    <n v="0"/>
    <n v="0"/>
  </r>
  <r>
    <n v="20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85-A 2031, 15% de municipios endémicos para malaria pasan de categoría de riesgo 4 a 3"/>
    <s v="85-A 2031, 15% de municipios endémicos para malaria pasan de categoría de riesgo 4 a 3"/>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Hacer captura de material entomologico para malaria, chagas y leishmaniasis en municipios priorizados según programacion definida"/>
    <s v="Procesos transversales de la Gestion de la Salud Pública"/>
    <n v="100"/>
    <s v="Porcentaje"/>
    <n v="25"/>
    <m/>
    <n v="0"/>
    <n v="25"/>
    <m/>
    <n v="0"/>
    <n v="25"/>
    <m/>
    <n v="0"/>
    <n v="25"/>
    <m/>
    <n v="0"/>
    <n v="100"/>
    <n v="0"/>
    <n v="0"/>
  </r>
  <r>
    <n v="20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 calidad de agua para consumo humano (IRCA ) de los municipios del departamento del Magdalena con reporte a SIVICAP"/>
    <s v="Procesos transversales de la Gestion de la Salud Pública"/>
    <n v="120"/>
    <s v="Número"/>
    <n v="25"/>
    <m/>
    <n v="0"/>
    <n v="25"/>
    <m/>
    <n v="0"/>
    <n v="25"/>
    <m/>
    <n v="0"/>
    <n v="25"/>
    <m/>
    <n v="0"/>
    <n v="120"/>
    <n v="0"/>
    <n v="0"/>
  </r>
  <r>
    <n v="20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os alimentos y ETAS en los municipios del Departamento del Magdalena y su reporte al Epiinfo."/>
    <s v="Procesos transversales de la Gestion de la Salud Pública"/>
    <n v="12"/>
    <s v="Número"/>
    <n v="25"/>
    <m/>
    <n v="0"/>
    <n v="25"/>
    <m/>
    <n v="0"/>
    <n v="25"/>
    <m/>
    <n v="0"/>
    <n v="25"/>
    <m/>
    <n v="0"/>
    <n v="12"/>
    <n v="0"/>
    <n v="0"/>
  </r>
  <r>
    <n v="20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s Intoxicación ocasionadas por plaguicidas, organofosforados y carbamatos en Municipios priorizados del Departamento del Magdalena."/>
    <s v="Procesos transversales de la Gestion de la Salud Pública"/>
    <n v="4"/>
    <s v="Número"/>
    <m/>
    <m/>
    <e v="#DIV/0!"/>
    <m/>
    <m/>
    <e v="#DIV/0!"/>
    <n v="1"/>
    <m/>
    <n v="0"/>
    <m/>
    <m/>
    <e v="#DIV/0!"/>
    <n v="4"/>
    <n v="0"/>
    <n v="0"/>
  </r>
  <r>
    <n v="20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ontrol de Calidad por laboratorio de los eventos de interes en salud publica de las muestras enviadas por la red de laboratorios del Distrito y del Departamento"/>
    <s v="Procesos transversales de la Gestion de la Salud Pública"/>
    <n v="400"/>
    <s v="Porcentaje"/>
    <n v="25"/>
    <m/>
    <n v="0"/>
    <n v="25"/>
    <m/>
    <n v="0"/>
    <n v="25"/>
    <m/>
    <n v="0"/>
    <n v="25"/>
    <m/>
    <n v="0"/>
    <n v="400"/>
    <n v="0"/>
    <n v="0"/>
  </r>
  <r>
    <n v="20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9-A 2031, 50% de las personas que son confirmadas por banco de sangre para HTLV, VIH, Hepatitis B y C, enfermedad de Chagas y sífilis acceden a la atención integral en salud."/>
    <s v="79-A 2031, 50% de las personas que son confirmadas por banco de sangre para HTLV, VIH, Hepatitis B y C, enfermedad de Chagas y sífilis acceden a la atención integral en salud."/>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visitas e inspeccion y asistencia tecnicas a los Bancos de sangre del Departamento del Magdalena"/>
    <s v="Procesos transversales de la Gestion de la Salud Pública"/>
    <n v="9"/>
    <s v="Número"/>
    <n v="30"/>
    <m/>
    <n v="0"/>
    <n v="30"/>
    <m/>
    <n v="0"/>
    <n v="30"/>
    <m/>
    <n v="0"/>
    <n v="30"/>
    <m/>
    <n v="0"/>
    <n v="9"/>
    <n v="0"/>
    <n v="0"/>
  </r>
  <r>
    <n v="208"/>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Gestionar la contratación del talento humano operativo para el desarrollo de los procesos a cargo de la Entidad territorial como autoridad sanitaria, orientados a que las estrategias, procedimientos e intervenciones de Salud Pública se realicen de manera "/>
    <s v="Procesos transversales de la Gestion de la Salud Pública"/>
    <n v="100"/>
    <s v="Porcentaje"/>
    <n v="3"/>
    <m/>
    <n v="0"/>
    <n v="3"/>
    <m/>
    <n v="0"/>
    <n v="3"/>
    <m/>
    <n v="0"/>
    <n v="3"/>
    <m/>
    <n v="0"/>
    <n v="100"/>
    <n v="0"/>
    <n v="0"/>
  </r>
  <r>
    <n v="209"/>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frente a la planeacion integral en salud, la Formulacion coherente, pertinente y oportuna de las intervenciones del PIC/GSP Resolucion 1597/25"/>
    <s v="Procesos transversales de la Gestion de la Salud Pública"/>
    <n v="2"/>
    <s v="Número"/>
    <n v="0"/>
    <m/>
    <e v="#DIV/0!"/>
    <n v="1"/>
    <m/>
    <n v="0"/>
    <n v="2"/>
    <m/>
    <n v="0"/>
    <n v="1"/>
    <m/>
    <n v="0"/>
    <n v="2"/>
    <n v="0"/>
    <n v="0"/>
  </r>
  <r>
    <n v="21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los EBS para la optima ejecucion de las acciones en campo"/>
    <s v="Procesos transversales de la Gestion de la Salud Pública"/>
    <n v="2"/>
    <s v="Número"/>
    <n v="100"/>
    <m/>
    <n v="0"/>
    <n v="100"/>
    <m/>
    <n v="0"/>
    <n v="100"/>
    <m/>
    <n v="0"/>
    <n v="100"/>
    <m/>
    <n v="0"/>
    <n v="2"/>
    <n v="0"/>
    <n v="0"/>
  </r>
  <r>
    <n v="21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en Plan Terrirotial de Salud"/>
    <s v="Procesos transversales de la Gestion de la Salud Pública"/>
    <n v="4"/>
    <s v="Número"/>
    <n v="0"/>
    <m/>
    <e v="#DIV/0!"/>
    <n v="3"/>
    <m/>
    <n v="0"/>
    <n v="3"/>
    <m/>
    <n v="0"/>
    <n v="3"/>
    <m/>
    <n v="0"/>
    <n v="4"/>
    <n v="0"/>
    <n v="0"/>
  </r>
  <r>
    <n v="21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Mejorar la dotacion del Fondo Rotatorio de Estupefacientes con la adquisicion de 4 aires acondicionados ( 2 de 24000 BTU, 2 12000 BTU), desmonte de aires viejos e instalación de los nuevos."/>
    <s v="Procesos transversales de la Gestion de la Salud Pública"/>
    <n v="100"/>
    <s v="Número"/>
    <m/>
    <m/>
    <e v="#DIV/0!"/>
    <n v="60"/>
    <m/>
    <n v="0"/>
    <n v="20"/>
    <m/>
    <n v="0"/>
    <n v="20"/>
    <m/>
    <n v="0"/>
    <n v="100"/>
    <n v="0"/>
    <n v="0"/>
  </r>
  <r>
    <n v="213"/>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DESARROLLO INSTITUCIONAL Y SECTORIAL PARA EL EJERCICIO DE LA AUTORIDAD SANITARIA."/>
    <s v="Diseñar y formalizar el protocolo técnico-operativo de la línea telefónica departamental de atención en salud mental por parte de la Secretaría Seccional de Salud del Magdalena mediante acto administrativo que defina ruta de atención, perfiles del talento"/>
    <s v="Procesos transversales de la Gestion de la Salud Pública"/>
    <n v="1"/>
    <s v="Documento"/>
    <m/>
    <m/>
    <e v="#DIV/0!"/>
    <m/>
    <m/>
    <e v="#DIV/0!"/>
    <n v="2"/>
    <m/>
    <n v="0"/>
    <m/>
    <m/>
    <e v="#DIV/0!"/>
    <n v="1"/>
    <n v="0"/>
    <n v="0"/>
  </r>
  <r>
    <n v="214"/>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ACUERDOS SOCIALES Y COMUNITARIOS PARA LA TRANSFORMACIÓN DE LAS INEQUIDADES EN SALUD  Y LA INCIDENCIA SOBRE LOS DETERMINANTES SOCIALES DE LA SALUD EN EL TERRITORIO."/>
    <s v="Concertar acuerdos territoriales de promoción y uso de la línea telefónica de salud mental con actores comunitarios, educativos y sociales del departamento del Magdalena mediante mesas de trabajo que definan estrategias de difusión, enfoque diferencial y "/>
    <s v="Procesos transversales de la Gestion de la Salud Pública"/>
    <n v="100"/>
    <s v="Porcentaaje de gestión"/>
    <m/>
    <m/>
    <e v="#DIV/0!"/>
    <n v="2"/>
    <m/>
    <n v="0"/>
    <n v="2"/>
    <m/>
    <n v="0"/>
    <m/>
    <m/>
    <e v="#DIV/0!"/>
    <n v="100"/>
    <n v="0"/>
    <n v="0"/>
  </r>
  <r>
    <n v="215"/>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Cuidado de la Salud en el Territorio."/>
    <s v="Implementar la operación continua de la línea telefónica departamental de atención en salud mental por el equipo interdisciplinario contratado mediante prestación de servicio 24/7 que garantice orientación, intervención en crisis y activación oportuna de "/>
    <s v="Procesos transversales de la Gestion de la Salud Pública"/>
    <n v="360"/>
    <s v="dias"/>
    <m/>
    <m/>
    <e v="#DIV/0!"/>
    <m/>
    <m/>
    <e v="#DIV/0!"/>
    <n v="2"/>
    <m/>
    <n v="0"/>
    <n v="2"/>
    <m/>
    <n v="0"/>
    <n v="360"/>
    <n v="0"/>
    <n v="0"/>
  </r>
  <r>
    <n v="216"/>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DESARROLLO INSTITUCIONAL Y SECTORIAL PARA EL EJERCICIO DE LA AUTORIDAD SANITARIA."/>
    <s v="Diseñar y adoptar el plan técnico departamental de comunicación en salud sexual y reproductiva para IED priorizadas por la Secretaría Seccional de Salud del Magdalena mediante acto administrativo que defina lineamientos pedagógicos, enfoque diferencial, a"/>
    <s v="Procesos transversales de la Gestion de la Salud Pública"/>
    <n v="1"/>
    <s v="Documento( Plan )"/>
    <n v="0"/>
    <n v="0"/>
    <e v="#DIV/0!"/>
    <n v="0"/>
    <n v="0"/>
    <e v="#DIV/0!"/>
    <n v="1"/>
    <m/>
    <n v="0"/>
    <n v="0"/>
    <m/>
    <e v="#DIV/0!"/>
    <n v="1"/>
    <n v="0"/>
    <e v="#DIV/0!"/>
  </r>
  <r>
    <n v="217"/>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ACUERDOS SOCIALES Y COMUNITARIOS PARA LA TRANSFORMACIÓN DE LAS INEQUIDADES EN SALUD  Y LA INCIDENCIA SOBRE LOS DETERMINANTES SOCIALES DE LA SALUD EN EL TERRITORIO."/>
    <s v="Concertar acuerdos intersectoriales de implementación de estrategias de educomunicación en salud sexual y reproductiva con directivos docentes, asociaciones de padres y líderes juveniles en los municipios del departamento mediante mesas territoriales que "/>
    <s v="Procesos transversales de la Gestion de la Salud Pública"/>
    <n v="29"/>
    <s v="municipios"/>
    <m/>
    <m/>
    <e v="#DIV/0!"/>
    <m/>
    <m/>
    <e v="#DIV/0!"/>
    <n v="1"/>
    <m/>
    <n v="0"/>
    <m/>
    <m/>
    <e v="#DIV/0!"/>
    <n v="29"/>
    <n v="0"/>
    <n v="0"/>
  </r>
  <r>
    <n v="218"/>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Cuidado de la Salud en el Territorio."/>
    <s v="Implementar jornadas pedagógicas y campañas educomunicativas en salud sexual y reproductiva en IED priorizadas por el equipo técnico de salud pública en cada municipio  del Deparatemento para la activación de rutas de orientación y acceso a servicios amig"/>
    <s v="Procesos transversales de la Gestion de la Salud Pública"/>
    <n v="29"/>
    <s v="municipios"/>
    <m/>
    <m/>
    <e v="#DIV/0!"/>
    <m/>
    <m/>
    <e v="#DIV/0!"/>
    <n v="50"/>
    <m/>
    <n v="0"/>
    <n v="50"/>
    <m/>
    <n v="0"/>
    <n v="29"/>
    <n v="0"/>
    <n v="0"/>
  </r>
  <r>
    <n v="219"/>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DESARROLLO INSTITUCIONAL Y SECTORIAL PARA EL EJERCICIO DE LA AUTORIDAD SANITARIA."/>
    <s v="Adoptar y reglamentar la estrategia nacional de prevención de la conducta suicida en las IPS públicas del departamento por la Secretaría Seccional de Salud del Magdalena mediante acto administrativo que defina lineamientos técnicos, responsabilidades inst"/>
    <s v="Procesos transversales de la Gestion de la Salud Pública"/>
    <n v="1"/>
    <s v="Estrategia"/>
    <n v="0"/>
    <n v="0"/>
    <e v="#DIV/0!"/>
    <n v="0"/>
    <n v="0"/>
    <e v="#DIV/0!"/>
    <n v="1"/>
    <m/>
    <n v="0"/>
    <n v="0"/>
    <m/>
    <e v="#DIV/0!"/>
    <n v="1"/>
    <n v="0"/>
    <e v="#DIV/0!"/>
  </r>
  <r>
    <n v="220"/>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ACUERDOS SOCIALES Y COMUNITARIOS PARA LA TRANSFORMACIÓN DE LAS INEQUIDADES EN SALUD  Y LA INCIDENCIA SOBRE LOS DETERMINANTES SOCIALES DE LA SALUD EN EL TERRITORIO."/>
    <s v="Articular compromisos intersectoriales de prevención de la conducta suicida con sector educativo, comisarías de familia y organizaciones comunitarias del departamento mediante mesas territoriales que establezcan rutas de detección temprana, referencia y a"/>
    <s v="Procesos transversales de la Gestion de la Salud Pública"/>
    <n v="100"/>
    <s v="Porcentaaje de gestión"/>
    <n v="100"/>
    <n v="0"/>
    <n v="0"/>
    <n v="100"/>
    <n v="46"/>
    <n v="46"/>
    <n v="100"/>
    <m/>
    <n v="0"/>
    <n v="100"/>
    <m/>
    <n v="0"/>
    <n v="100"/>
    <n v="46"/>
    <n v="23"/>
  </r>
  <r>
    <n v="221"/>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Cuidado de la Salud en el Territorio."/>
    <s v="mplementar la estrategia nacional de prevención de la conducta suicida en las IPS públicas del departamento por los equipos interdisciplinarios de salud mental mediante capacitación al talento humano, tamizaje sistemático de riesgo y activación oportuna d"/>
    <s v="Procesos transversales de la Gestion de la Salud Pública"/>
    <n v="1"/>
    <s v="Estrategia"/>
    <n v="0"/>
    <n v="0"/>
    <e v="#DIV/0!"/>
    <n v="0"/>
    <n v="0"/>
    <e v="#DIV/0!"/>
    <n v="1"/>
    <m/>
    <n v="0"/>
    <m/>
    <m/>
    <e v="#DIV/0!"/>
    <n v="1"/>
    <n v="0"/>
    <e v="#DIV/0!"/>
  </r>
  <r>
    <n v="222"/>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establecerán en el 100% de los Departamentos y Distritos, sistemas de alerta temprana para la identificación del riesgo por el cambio climático y la posible vulnerabilidad de la población desde un enfoque territorial.  "/>
    <s v="Fortalecimiento de capacidades comunitarias en la gestión del riesgo de emergencias y desastres que afecten la salud de la población.  "/>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Mé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Articular compromisos comunitarios de apoyo a la vigilancia epidemiológica con actores sociales y educativos de los 29 municipios mediante jornadas participativas que promuevan la identificación temprana de eventos y la activación de rutas institucionales"/>
    <s v="Procesos transversales de la Gestion de la Salud Pública"/>
    <n v="29"/>
    <s v="municipios"/>
    <n v="0"/>
    <n v="0"/>
    <e v="#DIV/0!"/>
    <n v="5"/>
    <n v="0"/>
    <n v="0"/>
    <n v="13"/>
    <m/>
    <n v="0"/>
    <n v="11"/>
    <m/>
    <n v="0"/>
    <n v="29"/>
    <n v="0"/>
    <n v="0"/>
  </r>
  <r>
    <n v="223"/>
    <s v="Deficiencias en la infraestructura sanitaria que se ve reflejada en bajas coberturas de alcantarillado y prestación del servicio de aseo, así como la mala calidad del agua, que condiciona la incidencia de enfermedades transmitidas por el agua y los alimen"/>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Lograr la formulación  y socialización de Planes municipales de Gestion integrl de riesgos de desastres en los 29 municipios"/>
    <s v="CUIDADO DE LA SALUD EN EL TERRITORIO."/>
    <s v="Médico en tu casa"/>
    <s v="Fortalecimiento de Estrategias para la Promoción de la Salud y Prevención de Enfermedades en Comunidades, mediante acciones Integrales, Participativas y Sostenibles en el Departamento del Magdalena."/>
    <s v="Lograr la formulación  y socialización de Planes municipales de Gestion integrl de riesgos de desastres en los 29 municipios"/>
    <s v="Cuidado de la Salud en el Territorio."/>
    <s v="Implementar procesos territoriales de acompañamiento técnico para la formulación y socialización de los Planes Municipales de Gestión Integral del Riesgo de Desastres en los 29 municipios por el equipo departamental de salud pública mediante asistencia té"/>
    <s v="Procesos transversales de la Gestion de la Salud Pública"/>
    <n v="29"/>
    <s v="municipios"/>
    <n v="0"/>
    <n v="0"/>
    <e v="#DIV/0!"/>
    <n v="5"/>
    <n v="0"/>
    <n v="0"/>
    <n v="13"/>
    <m/>
    <n v="0"/>
    <n v="11"/>
    <m/>
    <n v="0"/>
    <n v="29"/>
    <n v="0"/>
    <n v="0"/>
  </r>
  <r>
    <n v="224"/>
    <s v="Inadecuada e insuficiente infraestructura hospitalaria y débil institucionalidad para la prestación del servicio de salud que se evidencian en el incumplimiento de la aplicación de las guías clínicas de atención, la inoportunidad del servicio y baja impl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a 2031 Contener la tasa de Mortalidad en menores de 5 años"/>
    <s v="Lograr que los 29 municipios conozcan y apliquen el reglamento sanitario internacional 2005"/>
    <s v="CUIDADO DE LA SALUD EN EL TERRITORIO."/>
    <s v="Médico en tu casa"/>
    <s v="Fortalecimiento de Estrategias para la Promoción de la Salud y Prevención de Enfermedades en Comunidades, mediante acciones Integrales, Participativas y Sostenibles en el Departamento del Magdalena."/>
    <s v="Lograr que los 29 municipios conozcan y apliquen el reglamento sanitario internacional 2005"/>
    <s v="Cuidado de la Salud en el Territorio."/>
    <s v="Implementar procesos de capacitación y acompañamiento técnico para la aplicación del Reglamento Sanitario Internacional 2005 en los 29 municipios por el equipo departamental de vigilancia en salud pública mediante talleres prácticos, simulacros de eventos"/>
    <s v="Procesos transversales de la Gestion de la Salud Pública"/>
    <n v="29"/>
    <s v="municipios"/>
    <n v="0"/>
    <n v="0"/>
    <e v="#DIV/0!"/>
    <n v="5"/>
    <n v="0"/>
    <n v="0"/>
    <n v="13"/>
    <m/>
    <n v="0"/>
    <n v="11"/>
    <m/>
    <n v="0"/>
    <n v="29"/>
    <n v="0"/>
    <n v="0"/>
  </r>
  <r>
    <n v="225"/>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socialización RSI 2006"/>
    <s v="A 2027 Lograr promover el conocimiento de riesgos de desastres en los 29 municipios con el fin de que respondan con eficacia ante las emergencias y desastres que enfrenten"/>
    <s v="CUIDADO DE LA SALUD EN EL TERRITORIO."/>
    <s v="Médico en tu casa"/>
    <s v="Fortalecimiento de Estrategias para la Promoción de la Salud y Prevención de Enfermedades en Comunidades, mediante acciones Integrales, Participativas y Sostenibles en el Departamento del Magdalena."/>
    <s v="Lograr promover el conocimiento de riesgos de desastres en los 29 municipios con el fin de que respondan con eficacia ante las emergencias y desastres que enfrenten"/>
    <s v="Cuidado de la Salud en el Territorio."/>
    <s v="Implementar programas municipales de preparación y respuesta en gestión del riesgo de desastres en los 29 municipios por el equipo departamental de emergencias en salud mediante realización de mínimo un simulacro anual por municipio, capacitación certific"/>
    <s v="Procesos transversales de la Gestion de la Salud Pública"/>
    <n v="29"/>
    <s v="municipios"/>
    <n v="0"/>
    <n v="0"/>
    <e v="#DIV/0!"/>
    <n v="5"/>
    <n v="0"/>
    <n v="0"/>
    <n v="13"/>
    <m/>
    <n v="0"/>
    <n v="11"/>
    <m/>
    <n v="0"/>
    <n v="29"/>
    <n v="0"/>
    <n v="0"/>
  </r>
  <r>
    <n v="226"/>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n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4 Mesas de Saneamiento de Cartera trimestral (Circular conjunta 030 de 2013) con su respectivo seguimiento a la red prestadora de salud del Departamento del Magdalena."/>
    <s v="Procesos transversales de la Gestion de la Salud Pública"/>
    <n v="4"/>
    <s v="Número"/>
    <m/>
    <m/>
    <e v="#DIV/0!"/>
    <n v="5"/>
    <m/>
    <n v="0"/>
    <n v="13"/>
    <m/>
    <n v="0"/>
    <n v="11"/>
    <m/>
    <n v="0"/>
    <n v="4"/>
    <n v="0"/>
    <n v="0"/>
  </r>
  <r>
    <n v="227"/>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sistencias tecnicas  presenciales y/o virtuales en materia de aseguramiento a los entes territoriales municipales del Departamento del Magdalena. Realizar 4 Mesas de Saneamiento de Cartera trimestral (Circular conjunta 030 de 2013) con su res"/>
    <s v="Procesos transversales de la Gestion de la Salud Pública"/>
    <n v="60"/>
    <s v="Número"/>
    <m/>
    <m/>
    <e v="#DIV/0!"/>
    <n v="5"/>
    <m/>
    <n v="0"/>
    <n v="13"/>
    <m/>
    <n v="0"/>
    <n v="11"/>
    <m/>
    <n v="0"/>
    <n v="60"/>
    <n v="0"/>
    <n v="0"/>
  </r>
  <r>
    <n v="228"/>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cciones de Inspección, Vigilancia y Control - IVC en materia de Aseguramiento (Base de Datos, Flujo de Recursos, Contratación Red, Auditorias, Régimen Subsidiado, Regimen Contributivo y Especial), del Departamento del Magdalena"/>
    <s v="Procesos transversales de la Gestion de la Salud Pública"/>
    <n v="60"/>
    <s v="Número"/>
    <m/>
    <m/>
    <e v="#DIV/0!"/>
    <n v="5"/>
    <m/>
    <n v="0"/>
    <n v="13"/>
    <m/>
    <n v="0"/>
    <n v="11"/>
    <m/>
    <n v="0"/>
    <n v="60"/>
    <n v="0"/>
    <n v="0"/>
  </r>
  <r>
    <n v="229"/>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verificación a los informes de Inspección y Vigilancias a las Entidades Promotoras de Salud - EPS realizados por los 29 Entes Territoriales Municipales. D emanera semestral."/>
    <s v="Procesos transversales de la Gestion de la Salud Pública"/>
    <n v="58"/>
    <s v="Número"/>
    <m/>
    <m/>
    <e v="#DIV/0!"/>
    <n v="5"/>
    <m/>
    <n v="0"/>
    <n v="13"/>
    <m/>
    <n v="0"/>
    <n v="11"/>
    <m/>
    <n v="0"/>
    <n v="58"/>
    <n v="0"/>
    <n v="0"/>
  </r>
  <r>
    <n v="230"/>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Lograr afiliación de 68986 personas en e departamento al año 2026"/>
    <s v="Procesos transversales de la Gestion de la Salud Pública"/>
    <n v="68986"/>
    <s v="Número"/>
    <n v="1"/>
    <m/>
    <n v="0"/>
    <n v="1"/>
    <m/>
    <n v="0"/>
    <n v="1"/>
    <m/>
    <n v="0"/>
    <n v="1"/>
    <m/>
    <n v="0"/>
    <n v="68986"/>
    <n v="0"/>
    <n v="0"/>
  </r>
  <r>
    <n v="231"/>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 actvidad transversal a resultados"/>
    <s v="CAMBIO EN LOS SERVICIOS DE SALUD"/>
    <s v="Na"/>
    <s v="Seguimiento y vigilancia a las Ese, EAPB,  SAC y SIAU municipales"/>
    <s v="Realizar acciones de seguimiento y asistencias técnicas a los 29 munipios para garantizar la adecuada operatividad y cumplimiento de funciones en la atención al usuario y la gestión de servicios de salud."/>
    <s v="DESARROLLO INSTITUCIONAL Y SECTORIAL PARA EL EJERCICIO DE LA AUTORIDAD SANITARIA."/>
    <s v="Realizar 14 asistencias técnicas, control , vigilancia y Seguimiento  a las Secretarias de Salud , ESES y EPS  en los 29 municipios del Departamento del Magdalena en el componente del SAC y SIAU en relacion a la operatividad en el marco de sus funciones."/>
    <s v="Procesos transversales de la Gestion de la Salud Pública"/>
    <n v="14"/>
    <s v="NUMERO"/>
    <m/>
    <m/>
    <e v="#DIV/0!"/>
    <n v="20"/>
    <m/>
    <n v="0"/>
    <n v="20"/>
    <m/>
    <n v="0"/>
    <n v="20"/>
    <m/>
    <n v="0"/>
    <n v="14"/>
    <n v="0"/>
    <n v="0"/>
  </r>
  <r>
    <n v="232"/>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Seguimiento  a la implementación de la Política de Participación Social en Salud ( PPSS"/>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Creación y seguiiento de la PPSS vigente según decreto 2063 del 2017 con los actores involucrados en el proceso enfatizando los SAC y SIAU en los 29 municipios del departamento del Magdalena."/>
    <s v="Procesos transversales de la Gestion de la Salud Pública"/>
    <n v="62"/>
    <s v="Número"/>
    <m/>
    <m/>
    <e v="#DIV/0!"/>
    <n v="20"/>
    <m/>
    <n v="0"/>
    <n v="20"/>
    <m/>
    <n v="0"/>
    <n v="20"/>
    <m/>
    <n v="0"/>
    <n v="62"/>
    <n v="0"/>
    <n v="0"/>
  </r>
  <r>
    <n v="233"/>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Seguimiento de la PPSS vigente según decreto 2063 del 2017 con 100% de  los actores involucrados en el proceso enfatizando los SAC y SIAU en los 29 municipios del departamento del Magdalena."/>
    <s v="Procesos transversales de la Gestion de la Salud Pública"/>
    <n v="100"/>
    <s v="Porcentaje"/>
    <m/>
    <m/>
    <e v="#DIV/0!"/>
    <n v="29"/>
    <m/>
    <n v="0"/>
    <m/>
    <m/>
    <e v="#DIV/0!"/>
    <n v="29"/>
    <m/>
    <n v="0"/>
    <n v="100"/>
    <n v="0"/>
    <n v="0"/>
  </r>
  <r>
    <n v="234"/>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Ejercer seguimiento y control  en el 100%, a la conformación  y activación de los mecanismos de participación social en salud (COPACOS, veedurías, comités de ética hospitalaria y consejo territoriales) en los 29 municipios del departamento del Magdalena."/>
    <s v="Procesos transversales de la Gestion de la Salud Pública"/>
    <n v="100"/>
    <s v="Porcentaje"/>
    <m/>
    <m/>
    <e v="#DIV/0!"/>
    <m/>
    <m/>
    <e v="#DIV/0!"/>
    <m/>
    <m/>
    <e v="#DIV/0!"/>
    <m/>
    <m/>
    <e v="#DIV/0!"/>
    <n v="100"/>
    <n v="0"/>
    <n v="0"/>
  </r>
  <r>
    <n v="235"/>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Aplicar, consolidar y hacer análisis de las 400 encuestas de satisfacción aplicada  al usuarios del Departamento del Magdalena y mujeres en estado de embarazo para conocer la calidad en la atención en salud  brindada por las ESE, EPS e IPS,  asimismo, eje"/>
    <s v="Procesos transversales de la Gestion de la Salud Pública"/>
    <n v="400"/>
    <s v="Número"/>
    <n v="1"/>
    <m/>
    <n v="0"/>
    <n v="4"/>
    <m/>
    <n v="0"/>
    <n v="4"/>
    <m/>
    <n v="0"/>
    <n v="5"/>
    <m/>
    <n v="0"/>
    <n v="400"/>
    <n v="0"/>
    <n v="0"/>
  </r>
  <r>
    <n v="236"/>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10-A 2031, reducir a 5 por cada 100.000 menores de 5 años la tasa de mortalidad asociada a desnutrición aguda."/>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Ejercer el seguimiento y dar respuesta a 100 de las PQRD radicadas ante la secretaría seccional de salud, asimismo, realizar acciones de control al cumplimiento del mismo las oficinas SAC y SIAU de los  29 Municipios del Departamento del Magdalena, con ba"/>
    <s v="Procesos transversales de la Gestion de la Salud Pública"/>
    <n v="100"/>
    <s v="Porcentaje"/>
    <n v="62"/>
    <m/>
    <n v="0"/>
    <n v="0"/>
    <m/>
    <e v="#DIV/0!"/>
    <n v="0"/>
    <m/>
    <e v="#DIV/0!"/>
    <n v="0"/>
    <m/>
    <e v="#DIV/0!"/>
    <n v="100"/>
    <n v="0"/>
    <n v="0"/>
  </r>
  <r>
    <n v="237"/>
    <s v="Inseguridad alimentaria y Desnutrición"/>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una  asistencia técnica por subregión, en lo relacionado con las acciones contempladas en la Resolución 2350 de 2020 y 2465 de 2016, en las E.S.E / IPS y EPS                                                                                         "/>
    <s v="Procesos transversales de la Gestion de la Salud Pública"/>
    <n v="4"/>
    <s v="Número"/>
    <n v="25"/>
    <m/>
    <n v="0"/>
    <n v="25"/>
    <m/>
    <n v="0"/>
    <n v="25"/>
    <m/>
    <n v="0"/>
    <n v="25"/>
    <m/>
    <n v="0"/>
    <n v="4"/>
    <n v="0"/>
    <n v="0"/>
  </r>
  <r>
    <n v="238"/>
    <s v="Inseguridad alimentaria y Desnutrición"/>
    <s v="Gobernabilidad y gobernanza de la salud pública"/>
    <s v="i). Gobernabilidad, Gobernanza y Territorialización"/>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visitas de I.V.C , en lo relacionado con las acciones contempladas en la Resolución 2350 de 2020 y 2465 de 2016, en las E.S.E / IPS, Secretarías municipales de salud y EPS, y a las instituciones que presenten mortalidad por DNT en menores de 5 añ"/>
    <s v="Procesos transversales de la Gestion de la Salud Pública"/>
    <n v="29"/>
    <s v="Número"/>
    <n v="25"/>
    <m/>
    <n v="0"/>
    <n v="25"/>
    <m/>
    <n v="0"/>
    <n v="25"/>
    <m/>
    <n v="0"/>
    <n v="25"/>
    <m/>
    <n v="0"/>
    <n v="29"/>
    <n v="0"/>
    <n v="0"/>
  </r>
  <r>
    <n v="239"/>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A 2027, reducir a 52 por 100.000 nacidos vivos la_x000a_razón de mortalidad materna "/>
    <s v="CAMBIO POR LA SALUD"/>
    <s v="CAMBIO EN LA RED PÚBLICA HOSPITALARIA "/>
    <m/>
    <s v="Operativizar el Plan de Desaceleración de la Mortalidad Materna -PARE MM, en las E.S.Es de los 29 Municipios del Departamento del Magdalena"/>
    <s v="Cuidado de la Salud en el Territorio."/>
    <s v="Ejecutar el 80% de las actividades contempladas en las 6 líneas del PARE-MM 2026, aprobado por el MSPS"/>
    <s v="Procesos transversales de la Gestion de la Salud Pública"/>
    <n v="80"/>
    <s v="Porcentaje"/>
    <n v="50"/>
    <m/>
    <n v="0"/>
    <n v="120"/>
    <m/>
    <n v="0"/>
    <n v="260"/>
    <m/>
    <n v="0"/>
    <n v="70"/>
    <m/>
    <n v="0"/>
    <n v="80"/>
    <n v="0"/>
    <n v="0"/>
  </r>
  <r>
    <n v="240"/>
    <s v="Condiciones de vida, estilos de vida saludables y enfermedades crónicas"/>
    <s v="Atención Primaria en Salud"/>
    <s v="i). Gobernabilidad, Gobernanza y Territorialización"/>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 de las Entidades Territoriales del orden departamental, distrital y municipal han desarrollado procesos de ajuste institucional para el fortalecimiento de las capacidades de la autoridad sanitaria y la apropiación territorial del modelo de"/>
    <s v="23-A 2031, el 70% de las mujeres entre 25 y 29 años son tamizadas para cáncer de cuello uterino con citología cervicouterina."/>
    <s v="A 2031 el 80% de las necesidades en salud de la población Colombiana se resuelven en el nivel primario de atención en salud"/>
    <s v="CAMBIO POR LA SALUD"/>
    <s v="CAMBIO EN LA RED PÚBLICA HOSPITALARIA "/>
    <m/>
    <s v="Realizar seguimiento a los indicadores de oportunidad de los procesos de detección temprana de cancer de cancer de cuello uterino en las EAPB e IPS, teniendo en cuenta la Ruta de Promoción y Mantenimiento de la Salud."/>
    <s v="Cuidado de la Salud en el Territorio."/>
    <s v="Realizar seguimiento trimestral a los indicadores de oportunidad de los procesos de detección temprana de cancer de cancer de cuello uterino en las EAPB e IPS, teniendo en cuenta la Ruta de Promoción y Mantenimiento de la Salud."/>
    <s v="Procesos transversales de la Gestion de la Salud Pública"/>
    <n v="4"/>
    <s v="Número"/>
    <n v="25"/>
    <m/>
    <n v="0"/>
    <n v="25"/>
    <m/>
    <n v="0"/>
    <n v="25"/>
    <m/>
    <n v="0"/>
    <n v="25"/>
    <m/>
    <n v="0"/>
    <n v="4"/>
    <n v="0"/>
    <n v="0"/>
  </r>
  <r>
    <n v="241"/>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acciones de I.V para la evaluación de la adherencia a los lineamientos y GPC, para la atención de los eventos de Enfermedades Transmitidas por Vectores -E.T.V, priorizando la red pública"/>
    <s v="Cuidado de la Salud en el Territorio."/>
    <s v="Realizar visitas de I.V a los prestadores de servicios de salud de los 29 municipios del departamento, para la evaluación de la adherencia a los lineamientos y GPC, para la atención de los eventos de Enfermedades Transmitidas por Vectores -E.T.V, prioriza"/>
    <s v="Procesos transversales de la Gestion de la Salud Pública"/>
    <n v="29"/>
    <s v="Número"/>
    <n v="1"/>
    <m/>
    <n v="0"/>
    <n v="1"/>
    <m/>
    <n v="0"/>
    <n v="1"/>
    <m/>
    <n v="0"/>
    <n v="1"/>
    <m/>
    <n v="0"/>
    <n v="29"/>
    <n v="0"/>
    <n v="0"/>
  </r>
  <r>
    <n v="242"/>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visitas para la verificación de disposición de insumos necesarios para la atención de los eventos de Enfermedades Transmitidas por Vectores -E.T.V, priorizando la red pública"/>
    <s v="Cuidado de la Salud en el Territorio."/>
    <s v="Realizar visitas de I.V a los prestadores de servicios de salud de los 29 municipios del departamento, para  la verificación de disposición de insumos necesarios para la atención de los eventos de Enfermedades Transmitidas por Vectores -E.T.V, priorizando"/>
    <s v="Procesos transversales de la Gestion de la Salud Pública"/>
    <n v="29"/>
    <s v="Número"/>
    <n v="7"/>
    <m/>
    <n v="0"/>
    <n v="7"/>
    <m/>
    <n v="0"/>
    <n v="7"/>
    <m/>
    <n v="0"/>
    <n v="8"/>
    <m/>
    <n v="0"/>
    <n v="29"/>
    <n v="0"/>
    <n v="0"/>
  </r>
  <r>
    <n v="243"/>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mínimo el 70% de las visitas de verificación de condiciones de habilitación, contempladas en el Plan anual,  a los prestadores de servicios de salud que operen en el Departamento del Magdalena"/>
    <s v="DESARROLLO INSTITUCIONAL Y SECTORIAL PARA EL EJERCICIO DE LA AUTORIDAD SANITARIA."/>
    <s v="Realizar visitas de verificación de condiciones de habilitación al 70% de entidades contempladas en el Plan anual,  de los prestadores de servicios de salud que operen en el Departamento del Magdalena."/>
    <s v="Procesos transversales de la Gestion de la Salud Pública"/>
    <n v="70"/>
    <s v="Porcentaje"/>
    <n v="20"/>
    <m/>
    <n v="0"/>
    <n v="20"/>
    <m/>
    <n v="0"/>
    <n v="20"/>
    <m/>
    <n v="0"/>
    <n v="20"/>
    <m/>
    <n v="0"/>
    <n v="70"/>
    <n v="0"/>
    <n v="0"/>
  </r>
  <r>
    <n v="244"/>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el 100% de las  visitas de IVC , de acuerdo a las solicitudes recibidas y/o de oficio "/>
    <s v="DESARROLLO INSTITUCIONAL Y SECTORIAL PARA EL EJERCICIO DE LA AUTORIDAD SANITARIA."/>
    <s v="Realizar visitas de IVC , de acuerdo a 100 % de las solicitudes recibidas por entes competentes y/o de oficio, PQR, y demas situaciones que impliquen la vigilancia y control del ente territorial"/>
    <s v="Procesos transversales de la Gestion de la Salud Pública"/>
    <n v="100"/>
    <s v="Porcentaje"/>
    <n v="1"/>
    <m/>
    <n v="0"/>
    <n v="1"/>
    <m/>
    <n v="0"/>
    <n v="1"/>
    <m/>
    <n v="0"/>
    <n v="1"/>
    <m/>
    <n v="0"/>
    <n v="100"/>
    <n v="0"/>
    <n v="0"/>
  </r>
  <r>
    <n v="245"/>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s Técnica a los Prestadores de Servicios de Salud del Departamente en el Sistema Obligatorio de Garantía de Calidad "/>
    <s v="DESARROLLO INSTITUCIONAL Y SECTORIAL PARA EL EJERCICIO DE LA AUTORIDAD SANITARIA."/>
    <s v="Realizar cuatro (4) Asistencias Técnica a los Prestadores de Servicios de Salud del Departamente en el Sistema Obligatorio de Garantía de Calidad "/>
    <s v="Procesos transversales de la Gestion de la Salud Pública"/>
    <n v="4"/>
    <s v="Número"/>
    <n v="7"/>
    <m/>
    <n v="0"/>
    <n v="7"/>
    <m/>
    <n v="0"/>
    <n v="7"/>
    <m/>
    <n v="0"/>
    <n v="8"/>
    <m/>
    <n v="0"/>
    <n v="4"/>
    <n v="0"/>
    <n v="0"/>
  </r>
  <r>
    <n v="246"/>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períodico al reporte y resultados de los indicadores de calidad establecidos en la Resolución 256 de 2016,   al 100% de las  Instituciones Prestadoras de Servicios de Salud y los servicios de transporte especial de pacientes del Depar"/>
    <s v="DESARROLLO INSTITUCIONAL Y SECTORIAL PARA EL EJERCICIO DE LA AUTORIDAD SANITARIA."/>
    <s v="Consolidar y analizar la información de 100% de los Prestadores de Servicios de Salud-IPS y Transporte Asistencial de Pacientes; en lo relacionado con  el reporte y resultados de los indicadores de calidad establecidos en la Resolución 256 de 2016."/>
    <s v="Procesos transversales de la Gestion de la Salud Pública"/>
    <n v="100"/>
    <s v="Porcentaje"/>
    <n v="7"/>
    <m/>
    <n v="0"/>
    <n v="7"/>
    <m/>
    <n v="0"/>
    <n v="7"/>
    <m/>
    <n v="0"/>
    <n v="8"/>
    <m/>
    <n v="0"/>
    <n v="100"/>
    <n v="0"/>
    <n v="0"/>
  </r>
  <r>
    <n v="247"/>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 técnica por subregión para la implementación del Programa de Auditoria para el Mejoramiento de la Calidad en la Atención en Salud -PAMEC, a las Instituciones Prestadoras de Servicios de Salud del Departamento"/>
    <s v="DESARROLLO INSTITUCIONAL Y SECTORIAL PARA EL EJERCICIO DE LA AUTORIDAD SANITARIA."/>
    <s v="Realizar  asistencia técnica por subregión para la implementación del Programa de Auditoria para el Mejoramiento de la Calidad en la Atención en Salud -PAMEC, a las 100% de Instituciones Prestadoras de Servicios de Salud del Departamento"/>
    <s v="Procesos transversales de la Gestion de la Salud Pública"/>
    <n v="100"/>
    <s v="Porcentaje"/>
    <n v="17"/>
    <m/>
    <n v="0"/>
    <n v="17"/>
    <m/>
    <n v="0"/>
    <n v="17"/>
    <m/>
    <n v="0"/>
    <n v="18"/>
    <m/>
    <n v="0"/>
    <n v="100"/>
    <n v="0"/>
    <n v="0"/>
  </r>
  <r>
    <n v="248"/>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a la implementación del Programa de Auditoria para el Mejoramiento de la Calidad en la Atención en Salud PAMEC, mínimo al 80% de los prestadores de servicios de salud de los 29 Municipios del Departamento"/>
    <s v="DESARROLLO INSTITUCIONAL Y SECTORIAL PARA EL EJERCICIO DE LA AUTORIDAD SANITARIA."/>
    <s v="Realizar  seguimiento a la implementación del Programa de Auditoria para el Mejoramiento de la Calidad en la Atención en Salud PAMEC del 80% o más de los prestadores de los 29 Municipios del Departamento"/>
    <s v="Procesos transversales de la Gestion de la Salud Pública"/>
    <n v="80"/>
    <s v="Porcentaje"/>
    <n v="25"/>
    <m/>
    <n v="0"/>
    <n v="25"/>
    <m/>
    <n v="0"/>
    <n v="25"/>
    <m/>
    <n v="0"/>
    <n v="25"/>
    <m/>
    <n v="0"/>
    <n v="80"/>
    <n v="0"/>
    <n v="0"/>
  </r>
  <r>
    <n v="249"/>
    <s v="Prestación y Calidad de servicios"/>
    <s v="Personal de salud"/>
    <s v="Talento Humano en Salud formado para la gestión integral de la salud pública  "/>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la identificación y caracterización del Talento Humano en salud, de la red hospitalaria del Departamento del Magdalena"/>
    <s v="DESARROLLO INSTITUCIONAL Y SECTORIAL PARA EL EJERCICIO DE LA AUTORIDAD SANITARIA."/>
    <s v="Realizar y consolidar el censo del Talento Humano en salud, de cada una de las E.S.Es de la red hospitalaria del departamento del Magdalena"/>
    <s v="Procesos transversales de la Gestion de la Salud Pública"/>
    <n v="100"/>
    <s v="Porcentaje"/>
    <n v="1"/>
    <m/>
    <n v="0"/>
    <n v="1"/>
    <m/>
    <n v="0"/>
    <n v="1"/>
    <m/>
    <n v="0"/>
    <n v="1"/>
    <m/>
    <n v="0"/>
    <n v="100"/>
    <n v="0"/>
    <n v="0"/>
  </r>
  <r>
    <n v="250"/>
    <s v="Prestación y Calidad de servicios"/>
    <s v="Atención Primaria en Salud"/>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Lograr el fortalecimiento de la autoridad sanitaria en los 29 municipios del departamento del Magdalena"/>
    <s v="Cuidado de la Salud en el Territorio."/>
    <s v="Seguimiento al sistema de transporte asistencial de la red publica y privada del Departamento del Magdalena"/>
    <s v="No aplica"/>
    <n v="100"/>
    <s v="Porcentaje"/>
    <n v="25"/>
    <n v="25"/>
    <n v="100"/>
    <n v="25"/>
    <n v="25"/>
    <n v="100"/>
    <n v="25"/>
    <m/>
    <n v="0"/>
    <n v="25"/>
    <m/>
    <n v="0"/>
    <n v="100"/>
    <n v="50"/>
    <n v="100"/>
  </r>
  <r>
    <n v="251"/>
    <s v="tranversal a todos los nu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Dotar y activar equipos de radiocomunicaciones al CRUE y a las 5 IPS de la red pública y activación de la antena repetidora"/>
    <s v="No aplica"/>
    <n v="5"/>
    <s v="Número"/>
    <n v="25"/>
    <n v="25"/>
    <n v="100"/>
    <n v="25"/>
    <n v="12"/>
    <n v="48"/>
    <n v="25"/>
    <m/>
    <n v="0"/>
    <n v="25"/>
    <m/>
    <n v="0"/>
    <n v="5"/>
    <n v="37"/>
    <n v="74"/>
  </r>
  <r>
    <n v="252"/>
    <s v="Transversal a todos los nú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Brindar asistencia tecnica, y seguimiento a la implementación de equipos de radio comunicación"/>
    <s v="No aplica"/>
    <n v="5"/>
    <s v="Número"/>
    <n v="20"/>
    <n v="20"/>
    <n v="100"/>
    <n v="20"/>
    <n v="20"/>
    <n v="100"/>
    <n v="20"/>
    <m/>
    <n v="0"/>
    <n v="20"/>
    <m/>
    <n v="0"/>
    <n v="5"/>
    <n v="40"/>
    <n v="100"/>
  </r>
  <r>
    <n v="25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hospitales y puestos y centro  de salud priorizados en el departamento del Magdalena cumplan con los estándares de infraestructura y dotación de 17 ambulancias del cambio para entornos seguros, funcionales y dignos."/>
    <s v="No aplica"/>
    <n v="17"/>
    <s v="Número"/>
    <n v="25"/>
    <m/>
    <n v="0"/>
    <n v="25"/>
    <m/>
    <n v="0"/>
    <n v="25"/>
    <m/>
    <n v="0"/>
    <n v="25"/>
    <m/>
    <n v="0"/>
    <n v="17"/>
    <n v="0"/>
    <n v="0"/>
  </r>
  <r>
    <n v="25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prestadores públicos de salud priorizados en el departamento del Magdalena, cumplan con los estándares de infraestructura y dotación de hospitales para entornos seguros, funcionales y dignos, adecuaciones menores a "/>
    <s v="No aplica"/>
    <n v="5"/>
    <s v="Número"/>
    <n v="25"/>
    <m/>
    <n v="0"/>
    <n v="25"/>
    <m/>
    <n v="0"/>
    <n v="25"/>
    <m/>
    <n v="0"/>
    <n v="25"/>
    <m/>
    <n v="0"/>
    <n v="5"/>
    <n v="0"/>
    <n v="0"/>
  </r>
  <r>
    <n v="25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de adecuaiones menores a 32  puestos y centro  de salud y seguimiento a 3 puestos de salud priorizados de zona rural, dispersa y urbana en el departamento del Magdalena cumplan con los estándares de infraestructura y dotación de"/>
    <s v="No aplica"/>
    <n v="35"/>
    <s v="Número"/>
    <m/>
    <m/>
    <e v="#DIV/0!"/>
    <m/>
    <m/>
    <e v="#DIV/0!"/>
    <m/>
    <m/>
    <e v="#DIV/0!"/>
    <n v="5"/>
    <m/>
    <n v="0"/>
    <n v="35"/>
    <n v="0"/>
    <n v="0"/>
  </r>
  <r>
    <n v="25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Formular, Coordinar y desarrollar el COAI y PAS de la vigencia 2026 del departamento, relizar monitoreo, seguimiento, control y cargue al portal web del MSPS de manera trimestral, con el equipo integral de la Secretaria de Salud por cada una de las dimens"/>
    <s v="No aplica"/>
    <n v="1"/>
    <s v="Número"/>
    <m/>
    <m/>
    <e v="#DIV/0!"/>
    <m/>
    <m/>
    <e v="#DIV/0!"/>
    <m/>
    <m/>
    <e v="#DIV/0!"/>
    <n v="5"/>
    <m/>
    <n v="0"/>
    <n v="1"/>
    <n v="0"/>
    <n v="0"/>
  </r>
  <r>
    <n v="25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Someter a la aprobaciòn por  el Consejo de Gobierno y la sensibilizacion del CTSS  del COAI y PAS de la vigencia 2026 del departamento,  ejercer los reportes y entrega de la informaciòn del desarrollo y ejecuciòn de los mismos a la Oficina Asesora de Plan"/>
    <s v="No aplica"/>
    <n v="1"/>
    <s v="NUMERO"/>
    <m/>
    <m/>
    <e v="#DIV/0!"/>
    <m/>
    <m/>
    <e v="#DIV/0!"/>
    <m/>
    <m/>
    <e v="#DIV/0!"/>
    <n v="17"/>
    <m/>
    <n v="0"/>
    <n v="1"/>
    <n v="0"/>
    <n v="0"/>
  </r>
  <r>
    <n v="25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desarrollo de capacidades, monitoreo y seguimiento, a los planes de accion Municipales de la vigencia 2026 al 100% de los 29 municpios del departamento por subregiones, por demanda individual y vigilancia y control por municipi"/>
    <s v="No aplica"/>
    <n v="100"/>
    <s v="Porcentaje"/>
    <m/>
    <m/>
    <e v="#DIV/0!"/>
    <m/>
    <m/>
    <e v="#DIV/0!"/>
    <m/>
    <m/>
    <e v="#DIV/0!"/>
    <n v="5"/>
    <m/>
    <n v="0"/>
    <n v="100"/>
    <n v="0"/>
    <n v="0"/>
  </r>
  <r>
    <n v="26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Apoyar el proceso de rendicion de cuentas del sector Salud   Departamental  mediante la operativizacion del 100%  los mecanismos de transparencia en la evaluacion y el control social, por lo menos una vez al año."/>
    <s v="No aplica"/>
    <n v="1"/>
    <s v="Número"/>
    <m/>
    <m/>
    <e v="#DIV/0!"/>
    <m/>
    <m/>
    <e v="#DIV/0!"/>
    <m/>
    <m/>
    <e v="#DIV/0!"/>
    <n v="35"/>
    <m/>
    <n v="0"/>
    <n v="1"/>
    <n v="0"/>
    <n v="0"/>
  </r>
  <r>
    <n v="26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capacidades al talento humano al 100% de las 29 entidades territoriales  responsables de la planificacion en salud; para la construcciòn, formulación, implementación, seguimiento, monitoreo y evaluación de políticas, planes, programas, estrate"/>
    <s v="No aplica"/>
    <n v="100"/>
    <s v="Porcentaje"/>
    <n v="1"/>
    <m/>
    <n v="0"/>
    <m/>
    <m/>
    <e v="#DIV/0!"/>
    <m/>
    <m/>
    <e v="#DIV/0!"/>
    <m/>
    <m/>
    <e v="#DIV/0!"/>
    <n v="100"/>
    <n v="0"/>
    <n v="0"/>
  </r>
  <r>
    <n v="262"/>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el monitoreo, seguimiento, control y evaluacion trimestral a los planes de accion Municipales de la vigencia 2026, incluido al cargue en el portal Web del MSPS al 100% de los 29 municipios del departamento por subregiones, por demanda individual y"/>
    <s v="No aplica"/>
    <n v="4"/>
    <s v="Número"/>
    <n v="1"/>
    <m/>
    <n v="0"/>
    <m/>
    <m/>
    <e v="#DIV/0!"/>
    <m/>
    <m/>
    <e v="#DIV/0!"/>
    <m/>
    <m/>
    <e v="#DIV/0!"/>
    <n v="4"/>
    <n v="0"/>
    <n v="0"/>
  </r>
  <r>
    <n v="26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la vigilancia y el control de la capacidad de gestion de los 5 municpios certificados en salud decreto 780 DE 2016 ART. 5 Y SIGUEIENTES, con base en los lineamientos y la herramienta implementada para su evaluaciòn en la prestacion de los servicio"/>
    <s v="No aplica"/>
    <n v="5"/>
    <s v="Número"/>
    <n v="25"/>
    <m/>
    <n v="0"/>
    <n v="25"/>
    <m/>
    <n v="0"/>
    <n v="25"/>
    <m/>
    <n v="0"/>
    <n v="25"/>
    <m/>
    <n v="0"/>
    <n v="5"/>
    <n v="0"/>
    <n v="0"/>
  </r>
  <r>
    <n v="26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lalizada las repuestas y de manera oportuna a los procesos juridicos, respuestas de las acciones de tutela y los procesos administartativos sansionatorios y de cumplimineto a las visitas de verifcacioón de la red de prestadores dell departame"/>
    <s v="No aplica"/>
    <n v="100"/>
    <s v="Porcentaje"/>
    <m/>
    <m/>
    <e v="#DIV/0!"/>
    <m/>
    <m/>
    <e v="#DIV/0!"/>
    <m/>
    <m/>
    <e v="#DIV/0!"/>
    <n v="1"/>
    <m/>
    <n v="0"/>
    <n v="100"/>
    <n v="0"/>
    <n v="0"/>
  </r>
  <r>
    <n v="26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alizado el flujo, analisis y cargue de los sistemas de informacion para la salud, los RIPS  del 100% de las empresas prestadoras y los informes de  en la prestacion de los servicios de salud a la PPNA del departamento de manera eficiente y op"/>
    <s v="No aplica"/>
    <n v="100"/>
    <s v="Porcentaje"/>
    <n v="25"/>
    <m/>
    <n v="0"/>
    <n v="25"/>
    <m/>
    <n v="0"/>
    <n v="25"/>
    <m/>
    <n v="0"/>
    <n v="25"/>
    <m/>
    <n v="0"/>
    <n v="100"/>
    <n v="0"/>
    <n v="0"/>
  </r>
  <r>
    <n v="26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y Capacitación  del flujo, analisis y cargue de los sistemas de información para la salud, los RIPS  de las empresas prestadoras y los informes de la resolución  202 en la prestación de los servicios de salud a la PPNA del depar"/>
    <s v="No aplica"/>
    <n v="100"/>
    <s v="Porcentaje"/>
    <n v="1"/>
    <m/>
    <n v="0"/>
    <n v="1"/>
    <m/>
    <n v="0"/>
    <n v="1"/>
    <m/>
    <n v="0"/>
    <n v="1"/>
    <m/>
    <n v="0"/>
    <n v="100"/>
    <n v="0"/>
    <n v="0"/>
  </r>
  <r>
    <n v="267"/>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alisis y cargue de los sistemas de informacion para la salud de la circular única, círcular 030 y 2193 en los proceos de inversion de infraestrutura, el plan bienal, Plan de Mantenimienrto, proyectos de"/>
    <s v="No aplica"/>
    <n v="100"/>
    <s v="Porcentaje"/>
    <m/>
    <m/>
    <e v="#DIV/0!"/>
    <m/>
    <m/>
    <e v="#DIV/0!"/>
    <n v="5"/>
    <m/>
    <n v="0"/>
    <m/>
    <m/>
    <e v="#DIV/0!"/>
    <n v="100"/>
    <n v="0"/>
    <n v="0"/>
  </r>
  <r>
    <n v="26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álisis  plan de mantenimiento del departamento de manera eficiente y oportuna a todos los prestadores de los municipios Control dos veces al año."/>
    <s v="No aplica"/>
    <n v="58"/>
    <s v="Número"/>
    <n v="25"/>
    <m/>
    <n v="0"/>
    <n v="25"/>
    <m/>
    <n v="0"/>
    <n v="25"/>
    <m/>
    <n v="0"/>
    <n v="25"/>
    <m/>
    <n v="0"/>
    <n v="58"/>
    <n v="0"/>
    <n v="0"/>
  </r>
  <r>
    <n v="26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al catastro fisico de los municpios y ESE; AT e IVC y formulaciòn, viabiidad y evaluaciòn de proyectos  de infraestructura y dotacion de los 29 municpios semestralmente "/>
    <s v="No aplica"/>
    <n v="58"/>
    <s v="númeo"/>
    <n v="25"/>
    <m/>
    <n v="0"/>
    <n v="25"/>
    <m/>
    <n v="0"/>
    <n v="25"/>
    <m/>
    <n v="0"/>
    <n v="25"/>
    <m/>
    <n v="0"/>
    <n v="58"/>
    <n v="0"/>
    <n v="0"/>
  </r>
  <r>
    <n v="27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100 % de los proyectos presentados por las ESE hospitales de infraestructura y dotacion. Con base en la normatividad vigente"/>
    <s v="No aplica"/>
    <n v="100"/>
    <s v="Porcentaje"/>
    <n v="25"/>
    <m/>
    <n v="0"/>
    <n v="25"/>
    <m/>
    <n v="0"/>
    <n v="25"/>
    <m/>
    <n v="0"/>
    <n v="25"/>
    <m/>
    <n v="0"/>
    <n v="100"/>
    <n v="0"/>
    <n v="0"/>
  </r>
  <r>
    <n v="27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los proyectos presentados por las ESE hospitales de infraestructura y dotacion de 22 Ese con dotación de ambulancias. Con base en la normatividad vigente"/>
    <s v="No aplica"/>
    <n v="22"/>
    <s v="Número"/>
    <n v="25"/>
    <m/>
    <n v="0"/>
    <n v="25"/>
    <m/>
    <n v="0"/>
    <n v="25"/>
    <m/>
    <n v="0"/>
    <n v="25"/>
    <m/>
    <n v="0"/>
    <n v="22"/>
    <n v="0"/>
    <n v="0"/>
  </r>
  <r>
    <n v="27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1 vehiculos 24x7"/>
    <s v="Procesos transversales de la Gestion de la Salud Pública"/>
    <n v="100"/>
    <s v="Porcentaje"/>
    <n v="0"/>
    <n v="25"/>
    <e v="#DIV/0!"/>
    <n v="30"/>
    <n v="30"/>
    <n v="100"/>
    <n v="40"/>
    <m/>
    <n v="0"/>
    <n v="30"/>
    <m/>
    <n v="0"/>
    <n v="100"/>
    <n v="55"/>
    <n v="183.33333333333331"/>
  </r>
  <r>
    <n v="27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inducción y reinducción para todo funcionario que ingrese al equipo PAI, dirigidos al talento humano y demás actores según su competencia, abarcando todos los módulos del PAI."/>
    <s v="Procesos transversales de la Gestion de la Salud Pública"/>
    <n v="1"/>
    <s v="Número"/>
    <n v="1"/>
    <n v="1"/>
    <n v="100"/>
    <n v="1"/>
    <n v="0"/>
    <n v="0"/>
    <n v="29"/>
    <m/>
    <n v="0"/>
    <m/>
    <m/>
    <e v="#DIV/0!"/>
    <n v="1"/>
    <n v="1"/>
    <n v="50"/>
  </r>
  <r>
    <n v="27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Socializar los lineamientos para las jornadas nacionales de_x000a_ vacunación y planes de intensificación emitidos por el nivel nacional"/>
    <s v="Procesos transversales de la Gestion de la Salud Pública"/>
    <n v="4"/>
    <s v="Número"/>
    <n v="1"/>
    <n v="1"/>
    <n v="100"/>
    <n v="1"/>
    <n v="0"/>
    <n v="0"/>
    <n v="1"/>
    <m/>
    <n v="0"/>
    <n v="1"/>
    <m/>
    <n v="0"/>
    <n v="4"/>
    <n v="1"/>
    <n v="50"/>
  </r>
  <r>
    <n v="275"/>
    <s v="La falta de talento humano de planta, la alta rotación de personal contratista, la falta de vehículos, la falta de adherencia a lineamientos programáticos y misionales por parte del talento humano para brindar asistencia técnica a los actores, la compleji"/>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auditoria externa para verificar el cumoplimiento de los requisitos de la norma NTC-ISO/IEC 17025 version vigente y/o criterios ONC"/>
    <s v="Procesos transversales de la Gestion de la Salud Pública"/>
    <n v="1"/>
    <s v="NUMERO"/>
    <n v="0"/>
    <m/>
    <e v="#DIV/0!"/>
    <n v="1"/>
    <m/>
    <n v="0"/>
    <m/>
    <m/>
    <e v="#DIV/0!"/>
    <n v="22"/>
    <m/>
    <n v="0"/>
    <n v="1"/>
    <n v="0"/>
    <n v="0"/>
  </r>
  <r>
    <n v="27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s técnicas en las subregiones del Departamento sobre abordaje a trabajadores de la economia popular y cominitaria Magdalena UTIS Y GOTIS en: Riesgos – peligros, actos y condiciones seguras Incentivar la afiliación al sistema de riesgos "/>
    <s v="Procesos transversales de la Gestion de la Salud Pública"/>
    <n v="29"/>
    <s v="Número"/>
    <n v="3"/>
    <n v="3"/>
    <n v="100"/>
    <n v="4"/>
    <n v="18"/>
    <n v="450"/>
    <n v="11"/>
    <m/>
    <n v="0"/>
    <n v="11"/>
    <m/>
    <n v="0"/>
    <n v="29"/>
    <n v="21"/>
    <n v="300"/>
  </r>
  <r>
    <n v="27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 tecnica y mesas de trabajo con las EAPB, IPS, SSM y ESE de los 29 municipios del departamento en el desarrollo de jornadas de salud y seguimiento a los reportes de accidentes laborales en trabajadores informales"/>
    <s v="Procesos transversales de la Gestion de la Salud Pública"/>
    <n v="29"/>
    <s v="Número"/>
    <n v="3"/>
    <n v="3"/>
    <n v="100"/>
    <n v="4"/>
    <n v="18"/>
    <n v="450"/>
    <n v="11"/>
    <m/>
    <n v="0"/>
    <n v="11"/>
    <m/>
    <n v="0"/>
    <n v="29"/>
    <n v="21"/>
    <n v="300"/>
  </r>
  <r>
    <m/>
    <m/>
    <m/>
    <m/>
    <m/>
    <m/>
    <m/>
    <m/>
    <m/>
    <m/>
    <m/>
    <m/>
    <m/>
    <m/>
    <m/>
    <m/>
    <m/>
    <m/>
    <m/>
    <m/>
    <m/>
    <e v="#DIV/0!"/>
    <m/>
    <m/>
    <e v="#DIV/0!"/>
    <m/>
    <m/>
    <e v="#DIV/0!"/>
    <m/>
    <m/>
    <e v="#DIV/0!"/>
    <n v="0"/>
    <n v="0"/>
    <e v="#DI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5BCEE0-8A3A-48FA-8C1E-35D59AEC5C2B}"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A4" firstHeaderRow="1" firstDataRow="1" firstDataCol="0" rowPageCount="1" colPageCount="1"/>
  <pivotFields count="4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9">
        <item x="9"/>
        <item x="24"/>
        <item x="37"/>
        <item x="28"/>
        <item x="2"/>
        <item x="8"/>
        <item x="23"/>
        <item x="13"/>
        <item x="16"/>
        <item x="17"/>
        <item x="14"/>
        <item x="22"/>
        <item x="12"/>
        <item x="25"/>
        <item x="35"/>
        <item x="36"/>
        <item x="0"/>
        <item x="21"/>
        <item x="30"/>
        <item x="31"/>
        <item x="5"/>
        <item x="34"/>
        <item x="32"/>
        <item x="10"/>
        <item x="27"/>
        <item x="26"/>
        <item x="15"/>
        <item x="4"/>
        <item x="3"/>
        <item x="6"/>
        <item x="7"/>
        <item x="33"/>
        <item x="1"/>
        <item x="29"/>
        <item x="11"/>
        <item x="19"/>
        <item x="18"/>
        <item x="20"/>
        <item t="default"/>
      </items>
    </pivotField>
    <pivotField showAll="0"/>
  </pivotFields>
  <rowItems count="1">
    <i/>
  </rowItems>
  <colItems count="1">
    <i/>
  </colItems>
  <pageFields count="1">
    <pageField fld="45" hier="-1"/>
  </pageFields>
  <dataFields count="1">
    <dataField name="Promedio de % Cumplimiento" fld="3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Graficos" cacheId="4" applyNumberFormats="0" applyBorderFormats="0" applyFontFormats="0" applyPatternFormats="0" applyAlignmentFormats="0" applyWidthHeightFormats="0" dataCaption="" updatedVersion="8" compact="0" compactData="0">
  <location ref="A3:C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Graficos 2" cacheId="4" applyNumberFormats="0" applyBorderFormats="0" applyFontFormats="0" applyPatternFormats="0" applyAlignmentFormats="0" applyWidthHeightFormats="0" dataCaption="" updatedVersion="8" compact="0" compactData="0">
  <location ref="D3:F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Graficos 3" cacheId="4" applyNumberFormats="0" applyBorderFormats="0" applyFontFormats="0" applyPatternFormats="0" applyAlignmentFormats="0" applyWidthHeightFormats="0" dataCaption="" updatedVersion="8" compact="0" compactData="0">
  <location ref="G3:I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Graficos 9" cacheId="4" applyNumberFormats="0" applyBorderFormats="0" applyFontFormats="0" applyPatternFormats="0" applyAlignmentFormats="0" applyWidthHeightFormats="0" dataCaption="" updatedVersion="8" compact="0" compactData="0">
  <location ref="A66:D68" firstHeaderRow="1" firstDataRow="2"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s>
  <rowItems count="1">
    <i/>
  </rowItems>
  <colFields count="1">
    <field x="-2"/>
  </colFields>
  <colItems count="4">
    <i>
      <x/>
    </i>
    <i i="1">
      <x v="1"/>
    </i>
    <i i="2">
      <x v="2"/>
    </i>
    <i i="3">
      <x v="3"/>
    </i>
  </colItems>
  <dataFields count="4">
    <dataField name="SUM of  I trim" fld="39" baseField="0"/>
    <dataField name="SUM of  II Trim" fld="40" baseField="0"/>
    <dataField name="SUM of  III Trim" fld="41" baseField="0"/>
    <dataField name="SUM of  IV Trim" fld="42"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Graficos 6" cacheId="4" applyNumberFormats="0" applyBorderFormats="0" applyFontFormats="0" applyPatternFormats="0" applyAlignmentFormats="0" applyWidthHeightFormats="0" dataCaption="" updatedVersion="8" compact="0" compactData="0">
  <location ref="P3:R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Graficos 5" cacheId="4" applyNumberFormats="0" applyBorderFormats="0" applyFontFormats="0" applyPatternFormats="0" applyAlignmentFormats="0" applyWidthHeightFormats="0" dataCaption="" updatedVersion="8" compact="0" compactData="0">
  <location ref="M3:O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8000000}" name="Graficos 4" cacheId="4" applyNumberFormats="0" applyBorderFormats="0" applyFontFormats="0" applyPatternFormats="0" applyAlignmentFormats="0" applyWidthHeightFormats="0" dataCaption="" updatedVersion="8" compact="0" compactData="0">
  <location ref="J3:L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Graficos 7" cacheId="4" applyNumberFormats="0" applyBorderFormats="0" applyFontFormats="0" applyPatternFormats="0" applyAlignmentFormats="0" applyWidthHeightFormats="0" dataCaption="" updatedVersion="8" compact="0" compactData="0">
  <location ref="S3:U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Graficos 8" cacheId="4" applyNumberFormats="0" applyBorderFormats="0" applyFontFormats="0" applyPatternFormats="0" applyAlignmentFormats="0" applyWidthHeightFormats="0" dataCaption="" updatedVersion="8" compact="0" compactData="0">
  <location ref="B39:F41" firstHeaderRow="1" firstDataRow="2"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rowItems count="1">
    <i/>
  </rowItems>
  <colFields count="1">
    <field x="-2"/>
  </colFields>
  <colItems count="5">
    <i>
      <x/>
    </i>
    <i i="1">
      <x v="1"/>
    </i>
    <i i="2">
      <x v="2"/>
    </i>
    <i i="3">
      <x v="3"/>
    </i>
    <i i="4">
      <x v="4"/>
    </i>
  </colItems>
  <dataFields count="5">
    <dataField name="SUM of  % Cumplimiento I trim" fld="34" baseField="0"/>
    <dataField name="SUM of  % Cumplimiento II Trim" fld="35" baseField="0"/>
    <dataField name="SUM of  % Cumplimiento III Trim" fld="36" baseField="0"/>
    <dataField name="SUM of  % Cumplimiento IV Trimestre" fld="37" baseField="0"/>
    <dataField name="SUM of  % Cumplimiento total" fld="38"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hyperlink" Target="mailto:prestaciondeservicios@magdalena.gov.co" TargetMode="Externa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openxmlformats.org/officeDocument/2006/relationships/drawing" Target="../drawings/drawing4.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Z1000"/>
  <sheetViews>
    <sheetView showGridLines="0" topLeftCell="A29" workbookViewId="0">
      <selection activeCell="A33" sqref="A33"/>
    </sheetView>
  </sheetViews>
  <sheetFormatPr baseColWidth="10" defaultColWidth="14.453125" defaultRowHeight="15" customHeight="1" x14ac:dyDescent="0.35"/>
  <cols>
    <col min="1" max="1" width="113.453125" customWidth="1"/>
    <col min="2" max="2" width="16.7265625" customWidth="1"/>
    <col min="3" max="3" width="51.26953125" customWidth="1"/>
    <col min="4" max="26" width="10.7265625" customWidth="1"/>
  </cols>
  <sheetData>
    <row r="1" spans="1:26" ht="94.5" customHeight="1" x14ac:dyDescent="0.35"/>
    <row r="2" spans="1:26" ht="14.25" customHeight="1" x14ac:dyDescent="0.35">
      <c r="A2" s="1" t="s">
        <v>0</v>
      </c>
    </row>
    <row r="3" spans="1:26" ht="39" customHeight="1" x14ac:dyDescent="0.35">
      <c r="A3" s="2" t="s">
        <v>1</v>
      </c>
    </row>
    <row r="4" spans="1:26" ht="14.25" customHeight="1" x14ac:dyDescent="0.35">
      <c r="A4" s="3" t="s">
        <v>2</v>
      </c>
    </row>
    <row r="5" spans="1:26" ht="14.25" customHeight="1" x14ac:dyDescent="0.35">
      <c r="A5" s="4" t="s">
        <v>3</v>
      </c>
    </row>
    <row r="6" spans="1:26" ht="14.25" customHeight="1" x14ac:dyDescent="0.35">
      <c r="A6" s="4"/>
    </row>
    <row r="7" spans="1:26" ht="14.25" customHeight="1" x14ac:dyDescent="0.35">
      <c r="A7" s="5" t="s">
        <v>4</v>
      </c>
      <c r="B7" s="5" t="s">
        <v>5</v>
      </c>
      <c r="C7" s="6" t="s">
        <v>6</v>
      </c>
    </row>
    <row r="8" spans="1:26" ht="14.25" customHeight="1" x14ac:dyDescent="0.35">
      <c r="A8" s="7" t="s">
        <v>7</v>
      </c>
      <c r="B8" s="8" t="s">
        <v>8</v>
      </c>
      <c r="C8" s="9" t="s">
        <v>9</v>
      </c>
    </row>
    <row r="9" spans="1:26" ht="39" customHeight="1" x14ac:dyDescent="0.35">
      <c r="A9" s="7" t="s">
        <v>10</v>
      </c>
      <c r="B9" s="8" t="s">
        <v>11</v>
      </c>
      <c r="C9" s="10"/>
      <c r="D9" s="11"/>
      <c r="E9" s="11"/>
      <c r="F9" s="11"/>
      <c r="G9" s="11"/>
      <c r="H9" s="11"/>
      <c r="I9" s="11"/>
      <c r="J9" s="11"/>
      <c r="K9" s="11"/>
      <c r="L9" s="11"/>
      <c r="M9" s="11"/>
      <c r="N9" s="11"/>
      <c r="O9" s="11"/>
      <c r="P9" s="11"/>
      <c r="Q9" s="11"/>
      <c r="R9" s="11"/>
      <c r="S9" s="11"/>
      <c r="T9" s="11"/>
      <c r="U9" s="11"/>
      <c r="V9" s="11"/>
      <c r="W9" s="11"/>
      <c r="X9" s="11"/>
      <c r="Y9" s="11"/>
      <c r="Z9" s="11"/>
    </row>
    <row r="10" spans="1:26" ht="39" customHeight="1" x14ac:dyDescent="0.35">
      <c r="A10" s="7" t="s">
        <v>12</v>
      </c>
      <c r="B10" s="8" t="s">
        <v>13</v>
      </c>
      <c r="C10" s="10"/>
      <c r="D10" s="11"/>
      <c r="E10" s="11"/>
      <c r="F10" s="11"/>
      <c r="G10" s="11"/>
      <c r="H10" s="11"/>
      <c r="I10" s="11"/>
      <c r="J10" s="11"/>
      <c r="K10" s="11"/>
      <c r="L10" s="11"/>
      <c r="M10" s="11"/>
      <c r="N10" s="11"/>
      <c r="O10" s="11"/>
      <c r="P10" s="11"/>
      <c r="Q10" s="11"/>
      <c r="R10" s="11"/>
      <c r="S10" s="11"/>
      <c r="T10" s="11"/>
      <c r="U10" s="11"/>
      <c r="V10" s="11"/>
      <c r="W10" s="11"/>
      <c r="X10" s="11"/>
      <c r="Y10" s="11"/>
      <c r="Z10" s="11"/>
    </row>
    <row r="11" spans="1:26" ht="49.5" customHeight="1" x14ac:dyDescent="0.35">
      <c r="A11" s="7" t="s">
        <v>14</v>
      </c>
      <c r="B11" s="8" t="s">
        <v>13</v>
      </c>
      <c r="C11" s="9" t="s">
        <v>15</v>
      </c>
      <c r="D11" s="11"/>
      <c r="E11" s="11"/>
      <c r="F11" s="11"/>
      <c r="G11" s="11"/>
      <c r="H11" s="11"/>
      <c r="I11" s="11"/>
      <c r="J11" s="11"/>
      <c r="K11" s="11"/>
      <c r="L11" s="11"/>
      <c r="M11" s="11"/>
      <c r="N11" s="11"/>
      <c r="O11" s="11"/>
      <c r="P11" s="11"/>
      <c r="Q11" s="11"/>
      <c r="R11" s="11"/>
      <c r="S11" s="11"/>
      <c r="T11" s="11"/>
      <c r="U11" s="11"/>
      <c r="V11" s="11"/>
      <c r="W11" s="11"/>
      <c r="X11" s="11"/>
      <c r="Y11" s="11"/>
      <c r="Z11" s="11"/>
    </row>
    <row r="12" spans="1:26" ht="49.5" customHeight="1" x14ac:dyDescent="0.35">
      <c r="A12" s="8" t="s">
        <v>16</v>
      </c>
      <c r="B12" s="8" t="s">
        <v>13</v>
      </c>
      <c r="C12" s="9" t="s">
        <v>17</v>
      </c>
      <c r="D12" s="11"/>
      <c r="E12" s="11"/>
      <c r="F12" s="11"/>
      <c r="G12" s="11"/>
      <c r="H12" s="11"/>
      <c r="I12" s="11"/>
      <c r="J12" s="11"/>
      <c r="K12" s="11"/>
      <c r="L12" s="11"/>
      <c r="M12" s="11"/>
      <c r="N12" s="11"/>
      <c r="O12" s="11"/>
      <c r="P12" s="11"/>
      <c r="Q12" s="11"/>
      <c r="R12" s="11"/>
      <c r="S12" s="11"/>
      <c r="T12" s="11"/>
      <c r="U12" s="11"/>
      <c r="V12" s="11"/>
      <c r="W12" s="11"/>
      <c r="X12" s="11"/>
      <c r="Y12" s="11"/>
      <c r="Z12" s="11"/>
    </row>
    <row r="13" spans="1:26" ht="49.5" customHeight="1" x14ac:dyDescent="0.35">
      <c r="A13" s="8" t="s">
        <v>18</v>
      </c>
      <c r="B13" s="8" t="s">
        <v>11</v>
      </c>
      <c r="C13" s="10"/>
      <c r="D13" s="11"/>
      <c r="E13" s="11"/>
      <c r="F13" s="11"/>
      <c r="G13" s="11"/>
      <c r="H13" s="11"/>
      <c r="I13" s="11"/>
      <c r="J13" s="11"/>
      <c r="K13" s="11"/>
      <c r="L13" s="11"/>
      <c r="M13" s="11"/>
      <c r="N13" s="11"/>
      <c r="O13" s="11"/>
      <c r="P13" s="11"/>
      <c r="Q13" s="11"/>
      <c r="R13" s="11"/>
      <c r="S13" s="11"/>
      <c r="T13" s="11"/>
      <c r="U13" s="11"/>
      <c r="V13" s="11"/>
      <c r="W13" s="11"/>
      <c r="X13" s="11"/>
      <c r="Y13" s="11"/>
      <c r="Z13" s="11"/>
    </row>
    <row r="14" spans="1:26" ht="49.5" customHeight="1" x14ac:dyDescent="0.35">
      <c r="A14" s="7" t="s">
        <v>19</v>
      </c>
      <c r="B14" s="8" t="s">
        <v>13</v>
      </c>
      <c r="C14" s="10"/>
      <c r="D14" s="11"/>
      <c r="E14" s="11"/>
      <c r="F14" s="11"/>
      <c r="G14" s="11"/>
      <c r="H14" s="11"/>
      <c r="I14" s="11"/>
      <c r="J14" s="11"/>
      <c r="K14" s="11"/>
      <c r="L14" s="11"/>
      <c r="M14" s="11"/>
      <c r="N14" s="11"/>
      <c r="O14" s="11"/>
      <c r="P14" s="11"/>
      <c r="Q14" s="11"/>
      <c r="R14" s="11"/>
      <c r="S14" s="11"/>
      <c r="T14" s="11"/>
      <c r="U14" s="11"/>
      <c r="V14" s="11"/>
      <c r="W14" s="11"/>
      <c r="X14" s="11"/>
      <c r="Y14" s="11"/>
      <c r="Z14" s="11"/>
    </row>
    <row r="15" spans="1:26" ht="49.5" customHeight="1" x14ac:dyDescent="0.35">
      <c r="A15" s="7" t="s">
        <v>20</v>
      </c>
      <c r="B15" s="8" t="s">
        <v>11</v>
      </c>
      <c r="C15" s="10"/>
      <c r="D15" s="11"/>
      <c r="E15" s="11"/>
      <c r="F15" s="11"/>
      <c r="G15" s="11"/>
      <c r="H15" s="11"/>
      <c r="I15" s="11"/>
      <c r="J15" s="11"/>
      <c r="K15" s="11"/>
      <c r="L15" s="11"/>
      <c r="M15" s="11"/>
      <c r="N15" s="11"/>
      <c r="O15" s="11"/>
      <c r="P15" s="11"/>
      <c r="Q15" s="11"/>
      <c r="R15" s="11"/>
      <c r="S15" s="11"/>
      <c r="T15" s="11"/>
      <c r="U15" s="11"/>
      <c r="V15" s="11"/>
      <c r="W15" s="11"/>
      <c r="X15" s="11"/>
      <c r="Y15" s="11"/>
      <c r="Z15" s="11"/>
    </row>
    <row r="16" spans="1:26" ht="49.5" customHeight="1" x14ac:dyDescent="0.35">
      <c r="A16" s="7" t="s">
        <v>21</v>
      </c>
      <c r="B16" s="8" t="s">
        <v>13</v>
      </c>
      <c r="C16" s="10"/>
      <c r="D16" s="11"/>
      <c r="E16" s="11"/>
      <c r="F16" s="11"/>
      <c r="G16" s="11"/>
      <c r="H16" s="11"/>
      <c r="I16" s="11"/>
      <c r="J16" s="11"/>
      <c r="K16" s="11"/>
      <c r="L16" s="11"/>
      <c r="M16" s="11"/>
      <c r="N16" s="11"/>
      <c r="O16" s="11"/>
      <c r="P16" s="11"/>
      <c r="Q16" s="11"/>
      <c r="R16" s="11"/>
      <c r="S16" s="11"/>
      <c r="T16" s="11"/>
      <c r="U16" s="11"/>
      <c r="V16" s="11"/>
      <c r="W16" s="11"/>
      <c r="X16" s="11"/>
      <c r="Y16" s="11"/>
      <c r="Z16" s="11"/>
    </row>
    <row r="17" spans="1:26" ht="49.5" customHeight="1" x14ac:dyDescent="0.35">
      <c r="A17" s="7" t="s">
        <v>22</v>
      </c>
      <c r="B17" s="8" t="s">
        <v>11</v>
      </c>
      <c r="C17" s="10"/>
      <c r="D17" s="11"/>
      <c r="E17" s="11"/>
      <c r="F17" s="11"/>
      <c r="G17" s="11"/>
      <c r="H17" s="11"/>
      <c r="I17" s="11"/>
      <c r="J17" s="11"/>
      <c r="K17" s="11"/>
      <c r="L17" s="11"/>
      <c r="M17" s="11"/>
      <c r="N17" s="11"/>
      <c r="O17" s="11"/>
      <c r="P17" s="11"/>
      <c r="Q17" s="11"/>
      <c r="R17" s="11"/>
      <c r="S17" s="11"/>
      <c r="T17" s="11"/>
      <c r="U17" s="11"/>
      <c r="V17" s="11"/>
      <c r="W17" s="11"/>
      <c r="X17" s="11"/>
      <c r="Y17" s="11"/>
      <c r="Z17" s="11"/>
    </row>
    <row r="18" spans="1:26" ht="49.5" customHeight="1" x14ac:dyDescent="0.35">
      <c r="A18" s="7" t="s">
        <v>23</v>
      </c>
      <c r="B18" s="8" t="s">
        <v>11</v>
      </c>
      <c r="C18" s="10"/>
      <c r="D18" s="11"/>
      <c r="E18" s="11"/>
      <c r="F18" s="11"/>
      <c r="G18" s="11"/>
      <c r="H18" s="11"/>
      <c r="I18" s="11"/>
      <c r="J18" s="11"/>
      <c r="K18" s="11"/>
      <c r="L18" s="11"/>
      <c r="M18" s="11"/>
      <c r="N18" s="11"/>
      <c r="O18" s="11"/>
      <c r="P18" s="11"/>
      <c r="Q18" s="11"/>
      <c r="R18" s="11"/>
      <c r="S18" s="11"/>
      <c r="T18" s="11"/>
      <c r="U18" s="11"/>
      <c r="V18" s="11"/>
      <c r="W18" s="11"/>
      <c r="X18" s="11"/>
      <c r="Y18" s="11"/>
      <c r="Z18" s="11"/>
    </row>
    <row r="19" spans="1:26" ht="49.5" customHeight="1" x14ac:dyDescent="0.35">
      <c r="A19" s="7" t="s">
        <v>24</v>
      </c>
      <c r="B19" s="8" t="s">
        <v>11</v>
      </c>
      <c r="C19" s="10"/>
      <c r="D19" s="11"/>
      <c r="E19" s="11"/>
      <c r="F19" s="11"/>
      <c r="G19" s="11"/>
      <c r="H19" s="11"/>
      <c r="I19" s="11"/>
      <c r="J19" s="11"/>
      <c r="K19" s="11"/>
      <c r="L19" s="11"/>
      <c r="M19" s="11"/>
      <c r="N19" s="11"/>
      <c r="O19" s="11"/>
      <c r="P19" s="11"/>
      <c r="Q19" s="11"/>
      <c r="R19" s="11"/>
      <c r="S19" s="11"/>
      <c r="T19" s="11"/>
      <c r="U19" s="11"/>
      <c r="V19" s="11"/>
      <c r="W19" s="11"/>
      <c r="X19" s="11"/>
      <c r="Y19" s="11"/>
      <c r="Z19" s="11"/>
    </row>
    <row r="20" spans="1:26" ht="49.5" customHeight="1" x14ac:dyDescent="0.35">
      <c r="A20" s="7" t="s">
        <v>25</v>
      </c>
      <c r="B20" s="8" t="s">
        <v>11</v>
      </c>
      <c r="C20" s="10"/>
      <c r="D20" s="11"/>
      <c r="E20" s="11"/>
      <c r="F20" s="11"/>
      <c r="G20" s="11"/>
      <c r="H20" s="11"/>
      <c r="I20" s="11"/>
      <c r="J20" s="11"/>
      <c r="K20" s="11"/>
      <c r="L20" s="11"/>
      <c r="M20" s="11"/>
      <c r="N20" s="11"/>
      <c r="O20" s="11"/>
      <c r="P20" s="11"/>
      <c r="Q20" s="11"/>
      <c r="R20" s="11"/>
      <c r="S20" s="11"/>
      <c r="T20" s="11"/>
      <c r="U20" s="11"/>
      <c r="V20" s="11"/>
      <c r="W20" s="11"/>
      <c r="X20" s="11"/>
      <c r="Y20" s="11"/>
      <c r="Z20" s="11"/>
    </row>
    <row r="21" spans="1:26" ht="49.5" customHeight="1" x14ac:dyDescent="0.35">
      <c r="A21" s="7" t="s">
        <v>26</v>
      </c>
      <c r="B21" s="8" t="s">
        <v>11</v>
      </c>
      <c r="C21" s="10"/>
      <c r="D21" s="11"/>
      <c r="E21" s="11"/>
      <c r="F21" s="11"/>
      <c r="G21" s="11"/>
      <c r="H21" s="11"/>
      <c r="I21" s="11"/>
      <c r="J21" s="11"/>
      <c r="K21" s="11"/>
      <c r="L21" s="11"/>
      <c r="M21" s="11"/>
      <c r="N21" s="11"/>
      <c r="O21" s="11"/>
      <c r="P21" s="11"/>
      <c r="Q21" s="11"/>
      <c r="R21" s="11"/>
      <c r="S21" s="11"/>
      <c r="T21" s="11"/>
      <c r="U21" s="11"/>
      <c r="V21" s="11"/>
      <c r="W21" s="11"/>
      <c r="X21" s="11"/>
      <c r="Y21" s="11"/>
      <c r="Z21" s="11"/>
    </row>
    <row r="22" spans="1:26" ht="39.75" customHeight="1" x14ac:dyDescent="0.35">
      <c r="A22" s="7" t="s">
        <v>27</v>
      </c>
      <c r="B22" s="8" t="s">
        <v>13</v>
      </c>
      <c r="C22" s="12"/>
    </row>
    <row r="23" spans="1:26" ht="37.5" customHeight="1" x14ac:dyDescent="0.35">
      <c r="A23" s="13" t="s">
        <v>28</v>
      </c>
      <c r="B23" s="8" t="s">
        <v>13</v>
      </c>
      <c r="C23" s="12"/>
    </row>
    <row r="24" spans="1:26" ht="87" customHeight="1" x14ac:dyDescent="0.35">
      <c r="A24" s="7" t="s">
        <v>29</v>
      </c>
      <c r="B24" s="8" t="s">
        <v>11</v>
      </c>
      <c r="C24" s="12"/>
    </row>
    <row r="25" spans="1:26" ht="37.5" customHeight="1" x14ac:dyDescent="0.35">
      <c r="A25" s="13" t="s">
        <v>30</v>
      </c>
      <c r="B25" s="8" t="s">
        <v>8</v>
      </c>
      <c r="C25" s="12"/>
    </row>
    <row r="26" spans="1:26" ht="37.5" customHeight="1" x14ac:dyDescent="0.35">
      <c r="A26" s="13" t="s">
        <v>31</v>
      </c>
      <c r="B26" s="8" t="s">
        <v>32</v>
      </c>
      <c r="C26" s="12"/>
    </row>
    <row r="27" spans="1:26" ht="14.25" customHeight="1" x14ac:dyDescent="0.35">
      <c r="A27" s="13" t="s">
        <v>33</v>
      </c>
      <c r="B27" s="14" t="s">
        <v>34</v>
      </c>
      <c r="C27" s="12"/>
    </row>
    <row r="28" spans="1:26" ht="22.5" customHeight="1" x14ac:dyDescent="0.35">
      <c r="A28" s="15" t="s">
        <v>35</v>
      </c>
      <c r="B28" s="14" t="s">
        <v>36</v>
      </c>
      <c r="C28" s="12"/>
    </row>
    <row r="29" spans="1:26" ht="142.5" customHeight="1" x14ac:dyDescent="0.35">
      <c r="A29" s="16" t="s">
        <v>37</v>
      </c>
      <c r="B29" s="14" t="s">
        <v>38</v>
      </c>
      <c r="C29" s="12"/>
    </row>
    <row r="30" spans="1:26" ht="45.5" customHeight="1" x14ac:dyDescent="0.35">
      <c r="A30" s="16" t="s">
        <v>39</v>
      </c>
      <c r="B30" s="8" t="s">
        <v>13</v>
      </c>
      <c r="C30" s="12"/>
    </row>
    <row r="31" spans="1:26" ht="14.25" customHeight="1" x14ac:dyDescent="0.35">
      <c r="A31" s="17" t="s">
        <v>40</v>
      </c>
      <c r="B31" s="8" t="s">
        <v>11</v>
      </c>
      <c r="C31" s="12"/>
    </row>
    <row r="32" spans="1:26" ht="36.75" customHeight="1" x14ac:dyDescent="0.35">
      <c r="A32" s="17" t="s">
        <v>41</v>
      </c>
      <c r="B32" s="8" t="s">
        <v>11</v>
      </c>
      <c r="C32" s="12"/>
    </row>
    <row r="33" spans="1:3" ht="45.75" customHeight="1" x14ac:dyDescent="0.35">
      <c r="A33" s="17" t="s">
        <v>42</v>
      </c>
      <c r="B33" s="8" t="s">
        <v>11</v>
      </c>
      <c r="C33" s="12"/>
    </row>
    <row r="34" spans="1:3" ht="14.25" customHeight="1" x14ac:dyDescent="0.35">
      <c r="A34" s="18"/>
    </row>
    <row r="35" spans="1:3" ht="14.25" customHeight="1" x14ac:dyDescent="0.35">
      <c r="A35" s="18"/>
    </row>
    <row r="36" spans="1:3" ht="14.25" customHeight="1" x14ac:dyDescent="0.35">
      <c r="A36" s="18"/>
    </row>
    <row r="37" spans="1:3" ht="14.25" customHeight="1" x14ac:dyDescent="0.35">
      <c r="A37" s="18"/>
    </row>
    <row r="38" spans="1:3" ht="14.25" customHeight="1" x14ac:dyDescent="0.35">
      <c r="A38" s="18"/>
    </row>
    <row r="39" spans="1:3" ht="14.25" customHeight="1" x14ac:dyDescent="0.35">
      <c r="A39" s="18"/>
    </row>
    <row r="40" spans="1:3" ht="14.25" customHeight="1" x14ac:dyDescent="0.35">
      <c r="A40" s="18"/>
    </row>
    <row r="41" spans="1:3" ht="14.25" customHeight="1" x14ac:dyDescent="0.35">
      <c r="A41" s="18"/>
    </row>
    <row r="42" spans="1:3" ht="14.25" customHeight="1" x14ac:dyDescent="0.35">
      <c r="A42" s="18"/>
    </row>
    <row r="43" spans="1:3" ht="14.25" customHeight="1" x14ac:dyDescent="0.35">
      <c r="A43" s="18"/>
    </row>
    <row r="44" spans="1:3" ht="14.25" customHeight="1" x14ac:dyDescent="0.35">
      <c r="A44" s="18"/>
    </row>
    <row r="45" spans="1:3" ht="14.25" customHeight="1" x14ac:dyDescent="0.35">
      <c r="A45" s="18"/>
    </row>
    <row r="46" spans="1:3" ht="14.25" customHeight="1" x14ac:dyDescent="0.35">
      <c r="A46" s="18"/>
    </row>
    <row r="47" spans="1:3" ht="14.25" customHeight="1" x14ac:dyDescent="0.35">
      <c r="A47" s="18"/>
    </row>
    <row r="48" spans="1:3" ht="14.25" customHeight="1" x14ac:dyDescent="0.35">
      <c r="A48" s="18"/>
    </row>
    <row r="49" spans="1:1" ht="14.25" customHeight="1" x14ac:dyDescent="0.35">
      <c r="A49" s="18"/>
    </row>
    <row r="50" spans="1:1" ht="14.25" customHeight="1" x14ac:dyDescent="0.35">
      <c r="A50" s="18"/>
    </row>
    <row r="51" spans="1:1" ht="14.25" customHeight="1" x14ac:dyDescent="0.35">
      <c r="A51" s="18"/>
    </row>
    <row r="52" spans="1:1" ht="14.25" customHeight="1" x14ac:dyDescent="0.35">
      <c r="A52" s="18"/>
    </row>
    <row r="53" spans="1:1" ht="14.25" customHeight="1" x14ac:dyDescent="0.35">
      <c r="A53" s="18"/>
    </row>
    <row r="54" spans="1:1" ht="14.25" customHeight="1" x14ac:dyDescent="0.35">
      <c r="A54" s="18"/>
    </row>
    <row r="55" spans="1:1" ht="14.25" customHeight="1" x14ac:dyDescent="0.35">
      <c r="A55" s="18"/>
    </row>
    <row r="56" spans="1:1" ht="14.25" customHeight="1" x14ac:dyDescent="0.35">
      <c r="A56" s="18"/>
    </row>
    <row r="57" spans="1:1" ht="14.25" customHeight="1" x14ac:dyDescent="0.35">
      <c r="A57" s="18"/>
    </row>
    <row r="58" spans="1:1" ht="14.25" customHeight="1" x14ac:dyDescent="0.35">
      <c r="A58" s="18"/>
    </row>
    <row r="59" spans="1:1" ht="14.25" customHeight="1" x14ac:dyDescent="0.35">
      <c r="A59" s="18"/>
    </row>
    <row r="60" spans="1:1" ht="14.25" customHeight="1" x14ac:dyDescent="0.35">
      <c r="A60" s="18"/>
    </row>
    <row r="61" spans="1:1" ht="14.25" customHeight="1" x14ac:dyDescent="0.35">
      <c r="A61" s="18"/>
    </row>
    <row r="62" spans="1:1" ht="14.25" customHeight="1" x14ac:dyDescent="0.35">
      <c r="A62" s="18"/>
    </row>
    <row r="63" spans="1:1" ht="14.25" customHeight="1" x14ac:dyDescent="0.35">
      <c r="A63" s="18"/>
    </row>
    <row r="64" spans="1:1" ht="14.25" customHeight="1" x14ac:dyDescent="0.35">
      <c r="A64" s="18"/>
    </row>
    <row r="65" spans="1:1" ht="14.25" customHeight="1" x14ac:dyDescent="0.35">
      <c r="A65" s="18"/>
    </row>
    <row r="66" spans="1:1" ht="14.25" customHeight="1" x14ac:dyDescent="0.35">
      <c r="A66" s="18"/>
    </row>
    <row r="67" spans="1:1" ht="14.25" customHeight="1" x14ac:dyDescent="0.35">
      <c r="A67" s="18"/>
    </row>
    <row r="68" spans="1:1" ht="14.25" customHeight="1" x14ac:dyDescent="0.35">
      <c r="A68" s="18"/>
    </row>
    <row r="69" spans="1:1" ht="14.25" customHeight="1" x14ac:dyDescent="0.35">
      <c r="A69" s="18"/>
    </row>
    <row r="70" spans="1:1" ht="14.25" customHeight="1" x14ac:dyDescent="0.35">
      <c r="A70" s="18"/>
    </row>
    <row r="71" spans="1:1" ht="14.25" customHeight="1" x14ac:dyDescent="0.35">
      <c r="A71" s="18"/>
    </row>
    <row r="72" spans="1:1" ht="14.25" customHeight="1" x14ac:dyDescent="0.35">
      <c r="A72" s="18"/>
    </row>
    <row r="73" spans="1:1" ht="14.25" customHeight="1" x14ac:dyDescent="0.35">
      <c r="A73" s="18"/>
    </row>
    <row r="74" spans="1:1" ht="14.25" customHeight="1" x14ac:dyDescent="0.35">
      <c r="A74" s="18"/>
    </row>
    <row r="75" spans="1:1" ht="14.25" customHeight="1" x14ac:dyDescent="0.35">
      <c r="A75" s="18"/>
    </row>
    <row r="76" spans="1:1" ht="14.25" customHeight="1" x14ac:dyDescent="0.35">
      <c r="A76" s="18"/>
    </row>
    <row r="77" spans="1:1" ht="14.25" customHeight="1" x14ac:dyDescent="0.35">
      <c r="A77" s="18"/>
    </row>
    <row r="78" spans="1:1" ht="14.25" customHeight="1" x14ac:dyDescent="0.35">
      <c r="A78" s="18"/>
    </row>
    <row r="79" spans="1:1" ht="14.25" customHeight="1" x14ac:dyDescent="0.35">
      <c r="A79" s="18"/>
    </row>
    <row r="80" spans="1:1" ht="14.25" customHeight="1" x14ac:dyDescent="0.35">
      <c r="A80" s="18"/>
    </row>
    <row r="81" spans="1:1" ht="14.25" customHeight="1" x14ac:dyDescent="0.35">
      <c r="A81" s="18"/>
    </row>
    <row r="82" spans="1:1" ht="14.25" customHeight="1" x14ac:dyDescent="0.35">
      <c r="A82" s="18"/>
    </row>
    <row r="83" spans="1:1" ht="14.25" customHeight="1" x14ac:dyDescent="0.35">
      <c r="A83" s="18"/>
    </row>
    <row r="84" spans="1:1" ht="14.25" customHeight="1" x14ac:dyDescent="0.35">
      <c r="A84" s="18"/>
    </row>
    <row r="85" spans="1:1" ht="14.25" customHeight="1" x14ac:dyDescent="0.35">
      <c r="A85" s="18"/>
    </row>
    <row r="86" spans="1:1" ht="14.25" customHeight="1" x14ac:dyDescent="0.35">
      <c r="A86" s="18"/>
    </row>
    <row r="87" spans="1:1" ht="14.25" customHeight="1" x14ac:dyDescent="0.35">
      <c r="A87" s="18"/>
    </row>
    <row r="88" spans="1:1" ht="14.25" customHeight="1" x14ac:dyDescent="0.35">
      <c r="A88" s="18"/>
    </row>
    <row r="89" spans="1:1" ht="14.25" customHeight="1" x14ac:dyDescent="0.35">
      <c r="A89" s="18"/>
    </row>
    <row r="90" spans="1:1" ht="14.25" customHeight="1" x14ac:dyDescent="0.35">
      <c r="A90" s="18"/>
    </row>
    <row r="91" spans="1:1" ht="14.25" customHeight="1" x14ac:dyDescent="0.35">
      <c r="A91" s="18"/>
    </row>
    <row r="92" spans="1:1" ht="14.25" customHeight="1" x14ac:dyDescent="0.35">
      <c r="A92" s="18"/>
    </row>
    <row r="93" spans="1:1" ht="14.25" customHeight="1" x14ac:dyDescent="0.35">
      <c r="A93" s="18"/>
    </row>
    <row r="94" spans="1:1" ht="14.25" customHeight="1" x14ac:dyDescent="0.35">
      <c r="A94" s="18"/>
    </row>
    <row r="95" spans="1:1" ht="14.25" customHeight="1" x14ac:dyDescent="0.35">
      <c r="A95" s="18"/>
    </row>
    <row r="96" spans="1:1" ht="14.25" customHeight="1" x14ac:dyDescent="0.35">
      <c r="A96" s="18"/>
    </row>
    <row r="97" spans="1:1" ht="14.25" customHeight="1" x14ac:dyDescent="0.35">
      <c r="A97" s="18"/>
    </row>
    <row r="98" spans="1:1" ht="14.25" customHeight="1" x14ac:dyDescent="0.35">
      <c r="A98" s="18"/>
    </row>
    <row r="99" spans="1:1" ht="14.25" customHeight="1" x14ac:dyDescent="0.35">
      <c r="A99" s="18"/>
    </row>
    <row r="100" spans="1:1" ht="14.25" customHeight="1" x14ac:dyDescent="0.35">
      <c r="A100" s="18"/>
    </row>
    <row r="101" spans="1:1" ht="14.25" customHeight="1" x14ac:dyDescent="0.35">
      <c r="A101" s="18"/>
    </row>
    <row r="102" spans="1:1" ht="14.25" customHeight="1" x14ac:dyDescent="0.35">
      <c r="A102" s="18"/>
    </row>
    <row r="103" spans="1:1" ht="14.25" customHeight="1" x14ac:dyDescent="0.35">
      <c r="A103" s="18"/>
    </row>
    <row r="104" spans="1:1" ht="14.25" customHeight="1" x14ac:dyDescent="0.35">
      <c r="A104" s="18"/>
    </row>
    <row r="105" spans="1:1" ht="14.25" customHeight="1" x14ac:dyDescent="0.35">
      <c r="A105" s="18"/>
    </row>
    <row r="106" spans="1:1" ht="14.25" customHeight="1" x14ac:dyDescent="0.35">
      <c r="A106" s="18"/>
    </row>
    <row r="107" spans="1:1" ht="14.25" customHeight="1" x14ac:dyDescent="0.35">
      <c r="A107" s="18"/>
    </row>
    <row r="108" spans="1:1" ht="14.25" customHeight="1" x14ac:dyDescent="0.35">
      <c r="A108" s="18"/>
    </row>
    <row r="109" spans="1:1" ht="14.25" customHeight="1" x14ac:dyDescent="0.35">
      <c r="A109" s="18"/>
    </row>
    <row r="110" spans="1:1" ht="14.25" customHeight="1" x14ac:dyDescent="0.35">
      <c r="A110" s="18"/>
    </row>
    <row r="111" spans="1:1" ht="14.25" customHeight="1" x14ac:dyDescent="0.35">
      <c r="A111" s="18"/>
    </row>
    <row r="112" spans="1:1" ht="14.25" customHeight="1" x14ac:dyDescent="0.35">
      <c r="A112" s="18"/>
    </row>
    <row r="113" spans="1:1" ht="14.25" customHeight="1" x14ac:dyDescent="0.35">
      <c r="A113" s="18"/>
    </row>
    <row r="114" spans="1:1" ht="14.25" customHeight="1" x14ac:dyDescent="0.35">
      <c r="A114" s="18"/>
    </row>
    <row r="115" spans="1:1" ht="14.25" customHeight="1" x14ac:dyDescent="0.35">
      <c r="A115" s="18"/>
    </row>
    <row r="116" spans="1:1" ht="14.25" customHeight="1" x14ac:dyDescent="0.35">
      <c r="A116" s="18"/>
    </row>
    <row r="117" spans="1:1" ht="14.25" customHeight="1" x14ac:dyDescent="0.35">
      <c r="A117" s="18"/>
    </row>
    <row r="118" spans="1:1" ht="14.25" customHeight="1" x14ac:dyDescent="0.35">
      <c r="A118" s="18"/>
    </row>
    <row r="119" spans="1:1" ht="14.25" customHeight="1" x14ac:dyDescent="0.35">
      <c r="A119" s="18"/>
    </row>
    <row r="120" spans="1:1" ht="14.25" customHeight="1" x14ac:dyDescent="0.35">
      <c r="A120" s="18"/>
    </row>
    <row r="121" spans="1:1" ht="14.25" customHeight="1" x14ac:dyDescent="0.35">
      <c r="A121" s="18"/>
    </row>
    <row r="122" spans="1:1" ht="14.25" customHeight="1" x14ac:dyDescent="0.35">
      <c r="A122" s="18"/>
    </row>
    <row r="123" spans="1:1" ht="14.25" customHeight="1" x14ac:dyDescent="0.35">
      <c r="A123" s="18"/>
    </row>
    <row r="124" spans="1:1" ht="14.25" customHeight="1" x14ac:dyDescent="0.35">
      <c r="A124" s="18"/>
    </row>
    <row r="125" spans="1:1" ht="14.25" customHeight="1" x14ac:dyDescent="0.35">
      <c r="A125" s="18"/>
    </row>
    <row r="126" spans="1:1" ht="14.25" customHeight="1" x14ac:dyDescent="0.35">
      <c r="A126" s="18"/>
    </row>
    <row r="127" spans="1:1" ht="14.25" customHeight="1" x14ac:dyDescent="0.35">
      <c r="A127" s="18"/>
    </row>
    <row r="128" spans="1:1" ht="14.25" customHeight="1" x14ac:dyDescent="0.35">
      <c r="A128" s="18"/>
    </row>
    <row r="129" spans="1:1" ht="14.25" customHeight="1" x14ac:dyDescent="0.35">
      <c r="A129" s="18"/>
    </row>
    <row r="130" spans="1:1" ht="14.25" customHeight="1" x14ac:dyDescent="0.35">
      <c r="A130" s="18"/>
    </row>
    <row r="131" spans="1:1" ht="14.25" customHeight="1" x14ac:dyDescent="0.35">
      <c r="A131" s="18"/>
    </row>
    <row r="132" spans="1:1" ht="14.25" customHeight="1" x14ac:dyDescent="0.35">
      <c r="A132" s="18"/>
    </row>
    <row r="133" spans="1:1" ht="14.25" customHeight="1" x14ac:dyDescent="0.35">
      <c r="A133" s="18"/>
    </row>
    <row r="134" spans="1:1" ht="14.25" customHeight="1" x14ac:dyDescent="0.35">
      <c r="A134" s="18"/>
    </row>
    <row r="135" spans="1:1" ht="14.25" customHeight="1" x14ac:dyDescent="0.35">
      <c r="A135" s="18"/>
    </row>
    <row r="136" spans="1:1" ht="14.25" customHeight="1" x14ac:dyDescent="0.35">
      <c r="A136" s="18"/>
    </row>
    <row r="137" spans="1:1" ht="14.25" customHeight="1" x14ac:dyDescent="0.35">
      <c r="A137" s="18"/>
    </row>
    <row r="138" spans="1:1" ht="14.25" customHeight="1" x14ac:dyDescent="0.35">
      <c r="A138" s="18"/>
    </row>
    <row r="139" spans="1:1" ht="14.25" customHeight="1" x14ac:dyDescent="0.35">
      <c r="A139" s="18"/>
    </row>
    <row r="140" spans="1:1" ht="14.25" customHeight="1" x14ac:dyDescent="0.35">
      <c r="A140" s="18"/>
    </row>
    <row r="141" spans="1:1" ht="14.25" customHeight="1" x14ac:dyDescent="0.35">
      <c r="A141" s="18"/>
    </row>
    <row r="142" spans="1:1" ht="14.25" customHeight="1" x14ac:dyDescent="0.35">
      <c r="A142" s="18"/>
    </row>
    <row r="143" spans="1:1" ht="14.25" customHeight="1" x14ac:dyDescent="0.35">
      <c r="A143" s="18"/>
    </row>
    <row r="144" spans="1:1" ht="14.25" customHeight="1" x14ac:dyDescent="0.35">
      <c r="A144" s="18"/>
    </row>
    <row r="145" spans="1:1" ht="14.25" customHeight="1" x14ac:dyDescent="0.35">
      <c r="A145" s="18"/>
    </row>
    <row r="146" spans="1:1" ht="14.25" customHeight="1" x14ac:dyDescent="0.35">
      <c r="A146" s="18"/>
    </row>
    <row r="147" spans="1:1" ht="14.25" customHeight="1" x14ac:dyDescent="0.35">
      <c r="A147" s="18"/>
    </row>
    <row r="148" spans="1:1" ht="14.25" customHeight="1" x14ac:dyDescent="0.35">
      <c r="A148" s="18"/>
    </row>
    <row r="149" spans="1:1" ht="14.25" customHeight="1" x14ac:dyDescent="0.35">
      <c r="A149" s="18"/>
    </row>
    <row r="150" spans="1:1" ht="14.25" customHeight="1" x14ac:dyDescent="0.35">
      <c r="A150" s="18"/>
    </row>
    <row r="151" spans="1:1" ht="14.25" customHeight="1" x14ac:dyDescent="0.35">
      <c r="A151" s="18"/>
    </row>
    <row r="152" spans="1:1" ht="14.25" customHeight="1" x14ac:dyDescent="0.35">
      <c r="A152" s="18"/>
    </row>
    <row r="153" spans="1:1" ht="14.25" customHeight="1" x14ac:dyDescent="0.35">
      <c r="A153" s="18"/>
    </row>
    <row r="154" spans="1:1" ht="14.25" customHeight="1" x14ac:dyDescent="0.35">
      <c r="A154" s="18"/>
    </row>
    <row r="155" spans="1:1" ht="14.25" customHeight="1" x14ac:dyDescent="0.35">
      <c r="A155" s="18"/>
    </row>
    <row r="156" spans="1:1" ht="14.25" customHeight="1" x14ac:dyDescent="0.35">
      <c r="A156" s="18"/>
    </row>
    <row r="157" spans="1:1" ht="14.25" customHeight="1" x14ac:dyDescent="0.35">
      <c r="A157" s="18"/>
    </row>
    <row r="158" spans="1:1" ht="14.25" customHeight="1" x14ac:dyDescent="0.35">
      <c r="A158" s="18"/>
    </row>
    <row r="159" spans="1:1" ht="14.25" customHeight="1" x14ac:dyDescent="0.35">
      <c r="A159" s="18"/>
    </row>
    <row r="160" spans="1:1" ht="14.25" customHeight="1" x14ac:dyDescent="0.35">
      <c r="A160" s="18"/>
    </row>
    <row r="161" spans="1:1" ht="14.25" customHeight="1" x14ac:dyDescent="0.35">
      <c r="A161" s="18"/>
    </row>
    <row r="162" spans="1:1" ht="14.25" customHeight="1" x14ac:dyDescent="0.35">
      <c r="A162" s="18"/>
    </row>
    <row r="163" spans="1:1" ht="14.25" customHeight="1" x14ac:dyDescent="0.35">
      <c r="A163" s="18"/>
    </row>
    <row r="164" spans="1:1" ht="14.25" customHeight="1" x14ac:dyDescent="0.35">
      <c r="A164" s="18"/>
    </row>
    <row r="165" spans="1:1" ht="14.25" customHeight="1" x14ac:dyDescent="0.35">
      <c r="A165" s="18"/>
    </row>
    <row r="166" spans="1:1" ht="14.25" customHeight="1" x14ac:dyDescent="0.35">
      <c r="A166" s="18"/>
    </row>
    <row r="167" spans="1:1" ht="14.25" customHeight="1" x14ac:dyDescent="0.35">
      <c r="A167" s="18"/>
    </row>
    <row r="168" spans="1:1" ht="14.25" customHeight="1" x14ac:dyDescent="0.35">
      <c r="A168" s="18"/>
    </row>
    <row r="169" spans="1:1" ht="14.25" customHeight="1" x14ac:dyDescent="0.35">
      <c r="A169" s="18"/>
    </row>
    <row r="170" spans="1:1" ht="14.25" customHeight="1" x14ac:dyDescent="0.35">
      <c r="A170" s="18"/>
    </row>
    <row r="171" spans="1:1" ht="14.25" customHeight="1" x14ac:dyDescent="0.35">
      <c r="A171" s="18"/>
    </row>
    <row r="172" spans="1:1" ht="14.25" customHeight="1" x14ac:dyDescent="0.35">
      <c r="A172" s="18"/>
    </row>
    <row r="173" spans="1:1" ht="14.25" customHeight="1" x14ac:dyDescent="0.35">
      <c r="A173" s="18"/>
    </row>
    <row r="174" spans="1:1" ht="14.25" customHeight="1" x14ac:dyDescent="0.35">
      <c r="A174" s="18"/>
    </row>
    <row r="175" spans="1:1" ht="14.25" customHeight="1" x14ac:dyDescent="0.35">
      <c r="A175" s="18"/>
    </row>
    <row r="176" spans="1:1" ht="14.25" customHeight="1" x14ac:dyDescent="0.35">
      <c r="A176" s="18"/>
    </row>
    <row r="177" spans="1:1" ht="14.25" customHeight="1" x14ac:dyDescent="0.35">
      <c r="A177" s="18"/>
    </row>
    <row r="178" spans="1:1" ht="14.25" customHeight="1" x14ac:dyDescent="0.35">
      <c r="A178" s="18"/>
    </row>
    <row r="179" spans="1:1" ht="14.25" customHeight="1" x14ac:dyDescent="0.35">
      <c r="A179" s="18"/>
    </row>
    <row r="180" spans="1:1" ht="14.25" customHeight="1" x14ac:dyDescent="0.35">
      <c r="A180" s="18"/>
    </row>
    <row r="181" spans="1:1" ht="14.25" customHeight="1" x14ac:dyDescent="0.35">
      <c r="A181" s="18"/>
    </row>
    <row r="182" spans="1:1" ht="14.25" customHeight="1" x14ac:dyDescent="0.35">
      <c r="A182" s="18"/>
    </row>
    <row r="183" spans="1:1" ht="14.25" customHeight="1" x14ac:dyDescent="0.35">
      <c r="A183" s="18"/>
    </row>
    <row r="184" spans="1:1" ht="14.25" customHeight="1" x14ac:dyDescent="0.35">
      <c r="A184" s="18"/>
    </row>
    <row r="185" spans="1:1" ht="14.25" customHeight="1" x14ac:dyDescent="0.35">
      <c r="A185" s="18"/>
    </row>
    <row r="186" spans="1:1" ht="14.25" customHeight="1" x14ac:dyDescent="0.35">
      <c r="A186" s="18"/>
    </row>
    <row r="187" spans="1:1" ht="14.25" customHeight="1" x14ac:dyDescent="0.35">
      <c r="A187" s="18"/>
    </row>
    <row r="188" spans="1:1" ht="14.25" customHeight="1" x14ac:dyDescent="0.35">
      <c r="A188" s="18"/>
    </row>
    <row r="189" spans="1:1" ht="14.25" customHeight="1" x14ac:dyDescent="0.35">
      <c r="A189" s="18"/>
    </row>
    <row r="190" spans="1:1" ht="14.25" customHeight="1" x14ac:dyDescent="0.35">
      <c r="A190" s="18"/>
    </row>
    <row r="191" spans="1:1" ht="14.25" customHeight="1" x14ac:dyDescent="0.35">
      <c r="A191" s="18"/>
    </row>
    <row r="192" spans="1:1"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 right="0" top="0" bottom="0" header="0" footer="0"/>
  <pageSetup paperSize="9" scale="70"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Z1000"/>
  <sheetViews>
    <sheetView topLeftCell="A10" workbookViewId="0"/>
  </sheetViews>
  <sheetFormatPr baseColWidth="10" defaultColWidth="14.453125" defaultRowHeight="15" customHeight="1" x14ac:dyDescent="0.35"/>
  <cols>
    <col min="1" max="1" width="50.81640625" customWidth="1"/>
    <col min="2" max="2" width="67.81640625" customWidth="1"/>
    <col min="3" max="4" width="13.7265625" customWidth="1"/>
    <col min="5" max="5" width="14.1796875" customWidth="1"/>
    <col min="6" max="6" width="13.7265625" customWidth="1"/>
    <col min="7" max="26" width="11.453125" customWidth="1"/>
  </cols>
  <sheetData>
    <row r="1" spans="1:26" ht="14.2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4.25" customHeight="1" x14ac:dyDescent="0.35">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4.25" customHeight="1" x14ac:dyDescent="0.35">
      <c r="A3" s="19"/>
      <c r="B3" s="19"/>
      <c r="C3" s="19"/>
      <c r="D3" s="19"/>
      <c r="E3" s="19"/>
      <c r="F3" s="19"/>
      <c r="G3" s="19"/>
      <c r="H3" s="19"/>
      <c r="I3" s="19"/>
      <c r="J3" s="19"/>
      <c r="K3" s="19"/>
      <c r="L3" s="19"/>
      <c r="M3" s="19"/>
      <c r="N3" s="19"/>
      <c r="O3" s="19"/>
      <c r="P3" s="19"/>
      <c r="Q3" s="19"/>
      <c r="R3" s="19"/>
      <c r="S3" s="19"/>
      <c r="T3" s="19"/>
      <c r="U3" s="19"/>
      <c r="V3" s="19"/>
      <c r="W3" s="19"/>
      <c r="X3" s="19"/>
      <c r="Y3" s="19"/>
      <c r="Z3" s="19"/>
    </row>
    <row r="4" spans="1:26" ht="14.25" customHeight="1" x14ac:dyDescent="0.35">
      <c r="A4" s="19"/>
      <c r="B4" s="20"/>
      <c r="C4" s="19"/>
      <c r="D4" s="19"/>
      <c r="E4" s="19"/>
      <c r="F4" s="19"/>
      <c r="G4" s="19"/>
      <c r="H4" s="19"/>
      <c r="I4" s="19"/>
      <c r="J4" s="19"/>
      <c r="K4" s="19"/>
      <c r="L4" s="19"/>
      <c r="M4" s="19"/>
      <c r="N4" s="19"/>
      <c r="O4" s="19"/>
      <c r="P4" s="19"/>
      <c r="Q4" s="19"/>
      <c r="R4" s="19"/>
      <c r="S4" s="19"/>
      <c r="T4" s="19"/>
      <c r="U4" s="19"/>
      <c r="V4" s="19"/>
      <c r="W4" s="19"/>
      <c r="X4" s="19"/>
      <c r="Y4" s="19"/>
      <c r="Z4" s="19"/>
    </row>
    <row r="5" spans="1:26" ht="14.25" customHeight="1" x14ac:dyDescent="0.35">
      <c r="A5" s="19"/>
      <c r="B5" s="19"/>
      <c r="C5" s="19"/>
      <c r="D5" s="19"/>
      <c r="E5" s="19"/>
      <c r="F5" s="19"/>
      <c r="G5" s="19"/>
      <c r="H5" s="19"/>
      <c r="I5" s="19"/>
      <c r="J5" s="19"/>
      <c r="K5" s="19"/>
      <c r="L5" s="19"/>
      <c r="M5" s="19"/>
      <c r="N5" s="19"/>
      <c r="O5" s="19"/>
      <c r="P5" s="19"/>
      <c r="Q5" s="19"/>
      <c r="R5" s="19"/>
      <c r="S5" s="19"/>
      <c r="T5" s="19"/>
      <c r="U5" s="19"/>
      <c r="V5" s="19"/>
      <c r="W5" s="19"/>
      <c r="X5" s="19"/>
      <c r="Y5" s="19"/>
      <c r="Z5" s="19"/>
    </row>
    <row r="6" spans="1:26" ht="14.25" customHeight="1" x14ac:dyDescent="0.35">
      <c r="A6" s="19"/>
      <c r="B6" s="19"/>
      <c r="C6" s="19"/>
      <c r="D6" s="19"/>
      <c r="E6" s="19"/>
      <c r="F6" s="19"/>
      <c r="G6" s="19"/>
      <c r="H6" s="19"/>
      <c r="I6" s="19"/>
      <c r="J6" s="19"/>
      <c r="K6" s="19"/>
      <c r="L6" s="19"/>
      <c r="M6" s="19"/>
      <c r="N6" s="19"/>
      <c r="O6" s="19"/>
      <c r="P6" s="19"/>
      <c r="Q6" s="19"/>
      <c r="R6" s="19"/>
      <c r="S6" s="19"/>
      <c r="T6" s="19"/>
      <c r="U6" s="19"/>
      <c r="V6" s="19"/>
      <c r="W6" s="19"/>
      <c r="X6" s="19"/>
      <c r="Y6" s="19"/>
      <c r="Z6" s="19"/>
    </row>
    <row r="7" spans="1:26" ht="14.25" customHeight="1" x14ac:dyDescent="0.35">
      <c r="A7" s="19"/>
      <c r="B7" s="19"/>
      <c r="C7" s="19"/>
      <c r="D7" s="19"/>
      <c r="E7" s="19"/>
      <c r="F7" s="19"/>
      <c r="G7" s="19"/>
      <c r="H7" s="19"/>
      <c r="I7" s="19"/>
      <c r="J7" s="19"/>
      <c r="K7" s="19"/>
      <c r="L7" s="19"/>
      <c r="M7" s="19"/>
      <c r="N7" s="19"/>
      <c r="O7" s="19"/>
      <c r="P7" s="19"/>
      <c r="Q7" s="19"/>
      <c r="R7" s="19"/>
      <c r="S7" s="19"/>
      <c r="T7" s="19"/>
      <c r="U7" s="19"/>
      <c r="V7" s="19"/>
      <c r="W7" s="19"/>
      <c r="X7" s="19"/>
      <c r="Y7" s="19"/>
      <c r="Z7" s="19"/>
    </row>
    <row r="8" spans="1:26" ht="14.25" customHeight="1" x14ac:dyDescent="0.35">
      <c r="A8" s="19"/>
      <c r="B8" s="19"/>
      <c r="C8" s="19"/>
      <c r="D8" s="19"/>
      <c r="E8" s="19"/>
      <c r="F8" s="19"/>
      <c r="G8" s="19"/>
      <c r="H8" s="19"/>
      <c r="I8" s="19"/>
      <c r="J8" s="19"/>
      <c r="K8" s="19"/>
      <c r="L8" s="19"/>
      <c r="M8" s="19"/>
      <c r="N8" s="19"/>
      <c r="O8" s="19"/>
      <c r="P8" s="19"/>
      <c r="Q8" s="19"/>
      <c r="R8" s="19"/>
      <c r="S8" s="19"/>
      <c r="T8" s="19"/>
      <c r="U8" s="19"/>
      <c r="V8" s="19"/>
      <c r="W8" s="19"/>
      <c r="X8" s="19"/>
      <c r="Y8" s="19"/>
      <c r="Z8" s="19"/>
    </row>
    <row r="9" spans="1:26" ht="14.25" customHeight="1" x14ac:dyDescent="0.35">
      <c r="A9" s="19"/>
      <c r="B9" s="19"/>
      <c r="C9" s="19"/>
      <c r="D9" s="19"/>
      <c r="E9" s="19"/>
      <c r="F9" s="19"/>
      <c r="G9" s="19"/>
      <c r="H9" s="19"/>
      <c r="I9" s="19"/>
      <c r="J9" s="19"/>
      <c r="K9" s="19"/>
      <c r="L9" s="19"/>
      <c r="M9" s="19"/>
      <c r="N9" s="19"/>
      <c r="O9" s="19"/>
      <c r="P9" s="19"/>
      <c r="Q9" s="19"/>
      <c r="R9" s="19"/>
      <c r="S9" s="19"/>
      <c r="T9" s="19"/>
      <c r="U9" s="19"/>
      <c r="V9" s="19"/>
      <c r="W9" s="19"/>
      <c r="X9" s="19"/>
      <c r="Y9" s="19"/>
      <c r="Z9" s="19"/>
    </row>
    <row r="10" spans="1:26" ht="14.25" customHeight="1" x14ac:dyDescent="0.3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row>
    <row r="11" spans="1:26" ht="14.25" customHeight="1" x14ac:dyDescent="0.3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row>
    <row r="12" spans="1:26" ht="14.25" customHeight="1"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row>
    <row r="13" spans="1:26" ht="14.25" customHeight="1"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row>
    <row r="14" spans="1:26" ht="14.25" customHeight="1"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row>
    <row r="15" spans="1:26" ht="14.25" customHeight="1"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row>
    <row r="16" spans="1:26" ht="14.25" customHeight="1"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row>
    <row r="17" spans="1:26" ht="14.25" customHeight="1"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row>
    <row r="18" spans="1:26" ht="14.25" customHeight="1"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row>
    <row r="19" spans="1:26" ht="14.25" customHeight="1"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row>
    <row r="20" spans="1:26" ht="14.25" customHeight="1"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row>
    <row r="21" spans="1:26" ht="14.25" customHeight="1"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row>
    <row r="22" spans="1:26" ht="14.25" customHeight="1"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row>
    <row r="23" spans="1:26" ht="14.25" customHeight="1"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row>
    <row r="24" spans="1:26" ht="14.25" customHeight="1"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row>
    <row r="25" spans="1:26" ht="14.25" customHeight="1"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row>
    <row r="26" spans="1:26" ht="14.25" customHeight="1"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row>
    <row r="27" spans="1:26" ht="14.25" customHeight="1"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row>
    <row r="28" spans="1:26" ht="14.25" customHeight="1" x14ac:dyDescent="0.3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row>
    <row r="29" spans="1:26" ht="14.25" customHeight="1" x14ac:dyDescent="0.3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row>
    <row r="30" spans="1:26" ht="14.25" customHeight="1"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4.25" customHeight="1"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4.25" customHeight="1"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4.25" customHeight="1"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4.25" customHeight="1"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4.25" customHeight="1" x14ac:dyDescent="0.3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4.25" customHeight="1" x14ac:dyDescent="0.3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4.25" customHeight="1" x14ac:dyDescent="0.3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4.25" customHeight="1" x14ac:dyDescent="0.3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4.25" customHeight="1" x14ac:dyDescent="0.3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4.25" customHeight="1" x14ac:dyDescent="0.3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4.25" customHeight="1" x14ac:dyDescent="0.3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4.25" customHeight="1" x14ac:dyDescent="0.3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4.25" customHeight="1" x14ac:dyDescent="0.3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4.2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4.2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4.2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4.2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4.2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4.2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4.2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4.2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4.2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4.2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4.2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4.2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4.2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4.2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4.2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4.2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4.2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4.2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4.2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4.2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4.2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4.2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4.2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4.2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4.2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4.2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4.2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4.2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4.2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4.2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4.2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4.2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4.2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4.2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4.2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4.2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4.2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4.2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4.2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4.2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4.2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4.2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4.2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4.2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4.2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4.2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4.2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4.2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4.2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4.2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4.2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4.2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4.2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4.2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4.2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4.2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4.2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4.2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4.2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4.2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4.2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4.2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4.2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4.2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4.2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4.2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4.2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4.2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4.2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4.2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4.2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4.2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4.2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4.2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4.2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4.2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4.2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4.2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4.2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4.2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4.2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4.2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4.2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4.2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4.2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4.2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4.2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4.2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4.2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4.2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4.2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4.2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4.2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4.2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4.2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4.2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4.2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4.2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4.2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4.2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4.2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4.2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4.2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4.2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4.2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4.2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4.2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4.2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4.2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4.2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4.2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4.2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4.2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4.2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4.2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4.2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4.2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4.2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4.2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4.2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4.2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4.2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4.2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4.2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4.2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4.2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4.2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4.2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4.2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4.2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4.2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4.2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4.2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4.2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4.2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4.2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4.2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4.2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4.2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4.2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4.2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4.2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4.2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4.2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4.2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4.2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4.2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4.2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4.2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4.2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4.2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4.2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4.2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4.2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4.2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4.2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4.2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4.2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4.2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4.2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4.2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4.2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4.2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4.2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4.2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4.2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4.2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4.2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4.2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4.2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4.2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4.2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4.2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4.2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4.2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4.2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4.2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4.2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4.2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4.2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4.2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4.2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4.2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4.2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4.2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4.2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4.2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4.2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4.2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4.2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4.2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4.2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4.2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4.2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4.2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4.2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4.2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4.2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4.2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4.2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4.2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4.2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4.2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4.2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4.2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4.2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4.2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4.2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4.2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4.2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4.2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4.2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4.2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4.2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4.2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4.2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4.2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4.2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4.2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4.2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4.2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4.2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4.2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4.2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4.2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4.2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4.2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4.2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4.2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4.2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4.2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4.2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4.2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4.2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4.2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4.2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4.2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4.2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4.2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4.2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4.2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4.2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4.2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4.2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4.2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4.2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4.2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4.2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4.2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4.2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4.2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4.2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4.2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4.2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4.2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4.2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4.2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4.2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4.2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4.2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4.2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4.2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4.2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4.2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4.2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4.2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4.2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4.2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4.2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4.2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4.2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4.2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4.2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4.2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4.2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4.2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4.2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4.2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4.2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4.2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4.2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4.2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4.2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4.2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4.2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4.2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4.2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4.2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4.2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4.2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4.2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4.2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4.2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4.2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4.2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4.2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4.2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4.2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4.2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4.2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4.2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4.2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4.2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4.2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4.2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4.2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4.2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4.2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4.2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4.2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4.2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4.2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4.2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4.2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4.2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4.2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4.2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4.2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4.2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4.2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4.2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4.2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4.2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4.2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4.2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4.2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4.2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4.2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4.2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4.2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4.2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4.2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4.2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4.2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4.2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4.2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4.2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4.2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4.2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4.2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4.2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4.2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4.2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4.2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4.2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4.2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4.2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4.2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4.2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4.2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4.2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4.2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4.2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4.2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4.2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4.2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4.2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4.2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4.2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4.2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4.2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4.2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4.2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4.2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4.2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4.2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4.2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4.2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4.2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4.2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4.2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4.2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4.2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4.2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4.2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4.2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4.2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4.2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4.2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4.2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4.2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4.2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4.2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4.2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4.2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4.2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4.2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4.2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4.2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4.2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4.2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4.2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4.2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4.2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4.2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4.2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4.2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4.2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4.2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4.2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4.2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4.2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4.2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4.2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4.2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4.2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4.2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4.2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4.2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4.2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4.2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4.2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4.2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4.2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4.2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4.2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4.2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4.2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4.2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4.2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4.2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4.2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4.2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4.2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4.2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4.2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4.2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4.2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4.2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4.2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4.2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4.2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4.2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4.2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4.2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4.2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4.2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4.2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4.2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4.2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4.2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4.2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4.2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4.2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4.2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4.2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4.2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4.2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4.2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4.2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4.2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4.2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4.2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4.2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4.2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4.2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4.2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4.2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4.2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4.2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4.2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4.2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4.2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4.2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4.2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4.2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4.2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4.2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4.2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4.2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4.2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4.2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4.2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4.2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4.2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4.2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4.2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4.2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4.2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4.2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4.2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4.2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4.2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4.2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4.2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4.2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4.2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4.2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4.2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4.2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4.2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4.2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4.2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4.2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4.2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4.2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4.2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4.2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4.2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4.2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4.2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4.2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4.2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4.2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4.2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4.2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4.2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4.2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4.2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4.2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4.2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4.2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4.2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4.2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4.2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4.2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4.2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4.2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4.2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4.2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4.2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4.2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4.2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4.2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4.2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4.2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4.2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4.2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4.2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4.2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4.2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4.2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4.2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4.2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4.2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4.2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4.2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4.2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4.2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4.2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4.2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4.2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4.2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4.2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4.2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4.2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4.2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4.2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4.2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4.2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4.2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4.2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4.2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4.2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4.2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4.2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4.2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4.2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4.2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4.2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4.2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4.2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4.2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4.2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4.2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4.2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4.2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4.2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4.2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4.2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4.2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4.2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4.2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4.2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4.2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4.2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4.2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4.2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4.2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4.2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4.2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4.2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4.2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4.2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4.2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4.2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4.2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4.2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4.2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4.2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4.2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4.2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4.2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4.2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4.2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4.2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4.2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4.2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4.2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4.2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4.2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4.2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4.2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4.2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4.2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4.2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4.2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4.2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4.2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4.2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4.2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4.2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4.2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4.2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4.2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4.2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4.2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4.2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4.2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4.2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4.2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4.2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4.2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4.2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4.2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4.2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4.2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4.2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4.2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4.2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4.2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4.2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4.2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4.2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4.2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4.2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4.2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4.2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4.2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4.2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4.2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4.2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4.2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4.2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4.2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4.2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4.2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4.2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4.2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4.2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4.2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4.2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4.2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4.2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4.2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4.2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4.2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4.2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4.2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4.2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4.2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4.2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4.2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4.2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4.2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4.2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4.2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4.2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4.2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4.2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4.2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4.2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4.2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4.2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4.2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4.2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4.2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4.2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4.2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4.2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4.2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4.2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4.2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4.2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4.2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4.2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4.2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4.2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4.2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4.2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4.2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4.2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4.2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4.2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4.2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4.2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4.2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4.2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4.2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4.2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4.2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4.2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4.2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4.2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4.2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4.2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4.2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4.2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4.2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4.2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4.2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4.2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4.2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4.2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4.2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4.2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4.2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4.2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4.2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4.2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4.2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4.2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4.2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4.2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4.2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4.2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4.2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4.2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4.2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4.2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4.2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4.2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4.2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4.2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4.2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4.2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4.2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4.2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4.2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4.2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4.2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4.2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4.2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4.2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4.2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4.2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4.2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4.2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4.2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4.2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4.2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4.2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4.2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4.2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4.2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4.2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4.2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4.2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4.2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4.2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4.2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4.2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4.2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4.2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4.2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4.2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4.2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4.2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4.2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4.2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4.2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4.2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4.2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4.2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4.2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4.2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4.2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4.2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4.2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4.2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4.2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4.2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4.2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4.2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4.2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4.2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4.2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4.2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4.2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4.2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4.2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4.2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4.2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4.2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4.2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4.2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4.2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4.2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4.2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4.2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4.2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4.2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4.2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4.2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4.2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4.2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4.2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4.2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4.2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4.2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4.2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4.2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4.2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4.2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4.2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4.2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4.2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4.2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4.2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4.2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4.2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4.2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4.2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4.2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4.2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4.2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4.2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4.2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4.2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4.2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4.2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4.2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4.2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4.2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4.2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4.2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4.2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4.2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4.2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4.2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4.2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4.2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4.2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4.2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4.2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4.2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4.2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4.2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4.2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4.2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4.2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4.2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4.2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4.2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4.2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4.2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4.2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4.2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4.2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4.2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4.2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4.2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4.2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4.2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4.2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4.2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4.2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4.2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4.2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4.2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4.2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4.2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4.2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4.2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4.2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4.2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4.2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4.2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4.2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4.2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4.2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4.2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4.2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4.2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4.2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4.2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4.2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4.2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4.2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4.2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4.2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4.2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4.2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4.2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4.2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4.2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4.2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4.2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4.2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4.2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4.2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4.2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4.2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4.2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4.2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4.2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4.2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4.2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4.2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4.2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4.2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4.2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4.2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4.2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4.2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4.2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4.2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4.2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4.2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4.2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4.2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4.2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4.2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4.2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4.2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4.2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4.2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4.2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4.2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4.2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4.2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4.2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4.2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4.2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4.2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4.2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4.2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4.2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4.2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4.2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4.2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4.2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4.2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4.2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4.2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4.2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4.2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4.2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4.2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4.2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4.2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4.2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4.2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4.2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4.2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4.2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4.2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FFFF00"/>
  </sheetPr>
  <dimension ref="A1:DM282"/>
  <sheetViews>
    <sheetView showGridLines="0" topLeftCell="P1" zoomScale="85" zoomScaleNormal="85" workbookViewId="0">
      <pane xSplit="1" ySplit="4" topLeftCell="AU216" activePane="bottomRight" state="frozen"/>
      <selection activeCell="P1" sqref="P1"/>
      <selection pane="topRight" activeCell="Q1" sqref="Q1"/>
      <selection pane="bottomLeft" activeCell="P5" sqref="P5"/>
      <selection pane="bottomRight" activeCell="AY220" sqref="AY220"/>
    </sheetView>
  </sheetViews>
  <sheetFormatPr baseColWidth="10" defaultColWidth="14.453125" defaultRowHeight="14.5" x14ac:dyDescent="0.35"/>
  <cols>
    <col min="1" max="1" width="5" style="244" customWidth="1"/>
    <col min="2" max="2" width="38.54296875" style="244" customWidth="1"/>
    <col min="3" max="5" width="35.7265625" style="244" customWidth="1"/>
    <col min="6" max="6" width="42.81640625" style="244" customWidth="1"/>
    <col min="7" max="7" width="33.453125" style="244" customWidth="1"/>
    <col min="8" max="8" width="37.7265625" style="244" customWidth="1"/>
    <col min="9" max="9" width="33.453125" style="244" customWidth="1"/>
    <col min="10" max="10" width="38.81640625" style="244" customWidth="1"/>
    <col min="11" max="11" width="18.08984375" style="136" customWidth="1"/>
    <col min="12" max="12" width="18.36328125" style="136" customWidth="1"/>
    <col min="13" max="13" width="32" style="244" customWidth="1"/>
    <col min="14" max="14" width="21.453125" style="244" customWidth="1"/>
    <col min="15" max="15" width="28.1796875" style="244" customWidth="1"/>
    <col min="16" max="16" width="77.54296875" style="242" customWidth="1"/>
    <col min="17" max="17" width="7" style="244" customWidth="1"/>
    <col min="18" max="18" width="7" style="308" customWidth="1"/>
    <col min="19" max="19" width="7" style="244" customWidth="1"/>
    <col min="20" max="31" width="7" style="244" hidden="1" customWidth="1"/>
    <col min="32" max="34" width="7" style="321" hidden="1" customWidth="1"/>
    <col min="35" max="36" width="11.36328125" style="244" hidden="1" customWidth="1"/>
    <col min="37" max="37" width="7" style="244" hidden="1" customWidth="1"/>
    <col min="38" max="38" width="18.1796875" style="244" customWidth="1"/>
    <col min="39" max="39" width="17.26953125" style="244" customWidth="1"/>
    <col min="40" max="43" width="17.90625" style="244" customWidth="1"/>
    <col min="44" max="45" width="13.90625" style="244" customWidth="1"/>
    <col min="46" max="46" width="16.453125" style="154" customWidth="1"/>
    <col min="47" max="47" width="9.6328125" style="244" customWidth="1"/>
    <col min="48" max="51" width="14.453125" style="136" customWidth="1"/>
    <col min="52" max="52" width="10.26953125" style="271" customWidth="1"/>
    <col min="53" max="53" width="4.1796875" style="136" bestFit="1" customWidth="1"/>
    <col min="54" max="54" width="3.26953125" style="136" bestFit="1" customWidth="1"/>
    <col min="55" max="55" width="6.26953125" style="136" bestFit="1" customWidth="1"/>
    <col min="56" max="57" width="4.1796875" style="136" bestFit="1" customWidth="1"/>
    <col min="58" max="58" width="6.26953125" style="136" bestFit="1" customWidth="1"/>
    <col min="59" max="59" width="2.6328125" style="136" bestFit="1" customWidth="1"/>
    <col min="60" max="60" width="3.26953125" style="136" bestFit="1" customWidth="1"/>
    <col min="61" max="61" width="6.26953125" style="136" bestFit="1" customWidth="1"/>
    <col min="62" max="62" width="2.6328125" style="136" bestFit="1" customWidth="1"/>
    <col min="63" max="63" width="4.1796875" style="136" bestFit="1" customWidth="1"/>
    <col min="64" max="64" width="6.26953125" style="136" bestFit="1" customWidth="1"/>
    <col min="65" max="65" width="4" style="136" customWidth="1"/>
    <col min="66" max="66" width="3.26953125" style="136" bestFit="1" customWidth="1"/>
    <col min="67" max="67" width="6.26953125" style="136" bestFit="1" customWidth="1"/>
    <col min="68" max="68" width="3.90625" style="136" customWidth="1"/>
    <col min="69" max="69" width="4.1796875" style="136" bestFit="1" customWidth="1"/>
    <col min="70" max="70" width="6.26953125" style="136" bestFit="1" customWidth="1"/>
    <col min="71" max="71" width="4.453125" style="136" customWidth="1"/>
    <col min="72" max="72" width="3.26953125" style="136" bestFit="1" customWidth="1"/>
    <col min="73" max="73" width="6.26953125" style="136" bestFit="1" customWidth="1"/>
    <col min="74" max="74" width="2.6328125" style="136" bestFit="1" customWidth="1"/>
    <col min="75" max="75" width="4.1796875" style="136" bestFit="1" customWidth="1"/>
    <col min="76" max="78" width="6.26953125" style="136" bestFit="1" customWidth="1"/>
    <col min="79" max="79" width="4.54296875" style="136" bestFit="1" customWidth="1"/>
    <col min="80" max="80" width="2.36328125" style="244" customWidth="1"/>
    <col min="81" max="81" width="3.90625" style="244" customWidth="1"/>
    <col min="82" max="82" width="3.26953125" style="244" bestFit="1" customWidth="1"/>
    <col min="83" max="83" width="6.26953125" style="244" bestFit="1" customWidth="1"/>
    <col min="84" max="84" width="4.453125" style="244" customWidth="1"/>
    <col min="85" max="85" width="3.26953125" style="244" bestFit="1" customWidth="1"/>
    <col min="86" max="86" width="6.26953125" style="244" bestFit="1" customWidth="1"/>
    <col min="87" max="88" width="2.6328125" style="244" bestFit="1" customWidth="1"/>
    <col min="89" max="89" width="6.26953125" style="244" bestFit="1" customWidth="1"/>
    <col min="90" max="90" width="2.6328125" style="244" bestFit="1" customWidth="1"/>
    <col min="91" max="91" width="4.1796875" style="244" bestFit="1" customWidth="1"/>
    <col min="92" max="92" width="6.26953125" style="244" bestFit="1" customWidth="1"/>
    <col min="93" max="93" width="2.36328125" style="244" customWidth="1"/>
    <col min="94" max="94" width="5" style="244" bestFit="1" customWidth="1"/>
    <col min="95" max="95" width="4.1796875" style="244" bestFit="1" customWidth="1"/>
    <col min="96" max="96" width="6.1796875" style="244" bestFit="1" customWidth="1"/>
    <col min="97" max="97" width="5.7265625" style="244" customWidth="1"/>
    <col min="98" max="98" width="2.36328125" style="244" customWidth="1"/>
    <col min="99" max="110" width="5.1796875" style="244" customWidth="1"/>
    <col min="111" max="111" width="2.36328125" style="244" customWidth="1"/>
    <col min="112" max="112" width="2.6328125" style="244" bestFit="1" customWidth="1"/>
    <col min="113" max="113" width="3.26953125" style="244" bestFit="1" customWidth="1"/>
    <col min="114" max="114" width="6.1796875" style="244" bestFit="1" customWidth="1"/>
    <col min="115" max="115" width="5.7265625" style="244" customWidth="1"/>
    <col min="116" max="117" width="4.08984375" style="244" customWidth="1"/>
    <col min="118" max="16384" width="14.453125" style="244"/>
  </cols>
  <sheetData>
    <row r="1" spans="1:117" ht="18.5" x14ac:dyDescent="0.35">
      <c r="A1" s="310">
        <v>1</v>
      </c>
      <c r="B1" s="311"/>
      <c r="C1" s="312"/>
      <c r="D1" s="21" t="s">
        <v>43</v>
      </c>
      <c r="E1" s="22"/>
      <c r="F1" s="23" t="s">
        <v>44</v>
      </c>
      <c r="G1" s="22"/>
      <c r="H1" s="23"/>
      <c r="I1" s="24"/>
      <c r="J1" s="23"/>
      <c r="K1" s="129"/>
      <c r="L1" s="130"/>
      <c r="M1" s="312"/>
      <c r="N1" s="312"/>
      <c r="O1" s="312"/>
      <c r="P1" s="294"/>
      <c r="Q1" s="312"/>
      <c r="R1" s="298"/>
      <c r="S1" s="217"/>
      <c r="T1" s="313"/>
      <c r="U1" s="313"/>
      <c r="V1" s="313"/>
      <c r="W1" s="313"/>
      <c r="X1" s="313"/>
      <c r="Y1" s="313"/>
      <c r="Z1" s="313"/>
      <c r="AA1" s="313"/>
      <c r="AB1" s="313"/>
      <c r="AC1" s="313"/>
      <c r="AD1" s="313"/>
      <c r="AE1" s="313"/>
      <c r="AF1" s="313"/>
      <c r="AG1" s="313"/>
      <c r="AH1" s="313"/>
      <c r="AI1" s="313"/>
      <c r="AJ1" s="313"/>
      <c r="AK1" s="313"/>
      <c r="AL1" s="313"/>
      <c r="AM1" s="313"/>
      <c r="AN1" s="313"/>
      <c r="AO1" s="313"/>
      <c r="AP1" s="313"/>
      <c r="AQ1" s="313"/>
      <c r="AR1" s="313"/>
      <c r="AS1" s="313"/>
      <c r="AT1" s="313"/>
      <c r="AU1" s="314"/>
      <c r="BA1" s="222" t="s">
        <v>2373</v>
      </c>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c r="CB1" s="245"/>
      <c r="CC1" s="223" t="s">
        <v>2374</v>
      </c>
      <c r="CD1" s="223"/>
      <c r="CE1" s="223"/>
      <c r="CF1" s="223"/>
      <c r="CG1" s="223"/>
      <c r="CH1" s="223"/>
      <c r="CI1" s="223"/>
      <c r="CJ1" s="223"/>
      <c r="CK1" s="223"/>
      <c r="CL1" s="223"/>
      <c r="CM1" s="223"/>
      <c r="CN1" s="223"/>
      <c r="CO1" s="245"/>
      <c r="CP1" s="245"/>
      <c r="CQ1" s="245"/>
      <c r="CR1" s="245"/>
      <c r="CS1" s="245"/>
      <c r="CT1" s="245"/>
      <c r="CU1" s="280" t="s">
        <v>2375</v>
      </c>
      <c r="CV1" s="280"/>
      <c r="CW1" s="280"/>
      <c r="CX1" s="280"/>
      <c r="CY1" s="280"/>
      <c r="CZ1" s="280"/>
      <c r="DA1" s="280"/>
      <c r="DB1" s="280"/>
      <c r="DC1" s="280"/>
      <c r="DD1" s="280"/>
      <c r="DE1" s="280"/>
      <c r="DF1" s="280"/>
      <c r="DG1" s="245"/>
      <c r="DH1" s="287" t="s">
        <v>2332</v>
      </c>
      <c r="DI1" s="287"/>
      <c r="DJ1" s="287"/>
      <c r="DK1" s="287"/>
    </row>
    <row r="2" spans="1:117" ht="18" x14ac:dyDescent="0.4">
      <c r="A2" s="315" t="s">
        <v>45</v>
      </c>
      <c r="B2" s="316"/>
      <c r="C2" s="316"/>
      <c r="D2" s="316"/>
      <c r="E2" s="316"/>
      <c r="F2" s="316"/>
      <c r="G2" s="316"/>
      <c r="H2" s="316"/>
      <c r="I2" s="316"/>
      <c r="J2" s="316"/>
      <c r="K2" s="316"/>
      <c r="L2" s="316"/>
      <c r="M2" s="316"/>
      <c r="N2" s="316"/>
      <c r="O2" s="316"/>
      <c r="P2" s="309"/>
      <c r="Q2" s="316"/>
      <c r="R2" s="316"/>
      <c r="S2" s="316"/>
      <c r="T2" s="316"/>
      <c r="U2" s="316"/>
      <c r="V2" s="316"/>
      <c r="W2" s="316"/>
      <c r="X2" s="316"/>
      <c r="Y2" s="316"/>
      <c r="Z2" s="316"/>
      <c r="AA2" s="316"/>
      <c r="AB2" s="316"/>
      <c r="AC2" s="316"/>
      <c r="AD2" s="316"/>
      <c r="AE2" s="316"/>
      <c r="AF2" s="316"/>
      <c r="AG2" s="316"/>
      <c r="AH2" s="316"/>
      <c r="AI2" s="316"/>
      <c r="AJ2" s="316"/>
      <c r="AK2" s="316"/>
      <c r="AL2" s="316"/>
      <c r="AM2" s="316"/>
      <c r="AN2" s="316"/>
      <c r="AO2" s="316"/>
      <c r="AP2" s="316"/>
      <c r="AQ2" s="316"/>
      <c r="AR2" s="316"/>
      <c r="AS2" s="316"/>
      <c r="AT2" s="316"/>
      <c r="AU2" s="317"/>
      <c r="BA2" s="224">
        <v>0.25</v>
      </c>
      <c r="BB2" s="225"/>
      <c r="BC2" s="225"/>
      <c r="BD2" s="225"/>
      <c r="BE2" s="225"/>
      <c r="BF2" s="225"/>
      <c r="BG2" s="225"/>
      <c r="BH2" s="225"/>
      <c r="BI2" s="225"/>
      <c r="BJ2" s="225"/>
      <c r="BK2" s="225"/>
      <c r="BL2" s="226"/>
      <c r="BM2" s="224">
        <v>0.25</v>
      </c>
      <c r="BN2" s="225"/>
      <c r="BO2" s="225"/>
      <c r="BP2" s="225"/>
      <c r="BQ2" s="225"/>
      <c r="BR2" s="225"/>
      <c r="BS2" s="225"/>
      <c r="BT2" s="225"/>
      <c r="BU2" s="225"/>
      <c r="BV2" s="225"/>
      <c r="BW2" s="225"/>
      <c r="BX2" s="226"/>
      <c r="BY2" s="227">
        <v>0.5</v>
      </c>
      <c r="BZ2" s="227"/>
      <c r="CA2" s="227"/>
      <c r="CB2" s="245"/>
      <c r="CC2" s="228">
        <v>0.25</v>
      </c>
      <c r="CD2" s="228"/>
      <c r="CE2" s="228"/>
      <c r="CF2" s="228"/>
      <c r="CG2" s="228"/>
      <c r="CH2" s="228"/>
      <c r="CI2" s="228"/>
      <c r="CJ2" s="228"/>
      <c r="CK2" s="228"/>
      <c r="CL2" s="228"/>
      <c r="CM2" s="228"/>
      <c r="CN2" s="228"/>
      <c r="CO2" s="245"/>
      <c r="CP2" s="216" t="s">
        <v>2319</v>
      </c>
      <c r="CQ2" s="216"/>
      <c r="CR2" s="216"/>
      <c r="CS2" s="216"/>
      <c r="CT2" s="245"/>
      <c r="CU2" s="281" t="s">
        <v>2330</v>
      </c>
      <c r="CV2" s="281"/>
      <c r="CW2" s="281"/>
      <c r="CX2" s="284" t="s">
        <v>2221</v>
      </c>
      <c r="CY2" s="284"/>
      <c r="CZ2" s="284"/>
      <c r="DA2" s="281" t="s">
        <v>2222</v>
      </c>
      <c r="DB2" s="281"/>
      <c r="DC2" s="281"/>
      <c r="DD2" s="284" t="s">
        <v>2223</v>
      </c>
      <c r="DE2" s="284"/>
      <c r="DF2" s="284"/>
      <c r="DG2" s="245"/>
      <c r="DH2" s="287"/>
      <c r="DI2" s="287"/>
      <c r="DJ2" s="287"/>
      <c r="DK2" s="287"/>
    </row>
    <row r="3" spans="1:117" ht="15.5" customHeight="1" x14ac:dyDescent="0.35">
      <c r="A3" s="318"/>
      <c r="B3" s="95"/>
      <c r="C3" s="95"/>
      <c r="D3" s="95"/>
      <c r="E3" s="95"/>
      <c r="F3" s="95"/>
      <c r="G3" s="95"/>
      <c r="H3" s="95"/>
      <c r="I3" s="95"/>
      <c r="J3" s="95"/>
      <c r="K3" s="131"/>
      <c r="L3" s="131"/>
      <c r="M3" s="318"/>
      <c r="N3" s="318"/>
      <c r="O3" s="318"/>
      <c r="P3" s="295"/>
      <c r="Q3" s="318"/>
      <c r="R3" s="299"/>
      <c r="S3" s="318"/>
      <c r="T3" s="219" t="s">
        <v>46</v>
      </c>
      <c r="U3" s="220"/>
      <c r="V3" s="220"/>
      <c r="W3" s="220"/>
      <c r="X3" s="220"/>
      <c r="Y3" s="220"/>
      <c r="Z3" s="220"/>
      <c r="AA3" s="220"/>
      <c r="AB3" s="220"/>
      <c r="AC3" s="220"/>
      <c r="AD3" s="220"/>
      <c r="AE3" s="220"/>
      <c r="AF3" s="220"/>
      <c r="AG3" s="220"/>
      <c r="AH3" s="221"/>
      <c r="AI3" s="219" t="s">
        <v>47</v>
      </c>
      <c r="AJ3" s="221"/>
      <c r="AK3" s="219" t="s">
        <v>48</v>
      </c>
      <c r="AL3" s="220"/>
      <c r="AM3" s="220"/>
      <c r="AN3" s="220"/>
      <c r="AO3" s="220"/>
      <c r="AP3" s="220"/>
      <c r="AQ3" s="221"/>
      <c r="AR3" s="95"/>
      <c r="AS3" s="95"/>
      <c r="AT3" s="144"/>
      <c r="AU3" s="95"/>
      <c r="BA3" s="230" t="s">
        <v>2320</v>
      </c>
      <c r="BB3" s="230"/>
      <c r="BC3" s="230"/>
      <c r="BD3" s="230" t="s">
        <v>2321</v>
      </c>
      <c r="BE3" s="230"/>
      <c r="BF3" s="230"/>
      <c r="BG3" s="230" t="s">
        <v>2322</v>
      </c>
      <c r="BH3" s="230"/>
      <c r="BI3" s="230"/>
      <c r="BJ3" s="231" t="s">
        <v>2323</v>
      </c>
      <c r="BK3" s="232"/>
      <c r="BL3" s="233"/>
      <c r="BM3" s="229" t="s">
        <v>2324</v>
      </c>
      <c r="BN3" s="229"/>
      <c r="BO3" s="229"/>
      <c r="BP3" s="229" t="s">
        <v>2325</v>
      </c>
      <c r="BQ3" s="229"/>
      <c r="BR3" s="229"/>
      <c r="BS3" s="229" t="s">
        <v>2326</v>
      </c>
      <c r="BT3" s="229"/>
      <c r="BU3" s="229"/>
      <c r="BV3" s="215" t="s">
        <v>2327</v>
      </c>
      <c r="BW3" s="215"/>
      <c r="BX3" s="215"/>
      <c r="BY3" s="227"/>
      <c r="BZ3" s="227"/>
      <c r="CA3" s="227"/>
      <c r="CB3" s="245"/>
      <c r="CC3" s="216" t="s">
        <v>2328</v>
      </c>
      <c r="CD3" s="216"/>
      <c r="CE3" s="216"/>
      <c r="CF3" s="216" t="s">
        <v>2329</v>
      </c>
      <c r="CG3" s="216"/>
      <c r="CH3" s="216"/>
      <c r="CI3" s="216" t="s">
        <v>2330</v>
      </c>
      <c r="CJ3" s="216"/>
      <c r="CK3" s="216"/>
      <c r="CL3" s="216" t="s">
        <v>2331</v>
      </c>
      <c r="CM3" s="216"/>
      <c r="CN3" s="216"/>
      <c r="CO3" s="245"/>
      <c r="CP3" s="216"/>
      <c r="CQ3" s="216"/>
      <c r="CR3" s="216"/>
      <c r="CS3" s="216"/>
      <c r="CT3" s="245"/>
      <c r="CU3" s="278">
        <v>0.3</v>
      </c>
      <c r="CX3" s="278">
        <v>0.3</v>
      </c>
      <c r="DA3" s="278">
        <v>0.3</v>
      </c>
      <c r="DD3" s="278">
        <v>0.1</v>
      </c>
      <c r="DG3" s="245"/>
      <c r="DH3" s="287"/>
      <c r="DI3" s="287"/>
      <c r="DJ3" s="287"/>
      <c r="DK3" s="287"/>
    </row>
    <row r="4" spans="1:117" ht="59" customHeight="1" x14ac:dyDescent="0.35">
      <c r="A4" s="192" t="s">
        <v>49</v>
      </c>
      <c r="B4" s="291" t="s">
        <v>50</v>
      </c>
      <c r="C4" s="291" t="s">
        <v>51</v>
      </c>
      <c r="D4" s="291" t="s">
        <v>52</v>
      </c>
      <c r="E4" s="193" t="s">
        <v>53</v>
      </c>
      <c r="F4" s="193" t="s">
        <v>54</v>
      </c>
      <c r="G4" s="193" t="s">
        <v>55</v>
      </c>
      <c r="H4" s="193" t="s">
        <v>56</v>
      </c>
      <c r="I4" s="193" t="s">
        <v>57</v>
      </c>
      <c r="J4" s="193" t="s">
        <v>58</v>
      </c>
      <c r="K4" s="192" t="s">
        <v>59</v>
      </c>
      <c r="L4" s="192" t="s">
        <v>60</v>
      </c>
      <c r="M4" s="192" t="s">
        <v>61</v>
      </c>
      <c r="N4" s="192" t="s">
        <v>62</v>
      </c>
      <c r="O4" s="192" t="s">
        <v>63</v>
      </c>
      <c r="P4" s="296" t="s">
        <v>64</v>
      </c>
      <c r="Q4" s="293" t="s">
        <v>65</v>
      </c>
      <c r="R4" s="194" t="s">
        <v>66</v>
      </c>
      <c r="S4" s="192" t="s">
        <v>67</v>
      </c>
      <c r="T4" s="195" t="s">
        <v>68</v>
      </c>
      <c r="U4" s="196" t="s">
        <v>69</v>
      </c>
      <c r="V4" s="196" t="s">
        <v>70</v>
      </c>
      <c r="W4" s="195" t="s">
        <v>71</v>
      </c>
      <c r="X4" s="196" t="s">
        <v>72</v>
      </c>
      <c r="Y4" s="196" t="s">
        <v>73</v>
      </c>
      <c r="Z4" s="195" t="s">
        <v>74</v>
      </c>
      <c r="AA4" s="196" t="s">
        <v>75</v>
      </c>
      <c r="AB4" s="195" t="s">
        <v>76</v>
      </c>
      <c r="AC4" s="196" t="s">
        <v>77</v>
      </c>
      <c r="AD4" s="196" t="s">
        <v>78</v>
      </c>
      <c r="AE4" s="195" t="s">
        <v>79</v>
      </c>
      <c r="AF4" s="197" t="s">
        <v>80</v>
      </c>
      <c r="AG4" s="197" t="s">
        <v>81</v>
      </c>
      <c r="AH4" s="197" t="s">
        <v>82</v>
      </c>
      <c r="AI4" s="198" t="s">
        <v>83</v>
      </c>
      <c r="AJ4" s="198" t="s">
        <v>84</v>
      </c>
      <c r="AK4" s="199" t="s">
        <v>85</v>
      </c>
      <c r="AL4" s="292" t="s">
        <v>86</v>
      </c>
      <c r="AM4" s="292" t="s">
        <v>87</v>
      </c>
      <c r="AN4" s="292" t="s">
        <v>88</v>
      </c>
      <c r="AO4" s="292" t="s">
        <v>89</v>
      </c>
      <c r="AP4" s="292" t="s">
        <v>90</v>
      </c>
      <c r="AQ4" s="292" t="s">
        <v>91</v>
      </c>
      <c r="AR4" s="144" t="s">
        <v>92</v>
      </c>
      <c r="AS4" s="290" t="s">
        <v>93</v>
      </c>
      <c r="AT4" s="144" t="s">
        <v>94</v>
      </c>
      <c r="AU4" s="200" t="s">
        <v>95</v>
      </c>
      <c r="AV4" s="248" t="s">
        <v>2263</v>
      </c>
      <c r="AW4" s="248" t="s">
        <v>1149</v>
      </c>
      <c r="AX4" s="248" t="s">
        <v>2338</v>
      </c>
      <c r="AY4" s="248" t="s">
        <v>2271</v>
      </c>
      <c r="BA4" s="201" t="s">
        <v>2333</v>
      </c>
      <c r="BB4" s="201" t="s">
        <v>2334</v>
      </c>
      <c r="BC4" s="201" t="s">
        <v>2335</v>
      </c>
      <c r="BD4" s="201" t="s">
        <v>2333</v>
      </c>
      <c r="BE4" s="201" t="s">
        <v>2334</v>
      </c>
      <c r="BF4" s="201" t="s">
        <v>2335</v>
      </c>
      <c r="BG4" s="201" t="s">
        <v>2333</v>
      </c>
      <c r="BH4" s="201" t="s">
        <v>2334</v>
      </c>
      <c r="BI4" s="201" t="s">
        <v>2335</v>
      </c>
      <c r="BJ4" s="201" t="s">
        <v>2333</v>
      </c>
      <c r="BK4" s="201" t="s">
        <v>2334</v>
      </c>
      <c r="BL4" s="201" t="s">
        <v>2335</v>
      </c>
      <c r="BM4" s="202" t="s">
        <v>2333</v>
      </c>
      <c r="BN4" s="202" t="s">
        <v>2334</v>
      </c>
      <c r="BO4" s="202" t="s">
        <v>2335</v>
      </c>
      <c r="BP4" s="202" t="s">
        <v>2333</v>
      </c>
      <c r="BQ4" s="202" t="s">
        <v>2334</v>
      </c>
      <c r="BR4" s="202" t="s">
        <v>2335</v>
      </c>
      <c r="BS4" s="202" t="s">
        <v>2333</v>
      </c>
      <c r="BT4" s="202" t="s">
        <v>2334</v>
      </c>
      <c r="BU4" s="202" t="s">
        <v>2335</v>
      </c>
      <c r="BV4" s="202" t="s">
        <v>2333</v>
      </c>
      <c r="BW4" s="202" t="s">
        <v>2334</v>
      </c>
      <c r="BX4" s="202" t="s">
        <v>2335</v>
      </c>
      <c r="BY4" s="203" t="s">
        <v>2336</v>
      </c>
      <c r="BZ4" s="203" t="s">
        <v>2372</v>
      </c>
      <c r="CA4" s="203" t="s">
        <v>2337</v>
      </c>
      <c r="CB4" s="245"/>
      <c r="CC4" s="201" t="s">
        <v>2333</v>
      </c>
      <c r="CD4" s="201" t="s">
        <v>2334</v>
      </c>
      <c r="CE4" s="201" t="s">
        <v>2335</v>
      </c>
      <c r="CF4" s="201" t="s">
        <v>2333</v>
      </c>
      <c r="CG4" s="201" t="s">
        <v>2334</v>
      </c>
      <c r="CH4" s="201" t="s">
        <v>2335</v>
      </c>
      <c r="CI4" s="201" t="s">
        <v>2333</v>
      </c>
      <c r="CJ4" s="201" t="s">
        <v>2334</v>
      </c>
      <c r="CK4" s="201" t="s">
        <v>2335</v>
      </c>
      <c r="CL4" s="201" t="s">
        <v>2333</v>
      </c>
      <c r="CM4" s="201" t="s">
        <v>2334</v>
      </c>
      <c r="CN4" s="201" t="s">
        <v>2335</v>
      </c>
      <c r="CO4" s="245"/>
      <c r="CP4" s="201" t="s">
        <v>2333</v>
      </c>
      <c r="CQ4" s="201" t="s">
        <v>2334</v>
      </c>
      <c r="CR4" s="201" t="s">
        <v>2335</v>
      </c>
      <c r="CS4" s="204" t="s">
        <v>2337</v>
      </c>
      <c r="CT4" s="245"/>
      <c r="CU4" s="282" t="s">
        <v>2333</v>
      </c>
      <c r="CV4" s="282" t="s">
        <v>2334</v>
      </c>
      <c r="CW4" s="282" t="s">
        <v>2335</v>
      </c>
      <c r="CX4" s="283" t="s">
        <v>2333</v>
      </c>
      <c r="CY4" s="283" t="s">
        <v>2334</v>
      </c>
      <c r="CZ4" s="283" t="s">
        <v>2335</v>
      </c>
      <c r="DA4" s="282" t="s">
        <v>2333</v>
      </c>
      <c r="DB4" s="282" t="s">
        <v>2334</v>
      </c>
      <c r="DC4" s="282" t="s">
        <v>2335</v>
      </c>
      <c r="DD4" s="283" t="s">
        <v>2333</v>
      </c>
      <c r="DE4" s="283" t="s">
        <v>2334</v>
      </c>
      <c r="DF4" s="283" t="s">
        <v>2335</v>
      </c>
      <c r="DG4" s="245"/>
      <c r="DH4" s="201" t="s">
        <v>2333</v>
      </c>
      <c r="DI4" s="201" t="s">
        <v>2334</v>
      </c>
      <c r="DJ4" s="201" t="s">
        <v>2335</v>
      </c>
      <c r="DK4" s="285" t="s">
        <v>2337</v>
      </c>
    </row>
    <row r="5" spans="1:117" x14ac:dyDescent="0.35">
      <c r="A5" s="262">
        <v>1</v>
      </c>
      <c r="B5" s="26" t="s">
        <v>96</v>
      </c>
      <c r="C5" s="26" t="s">
        <v>97</v>
      </c>
      <c r="D5" s="26" t="s">
        <v>98</v>
      </c>
      <c r="E5" s="26" t="s">
        <v>99</v>
      </c>
      <c r="F5" s="26" t="s">
        <v>100</v>
      </c>
      <c r="G5" s="26" t="s">
        <v>101</v>
      </c>
      <c r="H5" s="26" t="s">
        <v>102</v>
      </c>
      <c r="I5" s="26" t="s">
        <v>103</v>
      </c>
      <c r="J5" s="97" t="s">
        <v>835</v>
      </c>
      <c r="K5" s="132" t="s">
        <v>104</v>
      </c>
      <c r="L5" s="132" t="s">
        <v>105</v>
      </c>
      <c r="M5" s="26" t="s">
        <v>106</v>
      </c>
      <c r="N5" s="26" t="s">
        <v>107</v>
      </c>
      <c r="O5" s="26" t="s">
        <v>108</v>
      </c>
      <c r="P5" s="26" t="s">
        <v>109</v>
      </c>
      <c r="Q5" s="98" t="s">
        <v>110</v>
      </c>
      <c r="R5" s="300">
        <v>29</v>
      </c>
      <c r="S5" s="99" t="s">
        <v>111</v>
      </c>
      <c r="T5" s="100">
        <v>29</v>
      </c>
      <c r="U5" s="81"/>
      <c r="V5" s="25" t="e">
        <f t="shared" ref="V5:V8" si="0">T5/U5*100</f>
        <v>#DIV/0!</v>
      </c>
      <c r="W5" s="81">
        <v>29</v>
      </c>
      <c r="X5" s="81"/>
      <c r="Y5" s="25">
        <f t="shared" ref="Y5:Y259" si="1">X5/W5*100</f>
        <v>0</v>
      </c>
      <c r="Z5" s="81">
        <v>29</v>
      </c>
      <c r="AA5" s="81"/>
      <c r="AB5" s="25">
        <f t="shared" ref="AB5:AB259" si="2">AA5/Z5*100</f>
        <v>0</v>
      </c>
      <c r="AC5" s="81">
        <v>29</v>
      </c>
      <c r="AD5" s="81"/>
      <c r="AE5" s="25">
        <f t="shared" ref="AE5:AE259" si="3">AD5/AC5*100</f>
        <v>0</v>
      </c>
      <c r="AF5" s="140">
        <f>R5</f>
        <v>29</v>
      </c>
      <c r="AG5" s="140">
        <f t="shared" ref="AG5:AG23" si="4">U5+X5+AA5+AD5</f>
        <v>0</v>
      </c>
      <c r="AH5" s="138">
        <f t="shared" ref="AH5:AH134" si="5">IF(COUNT(U5,X5,AA5,AD5)=1,(U5/T5*100),IF(COUNT(U5,X5,AA5,AD5)=2,((U5+X5)/(T5+W5)*100),IF(COUNT(U5,X5,AA5,AD5)=3,((U5+X5+AA5)/(T5+W5+Z5)*100),(AG5/AF5*100))))</f>
        <v>0</v>
      </c>
      <c r="AI5" s="101">
        <v>46113</v>
      </c>
      <c r="AJ5" s="101">
        <v>46477</v>
      </c>
      <c r="AK5" s="102" t="s">
        <v>112</v>
      </c>
      <c r="AL5" s="102" t="s">
        <v>113</v>
      </c>
      <c r="AM5" s="103" t="s">
        <v>114</v>
      </c>
      <c r="AN5" s="104">
        <v>4344000000</v>
      </c>
      <c r="AO5" s="104">
        <v>4344000000</v>
      </c>
      <c r="AP5" s="104">
        <v>4344000000</v>
      </c>
      <c r="AQ5" s="326">
        <v>0</v>
      </c>
      <c r="AR5" s="26" t="s">
        <v>115</v>
      </c>
      <c r="AS5" s="102" t="s">
        <v>112</v>
      </c>
      <c r="AT5" s="151" t="s">
        <v>116</v>
      </c>
      <c r="AU5" s="166" t="s">
        <v>2264</v>
      </c>
      <c r="AV5" s="247" t="s">
        <v>2234</v>
      </c>
      <c r="AW5" s="136" t="s">
        <v>2252</v>
      </c>
      <c r="AX5" s="136" t="s">
        <v>2342</v>
      </c>
      <c r="AY5" s="136" t="s">
        <v>2308</v>
      </c>
      <c r="BA5" s="272">
        <v>15</v>
      </c>
      <c r="BB5" s="273">
        <v>15</v>
      </c>
      <c r="BC5" s="209">
        <f>+BB5/BA5</f>
        <v>1</v>
      </c>
      <c r="BD5" s="272">
        <v>29</v>
      </c>
      <c r="BE5" s="273">
        <v>0</v>
      </c>
      <c r="BF5" s="209">
        <f>+BE5/BD5</f>
        <v>0</v>
      </c>
      <c r="BG5" s="272">
        <v>29</v>
      </c>
      <c r="BH5" s="273">
        <v>18</v>
      </c>
      <c r="BI5" s="209">
        <f>+BH5/BG5</f>
        <v>0.62068965517241381</v>
      </c>
      <c r="BJ5" s="210">
        <f>+BA5+BD5+BG5</f>
        <v>73</v>
      </c>
      <c r="BK5" s="211">
        <f>+BB5+BE5+BH5</f>
        <v>33</v>
      </c>
      <c r="BL5" s="209">
        <f>+BK5/BJ5</f>
        <v>0.45205479452054792</v>
      </c>
      <c r="BM5" s="272">
        <v>29</v>
      </c>
      <c r="BN5" s="273">
        <v>18</v>
      </c>
      <c r="BO5" s="209">
        <f>+BN5/BM5</f>
        <v>0.62068965517241381</v>
      </c>
      <c r="BP5" s="272">
        <v>29</v>
      </c>
      <c r="BQ5" s="273">
        <v>25</v>
      </c>
      <c r="BR5" s="209">
        <f>+BQ5/BP5</f>
        <v>0.86206896551724133</v>
      </c>
      <c r="BS5" s="272">
        <v>29</v>
      </c>
      <c r="BT5" s="272">
        <v>29</v>
      </c>
      <c r="BU5" s="209">
        <f>+BT5/BS5</f>
        <v>1</v>
      </c>
      <c r="BV5" s="210">
        <f>+BM5+BP5+BS5</f>
        <v>87</v>
      </c>
      <c r="BW5" s="210">
        <f>+BN5+BQ5+BT5</f>
        <v>72</v>
      </c>
      <c r="BX5" s="209">
        <f>+BW5/BV5</f>
        <v>0.82758620689655171</v>
      </c>
      <c r="BY5" s="209">
        <f>+(BK5+BW5)/R5</f>
        <v>3.6206896551724137</v>
      </c>
      <c r="BZ5" s="209">
        <f>+$BZ$2-BY5</f>
        <v>-3.6206896551724137</v>
      </c>
      <c r="CA5" s="212"/>
      <c r="CB5" s="245"/>
      <c r="CC5" s="183"/>
      <c r="CD5" s="184"/>
      <c r="CE5" s="185" t="e">
        <f>+CD5/CC5</f>
        <v>#DIV/0!</v>
      </c>
      <c r="CF5" s="183"/>
      <c r="CG5" s="184"/>
      <c r="CH5" s="185" t="e">
        <f>+CG5/CF5</f>
        <v>#DIV/0!</v>
      </c>
      <c r="CI5" s="189"/>
      <c r="CJ5" s="190"/>
      <c r="CK5" s="185" t="e">
        <f>+CJ5/CI5</f>
        <v>#DIV/0!</v>
      </c>
      <c r="CL5" s="187">
        <f>+CC5+CF5+CI5</f>
        <v>0</v>
      </c>
      <c r="CM5" s="186">
        <f>+CD5+CG5+CJ5</f>
        <v>0</v>
      </c>
      <c r="CN5" s="185" t="e">
        <f>+CM5/CL5</f>
        <v>#DIV/0!</v>
      </c>
      <c r="CO5" s="245"/>
      <c r="CP5" s="188">
        <f>+BJ5+BV5+CL5</f>
        <v>160</v>
      </c>
      <c r="CQ5" s="188">
        <f>+BK5+BW5+CM5</f>
        <v>105</v>
      </c>
      <c r="CR5" s="191">
        <f>+CQ5/CP5</f>
        <v>0.65625</v>
      </c>
      <c r="CS5" s="279">
        <f>+R5-CQ5</f>
        <v>-76</v>
      </c>
      <c r="CT5" s="245"/>
      <c r="CU5" s="188">
        <f>+CS5*$CU$3</f>
        <v>-22.8</v>
      </c>
      <c r="CV5" s="277"/>
      <c r="CW5" s="191">
        <f>+CV5/CU5</f>
        <v>0</v>
      </c>
      <c r="CX5" s="188">
        <f>+CS5*$CX$3</f>
        <v>-22.8</v>
      </c>
      <c r="CY5" s="277"/>
      <c r="CZ5" s="191">
        <f>+CY5/CX5</f>
        <v>0</v>
      </c>
      <c r="DA5" s="188">
        <f>+CS5*$DA$3</f>
        <v>-22.8</v>
      </c>
      <c r="DB5" s="277"/>
      <c r="DC5" s="191">
        <f>+DB5/DA5</f>
        <v>0</v>
      </c>
      <c r="DD5" s="188">
        <f>+CS5*$DD$3</f>
        <v>-7.6000000000000005</v>
      </c>
      <c r="DE5" s="277"/>
      <c r="DF5" s="191">
        <f>+DE5/DD5</f>
        <v>0</v>
      </c>
      <c r="DG5" s="245"/>
      <c r="DH5" s="188">
        <f>R5</f>
        <v>29</v>
      </c>
      <c r="DI5" s="188">
        <f>+CQ5+CV5+CY5+DB5+DE5</f>
        <v>105</v>
      </c>
      <c r="DJ5" s="191">
        <f>+DI5/DH5</f>
        <v>3.6206896551724137</v>
      </c>
      <c r="DK5" s="286">
        <f>+DH5-DI5</f>
        <v>-76</v>
      </c>
      <c r="DL5" s="260">
        <v>1</v>
      </c>
      <c r="DM5" s="244">
        <f>+A5-DL5</f>
        <v>0</v>
      </c>
    </row>
    <row r="6" spans="1:117" x14ac:dyDescent="0.35">
      <c r="A6" s="262">
        <v>2</v>
      </c>
      <c r="B6" s="26" t="s">
        <v>117</v>
      </c>
      <c r="C6" s="26" t="s">
        <v>118</v>
      </c>
      <c r="D6" s="26" t="s">
        <v>119</v>
      </c>
      <c r="E6" s="26" t="s">
        <v>120</v>
      </c>
      <c r="F6" s="26" t="s">
        <v>121</v>
      </c>
      <c r="G6" s="26" t="s">
        <v>122</v>
      </c>
      <c r="H6" s="26" t="s">
        <v>123</v>
      </c>
      <c r="I6" s="26" t="s">
        <v>124</v>
      </c>
      <c r="J6" s="26" t="s">
        <v>125</v>
      </c>
      <c r="K6" s="132" t="s">
        <v>104</v>
      </c>
      <c r="L6" s="132" t="s">
        <v>105</v>
      </c>
      <c r="M6" s="26" t="s">
        <v>106</v>
      </c>
      <c r="N6" s="26" t="s">
        <v>126</v>
      </c>
      <c r="O6" s="26" t="s">
        <v>127</v>
      </c>
      <c r="P6" s="106" t="s">
        <v>128</v>
      </c>
      <c r="Q6" s="98" t="s">
        <v>129</v>
      </c>
      <c r="R6" s="301">
        <v>397</v>
      </c>
      <c r="S6" s="99" t="s">
        <v>111</v>
      </c>
      <c r="T6" s="100">
        <v>66</v>
      </c>
      <c r="U6" s="81">
        <v>66</v>
      </c>
      <c r="V6" s="25">
        <f t="shared" si="0"/>
        <v>100</v>
      </c>
      <c r="W6" s="81">
        <v>131</v>
      </c>
      <c r="X6" s="81">
        <v>159</v>
      </c>
      <c r="Y6" s="25">
        <f t="shared" si="1"/>
        <v>121.37404580152671</v>
      </c>
      <c r="Z6" s="81">
        <v>100</v>
      </c>
      <c r="AA6" s="81"/>
      <c r="AB6" s="25">
        <f t="shared" si="2"/>
        <v>0</v>
      </c>
      <c r="AC6" s="81">
        <v>100</v>
      </c>
      <c r="AD6" s="81"/>
      <c r="AE6" s="25">
        <f t="shared" si="3"/>
        <v>0</v>
      </c>
      <c r="AF6" s="140">
        <f t="shared" ref="AF6:AF23" si="6">R6</f>
        <v>397</v>
      </c>
      <c r="AG6" s="140">
        <f t="shared" si="4"/>
        <v>225</v>
      </c>
      <c r="AH6" s="138">
        <f t="shared" si="5"/>
        <v>114.21319796954315</v>
      </c>
      <c r="AI6" s="101">
        <v>46113</v>
      </c>
      <c r="AJ6" s="101">
        <v>46477</v>
      </c>
      <c r="AK6" s="102" t="s">
        <v>112</v>
      </c>
      <c r="AL6" s="102" t="s">
        <v>113</v>
      </c>
      <c r="AM6" s="103" t="s">
        <v>114</v>
      </c>
      <c r="AN6" s="324"/>
      <c r="AO6" s="324"/>
      <c r="AP6" s="324"/>
      <c r="AQ6" s="326"/>
      <c r="AR6" s="26" t="s">
        <v>130</v>
      </c>
      <c r="AS6" s="102" t="s">
        <v>112</v>
      </c>
      <c r="AT6" s="152" t="s">
        <v>131</v>
      </c>
      <c r="AU6" s="166" t="s">
        <v>2264</v>
      </c>
      <c r="AV6" s="247" t="s">
        <v>2234</v>
      </c>
      <c r="AW6" s="136" t="s">
        <v>2258</v>
      </c>
      <c r="AX6" s="136" t="s">
        <v>2347</v>
      </c>
      <c r="AY6" s="136" t="s">
        <v>2376</v>
      </c>
      <c r="BA6" s="272"/>
      <c r="BB6" s="273"/>
      <c r="BC6" s="209" t="e">
        <f t="shared" ref="BC6:BC69" si="7">+BB6/BA6</f>
        <v>#DIV/0!</v>
      </c>
      <c r="BD6" s="272"/>
      <c r="BE6" s="273"/>
      <c r="BF6" s="209" t="e">
        <f t="shared" ref="BF6:BF69" si="8">+BE6/BD6</f>
        <v>#DIV/0!</v>
      </c>
      <c r="BG6" s="272"/>
      <c r="BH6" s="273"/>
      <c r="BI6" s="209" t="e">
        <f t="shared" ref="BI6:BI69" si="9">+BH6/BG6</f>
        <v>#DIV/0!</v>
      </c>
      <c r="BJ6" s="210">
        <f t="shared" ref="BJ6:BJ69" si="10">+BA6+BD6+BG6</f>
        <v>0</v>
      </c>
      <c r="BK6" s="211">
        <f t="shared" ref="BK6:BK69" si="11">+BB6+BE6+BH6</f>
        <v>0</v>
      </c>
      <c r="BL6" s="209" t="e">
        <f t="shared" ref="BL6:BL69" si="12">+BK6/BJ6</f>
        <v>#DIV/0!</v>
      </c>
      <c r="BM6" s="272"/>
      <c r="BN6" s="273"/>
      <c r="BO6" s="209" t="e">
        <f t="shared" ref="BO6:BO23" si="13">+BN6/BM6</f>
        <v>#DIV/0!</v>
      </c>
      <c r="BP6" s="272"/>
      <c r="BQ6" s="273"/>
      <c r="BR6" s="209" t="e">
        <f t="shared" ref="BR6:BR23" si="14">+BQ6/BP6</f>
        <v>#DIV/0!</v>
      </c>
      <c r="BS6" s="272"/>
      <c r="BT6" s="272"/>
      <c r="BU6" s="209" t="e">
        <f t="shared" ref="BU6:BU23" si="15">+BT6/BS6</f>
        <v>#DIV/0!</v>
      </c>
      <c r="BV6" s="210">
        <f t="shared" ref="BV6:BV69" si="16">+BM6+BP6+BS6</f>
        <v>0</v>
      </c>
      <c r="BW6" s="210">
        <f t="shared" ref="BW6:BW69" si="17">+BN6+BQ6+BT6</f>
        <v>0</v>
      </c>
      <c r="BX6" s="209" t="e">
        <f t="shared" ref="BX6:BX69" si="18">+BW6/BV6</f>
        <v>#DIV/0!</v>
      </c>
      <c r="BY6" s="209">
        <f t="shared" ref="BY6:BY69" si="19">+(BK6+BW6)/R6</f>
        <v>0</v>
      </c>
      <c r="BZ6" s="209">
        <f t="shared" ref="BZ6:BZ69" si="20">+$BZ$2-BY6</f>
        <v>0</v>
      </c>
      <c r="CA6" s="212"/>
      <c r="CB6" s="245"/>
      <c r="CC6" s="183"/>
      <c r="CD6" s="184"/>
      <c r="CE6" s="185" t="e">
        <f t="shared" ref="CE6:CE22" si="21">+CD6/CC6</f>
        <v>#DIV/0!</v>
      </c>
      <c r="CF6" s="183"/>
      <c r="CG6" s="184"/>
      <c r="CH6" s="185" t="e">
        <f t="shared" ref="CH6:CH22" si="22">+CG6/CF6</f>
        <v>#DIV/0!</v>
      </c>
      <c r="CI6" s="189"/>
      <c r="CJ6" s="190"/>
      <c r="CK6" s="185" t="e">
        <f t="shared" ref="CK6:CK22" si="23">+CJ6/CI6</f>
        <v>#DIV/0!</v>
      </c>
      <c r="CL6" s="186">
        <f t="shared" ref="CL6:CM23" si="24">+CC6+CF6+CI6</f>
        <v>0</v>
      </c>
      <c r="CM6" s="186">
        <f t="shared" si="24"/>
        <v>0</v>
      </c>
      <c r="CN6" s="185" t="e">
        <f t="shared" ref="CN6:CN23" si="25">+CM6/CL6</f>
        <v>#DIV/0!</v>
      </c>
      <c r="CO6" s="245"/>
      <c r="CP6" s="188">
        <f t="shared" ref="CP6:CQ23" si="26">+BJ6+BV6+CL6</f>
        <v>0</v>
      </c>
      <c r="CQ6" s="188">
        <f t="shared" si="26"/>
        <v>0</v>
      </c>
      <c r="CR6" s="191" t="e">
        <f t="shared" ref="CR6:CR23" si="27">+CQ6/CP6</f>
        <v>#DIV/0!</v>
      </c>
      <c r="CS6" s="279">
        <f t="shared" ref="CS6:CS69" si="28">+R6-CQ6</f>
        <v>397</v>
      </c>
      <c r="CT6" s="245"/>
      <c r="CU6" s="188">
        <f t="shared" ref="CU6:CU69" si="29">+CS6*$CU$3</f>
        <v>119.1</v>
      </c>
      <c r="CV6" s="277"/>
      <c r="CW6" s="191">
        <f t="shared" ref="CW6:CW69" si="30">+CV6/CU6</f>
        <v>0</v>
      </c>
      <c r="CX6" s="188">
        <f t="shared" ref="CX6:CX69" si="31">+CS6*$CX$3</f>
        <v>119.1</v>
      </c>
      <c r="CY6" s="277"/>
      <c r="CZ6" s="191">
        <f t="shared" ref="CZ6:CZ69" si="32">+CY6/CX6</f>
        <v>0</v>
      </c>
      <c r="DA6" s="188">
        <f t="shared" ref="DA6:DA69" si="33">+CS6*$DA$3</f>
        <v>119.1</v>
      </c>
      <c r="DB6" s="277"/>
      <c r="DC6" s="191">
        <f t="shared" ref="DC6:DC69" si="34">+DB6/DA6</f>
        <v>0</v>
      </c>
      <c r="DD6" s="188">
        <f t="shared" ref="DD6:DD69" si="35">+CS6*$DD$3</f>
        <v>39.700000000000003</v>
      </c>
      <c r="DE6" s="277"/>
      <c r="DF6" s="191">
        <f t="shared" ref="DF6:DF69" si="36">+DE6/DD6</f>
        <v>0</v>
      </c>
      <c r="DG6" s="245"/>
      <c r="DH6" s="188">
        <f t="shared" ref="DH6:DH69" si="37">R6</f>
        <v>397</v>
      </c>
      <c r="DI6" s="188">
        <f t="shared" ref="DI6:DI69" si="38">+CQ6+CV6+CY6+DB6+DE6</f>
        <v>0</v>
      </c>
      <c r="DJ6" s="191">
        <f t="shared" ref="DJ6:DJ69" si="39">+DI6/DH6</f>
        <v>0</v>
      </c>
      <c r="DK6" s="286">
        <f t="shared" ref="DK6:DK69" si="40">+DH6-DI6</f>
        <v>397</v>
      </c>
      <c r="DL6" s="261">
        <v>2</v>
      </c>
      <c r="DM6" s="244">
        <f>+A6-DL6</f>
        <v>0</v>
      </c>
    </row>
    <row r="7" spans="1:117" x14ac:dyDescent="0.35">
      <c r="A7" s="262">
        <v>3</v>
      </c>
      <c r="B7" s="26" t="s">
        <v>132</v>
      </c>
      <c r="C7" s="26" t="s">
        <v>133</v>
      </c>
      <c r="D7" s="26" t="s">
        <v>119</v>
      </c>
      <c r="E7" s="26" t="s">
        <v>134</v>
      </c>
      <c r="F7" s="26" t="s">
        <v>135</v>
      </c>
      <c r="G7" s="26" t="s">
        <v>136</v>
      </c>
      <c r="H7" s="26" t="s">
        <v>137</v>
      </c>
      <c r="I7" s="26" t="s">
        <v>138</v>
      </c>
      <c r="J7" s="26" t="s">
        <v>139</v>
      </c>
      <c r="K7" s="132" t="s">
        <v>104</v>
      </c>
      <c r="L7" s="132" t="s">
        <v>105</v>
      </c>
      <c r="M7" s="26" t="s">
        <v>106</v>
      </c>
      <c r="N7" s="26" t="s">
        <v>140</v>
      </c>
      <c r="O7" s="26" t="s">
        <v>127</v>
      </c>
      <c r="P7" s="257" t="s">
        <v>141</v>
      </c>
      <c r="Q7" s="98" t="s">
        <v>129</v>
      </c>
      <c r="R7" s="301">
        <v>1</v>
      </c>
      <c r="S7" s="99" t="s">
        <v>111</v>
      </c>
      <c r="T7" s="100">
        <v>1</v>
      </c>
      <c r="U7" s="81">
        <v>1</v>
      </c>
      <c r="V7" s="25">
        <f t="shared" si="0"/>
        <v>100</v>
      </c>
      <c r="W7" s="81">
        <v>0</v>
      </c>
      <c r="X7" s="81">
        <v>0</v>
      </c>
      <c r="Y7" s="25" t="e">
        <f t="shared" si="1"/>
        <v>#DIV/0!</v>
      </c>
      <c r="Z7" s="81">
        <v>0</v>
      </c>
      <c r="AA7" s="81">
        <v>0</v>
      </c>
      <c r="AB7" s="25" t="e">
        <f t="shared" si="2"/>
        <v>#DIV/0!</v>
      </c>
      <c r="AC7" s="81">
        <v>0</v>
      </c>
      <c r="AD7" s="81">
        <v>0</v>
      </c>
      <c r="AE7" s="25" t="e">
        <f t="shared" si="3"/>
        <v>#DIV/0!</v>
      </c>
      <c r="AF7" s="140">
        <f t="shared" si="6"/>
        <v>1</v>
      </c>
      <c r="AG7" s="140">
        <f t="shared" si="4"/>
        <v>1</v>
      </c>
      <c r="AH7" s="138">
        <f t="shared" si="5"/>
        <v>100</v>
      </c>
      <c r="AI7" s="101">
        <v>46113</v>
      </c>
      <c r="AJ7" s="101">
        <v>46477</v>
      </c>
      <c r="AK7" s="102" t="s">
        <v>112</v>
      </c>
      <c r="AL7" s="102" t="s">
        <v>113</v>
      </c>
      <c r="AM7" s="103" t="s">
        <v>114</v>
      </c>
      <c r="AN7" s="104">
        <v>30000000</v>
      </c>
      <c r="AO7" s="104">
        <v>30000000</v>
      </c>
      <c r="AP7" s="104">
        <v>30000000</v>
      </c>
      <c r="AQ7" s="105">
        <f>AO7</f>
        <v>30000000</v>
      </c>
      <c r="AR7" s="26" t="s">
        <v>130</v>
      </c>
      <c r="AS7" s="102" t="s">
        <v>112</v>
      </c>
      <c r="AT7" s="152" t="s">
        <v>131</v>
      </c>
      <c r="AU7" s="166" t="s">
        <v>2264</v>
      </c>
      <c r="AV7" s="247" t="s">
        <v>2234</v>
      </c>
      <c r="AW7" s="136" t="s">
        <v>2258</v>
      </c>
      <c r="AX7" s="136" t="s">
        <v>2347</v>
      </c>
      <c r="AY7" s="136" t="s">
        <v>2376</v>
      </c>
      <c r="BA7" s="272">
        <v>0</v>
      </c>
      <c r="BB7" s="273">
        <v>0</v>
      </c>
      <c r="BC7" s="209" t="e">
        <f t="shared" si="7"/>
        <v>#DIV/0!</v>
      </c>
      <c r="BD7" s="272">
        <v>0</v>
      </c>
      <c r="BE7" s="273">
        <v>0</v>
      </c>
      <c r="BF7" s="209" t="e">
        <f t="shared" si="8"/>
        <v>#DIV/0!</v>
      </c>
      <c r="BG7" s="272">
        <v>29</v>
      </c>
      <c r="BH7" s="273">
        <v>29</v>
      </c>
      <c r="BI7" s="209">
        <f t="shared" si="9"/>
        <v>1</v>
      </c>
      <c r="BJ7" s="210">
        <f t="shared" si="10"/>
        <v>29</v>
      </c>
      <c r="BK7" s="211">
        <f t="shared" si="11"/>
        <v>29</v>
      </c>
      <c r="BL7" s="209">
        <f t="shared" si="12"/>
        <v>1</v>
      </c>
      <c r="BM7" s="272"/>
      <c r="BN7" s="273"/>
      <c r="BO7" s="209" t="e">
        <f t="shared" si="13"/>
        <v>#DIV/0!</v>
      </c>
      <c r="BP7" s="272"/>
      <c r="BQ7" s="273"/>
      <c r="BR7" s="209" t="e">
        <f t="shared" si="14"/>
        <v>#DIV/0!</v>
      </c>
      <c r="BS7" s="272"/>
      <c r="BT7" s="272"/>
      <c r="BU7" s="209" t="e">
        <f t="shared" si="15"/>
        <v>#DIV/0!</v>
      </c>
      <c r="BV7" s="210">
        <f t="shared" si="16"/>
        <v>0</v>
      </c>
      <c r="BW7" s="210">
        <f t="shared" si="17"/>
        <v>0</v>
      </c>
      <c r="BX7" s="209" t="e">
        <f t="shared" si="18"/>
        <v>#DIV/0!</v>
      </c>
      <c r="BY7" s="209">
        <f t="shared" si="19"/>
        <v>29</v>
      </c>
      <c r="BZ7" s="209">
        <f t="shared" si="20"/>
        <v>-29</v>
      </c>
      <c r="CA7" s="212"/>
      <c r="CB7" s="245"/>
      <c r="CC7" s="183"/>
      <c r="CD7" s="184"/>
      <c r="CE7" s="185" t="e">
        <f t="shared" si="21"/>
        <v>#DIV/0!</v>
      </c>
      <c r="CF7" s="183"/>
      <c r="CG7" s="184"/>
      <c r="CH7" s="185" t="e">
        <f t="shared" si="22"/>
        <v>#DIV/0!</v>
      </c>
      <c r="CI7" s="189"/>
      <c r="CJ7" s="190"/>
      <c r="CK7" s="185" t="e">
        <f t="shared" si="23"/>
        <v>#DIV/0!</v>
      </c>
      <c r="CL7" s="186">
        <f t="shared" si="24"/>
        <v>0</v>
      </c>
      <c r="CM7" s="186">
        <f t="shared" si="24"/>
        <v>0</v>
      </c>
      <c r="CN7" s="185" t="e">
        <f t="shared" si="25"/>
        <v>#DIV/0!</v>
      </c>
      <c r="CO7" s="245"/>
      <c r="CP7" s="188">
        <f t="shared" si="26"/>
        <v>29</v>
      </c>
      <c r="CQ7" s="188">
        <f t="shared" si="26"/>
        <v>29</v>
      </c>
      <c r="CR7" s="191">
        <f t="shared" si="27"/>
        <v>1</v>
      </c>
      <c r="CS7" s="279">
        <f t="shared" si="28"/>
        <v>-28</v>
      </c>
      <c r="CT7" s="245"/>
      <c r="CU7" s="188">
        <f t="shared" si="29"/>
        <v>-8.4</v>
      </c>
      <c r="CV7" s="277"/>
      <c r="CW7" s="191">
        <f t="shared" si="30"/>
        <v>0</v>
      </c>
      <c r="CX7" s="188">
        <f t="shared" si="31"/>
        <v>-8.4</v>
      </c>
      <c r="CY7" s="277"/>
      <c r="CZ7" s="191">
        <f t="shared" si="32"/>
        <v>0</v>
      </c>
      <c r="DA7" s="188">
        <f t="shared" si="33"/>
        <v>-8.4</v>
      </c>
      <c r="DB7" s="277"/>
      <c r="DC7" s="191">
        <f t="shared" si="34"/>
        <v>0</v>
      </c>
      <c r="DD7" s="188">
        <f t="shared" si="35"/>
        <v>-2.8000000000000003</v>
      </c>
      <c r="DE7" s="277"/>
      <c r="DF7" s="191">
        <f t="shared" si="36"/>
        <v>0</v>
      </c>
      <c r="DG7" s="245"/>
      <c r="DH7" s="188">
        <f t="shared" si="37"/>
        <v>1</v>
      </c>
      <c r="DI7" s="188">
        <f t="shared" si="38"/>
        <v>29</v>
      </c>
      <c r="DJ7" s="191">
        <f t="shared" si="39"/>
        <v>29</v>
      </c>
      <c r="DK7" s="286">
        <f t="shared" si="40"/>
        <v>-28</v>
      </c>
      <c r="DL7" s="261">
        <v>3</v>
      </c>
      <c r="DM7" s="244">
        <f>+A7-DL7</f>
        <v>0</v>
      </c>
    </row>
    <row r="8" spans="1:117" x14ac:dyDescent="0.35">
      <c r="A8" s="262">
        <v>4</v>
      </c>
      <c r="B8" s="26" t="s">
        <v>132</v>
      </c>
      <c r="C8" s="26" t="s">
        <v>133</v>
      </c>
      <c r="D8" s="26" t="s">
        <v>119</v>
      </c>
      <c r="E8" s="26" t="s">
        <v>142</v>
      </c>
      <c r="F8" s="26" t="s">
        <v>143</v>
      </c>
      <c r="G8" s="26" t="s">
        <v>144</v>
      </c>
      <c r="H8" s="26" t="s">
        <v>145</v>
      </c>
      <c r="I8" s="26" t="s">
        <v>146</v>
      </c>
      <c r="J8" s="26" t="s">
        <v>147</v>
      </c>
      <c r="K8" s="132" t="s">
        <v>104</v>
      </c>
      <c r="L8" s="132" t="s">
        <v>105</v>
      </c>
      <c r="M8" s="26" t="s">
        <v>106</v>
      </c>
      <c r="N8" s="26" t="s">
        <v>148</v>
      </c>
      <c r="O8" s="26" t="s">
        <v>127</v>
      </c>
      <c r="P8" s="257" t="s">
        <v>149</v>
      </c>
      <c r="Q8" s="98" t="s">
        <v>129</v>
      </c>
      <c r="R8" s="301">
        <v>1</v>
      </c>
      <c r="S8" s="99" t="s">
        <v>111</v>
      </c>
      <c r="T8" s="100">
        <v>0</v>
      </c>
      <c r="U8" s="81">
        <v>0</v>
      </c>
      <c r="V8" s="25" t="e">
        <f t="shared" si="0"/>
        <v>#DIV/0!</v>
      </c>
      <c r="W8" s="81">
        <v>1</v>
      </c>
      <c r="X8" s="81">
        <v>1</v>
      </c>
      <c r="Y8" s="25">
        <f t="shared" si="1"/>
        <v>100</v>
      </c>
      <c r="Z8" s="81"/>
      <c r="AA8" s="81"/>
      <c r="AB8" s="25" t="e">
        <f t="shared" si="2"/>
        <v>#DIV/0!</v>
      </c>
      <c r="AC8" s="81">
        <v>0</v>
      </c>
      <c r="AD8" s="81"/>
      <c r="AE8" s="25" t="e">
        <f t="shared" si="3"/>
        <v>#DIV/0!</v>
      </c>
      <c r="AF8" s="140">
        <f t="shared" si="6"/>
        <v>1</v>
      </c>
      <c r="AG8" s="140">
        <f t="shared" si="4"/>
        <v>1</v>
      </c>
      <c r="AH8" s="138">
        <f t="shared" si="5"/>
        <v>100</v>
      </c>
      <c r="AI8" s="101">
        <v>46113</v>
      </c>
      <c r="AJ8" s="101">
        <v>46477</v>
      </c>
      <c r="AK8" s="102" t="s">
        <v>112</v>
      </c>
      <c r="AL8" s="102" t="s">
        <v>113</v>
      </c>
      <c r="AM8" s="103" t="s">
        <v>114</v>
      </c>
      <c r="AN8" s="104">
        <v>30000000</v>
      </c>
      <c r="AO8" s="104">
        <v>30000000</v>
      </c>
      <c r="AP8" s="104">
        <v>30000000</v>
      </c>
      <c r="AQ8" s="105">
        <f>AO8</f>
        <v>30000000</v>
      </c>
      <c r="AR8" s="26" t="s">
        <v>130</v>
      </c>
      <c r="AS8" s="102" t="s">
        <v>112</v>
      </c>
      <c r="AT8" s="152" t="s">
        <v>131</v>
      </c>
      <c r="AU8" s="166" t="s">
        <v>2264</v>
      </c>
      <c r="AV8" s="247" t="s">
        <v>2234</v>
      </c>
      <c r="AW8" s="136" t="s">
        <v>2258</v>
      </c>
      <c r="AX8" s="136" t="s">
        <v>2347</v>
      </c>
      <c r="AY8" s="136" t="s">
        <v>2376</v>
      </c>
      <c r="BA8" s="272"/>
      <c r="BB8" s="273"/>
      <c r="BC8" s="209" t="e">
        <f t="shared" si="7"/>
        <v>#DIV/0!</v>
      </c>
      <c r="BD8" s="272"/>
      <c r="BE8" s="273"/>
      <c r="BF8" s="209" t="e">
        <f t="shared" si="8"/>
        <v>#DIV/0!</v>
      </c>
      <c r="BG8" s="272"/>
      <c r="BH8" s="273"/>
      <c r="BI8" s="209" t="e">
        <f t="shared" si="9"/>
        <v>#DIV/0!</v>
      </c>
      <c r="BJ8" s="210">
        <f t="shared" si="10"/>
        <v>0</v>
      </c>
      <c r="BK8" s="211">
        <f t="shared" si="11"/>
        <v>0</v>
      </c>
      <c r="BL8" s="209" t="e">
        <f t="shared" si="12"/>
        <v>#DIV/0!</v>
      </c>
      <c r="BM8" s="272">
        <v>29</v>
      </c>
      <c r="BN8" s="273">
        <v>29</v>
      </c>
      <c r="BO8" s="209">
        <f t="shared" si="13"/>
        <v>1</v>
      </c>
      <c r="BP8" s="272"/>
      <c r="BQ8" s="273"/>
      <c r="BR8" s="209" t="e">
        <f t="shared" si="14"/>
        <v>#DIV/0!</v>
      </c>
      <c r="BS8" s="272"/>
      <c r="BT8" s="272"/>
      <c r="BU8" s="209" t="e">
        <f t="shared" si="15"/>
        <v>#DIV/0!</v>
      </c>
      <c r="BV8" s="210">
        <f t="shared" si="16"/>
        <v>29</v>
      </c>
      <c r="BW8" s="210">
        <f t="shared" si="17"/>
        <v>29</v>
      </c>
      <c r="BX8" s="209">
        <f t="shared" si="18"/>
        <v>1</v>
      </c>
      <c r="BY8" s="209">
        <f t="shared" si="19"/>
        <v>29</v>
      </c>
      <c r="BZ8" s="209">
        <f t="shared" si="20"/>
        <v>-29</v>
      </c>
      <c r="CA8" s="212"/>
      <c r="CB8" s="245"/>
      <c r="CC8" s="183"/>
      <c r="CD8" s="184"/>
      <c r="CE8" s="185" t="e">
        <f t="shared" si="21"/>
        <v>#DIV/0!</v>
      </c>
      <c r="CF8" s="183"/>
      <c r="CG8" s="184"/>
      <c r="CH8" s="185" t="e">
        <f t="shared" si="22"/>
        <v>#DIV/0!</v>
      </c>
      <c r="CI8" s="189"/>
      <c r="CJ8" s="190"/>
      <c r="CK8" s="185" t="e">
        <f t="shared" si="23"/>
        <v>#DIV/0!</v>
      </c>
      <c r="CL8" s="186">
        <f t="shared" si="24"/>
        <v>0</v>
      </c>
      <c r="CM8" s="186">
        <f t="shared" si="24"/>
        <v>0</v>
      </c>
      <c r="CN8" s="185" t="e">
        <f t="shared" si="25"/>
        <v>#DIV/0!</v>
      </c>
      <c r="CO8" s="245"/>
      <c r="CP8" s="188">
        <f t="shared" si="26"/>
        <v>29</v>
      </c>
      <c r="CQ8" s="188">
        <f t="shared" si="26"/>
        <v>29</v>
      </c>
      <c r="CR8" s="191">
        <f t="shared" si="27"/>
        <v>1</v>
      </c>
      <c r="CS8" s="279">
        <f t="shared" si="28"/>
        <v>-28</v>
      </c>
      <c r="CT8" s="245"/>
      <c r="CU8" s="188">
        <f t="shared" si="29"/>
        <v>-8.4</v>
      </c>
      <c r="CV8" s="277"/>
      <c r="CW8" s="191">
        <f t="shared" si="30"/>
        <v>0</v>
      </c>
      <c r="CX8" s="188">
        <f t="shared" si="31"/>
        <v>-8.4</v>
      </c>
      <c r="CY8" s="277"/>
      <c r="CZ8" s="191">
        <f t="shared" si="32"/>
        <v>0</v>
      </c>
      <c r="DA8" s="188">
        <f t="shared" si="33"/>
        <v>-8.4</v>
      </c>
      <c r="DB8" s="277"/>
      <c r="DC8" s="191">
        <f t="shared" si="34"/>
        <v>0</v>
      </c>
      <c r="DD8" s="188">
        <f t="shared" si="35"/>
        <v>-2.8000000000000003</v>
      </c>
      <c r="DE8" s="277"/>
      <c r="DF8" s="191">
        <f t="shared" si="36"/>
        <v>0</v>
      </c>
      <c r="DG8" s="245"/>
      <c r="DH8" s="188">
        <f t="shared" si="37"/>
        <v>1</v>
      </c>
      <c r="DI8" s="188">
        <f t="shared" si="38"/>
        <v>29</v>
      </c>
      <c r="DJ8" s="191">
        <f t="shared" si="39"/>
        <v>29</v>
      </c>
      <c r="DK8" s="286">
        <f t="shared" si="40"/>
        <v>-28</v>
      </c>
      <c r="DL8" s="261">
        <v>4</v>
      </c>
      <c r="DM8" s="244">
        <f>+A8-DL8</f>
        <v>0</v>
      </c>
    </row>
    <row r="9" spans="1:117" x14ac:dyDescent="0.35">
      <c r="A9" s="263">
        <v>5</v>
      </c>
      <c r="B9" s="102" t="s">
        <v>150</v>
      </c>
      <c r="C9" s="102" t="s">
        <v>133</v>
      </c>
      <c r="D9" s="102" t="s">
        <v>119</v>
      </c>
      <c r="E9" s="102" t="s">
        <v>134</v>
      </c>
      <c r="F9" s="102" t="s">
        <v>151</v>
      </c>
      <c r="G9" s="98" t="s">
        <v>144</v>
      </c>
      <c r="H9" s="98" t="s">
        <v>152</v>
      </c>
      <c r="I9" s="98" t="s">
        <v>153</v>
      </c>
      <c r="J9" s="98" t="s">
        <v>153</v>
      </c>
      <c r="K9" s="96" t="s">
        <v>104</v>
      </c>
      <c r="L9" s="96" t="s">
        <v>105</v>
      </c>
      <c r="M9" s="98" t="s">
        <v>106</v>
      </c>
      <c r="N9" s="98" t="s">
        <v>126</v>
      </c>
      <c r="O9" s="98" t="s">
        <v>127</v>
      </c>
      <c r="P9" s="258" t="s">
        <v>154</v>
      </c>
      <c r="Q9" s="98" t="s">
        <v>129</v>
      </c>
      <c r="R9" s="301">
        <v>1</v>
      </c>
      <c r="S9" s="99" t="s">
        <v>111</v>
      </c>
      <c r="T9" s="81">
        <v>0</v>
      </c>
      <c r="U9" s="81">
        <v>0</v>
      </c>
      <c r="V9" s="25" t="e">
        <f t="shared" ref="V9:V24" si="41">U9/T9*100</f>
        <v>#DIV/0!</v>
      </c>
      <c r="W9" s="81">
        <v>1</v>
      </c>
      <c r="X9" s="81">
        <v>1</v>
      </c>
      <c r="Y9" s="25">
        <f t="shared" si="1"/>
        <v>100</v>
      </c>
      <c r="Z9" s="81">
        <v>0</v>
      </c>
      <c r="AA9" s="81"/>
      <c r="AB9" s="25" t="e">
        <f t="shared" si="2"/>
        <v>#DIV/0!</v>
      </c>
      <c r="AC9" s="81">
        <v>0</v>
      </c>
      <c r="AD9" s="81"/>
      <c r="AE9" s="25" t="e">
        <f t="shared" si="3"/>
        <v>#DIV/0!</v>
      </c>
      <c r="AF9" s="140">
        <f t="shared" si="6"/>
        <v>1</v>
      </c>
      <c r="AG9" s="140">
        <f t="shared" si="4"/>
        <v>1</v>
      </c>
      <c r="AH9" s="138">
        <f t="shared" si="5"/>
        <v>100</v>
      </c>
      <c r="AI9" s="101">
        <v>46113</v>
      </c>
      <c r="AJ9" s="101">
        <v>46477</v>
      </c>
      <c r="AK9" s="102" t="s">
        <v>112</v>
      </c>
      <c r="AL9" s="102" t="s">
        <v>113</v>
      </c>
      <c r="AM9" s="103" t="s">
        <v>114</v>
      </c>
      <c r="AN9" s="104">
        <v>30000000</v>
      </c>
      <c r="AO9" s="104">
        <v>30000000</v>
      </c>
      <c r="AP9" s="104">
        <v>30000000</v>
      </c>
      <c r="AQ9" s="105">
        <f>AO9</f>
        <v>30000000</v>
      </c>
      <c r="AR9" s="102" t="s">
        <v>115</v>
      </c>
      <c r="AS9" s="102" t="s">
        <v>112</v>
      </c>
      <c r="AT9" s="152" t="s">
        <v>131</v>
      </c>
      <c r="AU9" s="166" t="s">
        <v>2264</v>
      </c>
      <c r="AV9" s="247" t="s">
        <v>2234</v>
      </c>
      <c r="AW9" s="136" t="s">
        <v>2258</v>
      </c>
      <c r="AX9" s="136" t="s">
        <v>2347</v>
      </c>
      <c r="AY9" s="136" t="s">
        <v>2376</v>
      </c>
      <c r="BA9" s="272"/>
      <c r="BB9" s="273"/>
      <c r="BC9" s="209" t="e">
        <f t="shared" si="7"/>
        <v>#DIV/0!</v>
      </c>
      <c r="BD9" s="272"/>
      <c r="BE9" s="273"/>
      <c r="BF9" s="209" t="e">
        <f t="shared" si="8"/>
        <v>#DIV/0!</v>
      </c>
      <c r="BG9" s="272"/>
      <c r="BH9" s="273"/>
      <c r="BI9" s="209" t="e">
        <f t="shared" si="9"/>
        <v>#DIV/0!</v>
      </c>
      <c r="BJ9" s="210">
        <f t="shared" si="10"/>
        <v>0</v>
      </c>
      <c r="BK9" s="211">
        <f t="shared" si="11"/>
        <v>0</v>
      </c>
      <c r="BL9" s="209" t="e">
        <f t="shared" si="12"/>
        <v>#DIV/0!</v>
      </c>
      <c r="BM9" s="272"/>
      <c r="BN9" s="273"/>
      <c r="BO9" s="209" t="e">
        <f t="shared" si="13"/>
        <v>#DIV/0!</v>
      </c>
      <c r="BP9" s="272"/>
      <c r="BQ9" s="273"/>
      <c r="BR9" s="209" t="e">
        <f t="shared" si="14"/>
        <v>#DIV/0!</v>
      </c>
      <c r="BS9" s="272">
        <v>29</v>
      </c>
      <c r="BT9" s="272">
        <v>29</v>
      </c>
      <c r="BU9" s="209">
        <f t="shared" si="15"/>
        <v>1</v>
      </c>
      <c r="BV9" s="210">
        <f t="shared" si="16"/>
        <v>29</v>
      </c>
      <c r="BW9" s="210">
        <f t="shared" si="17"/>
        <v>29</v>
      </c>
      <c r="BX9" s="209">
        <f t="shared" si="18"/>
        <v>1</v>
      </c>
      <c r="BY9" s="209">
        <f t="shared" si="19"/>
        <v>29</v>
      </c>
      <c r="BZ9" s="209">
        <f t="shared" si="20"/>
        <v>-29</v>
      </c>
      <c r="CA9" s="212"/>
      <c r="CB9" s="245"/>
      <c r="CC9" s="183"/>
      <c r="CD9" s="184"/>
      <c r="CE9" s="185" t="e">
        <f t="shared" si="21"/>
        <v>#DIV/0!</v>
      </c>
      <c r="CF9" s="183"/>
      <c r="CG9" s="184"/>
      <c r="CH9" s="185" t="e">
        <f t="shared" si="22"/>
        <v>#DIV/0!</v>
      </c>
      <c r="CI9" s="189"/>
      <c r="CJ9" s="190"/>
      <c r="CK9" s="185" t="e">
        <f t="shared" si="23"/>
        <v>#DIV/0!</v>
      </c>
      <c r="CL9" s="186">
        <f t="shared" si="24"/>
        <v>0</v>
      </c>
      <c r="CM9" s="186">
        <f t="shared" si="24"/>
        <v>0</v>
      </c>
      <c r="CN9" s="185" t="e">
        <f t="shared" si="25"/>
        <v>#DIV/0!</v>
      </c>
      <c r="CO9" s="245"/>
      <c r="CP9" s="188">
        <f t="shared" si="26"/>
        <v>29</v>
      </c>
      <c r="CQ9" s="188">
        <f t="shared" si="26"/>
        <v>29</v>
      </c>
      <c r="CR9" s="191">
        <f t="shared" si="27"/>
        <v>1</v>
      </c>
      <c r="CS9" s="279">
        <f t="shared" si="28"/>
        <v>-28</v>
      </c>
      <c r="CT9" s="245"/>
      <c r="CU9" s="188">
        <f t="shared" si="29"/>
        <v>-8.4</v>
      </c>
      <c r="CV9" s="277"/>
      <c r="CW9" s="191">
        <f t="shared" si="30"/>
        <v>0</v>
      </c>
      <c r="CX9" s="188">
        <f t="shared" si="31"/>
        <v>-8.4</v>
      </c>
      <c r="CY9" s="277"/>
      <c r="CZ9" s="191">
        <f t="shared" si="32"/>
        <v>0</v>
      </c>
      <c r="DA9" s="188">
        <f t="shared" si="33"/>
        <v>-8.4</v>
      </c>
      <c r="DB9" s="277"/>
      <c r="DC9" s="191">
        <f t="shared" si="34"/>
        <v>0</v>
      </c>
      <c r="DD9" s="188">
        <f t="shared" si="35"/>
        <v>-2.8000000000000003</v>
      </c>
      <c r="DE9" s="277"/>
      <c r="DF9" s="191">
        <f t="shared" si="36"/>
        <v>0</v>
      </c>
      <c r="DG9" s="245"/>
      <c r="DH9" s="188">
        <f t="shared" si="37"/>
        <v>1</v>
      </c>
      <c r="DI9" s="188">
        <f t="shared" si="38"/>
        <v>29</v>
      </c>
      <c r="DJ9" s="191">
        <f t="shared" si="39"/>
        <v>29</v>
      </c>
      <c r="DK9" s="286">
        <f t="shared" si="40"/>
        <v>-28</v>
      </c>
      <c r="DL9" s="261">
        <v>5</v>
      </c>
      <c r="DM9" s="244">
        <f>+A9-DL9</f>
        <v>0</v>
      </c>
    </row>
    <row r="10" spans="1:117" x14ac:dyDescent="0.35">
      <c r="A10" s="263">
        <v>6</v>
      </c>
      <c r="B10" s="102" t="s">
        <v>150</v>
      </c>
      <c r="C10" s="102" t="s">
        <v>118</v>
      </c>
      <c r="D10" s="102" t="s">
        <v>119</v>
      </c>
      <c r="E10" s="102" t="s">
        <v>155</v>
      </c>
      <c r="F10" s="102" t="s">
        <v>156</v>
      </c>
      <c r="G10" s="98" t="s">
        <v>122</v>
      </c>
      <c r="H10" s="98" t="s">
        <v>123</v>
      </c>
      <c r="I10" s="98" t="s">
        <v>153</v>
      </c>
      <c r="J10" s="98" t="s">
        <v>153</v>
      </c>
      <c r="K10" s="96" t="s">
        <v>104</v>
      </c>
      <c r="L10" s="96" t="s">
        <v>105</v>
      </c>
      <c r="M10" s="98" t="s">
        <v>106</v>
      </c>
      <c r="N10" s="98" t="s">
        <v>126</v>
      </c>
      <c r="O10" s="98" t="s">
        <v>127</v>
      </c>
      <c r="P10" s="107" t="s">
        <v>157</v>
      </c>
      <c r="Q10" s="98" t="s">
        <v>129</v>
      </c>
      <c r="R10" s="300">
        <v>1</v>
      </c>
      <c r="S10" s="99" t="s">
        <v>158</v>
      </c>
      <c r="T10" s="81">
        <v>1</v>
      </c>
      <c r="U10" s="81">
        <v>1</v>
      </c>
      <c r="V10" s="25">
        <f t="shared" si="41"/>
        <v>100</v>
      </c>
      <c r="W10" s="81">
        <v>0</v>
      </c>
      <c r="X10" s="81"/>
      <c r="Y10" s="25" t="e">
        <f t="shared" si="1"/>
        <v>#DIV/0!</v>
      </c>
      <c r="Z10" s="81">
        <v>0</v>
      </c>
      <c r="AA10" s="81"/>
      <c r="AB10" s="25" t="e">
        <f t="shared" si="2"/>
        <v>#DIV/0!</v>
      </c>
      <c r="AC10" s="81">
        <v>0</v>
      </c>
      <c r="AD10" s="81"/>
      <c r="AE10" s="25" t="e">
        <f t="shared" si="3"/>
        <v>#DIV/0!</v>
      </c>
      <c r="AF10" s="140">
        <f t="shared" si="6"/>
        <v>1</v>
      </c>
      <c r="AG10" s="140">
        <f t="shared" si="4"/>
        <v>1</v>
      </c>
      <c r="AH10" s="138">
        <f t="shared" si="5"/>
        <v>100</v>
      </c>
      <c r="AI10" s="101">
        <v>46113</v>
      </c>
      <c r="AJ10" s="101">
        <v>46477</v>
      </c>
      <c r="AK10" s="102" t="s">
        <v>112</v>
      </c>
      <c r="AL10" s="102" t="s">
        <v>113</v>
      </c>
      <c r="AM10" s="103" t="s">
        <v>114</v>
      </c>
      <c r="AN10" s="324"/>
      <c r="AO10" s="324"/>
      <c r="AP10" s="324"/>
      <c r="AQ10" s="326"/>
      <c r="AR10" s="102" t="s">
        <v>159</v>
      </c>
      <c r="AS10" s="102" t="s">
        <v>112</v>
      </c>
      <c r="AT10" s="152" t="s">
        <v>131</v>
      </c>
      <c r="AU10" s="166" t="s">
        <v>2264</v>
      </c>
      <c r="AV10" s="247" t="s">
        <v>2234</v>
      </c>
      <c r="AW10" s="136" t="s">
        <v>2258</v>
      </c>
      <c r="AX10" s="136" t="s">
        <v>2347</v>
      </c>
      <c r="AY10" s="136" t="s">
        <v>2376</v>
      </c>
      <c r="BA10" s="272"/>
      <c r="BB10" s="273"/>
      <c r="BC10" s="209" t="e">
        <f t="shared" si="7"/>
        <v>#DIV/0!</v>
      </c>
      <c r="BD10" s="272"/>
      <c r="BE10" s="273"/>
      <c r="BF10" s="209" t="e">
        <f t="shared" si="8"/>
        <v>#DIV/0!</v>
      </c>
      <c r="BG10" s="272"/>
      <c r="BH10" s="273"/>
      <c r="BI10" s="209" t="e">
        <f t="shared" si="9"/>
        <v>#DIV/0!</v>
      </c>
      <c r="BJ10" s="210">
        <f t="shared" si="10"/>
        <v>0</v>
      </c>
      <c r="BK10" s="211">
        <f t="shared" si="11"/>
        <v>0</v>
      </c>
      <c r="BL10" s="209" t="e">
        <f t="shared" si="12"/>
        <v>#DIV/0!</v>
      </c>
      <c r="BM10" s="272">
        <v>10</v>
      </c>
      <c r="BN10" s="273">
        <v>10</v>
      </c>
      <c r="BO10" s="209">
        <f t="shared" si="13"/>
        <v>1</v>
      </c>
      <c r="BP10" s="272"/>
      <c r="BQ10" s="273"/>
      <c r="BR10" s="209" t="e">
        <f t="shared" si="14"/>
        <v>#DIV/0!</v>
      </c>
      <c r="BS10" s="272"/>
      <c r="BT10" s="272"/>
      <c r="BU10" s="209" t="e">
        <f t="shared" si="15"/>
        <v>#DIV/0!</v>
      </c>
      <c r="BV10" s="210">
        <f t="shared" si="16"/>
        <v>10</v>
      </c>
      <c r="BW10" s="210">
        <f t="shared" si="17"/>
        <v>10</v>
      </c>
      <c r="BX10" s="209">
        <f t="shared" si="18"/>
        <v>1</v>
      </c>
      <c r="BY10" s="209">
        <f t="shared" si="19"/>
        <v>10</v>
      </c>
      <c r="BZ10" s="209">
        <f t="shared" si="20"/>
        <v>-10</v>
      </c>
      <c r="CA10" s="212"/>
      <c r="CB10" s="245"/>
      <c r="CC10" s="183">
        <v>45</v>
      </c>
      <c r="CD10" s="184"/>
      <c r="CE10" s="185">
        <f t="shared" si="21"/>
        <v>0</v>
      </c>
      <c r="CF10" s="183"/>
      <c r="CG10" s="184"/>
      <c r="CH10" s="185" t="e">
        <f t="shared" si="22"/>
        <v>#DIV/0!</v>
      </c>
      <c r="CI10" s="189"/>
      <c r="CJ10" s="190"/>
      <c r="CK10" s="185" t="e">
        <f t="shared" si="23"/>
        <v>#DIV/0!</v>
      </c>
      <c r="CL10" s="186">
        <f t="shared" si="24"/>
        <v>45</v>
      </c>
      <c r="CM10" s="186">
        <f t="shared" si="24"/>
        <v>0</v>
      </c>
      <c r="CN10" s="185">
        <f t="shared" si="25"/>
        <v>0</v>
      </c>
      <c r="CO10" s="245"/>
      <c r="CP10" s="188">
        <f t="shared" si="26"/>
        <v>55</v>
      </c>
      <c r="CQ10" s="188">
        <f t="shared" si="26"/>
        <v>10</v>
      </c>
      <c r="CR10" s="191">
        <f t="shared" si="27"/>
        <v>0.18181818181818182</v>
      </c>
      <c r="CS10" s="279">
        <f t="shared" si="28"/>
        <v>-9</v>
      </c>
      <c r="CT10" s="245"/>
      <c r="CU10" s="188">
        <f t="shared" si="29"/>
        <v>-2.6999999999999997</v>
      </c>
      <c r="CV10" s="277"/>
      <c r="CW10" s="191">
        <f t="shared" si="30"/>
        <v>0</v>
      </c>
      <c r="CX10" s="188">
        <f t="shared" si="31"/>
        <v>-2.6999999999999997</v>
      </c>
      <c r="CY10" s="277"/>
      <c r="CZ10" s="191">
        <f t="shared" si="32"/>
        <v>0</v>
      </c>
      <c r="DA10" s="188">
        <f t="shared" si="33"/>
        <v>-2.6999999999999997</v>
      </c>
      <c r="DB10" s="277"/>
      <c r="DC10" s="191">
        <f t="shared" si="34"/>
        <v>0</v>
      </c>
      <c r="DD10" s="188">
        <f t="shared" si="35"/>
        <v>-0.9</v>
      </c>
      <c r="DE10" s="277"/>
      <c r="DF10" s="191">
        <f t="shared" si="36"/>
        <v>0</v>
      </c>
      <c r="DG10" s="245"/>
      <c r="DH10" s="188">
        <f t="shared" si="37"/>
        <v>1</v>
      </c>
      <c r="DI10" s="188">
        <f t="shared" si="38"/>
        <v>10</v>
      </c>
      <c r="DJ10" s="191">
        <f t="shared" si="39"/>
        <v>10</v>
      </c>
      <c r="DK10" s="286">
        <f t="shared" si="40"/>
        <v>-9</v>
      </c>
      <c r="DL10" s="261">
        <v>6</v>
      </c>
      <c r="DM10" s="244">
        <f>+A10-DL10</f>
        <v>0</v>
      </c>
    </row>
    <row r="11" spans="1:117" x14ac:dyDescent="0.35">
      <c r="A11" s="263">
        <v>7</v>
      </c>
      <c r="B11" s="102" t="s">
        <v>150</v>
      </c>
      <c r="C11" s="102" t="s">
        <v>118</v>
      </c>
      <c r="D11" s="102" t="s">
        <v>119</v>
      </c>
      <c r="E11" s="102" t="s">
        <v>120</v>
      </c>
      <c r="F11" s="102" t="s">
        <v>160</v>
      </c>
      <c r="G11" s="98" t="s">
        <v>122</v>
      </c>
      <c r="H11" s="98" t="s">
        <v>161</v>
      </c>
      <c r="I11" s="98" t="s">
        <v>124</v>
      </c>
      <c r="J11" s="98" t="s">
        <v>124</v>
      </c>
      <c r="K11" s="96" t="s">
        <v>104</v>
      </c>
      <c r="L11" s="96" t="s">
        <v>105</v>
      </c>
      <c r="M11" s="98" t="s">
        <v>106</v>
      </c>
      <c r="N11" s="98" t="s">
        <v>126</v>
      </c>
      <c r="O11" s="98" t="s">
        <v>127</v>
      </c>
      <c r="P11" s="258" t="s">
        <v>162</v>
      </c>
      <c r="Q11" s="98" t="s">
        <v>129</v>
      </c>
      <c r="R11" s="301">
        <v>30</v>
      </c>
      <c r="S11" s="99" t="s">
        <v>111</v>
      </c>
      <c r="T11" s="81">
        <v>0</v>
      </c>
      <c r="U11" s="81">
        <v>0</v>
      </c>
      <c r="V11" s="25" t="e">
        <f t="shared" si="41"/>
        <v>#DIV/0!</v>
      </c>
      <c r="W11" s="81">
        <v>0</v>
      </c>
      <c r="X11" s="81">
        <v>0</v>
      </c>
      <c r="Y11" s="25" t="e">
        <f t="shared" si="1"/>
        <v>#DIV/0!</v>
      </c>
      <c r="Z11" s="81">
        <v>0</v>
      </c>
      <c r="AA11" s="81"/>
      <c r="AB11" s="25" t="e">
        <f t="shared" si="2"/>
        <v>#DIV/0!</v>
      </c>
      <c r="AC11" s="81">
        <v>30</v>
      </c>
      <c r="AD11" s="81"/>
      <c r="AE11" s="25">
        <f t="shared" si="3"/>
        <v>0</v>
      </c>
      <c r="AF11" s="140">
        <f t="shared" si="6"/>
        <v>30</v>
      </c>
      <c r="AG11" s="140">
        <f t="shared" si="4"/>
        <v>0</v>
      </c>
      <c r="AH11" s="138" t="e">
        <f t="shared" si="5"/>
        <v>#DIV/0!</v>
      </c>
      <c r="AI11" s="101">
        <v>46113</v>
      </c>
      <c r="AJ11" s="101">
        <v>46477</v>
      </c>
      <c r="AK11" s="102" t="s">
        <v>112</v>
      </c>
      <c r="AL11" s="102" t="s">
        <v>113</v>
      </c>
      <c r="AM11" s="103" t="s">
        <v>114</v>
      </c>
      <c r="AN11" s="104">
        <v>200000000</v>
      </c>
      <c r="AO11" s="104">
        <v>200000000</v>
      </c>
      <c r="AP11" s="104">
        <v>200000000</v>
      </c>
      <c r="AQ11" s="326">
        <v>0</v>
      </c>
      <c r="AR11" s="102" t="s">
        <v>159</v>
      </c>
      <c r="AS11" s="102" t="s">
        <v>112</v>
      </c>
      <c r="AT11" s="152" t="s">
        <v>131</v>
      </c>
      <c r="AU11" s="166" t="s">
        <v>2264</v>
      </c>
      <c r="AV11" s="247" t="s">
        <v>2234</v>
      </c>
      <c r="AW11" s="136" t="s">
        <v>2258</v>
      </c>
      <c r="AX11" s="136" t="s">
        <v>2347</v>
      </c>
      <c r="AY11" s="136" t="s">
        <v>2376</v>
      </c>
      <c r="BA11" s="272">
        <v>0</v>
      </c>
      <c r="BB11" s="273">
        <v>0</v>
      </c>
      <c r="BC11" s="209" t="e">
        <f t="shared" si="7"/>
        <v>#DIV/0!</v>
      </c>
      <c r="BD11" s="272">
        <v>0</v>
      </c>
      <c r="BE11" s="273">
        <v>0</v>
      </c>
      <c r="BF11" s="209" t="e">
        <f t="shared" si="8"/>
        <v>#DIV/0!</v>
      </c>
      <c r="BG11" s="272">
        <v>0</v>
      </c>
      <c r="BH11" s="273">
        <v>0</v>
      </c>
      <c r="BI11" s="209" t="e">
        <f t="shared" si="9"/>
        <v>#DIV/0!</v>
      </c>
      <c r="BJ11" s="210">
        <f t="shared" si="10"/>
        <v>0</v>
      </c>
      <c r="BK11" s="211">
        <f t="shared" si="11"/>
        <v>0</v>
      </c>
      <c r="BL11" s="209" t="e">
        <f t="shared" si="12"/>
        <v>#DIV/0!</v>
      </c>
      <c r="BM11" s="272">
        <v>0</v>
      </c>
      <c r="BN11" s="273">
        <v>0</v>
      </c>
      <c r="BO11" s="209" t="e">
        <f t="shared" si="13"/>
        <v>#DIV/0!</v>
      </c>
      <c r="BP11" s="272">
        <v>0</v>
      </c>
      <c r="BQ11" s="273">
        <v>0</v>
      </c>
      <c r="BR11" s="209" t="e">
        <f t="shared" si="14"/>
        <v>#DIV/0!</v>
      </c>
      <c r="BS11" s="272">
        <v>0</v>
      </c>
      <c r="BT11" s="272">
        <v>0</v>
      </c>
      <c r="BU11" s="209" t="e">
        <f t="shared" si="15"/>
        <v>#DIV/0!</v>
      </c>
      <c r="BV11" s="210">
        <f t="shared" si="16"/>
        <v>0</v>
      </c>
      <c r="BW11" s="210">
        <f t="shared" si="17"/>
        <v>0</v>
      </c>
      <c r="BX11" s="209" t="e">
        <f t="shared" si="18"/>
        <v>#DIV/0!</v>
      </c>
      <c r="BY11" s="209">
        <f t="shared" si="19"/>
        <v>0</v>
      </c>
      <c r="BZ11" s="209">
        <f t="shared" si="20"/>
        <v>0</v>
      </c>
      <c r="CA11" s="212"/>
      <c r="CB11" s="245"/>
      <c r="CC11" s="183">
        <v>0</v>
      </c>
      <c r="CD11" s="184">
        <v>0</v>
      </c>
      <c r="CE11" s="185" t="e">
        <f t="shared" si="21"/>
        <v>#DIV/0!</v>
      </c>
      <c r="CF11" s="183">
        <v>15</v>
      </c>
      <c r="CG11" s="184">
        <v>15</v>
      </c>
      <c r="CH11" s="185">
        <f t="shared" si="22"/>
        <v>1</v>
      </c>
      <c r="CI11" s="189"/>
      <c r="CJ11" s="190"/>
      <c r="CK11" s="185" t="e">
        <f t="shared" si="23"/>
        <v>#DIV/0!</v>
      </c>
      <c r="CL11" s="186">
        <f t="shared" si="24"/>
        <v>15</v>
      </c>
      <c r="CM11" s="186">
        <f t="shared" si="24"/>
        <v>15</v>
      </c>
      <c r="CN11" s="185">
        <f t="shared" si="25"/>
        <v>1</v>
      </c>
      <c r="CO11" s="245"/>
      <c r="CP11" s="188">
        <f t="shared" si="26"/>
        <v>15</v>
      </c>
      <c r="CQ11" s="188">
        <f t="shared" si="26"/>
        <v>15</v>
      </c>
      <c r="CR11" s="191">
        <f t="shared" si="27"/>
        <v>1</v>
      </c>
      <c r="CS11" s="279">
        <f t="shared" si="28"/>
        <v>15</v>
      </c>
      <c r="CT11" s="245"/>
      <c r="CU11" s="188">
        <f t="shared" si="29"/>
        <v>4.5</v>
      </c>
      <c r="CV11" s="277"/>
      <c r="CW11" s="191">
        <f t="shared" si="30"/>
        <v>0</v>
      </c>
      <c r="CX11" s="188">
        <f t="shared" si="31"/>
        <v>4.5</v>
      </c>
      <c r="CY11" s="277"/>
      <c r="CZ11" s="191">
        <f t="shared" si="32"/>
        <v>0</v>
      </c>
      <c r="DA11" s="188">
        <f t="shared" si="33"/>
        <v>4.5</v>
      </c>
      <c r="DB11" s="277"/>
      <c r="DC11" s="191">
        <f t="shared" si="34"/>
        <v>0</v>
      </c>
      <c r="DD11" s="188">
        <f t="shared" si="35"/>
        <v>1.5</v>
      </c>
      <c r="DE11" s="277"/>
      <c r="DF11" s="191">
        <f t="shared" si="36"/>
        <v>0</v>
      </c>
      <c r="DG11" s="245"/>
      <c r="DH11" s="188">
        <f t="shared" si="37"/>
        <v>30</v>
      </c>
      <c r="DI11" s="188">
        <f t="shared" si="38"/>
        <v>15</v>
      </c>
      <c r="DJ11" s="191">
        <f t="shared" si="39"/>
        <v>0.5</v>
      </c>
      <c r="DK11" s="286">
        <f t="shared" si="40"/>
        <v>15</v>
      </c>
      <c r="DL11" s="261">
        <v>7</v>
      </c>
      <c r="DM11" s="244">
        <f>+A11-DL11</f>
        <v>0</v>
      </c>
    </row>
    <row r="12" spans="1:117" x14ac:dyDescent="0.35">
      <c r="A12" s="263">
        <v>8</v>
      </c>
      <c r="B12" s="102" t="s">
        <v>150</v>
      </c>
      <c r="C12" s="102" t="s">
        <v>118</v>
      </c>
      <c r="D12" s="102" t="s">
        <v>119</v>
      </c>
      <c r="E12" s="102" t="s">
        <v>155</v>
      </c>
      <c r="F12" s="102" t="s">
        <v>160</v>
      </c>
      <c r="G12" s="98" t="s">
        <v>122</v>
      </c>
      <c r="H12" s="98" t="s">
        <v>123</v>
      </c>
      <c r="I12" s="98" t="s">
        <v>124</v>
      </c>
      <c r="J12" s="98" t="s">
        <v>124</v>
      </c>
      <c r="K12" s="96" t="s">
        <v>104</v>
      </c>
      <c r="L12" s="96" t="s">
        <v>105</v>
      </c>
      <c r="M12" s="98" t="s">
        <v>106</v>
      </c>
      <c r="N12" s="98" t="s">
        <v>126</v>
      </c>
      <c r="O12" s="98" t="s">
        <v>127</v>
      </c>
      <c r="P12" s="258" t="s">
        <v>163</v>
      </c>
      <c r="Q12" s="98" t="s">
        <v>129</v>
      </c>
      <c r="R12" s="301">
        <v>100</v>
      </c>
      <c r="S12" s="99" t="s">
        <v>158</v>
      </c>
      <c r="T12" s="81">
        <v>0</v>
      </c>
      <c r="U12" s="81">
        <v>0</v>
      </c>
      <c r="V12" s="25" t="e">
        <f t="shared" si="41"/>
        <v>#DIV/0!</v>
      </c>
      <c r="W12" s="81">
        <v>0</v>
      </c>
      <c r="X12" s="81">
        <v>0</v>
      </c>
      <c r="Y12" s="25" t="e">
        <f t="shared" si="1"/>
        <v>#DIV/0!</v>
      </c>
      <c r="Z12" s="81">
        <v>0</v>
      </c>
      <c r="AA12" s="81"/>
      <c r="AB12" s="25" t="e">
        <f t="shared" si="2"/>
        <v>#DIV/0!</v>
      </c>
      <c r="AC12" s="81">
        <v>100</v>
      </c>
      <c r="AD12" s="81"/>
      <c r="AE12" s="25">
        <f t="shared" si="3"/>
        <v>0</v>
      </c>
      <c r="AF12" s="140">
        <f t="shared" si="6"/>
        <v>100</v>
      </c>
      <c r="AG12" s="140">
        <f t="shared" si="4"/>
        <v>0</v>
      </c>
      <c r="AH12" s="138" t="e">
        <f t="shared" si="5"/>
        <v>#DIV/0!</v>
      </c>
      <c r="AI12" s="101">
        <v>46113</v>
      </c>
      <c r="AJ12" s="101">
        <v>46477</v>
      </c>
      <c r="AK12" s="102" t="s">
        <v>112</v>
      </c>
      <c r="AL12" s="102" t="s">
        <v>113</v>
      </c>
      <c r="AM12" s="103" t="s">
        <v>114</v>
      </c>
      <c r="AN12" s="104">
        <v>45000000</v>
      </c>
      <c r="AO12" s="104">
        <v>45000000</v>
      </c>
      <c r="AP12" s="104">
        <v>45000000</v>
      </c>
      <c r="AQ12" s="326">
        <v>0</v>
      </c>
      <c r="AR12" s="102" t="s">
        <v>159</v>
      </c>
      <c r="AS12" s="102" t="s">
        <v>112</v>
      </c>
      <c r="AT12" s="152" t="s">
        <v>131</v>
      </c>
      <c r="AU12" s="166" t="s">
        <v>2264</v>
      </c>
      <c r="AV12" s="247" t="s">
        <v>2234</v>
      </c>
      <c r="AW12" s="136" t="s">
        <v>2258</v>
      </c>
      <c r="AX12" s="136" t="s">
        <v>2347</v>
      </c>
      <c r="AY12" s="136" t="s">
        <v>2376</v>
      </c>
      <c r="BA12" s="272">
        <v>0</v>
      </c>
      <c r="BB12" s="273">
        <v>0</v>
      </c>
      <c r="BC12" s="209" t="e">
        <f t="shared" si="7"/>
        <v>#DIV/0!</v>
      </c>
      <c r="BD12" s="272">
        <v>0</v>
      </c>
      <c r="BE12" s="273">
        <v>0</v>
      </c>
      <c r="BF12" s="209" t="e">
        <f t="shared" si="8"/>
        <v>#DIV/0!</v>
      </c>
      <c r="BG12" s="272">
        <v>0</v>
      </c>
      <c r="BH12" s="273">
        <v>0</v>
      </c>
      <c r="BI12" s="209" t="e">
        <f t="shared" si="9"/>
        <v>#DIV/0!</v>
      </c>
      <c r="BJ12" s="210">
        <f t="shared" si="10"/>
        <v>0</v>
      </c>
      <c r="BK12" s="211">
        <f t="shared" si="11"/>
        <v>0</v>
      </c>
      <c r="BL12" s="209" t="e">
        <f t="shared" si="12"/>
        <v>#DIV/0!</v>
      </c>
      <c r="BM12" s="272">
        <v>0</v>
      </c>
      <c r="BN12" s="273">
        <v>0</v>
      </c>
      <c r="BO12" s="209" t="e">
        <f t="shared" si="13"/>
        <v>#DIV/0!</v>
      </c>
      <c r="BP12" s="272">
        <v>0</v>
      </c>
      <c r="BQ12" s="273">
        <v>0</v>
      </c>
      <c r="BR12" s="209" t="e">
        <f t="shared" si="14"/>
        <v>#DIV/0!</v>
      </c>
      <c r="BS12" s="272">
        <v>0</v>
      </c>
      <c r="BT12" s="272">
        <v>0</v>
      </c>
      <c r="BU12" s="209" t="e">
        <f t="shared" si="15"/>
        <v>#DIV/0!</v>
      </c>
      <c r="BV12" s="210">
        <f t="shared" si="16"/>
        <v>0</v>
      </c>
      <c r="BW12" s="210">
        <f t="shared" si="17"/>
        <v>0</v>
      </c>
      <c r="BX12" s="209" t="e">
        <f t="shared" si="18"/>
        <v>#DIV/0!</v>
      </c>
      <c r="BY12" s="209">
        <f t="shared" si="19"/>
        <v>0</v>
      </c>
      <c r="BZ12" s="209">
        <f t="shared" si="20"/>
        <v>0</v>
      </c>
      <c r="CA12" s="212"/>
      <c r="CB12" s="245"/>
      <c r="CC12" s="183"/>
      <c r="CD12" s="184"/>
      <c r="CE12" s="185" t="e">
        <f t="shared" si="21"/>
        <v>#DIV/0!</v>
      </c>
      <c r="CF12" s="183">
        <v>100</v>
      </c>
      <c r="CG12" s="184">
        <v>100</v>
      </c>
      <c r="CH12" s="185">
        <f t="shared" si="22"/>
        <v>1</v>
      </c>
      <c r="CI12" s="189"/>
      <c r="CJ12" s="190"/>
      <c r="CK12" s="185" t="e">
        <f t="shared" si="23"/>
        <v>#DIV/0!</v>
      </c>
      <c r="CL12" s="186">
        <f t="shared" si="24"/>
        <v>100</v>
      </c>
      <c r="CM12" s="186">
        <f t="shared" si="24"/>
        <v>100</v>
      </c>
      <c r="CN12" s="185">
        <f t="shared" si="25"/>
        <v>1</v>
      </c>
      <c r="CO12" s="245"/>
      <c r="CP12" s="188">
        <f t="shared" si="26"/>
        <v>100</v>
      </c>
      <c r="CQ12" s="188">
        <f t="shared" si="26"/>
        <v>100</v>
      </c>
      <c r="CR12" s="191">
        <f t="shared" si="27"/>
        <v>1</v>
      </c>
      <c r="CS12" s="279">
        <f t="shared" si="28"/>
        <v>0</v>
      </c>
      <c r="CT12" s="245"/>
      <c r="CU12" s="188">
        <f t="shared" si="29"/>
        <v>0</v>
      </c>
      <c r="CV12" s="277"/>
      <c r="CW12" s="191" t="e">
        <f t="shared" si="30"/>
        <v>#DIV/0!</v>
      </c>
      <c r="CX12" s="188">
        <f t="shared" si="31"/>
        <v>0</v>
      </c>
      <c r="CY12" s="277"/>
      <c r="CZ12" s="191" t="e">
        <f t="shared" si="32"/>
        <v>#DIV/0!</v>
      </c>
      <c r="DA12" s="188">
        <f t="shared" si="33"/>
        <v>0</v>
      </c>
      <c r="DB12" s="277"/>
      <c r="DC12" s="191" t="e">
        <f t="shared" si="34"/>
        <v>#DIV/0!</v>
      </c>
      <c r="DD12" s="188">
        <f t="shared" si="35"/>
        <v>0</v>
      </c>
      <c r="DE12" s="277"/>
      <c r="DF12" s="191" t="e">
        <f t="shared" si="36"/>
        <v>#DIV/0!</v>
      </c>
      <c r="DG12" s="245"/>
      <c r="DH12" s="188">
        <f t="shared" si="37"/>
        <v>100</v>
      </c>
      <c r="DI12" s="188">
        <f t="shared" si="38"/>
        <v>100</v>
      </c>
      <c r="DJ12" s="191">
        <f t="shared" si="39"/>
        <v>1</v>
      </c>
      <c r="DK12" s="286">
        <f t="shared" si="40"/>
        <v>0</v>
      </c>
      <c r="DL12" s="261">
        <v>8</v>
      </c>
      <c r="DM12" s="244">
        <f>+A12-DL12</f>
        <v>0</v>
      </c>
    </row>
    <row r="13" spans="1:117" x14ac:dyDescent="0.35">
      <c r="A13" s="263">
        <v>9</v>
      </c>
      <c r="B13" s="102" t="s">
        <v>150</v>
      </c>
      <c r="C13" s="102" t="s">
        <v>133</v>
      </c>
      <c r="D13" s="102" t="s">
        <v>119</v>
      </c>
      <c r="E13" s="102" t="s">
        <v>134</v>
      </c>
      <c r="F13" s="102" t="s">
        <v>151</v>
      </c>
      <c r="G13" s="98" t="s">
        <v>164</v>
      </c>
      <c r="H13" s="98" t="s">
        <v>165</v>
      </c>
      <c r="I13" s="98" t="s">
        <v>153</v>
      </c>
      <c r="J13" s="98" t="s">
        <v>153</v>
      </c>
      <c r="K13" s="96" t="s">
        <v>104</v>
      </c>
      <c r="L13" s="96" t="s">
        <v>105</v>
      </c>
      <c r="M13" s="98" t="s">
        <v>106</v>
      </c>
      <c r="N13" s="98" t="s">
        <v>126</v>
      </c>
      <c r="O13" s="98" t="s">
        <v>127</v>
      </c>
      <c r="P13" s="98" t="s">
        <v>166</v>
      </c>
      <c r="Q13" s="98" t="s">
        <v>129</v>
      </c>
      <c r="R13" s="301">
        <v>1</v>
      </c>
      <c r="S13" s="99" t="s">
        <v>111</v>
      </c>
      <c r="T13" s="81">
        <v>0</v>
      </c>
      <c r="U13" s="81">
        <v>0</v>
      </c>
      <c r="V13" s="25" t="e">
        <f t="shared" si="41"/>
        <v>#DIV/0!</v>
      </c>
      <c r="W13" s="81">
        <v>1</v>
      </c>
      <c r="X13" s="81">
        <v>1</v>
      </c>
      <c r="Y13" s="25">
        <f t="shared" si="1"/>
        <v>100</v>
      </c>
      <c r="Z13" s="81">
        <v>0</v>
      </c>
      <c r="AA13" s="81"/>
      <c r="AB13" s="25" t="e">
        <f t="shared" si="2"/>
        <v>#DIV/0!</v>
      </c>
      <c r="AC13" s="81">
        <v>0</v>
      </c>
      <c r="AD13" s="81"/>
      <c r="AE13" s="25" t="e">
        <f t="shared" si="3"/>
        <v>#DIV/0!</v>
      </c>
      <c r="AF13" s="140">
        <f t="shared" si="6"/>
        <v>1</v>
      </c>
      <c r="AG13" s="140">
        <f t="shared" si="4"/>
        <v>1</v>
      </c>
      <c r="AH13" s="138">
        <f t="shared" si="5"/>
        <v>100</v>
      </c>
      <c r="AI13" s="101">
        <v>46113</v>
      </c>
      <c r="AJ13" s="101">
        <v>46477</v>
      </c>
      <c r="AK13" s="102" t="s">
        <v>112</v>
      </c>
      <c r="AL13" s="102" t="s">
        <v>113</v>
      </c>
      <c r="AM13" s="103" t="s">
        <v>114</v>
      </c>
      <c r="AN13" s="104">
        <v>30000000</v>
      </c>
      <c r="AO13" s="104">
        <v>30000000</v>
      </c>
      <c r="AP13" s="104">
        <v>30000000</v>
      </c>
      <c r="AQ13" s="105">
        <f>AO13</f>
        <v>30000000</v>
      </c>
      <c r="AR13" s="102" t="s">
        <v>159</v>
      </c>
      <c r="AS13" s="102" t="s">
        <v>112</v>
      </c>
      <c r="AT13" s="152" t="s">
        <v>131</v>
      </c>
      <c r="AU13" s="166" t="s">
        <v>2264</v>
      </c>
      <c r="AV13" s="247" t="s">
        <v>2234</v>
      </c>
      <c r="AW13" s="136" t="s">
        <v>2258</v>
      </c>
      <c r="AX13" s="136" t="s">
        <v>2347</v>
      </c>
      <c r="AY13" s="136" t="s">
        <v>2376</v>
      </c>
      <c r="BA13" s="272">
        <v>0</v>
      </c>
      <c r="BB13" s="273">
        <v>0</v>
      </c>
      <c r="BC13" s="209" t="e">
        <f t="shared" si="7"/>
        <v>#DIV/0!</v>
      </c>
      <c r="BD13" s="272">
        <v>0</v>
      </c>
      <c r="BE13" s="273">
        <v>0</v>
      </c>
      <c r="BF13" s="209" t="e">
        <f t="shared" si="8"/>
        <v>#DIV/0!</v>
      </c>
      <c r="BG13" s="272">
        <v>0</v>
      </c>
      <c r="BH13" s="273">
        <v>0</v>
      </c>
      <c r="BI13" s="209" t="e">
        <f t="shared" si="9"/>
        <v>#DIV/0!</v>
      </c>
      <c r="BJ13" s="210">
        <f t="shared" si="10"/>
        <v>0</v>
      </c>
      <c r="BK13" s="211">
        <f t="shared" si="11"/>
        <v>0</v>
      </c>
      <c r="BL13" s="209" t="e">
        <f t="shared" si="12"/>
        <v>#DIV/0!</v>
      </c>
      <c r="BM13" s="272">
        <v>1</v>
      </c>
      <c r="BN13" s="273">
        <v>1</v>
      </c>
      <c r="BO13" s="209">
        <f t="shared" si="13"/>
        <v>1</v>
      </c>
      <c r="BP13" s="272"/>
      <c r="BQ13" s="273"/>
      <c r="BR13" s="209" t="e">
        <f t="shared" si="14"/>
        <v>#DIV/0!</v>
      </c>
      <c r="BS13" s="272"/>
      <c r="BT13" s="272"/>
      <c r="BU13" s="209" t="e">
        <f t="shared" si="15"/>
        <v>#DIV/0!</v>
      </c>
      <c r="BV13" s="210">
        <f t="shared" si="16"/>
        <v>1</v>
      </c>
      <c r="BW13" s="210">
        <f t="shared" si="17"/>
        <v>1</v>
      </c>
      <c r="BX13" s="209">
        <f t="shared" si="18"/>
        <v>1</v>
      </c>
      <c r="BY13" s="209">
        <f t="shared" si="19"/>
        <v>1</v>
      </c>
      <c r="BZ13" s="209">
        <f t="shared" si="20"/>
        <v>-1</v>
      </c>
      <c r="CA13" s="212"/>
      <c r="CB13" s="245"/>
      <c r="CC13" s="183"/>
      <c r="CD13" s="184"/>
      <c r="CE13" s="185" t="e">
        <f t="shared" si="21"/>
        <v>#DIV/0!</v>
      </c>
      <c r="CF13" s="183"/>
      <c r="CG13" s="184"/>
      <c r="CH13" s="185" t="e">
        <f t="shared" si="22"/>
        <v>#DIV/0!</v>
      </c>
      <c r="CI13" s="189"/>
      <c r="CJ13" s="190"/>
      <c r="CK13" s="185" t="e">
        <f t="shared" si="23"/>
        <v>#DIV/0!</v>
      </c>
      <c r="CL13" s="187">
        <f t="shared" si="24"/>
        <v>0</v>
      </c>
      <c r="CM13" s="186">
        <f t="shared" si="24"/>
        <v>0</v>
      </c>
      <c r="CN13" s="185" t="e">
        <f t="shared" si="25"/>
        <v>#DIV/0!</v>
      </c>
      <c r="CO13" s="245"/>
      <c r="CP13" s="188">
        <f t="shared" si="26"/>
        <v>1</v>
      </c>
      <c r="CQ13" s="188">
        <f t="shared" si="26"/>
        <v>1</v>
      </c>
      <c r="CR13" s="191">
        <f t="shared" si="27"/>
        <v>1</v>
      </c>
      <c r="CS13" s="279">
        <f t="shared" si="28"/>
        <v>0</v>
      </c>
      <c r="CT13" s="245"/>
      <c r="CU13" s="188">
        <f t="shared" si="29"/>
        <v>0</v>
      </c>
      <c r="CV13" s="277"/>
      <c r="CW13" s="191" t="e">
        <f t="shared" si="30"/>
        <v>#DIV/0!</v>
      </c>
      <c r="CX13" s="188">
        <f t="shared" si="31"/>
        <v>0</v>
      </c>
      <c r="CY13" s="277"/>
      <c r="CZ13" s="191" t="e">
        <f t="shared" si="32"/>
        <v>#DIV/0!</v>
      </c>
      <c r="DA13" s="188">
        <f t="shared" si="33"/>
        <v>0</v>
      </c>
      <c r="DB13" s="277"/>
      <c r="DC13" s="191" t="e">
        <f t="shared" si="34"/>
        <v>#DIV/0!</v>
      </c>
      <c r="DD13" s="188">
        <f t="shared" si="35"/>
        <v>0</v>
      </c>
      <c r="DE13" s="277"/>
      <c r="DF13" s="191" t="e">
        <f t="shared" si="36"/>
        <v>#DIV/0!</v>
      </c>
      <c r="DG13" s="245"/>
      <c r="DH13" s="188">
        <f t="shared" si="37"/>
        <v>1</v>
      </c>
      <c r="DI13" s="188">
        <f t="shared" si="38"/>
        <v>1</v>
      </c>
      <c r="DJ13" s="191">
        <f t="shared" si="39"/>
        <v>1</v>
      </c>
      <c r="DK13" s="286">
        <f t="shared" si="40"/>
        <v>0</v>
      </c>
      <c r="DL13" s="261">
        <v>9</v>
      </c>
      <c r="DM13" s="244">
        <f>+A13-DL13</f>
        <v>0</v>
      </c>
    </row>
    <row r="14" spans="1:117" x14ac:dyDescent="0.35">
      <c r="A14" s="263">
        <v>10</v>
      </c>
      <c r="B14" s="102" t="s">
        <v>150</v>
      </c>
      <c r="C14" s="102" t="s">
        <v>118</v>
      </c>
      <c r="D14" s="102" t="s">
        <v>119</v>
      </c>
      <c r="E14" s="102" t="s">
        <v>120</v>
      </c>
      <c r="F14" s="102" t="s">
        <v>160</v>
      </c>
      <c r="G14" s="98" t="s">
        <v>122</v>
      </c>
      <c r="H14" s="98" t="s">
        <v>123</v>
      </c>
      <c r="I14" s="98" t="s">
        <v>153</v>
      </c>
      <c r="J14" s="98" t="s">
        <v>153</v>
      </c>
      <c r="K14" s="96" t="s">
        <v>104</v>
      </c>
      <c r="L14" s="96" t="s">
        <v>105</v>
      </c>
      <c r="M14" s="98" t="s">
        <v>106</v>
      </c>
      <c r="N14" s="98" t="s">
        <v>126</v>
      </c>
      <c r="O14" s="98" t="s">
        <v>127</v>
      </c>
      <c r="P14" s="107" t="s">
        <v>167</v>
      </c>
      <c r="Q14" s="98" t="s">
        <v>129</v>
      </c>
      <c r="R14" s="301">
        <v>100</v>
      </c>
      <c r="S14" s="99" t="s">
        <v>158</v>
      </c>
      <c r="T14" s="81">
        <v>10</v>
      </c>
      <c r="U14" s="81">
        <v>25</v>
      </c>
      <c r="V14" s="25">
        <f t="shared" si="41"/>
        <v>250</v>
      </c>
      <c r="W14" s="81">
        <v>30</v>
      </c>
      <c r="X14" s="81">
        <v>30</v>
      </c>
      <c r="Y14" s="25">
        <f t="shared" si="1"/>
        <v>100</v>
      </c>
      <c r="Z14" s="81">
        <v>30</v>
      </c>
      <c r="AA14" s="81"/>
      <c r="AB14" s="25">
        <f t="shared" si="2"/>
        <v>0</v>
      </c>
      <c r="AC14" s="81">
        <v>30</v>
      </c>
      <c r="AD14" s="81"/>
      <c r="AE14" s="25">
        <f t="shared" si="3"/>
        <v>0</v>
      </c>
      <c r="AF14" s="140">
        <f t="shared" si="6"/>
        <v>100</v>
      </c>
      <c r="AG14" s="140">
        <f t="shared" si="4"/>
        <v>55</v>
      </c>
      <c r="AH14" s="138">
        <f t="shared" si="5"/>
        <v>137.5</v>
      </c>
      <c r="AI14" s="101">
        <v>46054</v>
      </c>
      <c r="AJ14" s="101">
        <v>46477</v>
      </c>
      <c r="AK14" s="102" t="s">
        <v>112</v>
      </c>
      <c r="AL14" s="102" t="s">
        <v>113</v>
      </c>
      <c r="AM14" s="103" t="s">
        <v>114</v>
      </c>
      <c r="AN14" s="324"/>
      <c r="AO14" s="324"/>
      <c r="AP14" s="324"/>
      <c r="AQ14" s="326"/>
      <c r="AR14" s="102" t="s">
        <v>115</v>
      </c>
      <c r="AS14" s="102" t="s">
        <v>112</v>
      </c>
      <c r="AT14" s="152" t="s">
        <v>131</v>
      </c>
      <c r="AU14" s="166" t="s">
        <v>2264</v>
      </c>
      <c r="AV14" s="247" t="s">
        <v>2234</v>
      </c>
      <c r="AW14" s="136" t="s">
        <v>2258</v>
      </c>
      <c r="AX14" s="136" t="s">
        <v>2347</v>
      </c>
      <c r="AY14" s="136" t="s">
        <v>2376</v>
      </c>
      <c r="BA14" s="272">
        <v>0</v>
      </c>
      <c r="BB14" s="273">
        <v>0</v>
      </c>
      <c r="BC14" s="209" t="e">
        <f t="shared" si="7"/>
        <v>#DIV/0!</v>
      </c>
      <c r="BD14" s="272">
        <v>0</v>
      </c>
      <c r="BE14" s="273">
        <v>0</v>
      </c>
      <c r="BF14" s="209" t="e">
        <f t="shared" si="8"/>
        <v>#DIV/0!</v>
      </c>
      <c r="BG14" s="272">
        <v>10</v>
      </c>
      <c r="BH14" s="273">
        <v>10</v>
      </c>
      <c r="BI14" s="209">
        <f t="shared" si="9"/>
        <v>1</v>
      </c>
      <c r="BJ14" s="210">
        <f t="shared" si="10"/>
        <v>10</v>
      </c>
      <c r="BK14" s="211">
        <f t="shared" si="11"/>
        <v>10</v>
      </c>
      <c r="BL14" s="209">
        <f t="shared" si="12"/>
        <v>1</v>
      </c>
      <c r="BM14" s="272">
        <v>10</v>
      </c>
      <c r="BN14" s="273">
        <v>10</v>
      </c>
      <c r="BO14" s="209">
        <f t="shared" si="13"/>
        <v>1</v>
      </c>
      <c r="BP14" s="272">
        <v>10</v>
      </c>
      <c r="BQ14" s="273">
        <v>10</v>
      </c>
      <c r="BR14" s="209">
        <f t="shared" si="14"/>
        <v>1</v>
      </c>
      <c r="BS14" s="272">
        <v>10</v>
      </c>
      <c r="BT14" s="272">
        <v>10</v>
      </c>
      <c r="BU14" s="209">
        <f t="shared" si="15"/>
        <v>1</v>
      </c>
      <c r="BV14" s="210">
        <f t="shared" si="16"/>
        <v>30</v>
      </c>
      <c r="BW14" s="210">
        <f t="shared" si="17"/>
        <v>30</v>
      </c>
      <c r="BX14" s="209">
        <f t="shared" si="18"/>
        <v>1</v>
      </c>
      <c r="BY14" s="209">
        <f>+(BK14+BW14)/R14</f>
        <v>0.4</v>
      </c>
      <c r="BZ14" s="209">
        <f t="shared" si="20"/>
        <v>-0.4</v>
      </c>
      <c r="CA14" s="212"/>
      <c r="CB14" s="245"/>
      <c r="CC14" s="183">
        <v>10</v>
      </c>
      <c r="CD14" s="184">
        <v>10</v>
      </c>
      <c r="CE14" s="185">
        <f t="shared" si="21"/>
        <v>1</v>
      </c>
      <c r="CF14" s="183">
        <v>10</v>
      </c>
      <c r="CG14" s="184">
        <v>10</v>
      </c>
      <c r="CH14" s="185">
        <f t="shared" si="22"/>
        <v>1</v>
      </c>
      <c r="CI14" s="189"/>
      <c r="CJ14" s="190"/>
      <c r="CK14" s="185" t="e">
        <f t="shared" si="23"/>
        <v>#DIV/0!</v>
      </c>
      <c r="CL14" s="187">
        <f t="shared" si="24"/>
        <v>20</v>
      </c>
      <c r="CM14" s="186">
        <f t="shared" si="24"/>
        <v>20</v>
      </c>
      <c r="CN14" s="185">
        <f t="shared" si="25"/>
        <v>1</v>
      </c>
      <c r="CO14" s="245"/>
      <c r="CP14" s="188">
        <f t="shared" si="26"/>
        <v>60</v>
      </c>
      <c r="CQ14" s="188">
        <f t="shared" si="26"/>
        <v>60</v>
      </c>
      <c r="CR14" s="191">
        <f t="shared" si="27"/>
        <v>1</v>
      </c>
      <c r="CS14" s="279">
        <f t="shared" si="28"/>
        <v>40</v>
      </c>
      <c r="CT14" s="245"/>
      <c r="CU14" s="188">
        <f t="shared" si="29"/>
        <v>12</v>
      </c>
      <c r="CV14" s="277"/>
      <c r="CW14" s="191">
        <f t="shared" si="30"/>
        <v>0</v>
      </c>
      <c r="CX14" s="188">
        <f t="shared" si="31"/>
        <v>12</v>
      </c>
      <c r="CY14" s="277"/>
      <c r="CZ14" s="191">
        <f t="shared" si="32"/>
        <v>0</v>
      </c>
      <c r="DA14" s="188">
        <f t="shared" si="33"/>
        <v>12</v>
      </c>
      <c r="DB14" s="277"/>
      <c r="DC14" s="191">
        <f t="shared" si="34"/>
        <v>0</v>
      </c>
      <c r="DD14" s="188">
        <f t="shared" si="35"/>
        <v>4</v>
      </c>
      <c r="DE14" s="277"/>
      <c r="DF14" s="191">
        <f t="shared" si="36"/>
        <v>0</v>
      </c>
      <c r="DG14" s="245"/>
      <c r="DH14" s="188">
        <f t="shared" si="37"/>
        <v>100</v>
      </c>
      <c r="DI14" s="188">
        <f t="shared" si="38"/>
        <v>60</v>
      </c>
      <c r="DJ14" s="191">
        <f t="shared" si="39"/>
        <v>0.6</v>
      </c>
      <c r="DK14" s="286">
        <f t="shared" si="40"/>
        <v>40</v>
      </c>
      <c r="DL14" s="261">
        <v>10</v>
      </c>
      <c r="DM14" s="244">
        <f>+A14-DL14</f>
        <v>0</v>
      </c>
    </row>
    <row r="15" spans="1:117" x14ac:dyDescent="0.35">
      <c r="A15" s="263">
        <v>11</v>
      </c>
      <c r="B15" s="102" t="s">
        <v>150</v>
      </c>
      <c r="C15" s="102" t="s">
        <v>118</v>
      </c>
      <c r="D15" s="102" t="s">
        <v>119</v>
      </c>
      <c r="E15" s="102" t="s">
        <v>120</v>
      </c>
      <c r="F15" s="102" t="s">
        <v>160</v>
      </c>
      <c r="G15" s="98" t="s">
        <v>122</v>
      </c>
      <c r="H15" s="98" t="s">
        <v>123</v>
      </c>
      <c r="I15" s="98" t="s">
        <v>153</v>
      </c>
      <c r="J15" s="98" t="s">
        <v>153</v>
      </c>
      <c r="K15" s="96" t="s">
        <v>104</v>
      </c>
      <c r="L15" s="96" t="s">
        <v>105</v>
      </c>
      <c r="M15" s="98" t="s">
        <v>106</v>
      </c>
      <c r="N15" s="98" t="s">
        <v>126</v>
      </c>
      <c r="O15" s="98" t="s">
        <v>127</v>
      </c>
      <c r="P15" s="258" t="s">
        <v>168</v>
      </c>
      <c r="Q15" s="98" t="s">
        <v>129</v>
      </c>
      <c r="R15" s="301">
        <v>100</v>
      </c>
      <c r="S15" s="99" t="s">
        <v>158</v>
      </c>
      <c r="T15" s="81">
        <v>0</v>
      </c>
      <c r="U15" s="81">
        <v>10</v>
      </c>
      <c r="V15" s="25" t="e">
        <f t="shared" si="41"/>
        <v>#DIV/0!</v>
      </c>
      <c r="W15" s="81">
        <v>30</v>
      </c>
      <c r="X15" s="81">
        <v>30</v>
      </c>
      <c r="Y15" s="25">
        <f t="shared" si="1"/>
        <v>100</v>
      </c>
      <c r="Z15" s="81">
        <v>40</v>
      </c>
      <c r="AA15" s="81"/>
      <c r="AB15" s="25">
        <f t="shared" si="2"/>
        <v>0</v>
      </c>
      <c r="AC15" s="81">
        <v>30</v>
      </c>
      <c r="AD15" s="81"/>
      <c r="AE15" s="25">
        <f t="shared" si="3"/>
        <v>0</v>
      </c>
      <c r="AF15" s="140">
        <f t="shared" si="6"/>
        <v>100</v>
      </c>
      <c r="AG15" s="140">
        <f t="shared" si="4"/>
        <v>40</v>
      </c>
      <c r="AH15" s="138">
        <f t="shared" si="5"/>
        <v>133.33333333333331</v>
      </c>
      <c r="AI15" s="101">
        <v>46113</v>
      </c>
      <c r="AJ15" s="101">
        <v>46477</v>
      </c>
      <c r="AK15" s="102" t="s">
        <v>112</v>
      </c>
      <c r="AL15" s="102" t="s">
        <v>113</v>
      </c>
      <c r="AM15" s="103" t="s">
        <v>114</v>
      </c>
      <c r="AN15" s="104">
        <v>260000000</v>
      </c>
      <c r="AO15" s="104">
        <v>260000000</v>
      </c>
      <c r="AP15" s="104">
        <v>260000000</v>
      </c>
      <c r="AQ15" s="326">
        <v>0</v>
      </c>
      <c r="AR15" s="102" t="s">
        <v>115</v>
      </c>
      <c r="AS15" s="102" t="s">
        <v>112</v>
      </c>
      <c r="AT15" s="152" t="s">
        <v>131</v>
      </c>
      <c r="AU15" s="166" t="s">
        <v>2264</v>
      </c>
      <c r="AV15" s="247" t="s">
        <v>2234</v>
      </c>
      <c r="AW15" s="136" t="s">
        <v>2258</v>
      </c>
      <c r="AX15" s="136" t="s">
        <v>2347</v>
      </c>
      <c r="AY15" s="136" t="s">
        <v>2376</v>
      </c>
      <c r="BA15" s="272"/>
      <c r="BB15" s="273"/>
      <c r="BC15" s="209" t="e">
        <f t="shared" si="7"/>
        <v>#DIV/0!</v>
      </c>
      <c r="BD15" s="272"/>
      <c r="BE15" s="273"/>
      <c r="BF15" s="209" t="e">
        <f t="shared" si="8"/>
        <v>#DIV/0!</v>
      </c>
      <c r="BG15" s="272"/>
      <c r="BH15" s="273"/>
      <c r="BI15" s="209" t="e">
        <f t="shared" si="9"/>
        <v>#DIV/0!</v>
      </c>
      <c r="BJ15" s="210">
        <f t="shared" si="10"/>
        <v>0</v>
      </c>
      <c r="BK15" s="211">
        <f t="shared" si="11"/>
        <v>0</v>
      </c>
      <c r="BL15" s="209" t="e">
        <f t="shared" si="12"/>
        <v>#DIV/0!</v>
      </c>
      <c r="BM15" s="272"/>
      <c r="BN15" s="273"/>
      <c r="BO15" s="209" t="e">
        <f t="shared" si="13"/>
        <v>#DIV/0!</v>
      </c>
      <c r="BP15" s="272"/>
      <c r="BQ15" s="273"/>
      <c r="BR15" s="209" t="e">
        <f t="shared" si="14"/>
        <v>#DIV/0!</v>
      </c>
      <c r="BS15" s="272"/>
      <c r="BT15" s="272"/>
      <c r="BU15" s="209" t="e">
        <f t="shared" si="15"/>
        <v>#DIV/0!</v>
      </c>
      <c r="BV15" s="210">
        <f t="shared" si="16"/>
        <v>0</v>
      </c>
      <c r="BW15" s="210">
        <f t="shared" si="17"/>
        <v>0</v>
      </c>
      <c r="BX15" s="209" t="e">
        <f t="shared" si="18"/>
        <v>#DIV/0!</v>
      </c>
      <c r="BY15" s="209">
        <f t="shared" si="19"/>
        <v>0</v>
      </c>
      <c r="BZ15" s="209">
        <f t="shared" si="20"/>
        <v>0</v>
      </c>
      <c r="CA15" s="212"/>
      <c r="CB15" s="245"/>
      <c r="CC15" s="183"/>
      <c r="CD15" s="184"/>
      <c r="CE15" s="185" t="e">
        <f t="shared" si="21"/>
        <v>#DIV/0!</v>
      </c>
      <c r="CF15" s="183"/>
      <c r="CG15" s="184"/>
      <c r="CH15" s="185" t="e">
        <f t="shared" si="22"/>
        <v>#DIV/0!</v>
      </c>
      <c r="CI15" s="189"/>
      <c r="CJ15" s="190"/>
      <c r="CK15" s="185" t="e">
        <f t="shared" si="23"/>
        <v>#DIV/0!</v>
      </c>
      <c r="CL15" s="187">
        <f t="shared" si="24"/>
        <v>0</v>
      </c>
      <c r="CM15" s="186">
        <f t="shared" si="24"/>
        <v>0</v>
      </c>
      <c r="CN15" s="185" t="e">
        <f t="shared" si="25"/>
        <v>#DIV/0!</v>
      </c>
      <c r="CO15" s="245"/>
      <c r="CP15" s="188">
        <f t="shared" si="26"/>
        <v>0</v>
      </c>
      <c r="CQ15" s="188">
        <f t="shared" si="26"/>
        <v>0</v>
      </c>
      <c r="CR15" s="191" t="e">
        <f t="shared" si="27"/>
        <v>#DIV/0!</v>
      </c>
      <c r="CS15" s="279">
        <f t="shared" si="28"/>
        <v>100</v>
      </c>
      <c r="CT15" s="245"/>
      <c r="CU15" s="188">
        <f t="shared" si="29"/>
        <v>30</v>
      </c>
      <c r="CV15" s="277"/>
      <c r="CW15" s="191">
        <f t="shared" si="30"/>
        <v>0</v>
      </c>
      <c r="CX15" s="188">
        <f t="shared" si="31"/>
        <v>30</v>
      </c>
      <c r="CY15" s="277"/>
      <c r="CZ15" s="191">
        <f t="shared" si="32"/>
        <v>0</v>
      </c>
      <c r="DA15" s="188">
        <f t="shared" si="33"/>
        <v>30</v>
      </c>
      <c r="DB15" s="277"/>
      <c r="DC15" s="191">
        <f t="shared" si="34"/>
        <v>0</v>
      </c>
      <c r="DD15" s="188">
        <f t="shared" si="35"/>
        <v>10</v>
      </c>
      <c r="DE15" s="277"/>
      <c r="DF15" s="191">
        <f t="shared" si="36"/>
        <v>0</v>
      </c>
      <c r="DG15" s="245"/>
      <c r="DH15" s="188">
        <f t="shared" si="37"/>
        <v>100</v>
      </c>
      <c r="DI15" s="188">
        <f t="shared" si="38"/>
        <v>0</v>
      </c>
      <c r="DJ15" s="191">
        <f t="shared" si="39"/>
        <v>0</v>
      </c>
      <c r="DK15" s="286">
        <f t="shared" si="40"/>
        <v>100</v>
      </c>
      <c r="DL15" s="261">
        <v>11</v>
      </c>
      <c r="DM15" s="244">
        <f>+A15-DL15</f>
        <v>0</v>
      </c>
    </row>
    <row r="16" spans="1:117" x14ac:dyDescent="0.35">
      <c r="A16" s="263">
        <v>12</v>
      </c>
      <c r="B16" s="102" t="s">
        <v>150</v>
      </c>
      <c r="C16" s="102" t="s">
        <v>118</v>
      </c>
      <c r="D16" s="102" t="s">
        <v>119</v>
      </c>
      <c r="E16" s="102" t="s">
        <v>155</v>
      </c>
      <c r="F16" s="102" t="s">
        <v>169</v>
      </c>
      <c r="G16" s="98" t="s">
        <v>122</v>
      </c>
      <c r="H16" s="98" t="s">
        <v>123</v>
      </c>
      <c r="I16" s="98" t="s">
        <v>153</v>
      </c>
      <c r="J16" s="98" t="s">
        <v>153</v>
      </c>
      <c r="K16" s="96" t="s">
        <v>104</v>
      </c>
      <c r="L16" s="96" t="s">
        <v>105</v>
      </c>
      <c r="M16" s="98" t="s">
        <v>106</v>
      </c>
      <c r="N16" s="98" t="s">
        <v>126</v>
      </c>
      <c r="O16" s="98" t="s">
        <v>127</v>
      </c>
      <c r="P16" s="98" t="s">
        <v>170</v>
      </c>
      <c r="Q16" s="98" t="s">
        <v>129</v>
      </c>
      <c r="R16" s="301">
        <v>32</v>
      </c>
      <c r="S16" s="99" t="s">
        <v>111</v>
      </c>
      <c r="T16" s="81">
        <v>8</v>
      </c>
      <c r="U16" s="81">
        <v>6</v>
      </c>
      <c r="V16" s="25">
        <f t="shared" si="41"/>
        <v>75</v>
      </c>
      <c r="W16" s="81">
        <v>8</v>
      </c>
      <c r="X16" s="81">
        <v>8</v>
      </c>
      <c r="Y16" s="25">
        <f t="shared" si="1"/>
        <v>100</v>
      </c>
      <c r="Z16" s="81">
        <v>8</v>
      </c>
      <c r="AA16" s="81">
        <v>0</v>
      </c>
      <c r="AB16" s="25">
        <f t="shared" si="2"/>
        <v>0</v>
      </c>
      <c r="AC16" s="81">
        <v>8</v>
      </c>
      <c r="AD16" s="81"/>
      <c r="AE16" s="25">
        <f t="shared" si="3"/>
        <v>0</v>
      </c>
      <c r="AF16" s="140">
        <f t="shared" si="6"/>
        <v>32</v>
      </c>
      <c r="AG16" s="140">
        <f t="shared" si="4"/>
        <v>14</v>
      </c>
      <c r="AH16" s="138">
        <f t="shared" si="5"/>
        <v>58.333333333333336</v>
      </c>
      <c r="AI16" s="101">
        <v>46113</v>
      </c>
      <c r="AJ16" s="101">
        <v>46477</v>
      </c>
      <c r="AK16" s="102" t="s">
        <v>112</v>
      </c>
      <c r="AL16" s="102" t="s">
        <v>113</v>
      </c>
      <c r="AM16" s="103" t="s">
        <v>114</v>
      </c>
      <c r="AN16" s="324"/>
      <c r="AO16" s="324"/>
      <c r="AP16" s="324"/>
      <c r="AQ16" s="326"/>
      <c r="AR16" s="102" t="s">
        <v>115</v>
      </c>
      <c r="AS16" s="102" t="s">
        <v>112</v>
      </c>
      <c r="AT16" s="152" t="s">
        <v>131</v>
      </c>
      <c r="AU16" s="166" t="s">
        <v>2264</v>
      </c>
      <c r="AV16" s="247" t="s">
        <v>2234</v>
      </c>
      <c r="AW16" s="136" t="s">
        <v>2258</v>
      </c>
      <c r="AX16" s="136" t="s">
        <v>2347</v>
      </c>
      <c r="AY16" s="136" t="s">
        <v>2376</v>
      </c>
      <c r="BA16" s="272">
        <v>0</v>
      </c>
      <c r="BB16" s="273">
        <v>0</v>
      </c>
      <c r="BC16" s="209" t="e">
        <f t="shared" si="7"/>
        <v>#DIV/0!</v>
      </c>
      <c r="BD16" s="272">
        <v>0</v>
      </c>
      <c r="BE16" s="273">
        <v>0</v>
      </c>
      <c r="BF16" s="209" t="e">
        <f t="shared" si="8"/>
        <v>#DIV/0!</v>
      </c>
      <c r="BG16" s="272">
        <v>8</v>
      </c>
      <c r="BH16" s="273">
        <v>8</v>
      </c>
      <c r="BI16" s="209">
        <f t="shared" si="9"/>
        <v>1</v>
      </c>
      <c r="BJ16" s="210">
        <f t="shared" si="10"/>
        <v>8</v>
      </c>
      <c r="BK16" s="211">
        <f t="shared" si="11"/>
        <v>8</v>
      </c>
      <c r="BL16" s="209">
        <f t="shared" si="12"/>
        <v>1</v>
      </c>
      <c r="BM16" s="272">
        <v>8</v>
      </c>
      <c r="BN16" s="273">
        <v>8</v>
      </c>
      <c r="BO16" s="209">
        <f t="shared" si="13"/>
        <v>1</v>
      </c>
      <c r="BP16" s="272">
        <v>0</v>
      </c>
      <c r="BQ16" s="273">
        <v>0</v>
      </c>
      <c r="BR16" s="209" t="e">
        <f t="shared" si="14"/>
        <v>#DIV/0!</v>
      </c>
      <c r="BS16" s="272">
        <v>0</v>
      </c>
      <c r="BT16" s="272">
        <v>0</v>
      </c>
      <c r="BU16" s="209" t="e">
        <f t="shared" si="15"/>
        <v>#DIV/0!</v>
      </c>
      <c r="BV16" s="210">
        <f t="shared" si="16"/>
        <v>8</v>
      </c>
      <c r="BW16" s="210">
        <f t="shared" si="17"/>
        <v>8</v>
      </c>
      <c r="BX16" s="209">
        <f t="shared" si="18"/>
        <v>1</v>
      </c>
      <c r="BY16" s="209">
        <f t="shared" si="19"/>
        <v>0.5</v>
      </c>
      <c r="BZ16" s="209">
        <f t="shared" si="20"/>
        <v>-0.5</v>
      </c>
      <c r="CA16" s="212"/>
      <c r="CB16" s="245"/>
      <c r="CC16" s="183">
        <v>8</v>
      </c>
      <c r="CD16" s="184">
        <v>8</v>
      </c>
      <c r="CE16" s="185">
        <f t="shared" si="21"/>
        <v>1</v>
      </c>
      <c r="CF16" s="183">
        <v>0</v>
      </c>
      <c r="CG16" s="184">
        <v>0</v>
      </c>
      <c r="CH16" s="185" t="e">
        <f t="shared" si="22"/>
        <v>#DIV/0!</v>
      </c>
      <c r="CI16" s="189"/>
      <c r="CJ16" s="190"/>
      <c r="CK16" s="185" t="e">
        <f t="shared" si="23"/>
        <v>#DIV/0!</v>
      </c>
      <c r="CL16" s="187">
        <f t="shared" si="24"/>
        <v>8</v>
      </c>
      <c r="CM16" s="186">
        <f t="shared" si="24"/>
        <v>8</v>
      </c>
      <c r="CN16" s="185">
        <f t="shared" si="25"/>
        <v>1</v>
      </c>
      <c r="CO16" s="245"/>
      <c r="CP16" s="188">
        <f t="shared" si="26"/>
        <v>24</v>
      </c>
      <c r="CQ16" s="188">
        <f t="shared" si="26"/>
        <v>24</v>
      </c>
      <c r="CR16" s="191">
        <f t="shared" si="27"/>
        <v>1</v>
      </c>
      <c r="CS16" s="279">
        <f t="shared" si="28"/>
        <v>8</v>
      </c>
      <c r="CT16" s="245"/>
      <c r="CU16" s="188">
        <f t="shared" si="29"/>
        <v>2.4</v>
      </c>
      <c r="CV16" s="277"/>
      <c r="CW16" s="191">
        <f t="shared" si="30"/>
        <v>0</v>
      </c>
      <c r="CX16" s="188">
        <f t="shared" si="31"/>
        <v>2.4</v>
      </c>
      <c r="CY16" s="277"/>
      <c r="CZ16" s="191">
        <f t="shared" si="32"/>
        <v>0</v>
      </c>
      <c r="DA16" s="188">
        <f t="shared" si="33"/>
        <v>2.4</v>
      </c>
      <c r="DB16" s="277"/>
      <c r="DC16" s="191">
        <f t="shared" si="34"/>
        <v>0</v>
      </c>
      <c r="DD16" s="188">
        <f t="shared" si="35"/>
        <v>0.8</v>
      </c>
      <c r="DE16" s="277"/>
      <c r="DF16" s="191">
        <f t="shared" si="36"/>
        <v>0</v>
      </c>
      <c r="DG16" s="245"/>
      <c r="DH16" s="188">
        <f t="shared" si="37"/>
        <v>32</v>
      </c>
      <c r="DI16" s="188">
        <f t="shared" si="38"/>
        <v>24</v>
      </c>
      <c r="DJ16" s="191">
        <f t="shared" si="39"/>
        <v>0.75</v>
      </c>
      <c r="DK16" s="286">
        <f t="shared" si="40"/>
        <v>8</v>
      </c>
      <c r="DL16" s="261">
        <v>12</v>
      </c>
      <c r="DM16" s="244">
        <f>+A16-DL16</f>
        <v>0</v>
      </c>
    </row>
    <row r="17" spans="1:117" x14ac:dyDescent="0.35">
      <c r="A17" s="263">
        <v>13</v>
      </c>
      <c r="B17" s="102" t="s">
        <v>150</v>
      </c>
      <c r="C17" s="102" t="s">
        <v>118</v>
      </c>
      <c r="D17" s="102" t="s">
        <v>119</v>
      </c>
      <c r="E17" s="102" t="s">
        <v>155</v>
      </c>
      <c r="F17" s="102" t="s">
        <v>169</v>
      </c>
      <c r="G17" s="98" t="s">
        <v>122</v>
      </c>
      <c r="H17" s="98" t="s">
        <v>123</v>
      </c>
      <c r="I17" s="98" t="s">
        <v>153</v>
      </c>
      <c r="J17" s="98" t="s">
        <v>153</v>
      </c>
      <c r="K17" s="96" t="s">
        <v>104</v>
      </c>
      <c r="L17" s="96" t="s">
        <v>105</v>
      </c>
      <c r="M17" s="98" t="s">
        <v>106</v>
      </c>
      <c r="N17" s="98" t="s">
        <v>126</v>
      </c>
      <c r="O17" s="98" t="s">
        <v>127</v>
      </c>
      <c r="P17" s="98" t="s">
        <v>171</v>
      </c>
      <c r="Q17" s="98" t="s">
        <v>129</v>
      </c>
      <c r="R17" s="301">
        <v>100</v>
      </c>
      <c r="S17" s="99" t="s">
        <v>158</v>
      </c>
      <c r="T17" s="81">
        <v>10</v>
      </c>
      <c r="U17" s="81">
        <v>25</v>
      </c>
      <c r="V17" s="25">
        <f t="shared" si="41"/>
        <v>250</v>
      </c>
      <c r="W17" s="81">
        <v>30</v>
      </c>
      <c r="X17" s="81">
        <v>30</v>
      </c>
      <c r="Y17" s="25">
        <f t="shared" si="1"/>
        <v>100</v>
      </c>
      <c r="Z17" s="81">
        <v>30</v>
      </c>
      <c r="AA17" s="81"/>
      <c r="AB17" s="25">
        <f t="shared" si="2"/>
        <v>0</v>
      </c>
      <c r="AC17" s="81">
        <v>30</v>
      </c>
      <c r="AD17" s="81"/>
      <c r="AE17" s="25">
        <f t="shared" si="3"/>
        <v>0</v>
      </c>
      <c r="AF17" s="140">
        <f t="shared" si="6"/>
        <v>100</v>
      </c>
      <c r="AG17" s="140">
        <f t="shared" si="4"/>
        <v>55</v>
      </c>
      <c r="AH17" s="138">
        <f t="shared" si="5"/>
        <v>137.5</v>
      </c>
      <c r="AI17" s="101">
        <v>46113</v>
      </c>
      <c r="AJ17" s="101">
        <v>46477</v>
      </c>
      <c r="AK17" s="102" t="s">
        <v>112</v>
      </c>
      <c r="AL17" s="102" t="s">
        <v>113</v>
      </c>
      <c r="AM17" s="103" t="s">
        <v>114</v>
      </c>
      <c r="AN17" s="324"/>
      <c r="AO17" s="324"/>
      <c r="AP17" s="324"/>
      <c r="AQ17" s="326"/>
      <c r="AR17" s="102" t="s">
        <v>115</v>
      </c>
      <c r="AS17" s="102" t="s">
        <v>112</v>
      </c>
      <c r="AT17" s="152" t="s">
        <v>131</v>
      </c>
      <c r="AU17" s="166" t="s">
        <v>2264</v>
      </c>
      <c r="AV17" s="247" t="s">
        <v>2234</v>
      </c>
      <c r="AW17" s="136" t="s">
        <v>2258</v>
      </c>
      <c r="AX17" s="136" t="s">
        <v>2347</v>
      </c>
      <c r="AY17" s="136" t="s">
        <v>2376</v>
      </c>
      <c r="BA17" s="272">
        <v>0</v>
      </c>
      <c r="BB17" s="273">
        <v>0</v>
      </c>
      <c r="BC17" s="209" t="e">
        <f t="shared" si="7"/>
        <v>#DIV/0!</v>
      </c>
      <c r="BD17" s="272">
        <v>0</v>
      </c>
      <c r="BE17" s="273">
        <v>0</v>
      </c>
      <c r="BF17" s="209" t="e">
        <f t="shared" si="8"/>
        <v>#DIV/0!</v>
      </c>
      <c r="BG17" s="272">
        <v>10</v>
      </c>
      <c r="BH17" s="273">
        <v>10</v>
      </c>
      <c r="BI17" s="209">
        <f t="shared" si="9"/>
        <v>1</v>
      </c>
      <c r="BJ17" s="210">
        <f t="shared" si="10"/>
        <v>10</v>
      </c>
      <c r="BK17" s="211">
        <f t="shared" si="11"/>
        <v>10</v>
      </c>
      <c r="BL17" s="209">
        <f t="shared" si="12"/>
        <v>1</v>
      </c>
      <c r="BM17" s="272">
        <v>10</v>
      </c>
      <c r="BN17" s="273">
        <v>10</v>
      </c>
      <c r="BO17" s="209">
        <f t="shared" si="13"/>
        <v>1</v>
      </c>
      <c r="BP17" s="272">
        <v>10</v>
      </c>
      <c r="BQ17" s="273">
        <v>10</v>
      </c>
      <c r="BR17" s="209">
        <f t="shared" si="14"/>
        <v>1</v>
      </c>
      <c r="BS17" s="272">
        <v>10</v>
      </c>
      <c r="BT17" s="272">
        <v>10</v>
      </c>
      <c r="BU17" s="209">
        <f t="shared" si="15"/>
        <v>1</v>
      </c>
      <c r="BV17" s="210">
        <f t="shared" si="16"/>
        <v>30</v>
      </c>
      <c r="BW17" s="210">
        <f t="shared" si="17"/>
        <v>30</v>
      </c>
      <c r="BX17" s="209">
        <f t="shared" si="18"/>
        <v>1</v>
      </c>
      <c r="BY17" s="209">
        <f t="shared" si="19"/>
        <v>0.4</v>
      </c>
      <c r="BZ17" s="209">
        <f t="shared" si="20"/>
        <v>-0.4</v>
      </c>
      <c r="CA17" s="212"/>
      <c r="CB17" s="245"/>
      <c r="CC17" s="183">
        <v>10</v>
      </c>
      <c r="CD17" s="184">
        <v>10</v>
      </c>
      <c r="CE17" s="185">
        <f t="shared" si="21"/>
        <v>1</v>
      </c>
      <c r="CF17" s="183">
        <v>10</v>
      </c>
      <c r="CG17" s="184">
        <v>10</v>
      </c>
      <c r="CH17" s="185">
        <f t="shared" si="22"/>
        <v>1</v>
      </c>
      <c r="CI17" s="189"/>
      <c r="CJ17" s="190"/>
      <c r="CK17" s="185" t="e">
        <f t="shared" si="23"/>
        <v>#DIV/0!</v>
      </c>
      <c r="CL17" s="187">
        <f t="shared" si="24"/>
        <v>20</v>
      </c>
      <c r="CM17" s="186">
        <f t="shared" si="24"/>
        <v>20</v>
      </c>
      <c r="CN17" s="185">
        <f t="shared" si="25"/>
        <v>1</v>
      </c>
      <c r="CO17" s="245"/>
      <c r="CP17" s="188">
        <f t="shared" si="26"/>
        <v>60</v>
      </c>
      <c r="CQ17" s="188">
        <f t="shared" si="26"/>
        <v>60</v>
      </c>
      <c r="CR17" s="191">
        <f t="shared" si="27"/>
        <v>1</v>
      </c>
      <c r="CS17" s="279">
        <f t="shared" si="28"/>
        <v>40</v>
      </c>
      <c r="CT17" s="245"/>
      <c r="CU17" s="188">
        <f t="shared" si="29"/>
        <v>12</v>
      </c>
      <c r="CV17" s="277"/>
      <c r="CW17" s="191">
        <f t="shared" si="30"/>
        <v>0</v>
      </c>
      <c r="CX17" s="188">
        <f t="shared" si="31"/>
        <v>12</v>
      </c>
      <c r="CY17" s="277"/>
      <c r="CZ17" s="191">
        <f t="shared" si="32"/>
        <v>0</v>
      </c>
      <c r="DA17" s="188">
        <f t="shared" si="33"/>
        <v>12</v>
      </c>
      <c r="DB17" s="277"/>
      <c r="DC17" s="191">
        <f t="shared" si="34"/>
        <v>0</v>
      </c>
      <c r="DD17" s="188">
        <f t="shared" si="35"/>
        <v>4</v>
      </c>
      <c r="DE17" s="277"/>
      <c r="DF17" s="191">
        <f t="shared" si="36"/>
        <v>0</v>
      </c>
      <c r="DG17" s="245"/>
      <c r="DH17" s="188">
        <f t="shared" si="37"/>
        <v>100</v>
      </c>
      <c r="DI17" s="188">
        <f t="shared" si="38"/>
        <v>60</v>
      </c>
      <c r="DJ17" s="191">
        <f t="shared" si="39"/>
        <v>0.6</v>
      </c>
      <c r="DK17" s="286">
        <f t="shared" si="40"/>
        <v>40</v>
      </c>
      <c r="DL17" s="261">
        <v>13</v>
      </c>
      <c r="DM17" s="244">
        <f>+A17-DL17</f>
        <v>0</v>
      </c>
    </row>
    <row r="18" spans="1:117" x14ac:dyDescent="0.35">
      <c r="A18" s="263">
        <v>14</v>
      </c>
      <c r="B18" s="102" t="s">
        <v>150</v>
      </c>
      <c r="C18" s="102" t="s">
        <v>97</v>
      </c>
      <c r="D18" s="102" t="s">
        <v>98</v>
      </c>
      <c r="E18" s="102" t="s">
        <v>99</v>
      </c>
      <c r="F18" s="102" t="s">
        <v>172</v>
      </c>
      <c r="G18" s="98" t="s">
        <v>122</v>
      </c>
      <c r="H18" s="98" t="s">
        <v>123</v>
      </c>
      <c r="I18" s="98" t="s">
        <v>173</v>
      </c>
      <c r="J18" s="98" t="s">
        <v>173</v>
      </c>
      <c r="K18" s="96" t="s">
        <v>104</v>
      </c>
      <c r="L18" s="96" t="s">
        <v>105</v>
      </c>
      <c r="M18" s="98" t="s">
        <v>106</v>
      </c>
      <c r="N18" s="98" t="s">
        <v>174</v>
      </c>
      <c r="O18" s="98" t="s">
        <v>108</v>
      </c>
      <c r="P18" s="98" t="s">
        <v>175</v>
      </c>
      <c r="Q18" s="98" t="s">
        <v>110</v>
      </c>
      <c r="R18" s="301">
        <v>30000</v>
      </c>
      <c r="S18" s="99" t="s">
        <v>111</v>
      </c>
      <c r="T18" s="81">
        <v>10</v>
      </c>
      <c r="U18" s="81">
        <v>0</v>
      </c>
      <c r="V18" s="25">
        <f t="shared" si="41"/>
        <v>0</v>
      </c>
      <c r="W18" s="81">
        <v>30</v>
      </c>
      <c r="X18" s="81">
        <v>0</v>
      </c>
      <c r="Y18" s="25">
        <f t="shared" si="1"/>
        <v>0</v>
      </c>
      <c r="Z18" s="81">
        <v>30</v>
      </c>
      <c r="AA18" s="81">
        <v>0</v>
      </c>
      <c r="AB18" s="25">
        <f t="shared" si="2"/>
        <v>0</v>
      </c>
      <c r="AC18" s="81">
        <v>30</v>
      </c>
      <c r="AD18" s="81">
        <v>0</v>
      </c>
      <c r="AE18" s="25">
        <f t="shared" si="3"/>
        <v>0</v>
      </c>
      <c r="AF18" s="140">
        <f t="shared" si="6"/>
        <v>30000</v>
      </c>
      <c r="AG18" s="140">
        <f t="shared" si="4"/>
        <v>0</v>
      </c>
      <c r="AH18" s="138">
        <f t="shared" si="5"/>
        <v>0</v>
      </c>
      <c r="AI18" s="101">
        <v>46054</v>
      </c>
      <c r="AJ18" s="101">
        <v>46477</v>
      </c>
      <c r="AK18" s="102" t="s">
        <v>112</v>
      </c>
      <c r="AL18" s="102" t="s">
        <v>113</v>
      </c>
      <c r="AM18" s="103" t="s">
        <v>114</v>
      </c>
      <c r="AN18" s="104">
        <v>400000000</v>
      </c>
      <c r="AO18" s="104">
        <v>400000000</v>
      </c>
      <c r="AP18" s="104">
        <v>400000000</v>
      </c>
      <c r="AQ18" s="326">
        <v>0</v>
      </c>
      <c r="AR18" s="102" t="s">
        <v>115</v>
      </c>
      <c r="AS18" s="102" t="s">
        <v>112</v>
      </c>
      <c r="AT18" s="152" t="s">
        <v>131</v>
      </c>
      <c r="AU18" s="166" t="s">
        <v>2264</v>
      </c>
      <c r="AV18" s="247" t="s">
        <v>2234</v>
      </c>
      <c r="AW18" s="136" t="s">
        <v>2258</v>
      </c>
      <c r="AX18" s="136" t="s">
        <v>2347</v>
      </c>
      <c r="AY18" s="136" t="s">
        <v>2376</v>
      </c>
      <c r="BA18" s="272"/>
      <c r="BB18" s="273"/>
      <c r="BC18" s="209" t="e">
        <f t="shared" si="7"/>
        <v>#DIV/0!</v>
      </c>
      <c r="BD18" s="272"/>
      <c r="BE18" s="273"/>
      <c r="BF18" s="209" t="e">
        <f t="shared" si="8"/>
        <v>#DIV/0!</v>
      </c>
      <c r="BG18" s="272"/>
      <c r="BH18" s="273"/>
      <c r="BI18" s="209" t="e">
        <f t="shared" si="9"/>
        <v>#DIV/0!</v>
      </c>
      <c r="BJ18" s="210">
        <f t="shared" si="10"/>
        <v>0</v>
      </c>
      <c r="BK18" s="211">
        <f t="shared" si="11"/>
        <v>0</v>
      </c>
      <c r="BL18" s="209" t="e">
        <f t="shared" si="12"/>
        <v>#DIV/0!</v>
      </c>
      <c r="BM18" s="272"/>
      <c r="BN18" s="273"/>
      <c r="BO18" s="209" t="e">
        <f t="shared" si="13"/>
        <v>#DIV/0!</v>
      </c>
      <c r="BP18" s="272"/>
      <c r="BQ18" s="273"/>
      <c r="BR18" s="209" t="e">
        <f t="shared" si="14"/>
        <v>#DIV/0!</v>
      </c>
      <c r="BS18" s="272"/>
      <c r="BT18" s="272"/>
      <c r="BU18" s="209" t="e">
        <f t="shared" si="15"/>
        <v>#DIV/0!</v>
      </c>
      <c r="BV18" s="210">
        <f t="shared" si="16"/>
        <v>0</v>
      </c>
      <c r="BW18" s="210">
        <f t="shared" si="17"/>
        <v>0</v>
      </c>
      <c r="BX18" s="209" t="e">
        <f t="shared" si="18"/>
        <v>#DIV/0!</v>
      </c>
      <c r="BY18" s="209">
        <f t="shared" si="19"/>
        <v>0</v>
      </c>
      <c r="BZ18" s="209">
        <f t="shared" si="20"/>
        <v>0</v>
      </c>
      <c r="CA18" s="212"/>
      <c r="CB18" s="245"/>
      <c r="CC18" s="183"/>
      <c r="CD18" s="184"/>
      <c r="CE18" s="185" t="e">
        <f t="shared" si="21"/>
        <v>#DIV/0!</v>
      </c>
      <c r="CF18" s="183"/>
      <c r="CG18" s="184"/>
      <c r="CH18" s="185" t="e">
        <f t="shared" si="22"/>
        <v>#DIV/0!</v>
      </c>
      <c r="CI18" s="189"/>
      <c r="CJ18" s="190"/>
      <c r="CK18" s="185" t="e">
        <f t="shared" si="23"/>
        <v>#DIV/0!</v>
      </c>
      <c r="CL18" s="187">
        <f t="shared" si="24"/>
        <v>0</v>
      </c>
      <c r="CM18" s="186">
        <f t="shared" si="24"/>
        <v>0</v>
      </c>
      <c r="CN18" s="185" t="e">
        <f t="shared" si="25"/>
        <v>#DIV/0!</v>
      </c>
      <c r="CO18" s="245"/>
      <c r="CP18" s="188">
        <f t="shared" si="26"/>
        <v>0</v>
      </c>
      <c r="CQ18" s="188">
        <f t="shared" si="26"/>
        <v>0</v>
      </c>
      <c r="CR18" s="191" t="e">
        <f t="shared" si="27"/>
        <v>#DIV/0!</v>
      </c>
      <c r="CS18" s="279">
        <f t="shared" si="28"/>
        <v>30000</v>
      </c>
      <c r="CT18" s="245"/>
      <c r="CU18" s="188">
        <f t="shared" si="29"/>
        <v>9000</v>
      </c>
      <c r="CV18" s="277"/>
      <c r="CW18" s="191">
        <f t="shared" si="30"/>
        <v>0</v>
      </c>
      <c r="CX18" s="188">
        <f t="shared" si="31"/>
        <v>9000</v>
      </c>
      <c r="CY18" s="277"/>
      <c r="CZ18" s="191">
        <f t="shared" si="32"/>
        <v>0</v>
      </c>
      <c r="DA18" s="188">
        <f t="shared" si="33"/>
        <v>9000</v>
      </c>
      <c r="DB18" s="277"/>
      <c r="DC18" s="191">
        <f t="shared" si="34"/>
        <v>0</v>
      </c>
      <c r="DD18" s="188">
        <f t="shared" si="35"/>
        <v>3000</v>
      </c>
      <c r="DE18" s="277"/>
      <c r="DF18" s="191">
        <f t="shared" si="36"/>
        <v>0</v>
      </c>
      <c r="DG18" s="245"/>
      <c r="DH18" s="188">
        <f t="shared" si="37"/>
        <v>30000</v>
      </c>
      <c r="DI18" s="188">
        <f t="shared" si="38"/>
        <v>0</v>
      </c>
      <c r="DJ18" s="191">
        <f t="shared" si="39"/>
        <v>0</v>
      </c>
      <c r="DK18" s="286">
        <f t="shared" si="40"/>
        <v>30000</v>
      </c>
      <c r="DL18" s="261">
        <v>14</v>
      </c>
      <c r="DM18" s="244">
        <f>+A18-DL18</f>
        <v>0</v>
      </c>
    </row>
    <row r="19" spans="1:117" x14ac:dyDescent="0.35">
      <c r="A19" s="263">
        <v>15</v>
      </c>
      <c r="B19" s="102" t="s">
        <v>150</v>
      </c>
      <c r="C19" s="102" t="s">
        <v>133</v>
      </c>
      <c r="D19" s="102" t="s">
        <v>119</v>
      </c>
      <c r="E19" s="102" t="s">
        <v>134</v>
      </c>
      <c r="F19" s="102" t="s">
        <v>176</v>
      </c>
      <c r="G19" s="98" t="s">
        <v>177</v>
      </c>
      <c r="H19" s="98" t="s">
        <v>178</v>
      </c>
      <c r="I19" s="98" t="s">
        <v>173</v>
      </c>
      <c r="J19" s="98" t="s">
        <v>173</v>
      </c>
      <c r="K19" s="96" t="s">
        <v>104</v>
      </c>
      <c r="L19" s="96" t="s">
        <v>105</v>
      </c>
      <c r="M19" s="98" t="s">
        <v>106</v>
      </c>
      <c r="N19" s="98" t="s">
        <v>126</v>
      </c>
      <c r="O19" s="98" t="s">
        <v>127</v>
      </c>
      <c r="P19" s="258" t="s">
        <v>179</v>
      </c>
      <c r="Q19" s="98" t="s">
        <v>129</v>
      </c>
      <c r="R19" s="301">
        <v>1</v>
      </c>
      <c r="S19" s="99" t="s">
        <v>111</v>
      </c>
      <c r="T19" s="81">
        <v>0</v>
      </c>
      <c r="U19" s="81">
        <v>0</v>
      </c>
      <c r="V19" s="25" t="e">
        <f t="shared" si="41"/>
        <v>#DIV/0!</v>
      </c>
      <c r="W19" s="81">
        <v>30</v>
      </c>
      <c r="X19" s="81">
        <v>0</v>
      </c>
      <c r="Y19" s="25">
        <f t="shared" si="1"/>
        <v>0</v>
      </c>
      <c r="Z19" s="81">
        <v>40</v>
      </c>
      <c r="AA19" s="81"/>
      <c r="AB19" s="25">
        <f t="shared" si="2"/>
        <v>0</v>
      </c>
      <c r="AC19" s="81">
        <v>30</v>
      </c>
      <c r="AD19" s="81"/>
      <c r="AE19" s="25">
        <f t="shared" si="3"/>
        <v>0</v>
      </c>
      <c r="AF19" s="140">
        <f t="shared" si="6"/>
        <v>1</v>
      </c>
      <c r="AG19" s="140">
        <f t="shared" si="4"/>
        <v>0</v>
      </c>
      <c r="AH19" s="138">
        <f t="shared" si="5"/>
        <v>0</v>
      </c>
      <c r="AI19" s="101">
        <v>46113</v>
      </c>
      <c r="AJ19" s="101">
        <v>46477</v>
      </c>
      <c r="AK19" s="102" t="s">
        <v>112</v>
      </c>
      <c r="AL19" s="102" t="s">
        <v>113</v>
      </c>
      <c r="AM19" s="103" t="s">
        <v>114</v>
      </c>
      <c r="AN19" s="104">
        <v>26000000</v>
      </c>
      <c r="AO19" s="104">
        <v>26000000</v>
      </c>
      <c r="AP19" s="104">
        <v>26000000</v>
      </c>
      <c r="AQ19" s="326">
        <v>0</v>
      </c>
      <c r="AR19" s="102" t="s">
        <v>115</v>
      </c>
      <c r="AS19" s="102" t="s">
        <v>112</v>
      </c>
      <c r="AT19" s="152" t="s">
        <v>131</v>
      </c>
      <c r="AU19" s="166" t="s">
        <v>2264</v>
      </c>
      <c r="AV19" s="247" t="s">
        <v>2234</v>
      </c>
      <c r="AW19" s="136" t="s">
        <v>2258</v>
      </c>
      <c r="AX19" s="136" t="s">
        <v>2347</v>
      </c>
      <c r="AY19" s="136" t="s">
        <v>2376</v>
      </c>
      <c r="BA19" s="272">
        <v>0</v>
      </c>
      <c r="BB19" s="273">
        <v>0</v>
      </c>
      <c r="BC19" s="209" t="e">
        <f t="shared" si="7"/>
        <v>#DIV/0!</v>
      </c>
      <c r="BD19" s="272">
        <v>0</v>
      </c>
      <c r="BE19" s="273">
        <v>0</v>
      </c>
      <c r="BF19" s="209" t="e">
        <f t="shared" si="8"/>
        <v>#DIV/0!</v>
      </c>
      <c r="BG19" s="272">
        <v>0</v>
      </c>
      <c r="BH19" s="273">
        <v>0</v>
      </c>
      <c r="BI19" s="209" t="e">
        <f t="shared" si="9"/>
        <v>#DIV/0!</v>
      </c>
      <c r="BJ19" s="210">
        <f t="shared" si="10"/>
        <v>0</v>
      </c>
      <c r="BK19" s="211">
        <f t="shared" si="11"/>
        <v>0</v>
      </c>
      <c r="BL19" s="209" t="e">
        <f t="shared" si="12"/>
        <v>#DIV/0!</v>
      </c>
      <c r="BM19" s="272">
        <v>1</v>
      </c>
      <c r="BN19" s="273">
        <v>1</v>
      </c>
      <c r="BO19" s="209">
        <f t="shared" si="13"/>
        <v>1</v>
      </c>
      <c r="BP19" s="272"/>
      <c r="BQ19" s="273"/>
      <c r="BR19" s="209" t="e">
        <f t="shared" si="14"/>
        <v>#DIV/0!</v>
      </c>
      <c r="BS19" s="272"/>
      <c r="BT19" s="272"/>
      <c r="BU19" s="209" t="e">
        <f t="shared" si="15"/>
        <v>#DIV/0!</v>
      </c>
      <c r="BV19" s="210">
        <f t="shared" si="16"/>
        <v>1</v>
      </c>
      <c r="BW19" s="210">
        <f t="shared" si="17"/>
        <v>1</v>
      </c>
      <c r="BX19" s="209">
        <f t="shared" si="18"/>
        <v>1</v>
      </c>
      <c r="BY19" s="209">
        <f t="shared" si="19"/>
        <v>1</v>
      </c>
      <c r="BZ19" s="209">
        <f t="shared" si="20"/>
        <v>-1</v>
      </c>
      <c r="CA19" s="212"/>
      <c r="CB19" s="245"/>
      <c r="CC19" s="183"/>
      <c r="CD19" s="184"/>
      <c r="CE19" s="185" t="e">
        <f t="shared" si="21"/>
        <v>#DIV/0!</v>
      </c>
      <c r="CF19" s="183"/>
      <c r="CG19" s="184"/>
      <c r="CH19" s="185" t="e">
        <f t="shared" si="22"/>
        <v>#DIV/0!</v>
      </c>
      <c r="CI19" s="189"/>
      <c r="CJ19" s="190"/>
      <c r="CK19" s="185" t="e">
        <f t="shared" si="23"/>
        <v>#DIV/0!</v>
      </c>
      <c r="CL19" s="187">
        <f t="shared" si="24"/>
        <v>0</v>
      </c>
      <c r="CM19" s="186">
        <f t="shared" si="24"/>
        <v>0</v>
      </c>
      <c r="CN19" s="185" t="e">
        <f t="shared" si="25"/>
        <v>#DIV/0!</v>
      </c>
      <c r="CO19" s="245"/>
      <c r="CP19" s="188">
        <f t="shared" si="26"/>
        <v>1</v>
      </c>
      <c r="CQ19" s="188">
        <f t="shared" si="26"/>
        <v>1</v>
      </c>
      <c r="CR19" s="191">
        <f t="shared" si="27"/>
        <v>1</v>
      </c>
      <c r="CS19" s="279">
        <f t="shared" si="28"/>
        <v>0</v>
      </c>
      <c r="CT19" s="245"/>
      <c r="CU19" s="188">
        <f t="shared" si="29"/>
        <v>0</v>
      </c>
      <c r="CV19" s="277"/>
      <c r="CW19" s="191" t="e">
        <f t="shared" si="30"/>
        <v>#DIV/0!</v>
      </c>
      <c r="CX19" s="188">
        <f t="shared" si="31"/>
        <v>0</v>
      </c>
      <c r="CY19" s="277"/>
      <c r="CZ19" s="191" t="e">
        <f t="shared" si="32"/>
        <v>#DIV/0!</v>
      </c>
      <c r="DA19" s="188">
        <f t="shared" si="33"/>
        <v>0</v>
      </c>
      <c r="DB19" s="277"/>
      <c r="DC19" s="191" t="e">
        <f t="shared" si="34"/>
        <v>#DIV/0!</v>
      </c>
      <c r="DD19" s="188">
        <f t="shared" si="35"/>
        <v>0</v>
      </c>
      <c r="DE19" s="277"/>
      <c r="DF19" s="191" t="e">
        <f t="shared" si="36"/>
        <v>#DIV/0!</v>
      </c>
      <c r="DG19" s="245"/>
      <c r="DH19" s="188">
        <f t="shared" si="37"/>
        <v>1</v>
      </c>
      <c r="DI19" s="188">
        <f t="shared" si="38"/>
        <v>1</v>
      </c>
      <c r="DJ19" s="191">
        <f t="shared" si="39"/>
        <v>1</v>
      </c>
      <c r="DK19" s="286">
        <f t="shared" si="40"/>
        <v>0</v>
      </c>
      <c r="DL19" s="261">
        <v>15</v>
      </c>
      <c r="DM19" s="244">
        <f>+A19-DL19</f>
        <v>0</v>
      </c>
    </row>
    <row r="20" spans="1:117" x14ac:dyDescent="0.35">
      <c r="A20" s="263">
        <v>16</v>
      </c>
      <c r="B20" s="102" t="s">
        <v>150</v>
      </c>
      <c r="C20" s="102" t="s">
        <v>118</v>
      </c>
      <c r="D20" s="102" t="s">
        <v>119</v>
      </c>
      <c r="E20" s="102" t="s">
        <v>155</v>
      </c>
      <c r="F20" s="102" t="s">
        <v>180</v>
      </c>
      <c r="G20" s="98" t="s">
        <v>122</v>
      </c>
      <c r="H20" s="98" t="s">
        <v>123</v>
      </c>
      <c r="I20" s="98" t="s">
        <v>153</v>
      </c>
      <c r="J20" s="98" t="s">
        <v>153</v>
      </c>
      <c r="K20" s="96" t="s">
        <v>104</v>
      </c>
      <c r="L20" s="96" t="s">
        <v>105</v>
      </c>
      <c r="M20" s="98" t="s">
        <v>106</v>
      </c>
      <c r="N20" s="98" t="s">
        <v>126</v>
      </c>
      <c r="O20" s="98" t="s">
        <v>127</v>
      </c>
      <c r="P20" s="258" t="s">
        <v>181</v>
      </c>
      <c r="Q20" s="98" t="s">
        <v>129</v>
      </c>
      <c r="R20" s="301">
        <v>1</v>
      </c>
      <c r="S20" s="99" t="s">
        <v>111</v>
      </c>
      <c r="T20" s="81">
        <v>0</v>
      </c>
      <c r="U20" s="81">
        <v>0</v>
      </c>
      <c r="V20" s="25" t="e">
        <f t="shared" si="41"/>
        <v>#DIV/0!</v>
      </c>
      <c r="W20" s="81">
        <v>0</v>
      </c>
      <c r="X20" s="81">
        <v>0</v>
      </c>
      <c r="Y20" s="25" t="e">
        <f t="shared" si="1"/>
        <v>#DIV/0!</v>
      </c>
      <c r="Z20" s="81">
        <v>1</v>
      </c>
      <c r="AA20" s="81"/>
      <c r="AB20" s="25">
        <f t="shared" si="2"/>
        <v>0</v>
      </c>
      <c r="AC20" s="81">
        <v>0</v>
      </c>
      <c r="AD20" s="81"/>
      <c r="AE20" s="25" t="e">
        <f t="shared" si="3"/>
        <v>#DIV/0!</v>
      </c>
      <c r="AF20" s="140">
        <f t="shared" si="6"/>
        <v>1</v>
      </c>
      <c r="AG20" s="140">
        <f t="shared" si="4"/>
        <v>0</v>
      </c>
      <c r="AH20" s="138" t="e">
        <f t="shared" si="5"/>
        <v>#DIV/0!</v>
      </c>
      <c r="AI20" s="101">
        <v>46054</v>
      </c>
      <c r="AJ20" s="101">
        <v>46477</v>
      </c>
      <c r="AK20" s="102" t="s">
        <v>112</v>
      </c>
      <c r="AL20" s="102" t="s">
        <v>113</v>
      </c>
      <c r="AM20" s="103" t="s">
        <v>114</v>
      </c>
      <c r="AN20" s="104">
        <v>50000000</v>
      </c>
      <c r="AO20" s="104">
        <v>50000000</v>
      </c>
      <c r="AP20" s="104">
        <v>50000000</v>
      </c>
      <c r="AQ20" s="326">
        <v>0</v>
      </c>
      <c r="AR20" s="102" t="s">
        <v>159</v>
      </c>
      <c r="AS20" s="102" t="s">
        <v>112</v>
      </c>
      <c r="AT20" s="152" t="s">
        <v>131</v>
      </c>
      <c r="AU20" s="166" t="s">
        <v>2264</v>
      </c>
      <c r="AV20" s="247" t="s">
        <v>2234</v>
      </c>
      <c r="AW20" s="136" t="s">
        <v>2258</v>
      </c>
      <c r="AX20" s="136" t="s">
        <v>2347</v>
      </c>
      <c r="AY20" s="136" t="s">
        <v>2376</v>
      </c>
      <c r="BA20" s="272"/>
      <c r="BB20" s="273"/>
      <c r="BC20" s="209" t="e">
        <f t="shared" si="7"/>
        <v>#DIV/0!</v>
      </c>
      <c r="BD20" s="272"/>
      <c r="BE20" s="273"/>
      <c r="BF20" s="209" t="e">
        <f t="shared" si="8"/>
        <v>#DIV/0!</v>
      </c>
      <c r="BG20" s="272"/>
      <c r="BH20" s="273"/>
      <c r="BI20" s="209" t="e">
        <f t="shared" si="9"/>
        <v>#DIV/0!</v>
      </c>
      <c r="BJ20" s="210">
        <f t="shared" si="10"/>
        <v>0</v>
      </c>
      <c r="BK20" s="211">
        <f t="shared" si="11"/>
        <v>0</v>
      </c>
      <c r="BL20" s="209" t="e">
        <f t="shared" si="12"/>
        <v>#DIV/0!</v>
      </c>
      <c r="BM20" s="272"/>
      <c r="BN20" s="273"/>
      <c r="BO20" s="209" t="e">
        <f t="shared" si="13"/>
        <v>#DIV/0!</v>
      </c>
      <c r="BP20" s="272"/>
      <c r="BQ20" s="273"/>
      <c r="BR20" s="209" t="e">
        <f t="shared" si="14"/>
        <v>#DIV/0!</v>
      </c>
      <c r="BS20" s="272"/>
      <c r="BT20" s="272"/>
      <c r="BU20" s="209" t="e">
        <f t="shared" si="15"/>
        <v>#DIV/0!</v>
      </c>
      <c r="BV20" s="210">
        <f t="shared" si="16"/>
        <v>0</v>
      </c>
      <c r="BW20" s="210">
        <f t="shared" si="17"/>
        <v>0</v>
      </c>
      <c r="BX20" s="209" t="e">
        <f t="shared" si="18"/>
        <v>#DIV/0!</v>
      </c>
      <c r="BY20" s="209">
        <f t="shared" si="19"/>
        <v>0</v>
      </c>
      <c r="BZ20" s="209">
        <f t="shared" si="20"/>
        <v>0</v>
      </c>
      <c r="CA20" s="212"/>
      <c r="CB20" s="245"/>
      <c r="CC20" s="183"/>
      <c r="CD20" s="184"/>
      <c r="CE20" s="185" t="e">
        <f t="shared" si="21"/>
        <v>#DIV/0!</v>
      </c>
      <c r="CF20" s="183">
        <v>1</v>
      </c>
      <c r="CG20" s="184">
        <v>1</v>
      </c>
      <c r="CH20" s="185">
        <f t="shared" si="22"/>
        <v>1</v>
      </c>
      <c r="CI20" s="189"/>
      <c r="CJ20" s="190"/>
      <c r="CK20" s="185" t="e">
        <f t="shared" si="23"/>
        <v>#DIV/0!</v>
      </c>
      <c r="CL20" s="187">
        <f t="shared" si="24"/>
        <v>1</v>
      </c>
      <c r="CM20" s="186">
        <f t="shared" si="24"/>
        <v>1</v>
      </c>
      <c r="CN20" s="185">
        <f t="shared" si="25"/>
        <v>1</v>
      </c>
      <c r="CO20" s="245"/>
      <c r="CP20" s="188">
        <f t="shared" si="26"/>
        <v>1</v>
      </c>
      <c r="CQ20" s="188">
        <f t="shared" si="26"/>
        <v>1</v>
      </c>
      <c r="CR20" s="191">
        <f t="shared" si="27"/>
        <v>1</v>
      </c>
      <c r="CS20" s="279">
        <f t="shared" si="28"/>
        <v>0</v>
      </c>
      <c r="CT20" s="245"/>
      <c r="CU20" s="188">
        <f t="shared" si="29"/>
        <v>0</v>
      </c>
      <c r="CV20" s="277"/>
      <c r="CW20" s="191" t="e">
        <f t="shared" si="30"/>
        <v>#DIV/0!</v>
      </c>
      <c r="CX20" s="188">
        <f t="shared" si="31"/>
        <v>0</v>
      </c>
      <c r="CY20" s="277"/>
      <c r="CZ20" s="191" t="e">
        <f t="shared" si="32"/>
        <v>#DIV/0!</v>
      </c>
      <c r="DA20" s="188">
        <f t="shared" si="33"/>
        <v>0</v>
      </c>
      <c r="DB20" s="277"/>
      <c r="DC20" s="191" t="e">
        <f t="shared" si="34"/>
        <v>#DIV/0!</v>
      </c>
      <c r="DD20" s="188">
        <f t="shared" si="35"/>
        <v>0</v>
      </c>
      <c r="DE20" s="277"/>
      <c r="DF20" s="191" t="e">
        <f t="shared" si="36"/>
        <v>#DIV/0!</v>
      </c>
      <c r="DG20" s="245"/>
      <c r="DH20" s="188">
        <f t="shared" si="37"/>
        <v>1</v>
      </c>
      <c r="DI20" s="188">
        <f t="shared" si="38"/>
        <v>1</v>
      </c>
      <c r="DJ20" s="191">
        <f t="shared" si="39"/>
        <v>1</v>
      </c>
      <c r="DK20" s="286">
        <f t="shared" si="40"/>
        <v>0</v>
      </c>
      <c r="DL20" s="261">
        <v>16</v>
      </c>
      <c r="DM20" s="244">
        <f>+A20-DL20</f>
        <v>0</v>
      </c>
    </row>
    <row r="21" spans="1:117" x14ac:dyDescent="0.35">
      <c r="A21" s="263">
        <v>17</v>
      </c>
      <c r="B21" s="102" t="s">
        <v>182</v>
      </c>
      <c r="C21" s="102" t="s">
        <v>133</v>
      </c>
      <c r="D21" s="102" t="s">
        <v>119</v>
      </c>
      <c r="E21" s="102" t="s">
        <v>134</v>
      </c>
      <c r="F21" s="102" t="s">
        <v>176</v>
      </c>
      <c r="G21" s="98" t="s">
        <v>122</v>
      </c>
      <c r="H21" s="98" t="s">
        <v>123</v>
      </c>
      <c r="I21" s="98" t="s">
        <v>173</v>
      </c>
      <c r="J21" s="98" t="s">
        <v>173</v>
      </c>
      <c r="K21" s="96" t="s">
        <v>183</v>
      </c>
      <c r="L21" s="96" t="s">
        <v>105</v>
      </c>
      <c r="M21" s="98" t="s">
        <v>106</v>
      </c>
      <c r="N21" s="98" t="s">
        <v>174</v>
      </c>
      <c r="O21" s="98" t="s">
        <v>127</v>
      </c>
      <c r="P21" s="258" t="s">
        <v>184</v>
      </c>
      <c r="Q21" s="98" t="s">
        <v>129</v>
      </c>
      <c r="R21" s="301">
        <v>1</v>
      </c>
      <c r="S21" s="99" t="s">
        <v>111</v>
      </c>
      <c r="T21" s="81">
        <v>0</v>
      </c>
      <c r="U21" s="81">
        <v>1</v>
      </c>
      <c r="V21" s="25" t="e">
        <f t="shared" si="41"/>
        <v>#DIV/0!</v>
      </c>
      <c r="W21" s="81">
        <v>1</v>
      </c>
      <c r="X21" s="81">
        <v>0</v>
      </c>
      <c r="Y21" s="25">
        <f t="shared" si="1"/>
        <v>0</v>
      </c>
      <c r="Z21" s="81">
        <v>0</v>
      </c>
      <c r="AA21" s="81">
        <v>0</v>
      </c>
      <c r="AB21" s="25">
        <v>0</v>
      </c>
      <c r="AC21" s="81">
        <v>0</v>
      </c>
      <c r="AD21" s="81">
        <v>0</v>
      </c>
      <c r="AE21" s="25" t="e">
        <f t="shared" si="3"/>
        <v>#DIV/0!</v>
      </c>
      <c r="AF21" s="140">
        <f t="shared" si="6"/>
        <v>1</v>
      </c>
      <c r="AG21" s="140">
        <f t="shared" si="4"/>
        <v>1</v>
      </c>
      <c r="AH21" s="138">
        <f t="shared" si="5"/>
        <v>100</v>
      </c>
      <c r="AI21" s="101">
        <v>46054</v>
      </c>
      <c r="AJ21" s="101">
        <v>46477</v>
      </c>
      <c r="AK21" s="102" t="s">
        <v>112</v>
      </c>
      <c r="AL21" s="102" t="s">
        <v>113</v>
      </c>
      <c r="AM21" s="103" t="s">
        <v>114</v>
      </c>
      <c r="AN21" s="104">
        <v>15000000</v>
      </c>
      <c r="AO21" s="104">
        <v>15000000</v>
      </c>
      <c r="AP21" s="104">
        <v>15000000</v>
      </c>
      <c r="AQ21" s="105">
        <f>AO21</f>
        <v>15000000</v>
      </c>
      <c r="AR21" s="102" t="s">
        <v>159</v>
      </c>
      <c r="AS21" s="102" t="s">
        <v>112</v>
      </c>
      <c r="AT21" s="152" t="s">
        <v>131</v>
      </c>
      <c r="AU21" s="166" t="s">
        <v>2264</v>
      </c>
      <c r="AV21" s="247" t="s">
        <v>2234</v>
      </c>
      <c r="AW21" s="136" t="s">
        <v>2258</v>
      </c>
      <c r="AX21" s="136" t="s">
        <v>2347</v>
      </c>
      <c r="AY21" s="136" t="s">
        <v>2376</v>
      </c>
      <c r="BA21" s="272"/>
      <c r="BB21" s="273"/>
      <c r="BC21" s="209" t="e">
        <f t="shared" si="7"/>
        <v>#DIV/0!</v>
      </c>
      <c r="BD21" s="272"/>
      <c r="BE21" s="273"/>
      <c r="BF21" s="209" t="e">
        <f t="shared" si="8"/>
        <v>#DIV/0!</v>
      </c>
      <c r="BG21" s="272"/>
      <c r="BH21" s="273"/>
      <c r="BI21" s="209" t="e">
        <f t="shared" si="9"/>
        <v>#DIV/0!</v>
      </c>
      <c r="BJ21" s="210">
        <f t="shared" si="10"/>
        <v>0</v>
      </c>
      <c r="BK21" s="211">
        <f t="shared" si="11"/>
        <v>0</v>
      </c>
      <c r="BL21" s="209" t="e">
        <f t="shared" si="12"/>
        <v>#DIV/0!</v>
      </c>
      <c r="BM21" s="272">
        <v>1</v>
      </c>
      <c r="BN21" s="273">
        <v>1</v>
      </c>
      <c r="BO21" s="209">
        <f t="shared" si="13"/>
        <v>1</v>
      </c>
      <c r="BP21" s="272"/>
      <c r="BQ21" s="273"/>
      <c r="BR21" s="209" t="e">
        <f t="shared" si="14"/>
        <v>#DIV/0!</v>
      </c>
      <c r="BS21" s="272"/>
      <c r="BT21" s="272"/>
      <c r="BU21" s="209" t="e">
        <f t="shared" si="15"/>
        <v>#DIV/0!</v>
      </c>
      <c r="BV21" s="210">
        <f t="shared" si="16"/>
        <v>1</v>
      </c>
      <c r="BW21" s="210">
        <f t="shared" si="17"/>
        <v>1</v>
      </c>
      <c r="BX21" s="209">
        <f t="shared" si="18"/>
        <v>1</v>
      </c>
      <c r="BY21" s="209">
        <f t="shared" si="19"/>
        <v>1</v>
      </c>
      <c r="BZ21" s="209">
        <f t="shared" si="20"/>
        <v>-1</v>
      </c>
      <c r="CA21" s="212"/>
      <c r="CB21" s="245"/>
      <c r="CC21" s="183"/>
      <c r="CD21" s="184"/>
      <c r="CE21" s="185" t="e">
        <f t="shared" si="21"/>
        <v>#DIV/0!</v>
      </c>
      <c r="CF21" s="183">
        <v>1</v>
      </c>
      <c r="CG21" s="184">
        <v>1</v>
      </c>
      <c r="CH21" s="185">
        <f t="shared" si="22"/>
        <v>1</v>
      </c>
      <c r="CI21" s="189"/>
      <c r="CJ21" s="190"/>
      <c r="CK21" s="185" t="e">
        <f t="shared" si="23"/>
        <v>#DIV/0!</v>
      </c>
      <c r="CL21" s="187">
        <f t="shared" si="24"/>
        <v>1</v>
      </c>
      <c r="CM21" s="186">
        <f t="shared" si="24"/>
        <v>1</v>
      </c>
      <c r="CN21" s="185">
        <f t="shared" si="25"/>
        <v>1</v>
      </c>
      <c r="CO21" s="245"/>
      <c r="CP21" s="188">
        <f t="shared" si="26"/>
        <v>2</v>
      </c>
      <c r="CQ21" s="188">
        <f t="shared" si="26"/>
        <v>2</v>
      </c>
      <c r="CR21" s="191">
        <f t="shared" si="27"/>
        <v>1</v>
      </c>
      <c r="CS21" s="279">
        <f t="shared" si="28"/>
        <v>-1</v>
      </c>
      <c r="CT21" s="245"/>
      <c r="CU21" s="188">
        <f t="shared" si="29"/>
        <v>-0.3</v>
      </c>
      <c r="CV21" s="277"/>
      <c r="CW21" s="191">
        <f t="shared" si="30"/>
        <v>0</v>
      </c>
      <c r="CX21" s="188">
        <f t="shared" si="31"/>
        <v>-0.3</v>
      </c>
      <c r="CY21" s="277"/>
      <c r="CZ21" s="191">
        <f t="shared" si="32"/>
        <v>0</v>
      </c>
      <c r="DA21" s="188">
        <f t="shared" si="33"/>
        <v>-0.3</v>
      </c>
      <c r="DB21" s="277"/>
      <c r="DC21" s="191">
        <f t="shared" si="34"/>
        <v>0</v>
      </c>
      <c r="DD21" s="188">
        <f t="shared" si="35"/>
        <v>-0.1</v>
      </c>
      <c r="DE21" s="277"/>
      <c r="DF21" s="191">
        <f t="shared" si="36"/>
        <v>0</v>
      </c>
      <c r="DG21" s="245"/>
      <c r="DH21" s="188">
        <f t="shared" si="37"/>
        <v>1</v>
      </c>
      <c r="DI21" s="188">
        <f t="shared" si="38"/>
        <v>2</v>
      </c>
      <c r="DJ21" s="191">
        <f t="shared" si="39"/>
        <v>2</v>
      </c>
      <c r="DK21" s="286">
        <f t="shared" si="40"/>
        <v>-1</v>
      </c>
      <c r="DL21" s="261">
        <v>17</v>
      </c>
      <c r="DM21" s="244">
        <f>+A21-DL21</f>
        <v>0</v>
      </c>
    </row>
    <row r="22" spans="1:117" x14ac:dyDescent="0.35">
      <c r="A22" s="263">
        <v>18</v>
      </c>
      <c r="B22" s="102" t="s">
        <v>182</v>
      </c>
      <c r="C22" s="102" t="s">
        <v>97</v>
      </c>
      <c r="D22" s="102" t="s">
        <v>98</v>
      </c>
      <c r="E22" s="102" t="s">
        <v>185</v>
      </c>
      <c r="F22" s="102" t="s">
        <v>121</v>
      </c>
      <c r="G22" s="98" t="s">
        <v>186</v>
      </c>
      <c r="H22" s="98" t="s">
        <v>187</v>
      </c>
      <c r="I22" s="98" t="s">
        <v>188</v>
      </c>
      <c r="J22" s="98" t="s">
        <v>188</v>
      </c>
      <c r="K22" s="96" t="s">
        <v>104</v>
      </c>
      <c r="L22" s="96" t="s">
        <v>105</v>
      </c>
      <c r="M22" s="98" t="s">
        <v>106</v>
      </c>
      <c r="N22" s="98" t="s">
        <v>189</v>
      </c>
      <c r="O22" s="98" t="s">
        <v>108</v>
      </c>
      <c r="P22" s="108" t="s">
        <v>190</v>
      </c>
      <c r="Q22" s="98" t="s">
        <v>110</v>
      </c>
      <c r="R22" s="301">
        <v>100</v>
      </c>
      <c r="S22" s="99" t="s">
        <v>158</v>
      </c>
      <c r="T22" s="81">
        <v>0</v>
      </c>
      <c r="U22" s="81">
        <v>0</v>
      </c>
      <c r="V22" s="25" t="e">
        <f t="shared" si="41"/>
        <v>#DIV/0!</v>
      </c>
      <c r="W22" s="81">
        <v>0</v>
      </c>
      <c r="X22" s="81">
        <v>5</v>
      </c>
      <c r="Y22" s="25" t="e">
        <f t="shared" si="1"/>
        <v>#DIV/0!</v>
      </c>
      <c r="Z22" s="81">
        <v>0</v>
      </c>
      <c r="AA22" s="81"/>
      <c r="AB22" s="25" t="e">
        <f t="shared" si="2"/>
        <v>#DIV/0!</v>
      </c>
      <c r="AC22" s="81">
        <v>100</v>
      </c>
      <c r="AD22" s="81"/>
      <c r="AE22" s="25">
        <f t="shared" si="3"/>
        <v>0</v>
      </c>
      <c r="AF22" s="140">
        <f t="shared" si="6"/>
        <v>100</v>
      </c>
      <c r="AG22" s="140">
        <f t="shared" si="4"/>
        <v>5</v>
      </c>
      <c r="AH22" s="138" t="e">
        <f t="shared" si="5"/>
        <v>#DIV/0!</v>
      </c>
      <c r="AI22" s="101">
        <v>46113</v>
      </c>
      <c r="AJ22" s="101">
        <v>46477</v>
      </c>
      <c r="AK22" s="102" t="s">
        <v>112</v>
      </c>
      <c r="AL22" s="102" t="s">
        <v>113</v>
      </c>
      <c r="AM22" s="103" t="s">
        <v>114</v>
      </c>
      <c r="AN22" s="104">
        <v>1600000000</v>
      </c>
      <c r="AO22" s="104">
        <v>1600000000</v>
      </c>
      <c r="AP22" s="104">
        <v>1600000000</v>
      </c>
      <c r="AQ22" s="326">
        <v>0</v>
      </c>
      <c r="AR22" s="102" t="s">
        <v>191</v>
      </c>
      <c r="AS22" s="102" t="s">
        <v>112</v>
      </c>
      <c r="AT22" s="152" t="s">
        <v>131</v>
      </c>
      <c r="AU22" s="166" t="s">
        <v>2264</v>
      </c>
      <c r="AV22" s="247" t="s">
        <v>2234</v>
      </c>
      <c r="AW22" s="136" t="s">
        <v>2258</v>
      </c>
      <c r="AX22" s="136" t="s">
        <v>2347</v>
      </c>
      <c r="AY22" s="136" t="s">
        <v>2376</v>
      </c>
      <c r="BA22" s="272"/>
      <c r="BB22" s="273"/>
      <c r="BC22" s="209" t="e">
        <f t="shared" si="7"/>
        <v>#DIV/0!</v>
      </c>
      <c r="BD22" s="272"/>
      <c r="BE22" s="273"/>
      <c r="BF22" s="209" t="e">
        <f t="shared" si="8"/>
        <v>#DIV/0!</v>
      </c>
      <c r="BG22" s="272"/>
      <c r="BH22" s="273"/>
      <c r="BI22" s="209" t="e">
        <f t="shared" si="9"/>
        <v>#DIV/0!</v>
      </c>
      <c r="BJ22" s="210">
        <f t="shared" si="10"/>
        <v>0</v>
      </c>
      <c r="BK22" s="211">
        <f t="shared" si="11"/>
        <v>0</v>
      </c>
      <c r="BL22" s="209" t="e">
        <f t="shared" si="12"/>
        <v>#DIV/0!</v>
      </c>
      <c r="BM22" s="272"/>
      <c r="BN22" s="273"/>
      <c r="BO22" s="209" t="e">
        <f t="shared" si="13"/>
        <v>#DIV/0!</v>
      </c>
      <c r="BP22" s="272"/>
      <c r="BQ22" s="273"/>
      <c r="BR22" s="209" t="e">
        <f t="shared" si="14"/>
        <v>#DIV/0!</v>
      </c>
      <c r="BS22" s="272"/>
      <c r="BT22" s="272"/>
      <c r="BU22" s="209" t="e">
        <f t="shared" si="15"/>
        <v>#DIV/0!</v>
      </c>
      <c r="BV22" s="210">
        <f t="shared" si="16"/>
        <v>0</v>
      </c>
      <c r="BW22" s="210">
        <f t="shared" si="17"/>
        <v>0</v>
      </c>
      <c r="BX22" s="209" t="e">
        <f t="shared" si="18"/>
        <v>#DIV/0!</v>
      </c>
      <c r="BY22" s="209">
        <f t="shared" si="19"/>
        <v>0</v>
      </c>
      <c r="BZ22" s="209">
        <f t="shared" si="20"/>
        <v>0</v>
      </c>
      <c r="CA22" s="212"/>
      <c r="CB22" s="245"/>
      <c r="CC22" s="183"/>
      <c r="CD22" s="184"/>
      <c r="CE22" s="185" t="e">
        <f t="shared" si="21"/>
        <v>#DIV/0!</v>
      </c>
      <c r="CF22" s="183"/>
      <c r="CG22" s="184"/>
      <c r="CH22" s="185" t="e">
        <f t="shared" si="22"/>
        <v>#DIV/0!</v>
      </c>
      <c r="CI22" s="189"/>
      <c r="CJ22" s="190"/>
      <c r="CK22" s="185" t="e">
        <f t="shared" si="23"/>
        <v>#DIV/0!</v>
      </c>
      <c r="CL22" s="187">
        <f t="shared" si="24"/>
        <v>0</v>
      </c>
      <c r="CM22" s="186">
        <f t="shared" si="24"/>
        <v>0</v>
      </c>
      <c r="CN22" s="185" t="e">
        <f t="shared" si="25"/>
        <v>#DIV/0!</v>
      </c>
      <c r="CO22" s="245"/>
      <c r="CP22" s="188">
        <f t="shared" si="26"/>
        <v>0</v>
      </c>
      <c r="CQ22" s="188">
        <f t="shared" si="26"/>
        <v>0</v>
      </c>
      <c r="CR22" s="191" t="e">
        <f t="shared" si="27"/>
        <v>#DIV/0!</v>
      </c>
      <c r="CS22" s="279">
        <f t="shared" si="28"/>
        <v>100</v>
      </c>
      <c r="CT22" s="245"/>
      <c r="CU22" s="188">
        <f t="shared" si="29"/>
        <v>30</v>
      </c>
      <c r="CV22" s="277"/>
      <c r="CW22" s="191">
        <f t="shared" si="30"/>
        <v>0</v>
      </c>
      <c r="CX22" s="188">
        <f t="shared" si="31"/>
        <v>30</v>
      </c>
      <c r="CY22" s="277"/>
      <c r="CZ22" s="191">
        <f t="shared" si="32"/>
        <v>0</v>
      </c>
      <c r="DA22" s="188">
        <f t="shared" si="33"/>
        <v>30</v>
      </c>
      <c r="DB22" s="277"/>
      <c r="DC22" s="191">
        <f t="shared" si="34"/>
        <v>0</v>
      </c>
      <c r="DD22" s="188">
        <f t="shared" si="35"/>
        <v>10</v>
      </c>
      <c r="DE22" s="277"/>
      <c r="DF22" s="191">
        <f t="shared" si="36"/>
        <v>0</v>
      </c>
      <c r="DG22" s="245"/>
      <c r="DH22" s="188">
        <f t="shared" si="37"/>
        <v>100</v>
      </c>
      <c r="DI22" s="188">
        <f t="shared" si="38"/>
        <v>0</v>
      </c>
      <c r="DJ22" s="191">
        <f t="shared" si="39"/>
        <v>0</v>
      </c>
      <c r="DK22" s="286">
        <f t="shared" si="40"/>
        <v>100</v>
      </c>
      <c r="DL22" s="261">
        <v>18</v>
      </c>
      <c r="DM22" s="244">
        <f>+A22-DL22</f>
        <v>0</v>
      </c>
    </row>
    <row r="23" spans="1:117" x14ac:dyDescent="0.35">
      <c r="A23" s="263">
        <v>19</v>
      </c>
      <c r="B23" s="102" t="s">
        <v>182</v>
      </c>
      <c r="C23" s="102" t="s">
        <v>97</v>
      </c>
      <c r="D23" s="102" t="s">
        <v>98</v>
      </c>
      <c r="E23" s="102" t="s">
        <v>185</v>
      </c>
      <c r="F23" s="102" t="s">
        <v>121</v>
      </c>
      <c r="G23" s="98" t="s">
        <v>186</v>
      </c>
      <c r="H23" s="98" t="s">
        <v>187</v>
      </c>
      <c r="I23" s="98" t="s">
        <v>188</v>
      </c>
      <c r="J23" s="98" t="s">
        <v>188</v>
      </c>
      <c r="K23" s="96" t="s">
        <v>104</v>
      </c>
      <c r="L23" s="96" t="s">
        <v>105</v>
      </c>
      <c r="M23" s="98" t="s">
        <v>106</v>
      </c>
      <c r="N23" s="98" t="s">
        <v>189</v>
      </c>
      <c r="O23" s="98" t="s">
        <v>108</v>
      </c>
      <c r="P23" s="108" t="s">
        <v>192</v>
      </c>
      <c r="Q23" s="98" t="s">
        <v>110</v>
      </c>
      <c r="R23" s="301">
        <v>100</v>
      </c>
      <c r="S23" s="99" t="s">
        <v>158</v>
      </c>
      <c r="T23" s="81">
        <v>33.299999999999997</v>
      </c>
      <c r="U23" s="81">
        <v>0</v>
      </c>
      <c r="V23" s="25">
        <f t="shared" si="41"/>
        <v>0</v>
      </c>
      <c r="W23" s="81">
        <v>33.299999999999997</v>
      </c>
      <c r="X23" s="81">
        <v>33.299999999999997</v>
      </c>
      <c r="Y23" s="25">
        <f t="shared" si="1"/>
        <v>100</v>
      </c>
      <c r="Z23" s="81">
        <v>33.299999999999997</v>
      </c>
      <c r="AA23" s="81"/>
      <c r="AB23" s="25">
        <f t="shared" si="2"/>
        <v>0</v>
      </c>
      <c r="AC23" s="81">
        <v>33.4</v>
      </c>
      <c r="AD23" s="81"/>
      <c r="AE23" s="25">
        <f t="shared" si="3"/>
        <v>0</v>
      </c>
      <c r="AF23" s="140">
        <f t="shared" si="6"/>
        <v>100</v>
      </c>
      <c r="AG23" s="140">
        <f t="shared" si="4"/>
        <v>33.299999999999997</v>
      </c>
      <c r="AH23" s="138">
        <f t="shared" si="5"/>
        <v>50</v>
      </c>
      <c r="AI23" s="101">
        <v>46113</v>
      </c>
      <c r="AJ23" s="101">
        <v>46477</v>
      </c>
      <c r="AK23" s="102" t="s">
        <v>112</v>
      </c>
      <c r="AL23" s="102" t="s">
        <v>113</v>
      </c>
      <c r="AM23" s="103" t="s">
        <v>114</v>
      </c>
      <c r="AN23" s="104">
        <v>700000000</v>
      </c>
      <c r="AO23" s="104">
        <v>700000000</v>
      </c>
      <c r="AP23" s="104">
        <v>700000000</v>
      </c>
      <c r="AQ23" s="326">
        <v>0</v>
      </c>
      <c r="AR23" s="102" t="s">
        <v>159</v>
      </c>
      <c r="AS23" s="102" t="s">
        <v>112</v>
      </c>
      <c r="AT23" s="152" t="s">
        <v>131</v>
      </c>
      <c r="AU23" s="166" t="s">
        <v>2264</v>
      </c>
      <c r="AV23" s="247" t="s">
        <v>2234</v>
      </c>
      <c r="AW23" s="136" t="s">
        <v>2258</v>
      </c>
      <c r="AX23" s="136" t="s">
        <v>2347</v>
      </c>
      <c r="AY23" s="136" t="s">
        <v>2376</v>
      </c>
      <c r="BA23" s="272"/>
      <c r="BB23" s="273"/>
      <c r="BC23" s="209" t="e">
        <f t="shared" si="7"/>
        <v>#DIV/0!</v>
      </c>
      <c r="BD23" s="272"/>
      <c r="BE23" s="273"/>
      <c r="BF23" s="209" t="e">
        <f t="shared" si="8"/>
        <v>#DIV/0!</v>
      </c>
      <c r="BG23" s="272"/>
      <c r="BH23" s="273"/>
      <c r="BI23" s="209" t="e">
        <f t="shared" si="9"/>
        <v>#DIV/0!</v>
      </c>
      <c r="BJ23" s="210">
        <f t="shared" si="10"/>
        <v>0</v>
      </c>
      <c r="BK23" s="211">
        <f t="shared" si="11"/>
        <v>0</v>
      </c>
      <c r="BL23" s="209" t="e">
        <f t="shared" si="12"/>
        <v>#DIV/0!</v>
      </c>
      <c r="BM23" s="272"/>
      <c r="BN23" s="273"/>
      <c r="BO23" s="209" t="e">
        <f t="shared" si="13"/>
        <v>#DIV/0!</v>
      </c>
      <c r="BP23" s="272"/>
      <c r="BQ23" s="273"/>
      <c r="BR23" s="209" t="e">
        <f t="shared" si="14"/>
        <v>#DIV/0!</v>
      </c>
      <c r="BS23" s="272"/>
      <c r="BT23" s="272"/>
      <c r="BU23" s="209" t="e">
        <f t="shared" si="15"/>
        <v>#DIV/0!</v>
      </c>
      <c r="BV23" s="210">
        <f t="shared" si="16"/>
        <v>0</v>
      </c>
      <c r="BW23" s="210">
        <f t="shared" si="17"/>
        <v>0</v>
      </c>
      <c r="BX23" s="209" t="e">
        <f t="shared" si="18"/>
        <v>#DIV/0!</v>
      </c>
      <c r="BY23" s="209">
        <f t="shared" si="19"/>
        <v>0</v>
      </c>
      <c r="BZ23" s="209">
        <f t="shared" si="20"/>
        <v>0</v>
      </c>
      <c r="CA23" s="212"/>
      <c r="CB23" s="245"/>
      <c r="CC23" s="183"/>
      <c r="CD23" s="184"/>
      <c r="CE23" s="185" t="e">
        <f>+CD23/CC23</f>
        <v>#DIV/0!</v>
      </c>
      <c r="CF23" s="183"/>
      <c r="CG23" s="184"/>
      <c r="CH23" s="185" t="e">
        <f>+CG23/CF23</f>
        <v>#DIV/0!</v>
      </c>
      <c r="CI23" s="189"/>
      <c r="CJ23" s="190"/>
      <c r="CK23" s="185" t="e">
        <f>+CJ23/CI23</f>
        <v>#DIV/0!</v>
      </c>
      <c r="CL23" s="187">
        <f t="shared" si="24"/>
        <v>0</v>
      </c>
      <c r="CM23" s="186">
        <f t="shared" si="24"/>
        <v>0</v>
      </c>
      <c r="CN23" s="185" t="e">
        <f t="shared" si="25"/>
        <v>#DIV/0!</v>
      </c>
      <c r="CO23" s="245"/>
      <c r="CP23" s="188">
        <f t="shared" si="26"/>
        <v>0</v>
      </c>
      <c r="CQ23" s="188">
        <f t="shared" si="26"/>
        <v>0</v>
      </c>
      <c r="CR23" s="191" t="e">
        <f t="shared" si="27"/>
        <v>#DIV/0!</v>
      </c>
      <c r="CS23" s="279">
        <f t="shared" si="28"/>
        <v>100</v>
      </c>
      <c r="CT23" s="245"/>
      <c r="CU23" s="188">
        <f t="shared" si="29"/>
        <v>30</v>
      </c>
      <c r="CV23" s="277"/>
      <c r="CW23" s="191">
        <f t="shared" si="30"/>
        <v>0</v>
      </c>
      <c r="CX23" s="188">
        <f t="shared" si="31"/>
        <v>30</v>
      </c>
      <c r="CY23" s="277"/>
      <c r="CZ23" s="191">
        <f t="shared" si="32"/>
        <v>0</v>
      </c>
      <c r="DA23" s="188">
        <f t="shared" si="33"/>
        <v>30</v>
      </c>
      <c r="DB23" s="277"/>
      <c r="DC23" s="191">
        <f t="shared" si="34"/>
        <v>0</v>
      </c>
      <c r="DD23" s="188">
        <f t="shared" si="35"/>
        <v>10</v>
      </c>
      <c r="DE23" s="277"/>
      <c r="DF23" s="191">
        <f t="shared" si="36"/>
        <v>0</v>
      </c>
      <c r="DG23" s="245"/>
      <c r="DH23" s="188">
        <f t="shared" si="37"/>
        <v>100</v>
      </c>
      <c r="DI23" s="188">
        <f t="shared" si="38"/>
        <v>0</v>
      </c>
      <c r="DJ23" s="191">
        <f t="shared" si="39"/>
        <v>0</v>
      </c>
      <c r="DK23" s="286">
        <f t="shared" si="40"/>
        <v>100</v>
      </c>
      <c r="DL23" s="261">
        <v>19</v>
      </c>
      <c r="DM23" s="244">
        <f>+A23-DL23</f>
        <v>0</v>
      </c>
    </row>
    <row r="24" spans="1:117" x14ac:dyDescent="0.35">
      <c r="A24" s="263">
        <v>20</v>
      </c>
      <c r="B24" s="102" t="s">
        <v>182</v>
      </c>
      <c r="C24" s="102" t="s">
        <v>118</v>
      </c>
      <c r="D24" s="102" t="s">
        <v>119</v>
      </c>
      <c r="E24" s="102" t="s">
        <v>155</v>
      </c>
      <c r="F24" s="102" t="s">
        <v>193</v>
      </c>
      <c r="G24" s="98" t="s">
        <v>186</v>
      </c>
      <c r="H24" s="98" t="s">
        <v>187</v>
      </c>
      <c r="I24" s="98" t="s">
        <v>188</v>
      </c>
      <c r="J24" s="98" t="s">
        <v>188</v>
      </c>
      <c r="K24" s="96" t="s">
        <v>104</v>
      </c>
      <c r="L24" s="96" t="s">
        <v>105</v>
      </c>
      <c r="M24" s="98" t="s">
        <v>106</v>
      </c>
      <c r="N24" s="98" t="s">
        <v>189</v>
      </c>
      <c r="O24" s="98" t="s">
        <v>127</v>
      </c>
      <c r="P24" s="258" t="s">
        <v>194</v>
      </c>
      <c r="Q24" s="98" t="s">
        <v>129</v>
      </c>
      <c r="R24" s="301">
        <v>100</v>
      </c>
      <c r="S24" s="99" t="s">
        <v>158</v>
      </c>
      <c r="T24" s="81">
        <v>0</v>
      </c>
      <c r="U24" s="81">
        <v>0</v>
      </c>
      <c r="V24" s="25" t="e">
        <f t="shared" si="41"/>
        <v>#DIV/0!</v>
      </c>
      <c r="W24" s="81">
        <v>0</v>
      </c>
      <c r="X24" s="81">
        <v>0</v>
      </c>
      <c r="Y24" s="25" t="e">
        <f t="shared" si="1"/>
        <v>#DIV/0!</v>
      </c>
      <c r="Z24" s="81">
        <v>100</v>
      </c>
      <c r="AA24" s="81"/>
      <c r="AB24" s="25">
        <f t="shared" si="2"/>
        <v>0</v>
      </c>
      <c r="AC24" s="81">
        <v>0</v>
      </c>
      <c r="AD24" s="81"/>
      <c r="AE24" s="25" t="e">
        <f t="shared" si="3"/>
        <v>#DIV/0!</v>
      </c>
      <c r="AF24" s="140">
        <f t="shared" ref="AF24:AF87" si="42">R24</f>
        <v>100</v>
      </c>
      <c r="AG24" s="140">
        <f t="shared" ref="AG24:AG87" si="43">U24+X24+AA24+AD24</f>
        <v>0</v>
      </c>
      <c r="AH24" s="138" t="e">
        <f t="shared" si="5"/>
        <v>#DIV/0!</v>
      </c>
      <c r="AI24" s="101">
        <v>46113</v>
      </c>
      <c r="AJ24" s="101">
        <v>46477</v>
      </c>
      <c r="AK24" s="102" t="s">
        <v>112</v>
      </c>
      <c r="AL24" s="102" t="s">
        <v>113</v>
      </c>
      <c r="AM24" s="103" t="s">
        <v>114</v>
      </c>
      <c r="AN24" s="104">
        <v>30000000</v>
      </c>
      <c r="AO24" s="104">
        <v>30000000</v>
      </c>
      <c r="AP24" s="104">
        <v>30000000</v>
      </c>
      <c r="AQ24" s="326">
        <v>0</v>
      </c>
      <c r="AR24" s="102" t="s">
        <v>159</v>
      </c>
      <c r="AS24" s="102" t="s">
        <v>112</v>
      </c>
      <c r="AT24" s="152" t="s">
        <v>131</v>
      </c>
      <c r="AU24" s="166" t="s">
        <v>2264</v>
      </c>
      <c r="AV24" s="247" t="s">
        <v>2234</v>
      </c>
      <c r="AW24" s="136" t="s">
        <v>2258</v>
      </c>
      <c r="AX24" s="136" t="s">
        <v>2347</v>
      </c>
      <c r="AY24" s="136" t="s">
        <v>2376</v>
      </c>
      <c r="BA24" s="272"/>
      <c r="BB24" s="273"/>
      <c r="BC24" s="209" t="e">
        <f t="shared" si="7"/>
        <v>#DIV/0!</v>
      </c>
      <c r="BD24" s="272"/>
      <c r="BE24" s="273"/>
      <c r="BF24" s="209" t="e">
        <f t="shared" si="8"/>
        <v>#DIV/0!</v>
      </c>
      <c r="BG24" s="272"/>
      <c r="BH24" s="273"/>
      <c r="BI24" s="209" t="e">
        <f t="shared" si="9"/>
        <v>#DIV/0!</v>
      </c>
      <c r="BJ24" s="210">
        <f t="shared" si="10"/>
        <v>0</v>
      </c>
      <c r="BK24" s="211">
        <f t="shared" si="11"/>
        <v>0</v>
      </c>
      <c r="BL24" s="209" t="e">
        <f t="shared" si="12"/>
        <v>#DIV/0!</v>
      </c>
      <c r="BM24" s="272"/>
      <c r="BN24" s="273"/>
      <c r="BO24" s="209" t="e">
        <f t="shared" ref="BO24:BO87" si="44">+BN24/BM24</f>
        <v>#DIV/0!</v>
      </c>
      <c r="BP24" s="272"/>
      <c r="BQ24" s="273"/>
      <c r="BR24" s="209" t="e">
        <f t="shared" ref="BR24:BR87" si="45">+BQ24/BP24</f>
        <v>#DIV/0!</v>
      </c>
      <c r="BS24" s="272"/>
      <c r="BT24" s="272"/>
      <c r="BU24" s="209" t="e">
        <f t="shared" ref="BU24:BU87" si="46">+BT24/BS24</f>
        <v>#DIV/0!</v>
      </c>
      <c r="BV24" s="210">
        <f t="shared" si="16"/>
        <v>0</v>
      </c>
      <c r="BW24" s="210">
        <f t="shared" si="17"/>
        <v>0</v>
      </c>
      <c r="BX24" s="209" t="e">
        <f t="shared" si="18"/>
        <v>#DIV/0!</v>
      </c>
      <c r="BY24" s="209">
        <f t="shared" si="19"/>
        <v>0</v>
      </c>
      <c r="BZ24" s="209">
        <f t="shared" si="20"/>
        <v>0</v>
      </c>
      <c r="CA24" s="212"/>
      <c r="CB24" s="245"/>
      <c r="CC24" s="183"/>
      <c r="CD24" s="184"/>
      <c r="CE24" s="185" t="e">
        <f t="shared" ref="CE24:CE87" si="47">+CD24/CC24</f>
        <v>#DIV/0!</v>
      </c>
      <c r="CF24" s="183"/>
      <c r="CG24" s="184"/>
      <c r="CH24" s="185" t="e">
        <f t="shared" ref="CH24:CH87" si="48">+CG24/CF24</f>
        <v>#DIV/0!</v>
      </c>
      <c r="CI24" s="189"/>
      <c r="CJ24" s="190"/>
      <c r="CK24" s="185" t="e">
        <f t="shared" ref="CK24:CK87" si="49">+CJ24/CI24</f>
        <v>#DIV/0!</v>
      </c>
      <c r="CL24" s="187">
        <f t="shared" ref="CL24:CL87" si="50">+CC24+CF24+CI24</f>
        <v>0</v>
      </c>
      <c r="CM24" s="186">
        <f t="shared" ref="CM24:CM87" si="51">+CD24+CG24+CJ24</f>
        <v>0</v>
      </c>
      <c r="CN24" s="185" t="e">
        <f t="shared" ref="CN24:CN87" si="52">+CM24/CL24</f>
        <v>#DIV/0!</v>
      </c>
      <c r="CO24" s="245"/>
      <c r="CP24" s="188">
        <f t="shared" ref="CP24:CP87" si="53">+BJ24+BV24+CL24</f>
        <v>0</v>
      </c>
      <c r="CQ24" s="188">
        <f t="shared" ref="CQ24:CQ87" si="54">+BK24+BW24+CM24</f>
        <v>0</v>
      </c>
      <c r="CR24" s="191" t="e">
        <f t="shared" ref="CR24:CR87" si="55">+CQ24/CP24</f>
        <v>#DIV/0!</v>
      </c>
      <c r="CS24" s="279">
        <f t="shared" si="28"/>
        <v>100</v>
      </c>
      <c r="CT24" s="245"/>
      <c r="CU24" s="188">
        <f t="shared" si="29"/>
        <v>30</v>
      </c>
      <c r="CV24" s="277"/>
      <c r="CW24" s="191">
        <f t="shared" si="30"/>
        <v>0</v>
      </c>
      <c r="CX24" s="188">
        <f t="shared" si="31"/>
        <v>30</v>
      </c>
      <c r="CY24" s="277"/>
      <c r="CZ24" s="191">
        <f t="shared" si="32"/>
        <v>0</v>
      </c>
      <c r="DA24" s="188">
        <f t="shared" si="33"/>
        <v>30</v>
      </c>
      <c r="DB24" s="277"/>
      <c r="DC24" s="191">
        <f t="shared" si="34"/>
        <v>0</v>
      </c>
      <c r="DD24" s="188">
        <f t="shared" si="35"/>
        <v>10</v>
      </c>
      <c r="DE24" s="277"/>
      <c r="DF24" s="191">
        <f t="shared" si="36"/>
        <v>0</v>
      </c>
      <c r="DG24" s="245"/>
      <c r="DH24" s="188">
        <f t="shared" si="37"/>
        <v>100</v>
      </c>
      <c r="DI24" s="188">
        <f t="shared" si="38"/>
        <v>0</v>
      </c>
      <c r="DJ24" s="191">
        <f t="shared" si="39"/>
        <v>0</v>
      </c>
      <c r="DK24" s="286">
        <f t="shared" si="40"/>
        <v>100</v>
      </c>
      <c r="DL24" s="261">
        <v>20</v>
      </c>
      <c r="DM24" s="244">
        <f>+A24-DL24</f>
        <v>0</v>
      </c>
    </row>
    <row r="25" spans="1:117" x14ac:dyDescent="0.35">
      <c r="A25" s="263">
        <v>21</v>
      </c>
      <c r="B25" s="102" t="s">
        <v>182</v>
      </c>
      <c r="C25" s="102" t="s">
        <v>195</v>
      </c>
      <c r="D25" s="102" t="s">
        <v>196</v>
      </c>
      <c r="E25" s="102" t="s">
        <v>99</v>
      </c>
      <c r="F25" s="102" t="s">
        <v>197</v>
      </c>
      <c r="G25" s="98" t="s">
        <v>186</v>
      </c>
      <c r="H25" s="98" t="s">
        <v>187</v>
      </c>
      <c r="I25" s="98" t="s">
        <v>188</v>
      </c>
      <c r="J25" s="98" t="s">
        <v>188</v>
      </c>
      <c r="K25" s="96" t="s">
        <v>104</v>
      </c>
      <c r="L25" s="96" t="s">
        <v>105</v>
      </c>
      <c r="M25" s="98" t="s">
        <v>106</v>
      </c>
      <c r="N25" s="98" t="s">
        <v>189</v>
      </c>
      <c r="O25" s="98" t="s">
        <v>108</v>
      </c>
      <c r="P25" s="98" t="s">
        <v>198</v>
      </c>
      <c r="Q25" s="98" t="s">
        <v>110</v>
      </c>
      <c r="R25" s="301">
        <v>100</v>
      </c>
      <c r="S25" s="99" t="s">
        <v>158</v>
      </c>
      <c r="T25" s="81">
        <v>0</v>
      </c>
      <c r="U25" s="81">
        <v>0</v>
      </c>
      <c r="V25" s="25">
        <v>0</v>
      </c>
      <c r="W25" s="81">
        <v>20</v>
      </c>
      <c r="X25" s="81">
        <v>5</v>
      </c>
      <c r="Y25" s="25">
        <f t="shared" si="1"/>
        <v>25</v>
      </c>
      <c r="Z25" s="81">
        <v>40</v>
      </c>
      <c r="AA25" s="81"/>
      <c r="AB25" s="25">
        <f t="shared" si="2"/>
        <v>0</v>
      </c>
      <c r="AC25" s="81">
        <v>40</v>
      </c>
      <c r="AD25" s="81">
        <v>0</v>
      </c>
      <c r="AE25" s="25">
        <f t="shared" si="3"/>
        <v>0</v>
      </c>
      <c r="AF25" s="140">
        <f t="shared" si="42"/>
        <v>100</v>
      </c>
      <c r="AG25" s="140">
        <f t="shared" si="43"/>
        <v>5</v>
      </c>
      <c r="AH25" s="138">
        <f t="shared" si="5"/>
        <v>8.3333333333333321</v>
      </c>
      <c r="AI25" s="101">
        <v>46113</v>
      </c>
      <c r="AJ25" s="101">
        <v>46477</v>
      </c>
      <c r="AK25" s="102" t="s">
        <v>112</v>
      </c>
      <c r="AL25" s="102" t="s">
        <v>113</v>
      </c>
      <c r="AM25" s="103" t="s">
        <v>114</v>
      </c>
      <c r="AN25" s="104">
        <v>182400000</v>
      </c>
      <c r="AO25" s="104">
        <v>182400000</v>
      </c>
      <c r="AP25" s="104">
        <v>182400000</v>
      </c>
      <c r="AQ25" s="326">
        <v>0</v>
      </c>
      <c r="AR25" s="102" t="s">
        <v>159</v>
      </c>
      <c r="AS25" s="102" t="s">
        <v>112</v>
      </c>
      <c r="AT25" s="152" t="s">
        <v>131</v>
      </c>
      <c r="AU25" s="166" t="s">
        <v>2264</v>
      </c>
      <c r="AV25" s="247" t="s">
        <v>2234</v>
      </c>
      <c r="AW25" s="136" t="s">
        <v>2258</v>
      </c>
      <c r="AX25" s="136" t="s">
        <v>2347</v>
      </c>
      <c r="AY25" s="136" t="s">
        <v>2376</v>
      </c>
      <c r="BA25" s="272"/>
      <c r="BB25" s="273"/>
      <c r="BC25" s="209" t="e">
        <f t="shared" si="7"/>
        <v>#DIV/0!</v>
      </c>
      <c r="BD25" s="272"/>
      <c r="BE25" s="273"/>
      <c r="BF25" s="209" t="e">
        <f t="shared" si="8"/>
        <v>#DIV/0!</v>
      </c>
      <c r="BG25" s="272"/>
      <c r="BH25" s="273"/>
      <c r="BI25" s="209" t="e">
        <f t="shared" si="9"/>
        <v>#DIV/0!</v>
      </c>
      <c r="BJ25" s="210">
        <f t="shared" si="10"/>
        <v>0</v>
      </c>
      <c r="BK25" s="211">
        <f t="shared" si="11"/>
        <v>0</v>
      </c>
      <c r="BL25" s="209" t="e">
        <f t="shared" si="12"/>
        <v>#DIV/0!</v>
      </c>
      <c r="BM25" s="272"/>
      <c r="BN25" s="273"/>
      <c r="BO25" s="209" t="e">
        <f t="shared" si="44"/>
        <v>#DIV/0!</v>
      </c>
      <c r="BP25" s="272"/>
      <c r="BQ25" s="273"/>
      <c r="BR25" s="209" t="e">
        <f t="shared" si="45"/>
        <v>#DIV/0!</v>
      </c>
      <c r="BS25" s="272"/>
      <c r="BT25" s="272"/>
      <c r="BU25" s="209" t="e">
        <f t="shared" si="46"/>
        <v>#DIV/0!</v>
      </c>
      <c r="BV25" s="210">
        <f t="shared" si="16"/>
        <v>0</v>
      </c>
      <c r="BW25" s="210">
        <f t="shared" si="17"/>
        <v>0</v>
      </c>
      <c r="BX25" s="209" t="e">
        <f t="shared" si="18"/>
        <v>#DIV/0!</v>
      </c>
      <c r="BY25" s="209">
        <f t="shared" si="19"/>
        <v>0</v>
      </c>
      <c r="BZ25" s="209">
        <f t="shared" si="20"/>
        <v>0</v>
      </c>
      <c r="CA25" s="212"/>
      <c r="CB25" s="245"/>
      <c r="CC25" s="183"/>
      <c r="CD25" s="184"/>
      <c r="CE25" s="185" t="e">
        <f t="shared" si="47"/>
        <v>#DIV/0!</v>
      </c>
      <c r="CF25" s="183"/>
      <c r="CG25" s="184"/>
      <c r="CH25" s="185" t="e">
        <f t="shared" si="48"/>
        <v>#DIV/0!</v>
      </c>
      <c r="CI25" s="189"/>
      <c r="CJ25" s="190"/>
      <c r="CK25" s="185" t="e">
        <f t="shared" si="49"/>
        <v>#DIV/0!</v>
      </c>
      <c r="CL25" s="187">
        <f t="shared" si="50"/>
        <v>0</v>
      </c>
      <c r="CM25" s="186">
        <f t="shared" si="51"/>
        <v>0</v>
      </c>
      <c r="CN25" s="185" t="e">
        <f t="shared" si="52"/>
        <v>#DIV/0!</v>
      </c>
      <c r="CO25" s="245"/>
      <c r="CP25" s="188">
        <f t="shared" si="53"/>
        <v>0</v>
      </c>
      <c r="CQ25" s="188">
        <f t="shared" si="54"/>
        <v>0</v>
      </c>
      <c r="CR25" s="191" t="e">
        <f t="shared" si="55"/>
        <v>#DIV/0!</v>
      </c>
      <c r="CS25" s="279">
        <f t="shared" si="28"/>
        <v>100</v>
      </c>
      <c r="CT25" s="245"/>
      <c r="CU25" s="188">
        <f t="shared" si="29"/>
        <v>30</v>
      </c>
      <c r="CV25" s="277"/>
      <c r="CW25" s="191">
        <f t="shared" si="30"/>
        <v>0</v>
      </c>
      <c r="CX25" s="188">
        <f t="shared" si="31"/>
        <v>30</v>
      </c>
      <c r="CY25" s="277"/>
      <c r="CZ25" s="191">
        <f t="shared" si="32"/>
        <v>0</v>
      </c>
      <c r="DA25" s="188">
        <f t="shared" si="33"/>
        <v>30</v>
      </c>
      <c r="DB25" s="277"/>
      <c r="DC25" s="191">
        <f t="shared" si="34"/>
        <v>0</v>
      </c>
      <c r="DD25" s="188">
        <f t="shared" si="35"/>
        <v>10</v>
      </c>
      <c r="DE25" s="277"/>
      <c r="DF25" s="191">
        <f t="shared" si="36"/>
        <v>0</v>
      </c>
      <c r="DG25" s="245"/>
      <c r="DH25" s="188">
        <f t="shared" si="37"/>
        <v>100</v>
      </c>
      <c r="DI25" s="188">
        <f t="shared" si="38"/>
        <v>0</v>
      </c>
      <c r="DJ25" s="191">
        <f t="shared" si="39"/>
        <v>0</v>
      </c>
      <c r="DK25" s="286">
        <f t="shared" si="40"/>
        <v>100</v>
      </c>
      <c r="DL25" s="261">
        <v>21</v>
      </c>
      <c r="DM25" s="244">
        <f>+A25-DL25</f>
        <v>0</v>
      </c>
    </row>
    <row r="26" spans="1:117" x14ac:dyDescent="0.35">
      <c r="A26" s="263">
        <v>22</v>
      </c>
      <c r="B26" s="102" t="s">
        <v>182</v>
      </c>
      <c r="C26" s="102" t="s">
        <v>118</v>
      </c>
      <c r="D26" s="102" t="s">
        <v>119</v>
      </c>
      <c r="E26" s="102" t="s">
        <v>120</v>
      </c>
      <c r="F26" s="102" t="s">
        <v>121</v>
      </c>
      <c r="G26" s="98" t="s">
        <v>186</v>
      </c>
      <c r="H26" s="98" t="s">
        <v>187</v>
      </c>
      <c r="I26" s="98" t="s">
        <v>188</v>
      </c>
      <c r="J26" s="98" t="s">
        <v>188</v>
      </c>
      <c r="K26" s="96" t="s">
        <v>104</v>
      </c>
      <c r="L26" s="96" t="s">
        <v>105</v>
      </c>
      <c r="M26" s="98" t="s">
        <v>106</v>
      </c>
      <c r="N26" s="98" t="s">
        <v>189</v>
      </c>
      <c r="O26" s="98" t="s">
        <v>127</v>
      </c>
      <c r="P26" s="98" t="s">
        <v>199</v>
      </c>
      <c r="Q26" s="98" t="s">
        <v>129</v>
      </c>
      <c r="R26" s="301">
        <v>100</v>
      </c>
      <c r="S26" s="99" t="s">
        <v>158</v>
      </c>
      <c r="T26" s="81">
        <v>25</v>
      </c>
      <c r="U26" s="81">
        <v>0</v>
      </c>
      <c r="V26" s="25">
        <f t="shared" ref="V26:V37" si="56">U26/T26*100</f>
        <v>0</v>
      </c>
      <c r="W26" s="81">
        <v>25</v>
      </c>
      <c r="X26" s="81">
        <v>0</v>
      </c>
      <c r="Y26" s="25">
        <f t="shared" si="1"/>
        <v>0</v>
      </c>
      <c r="Z26" s="81">
        <v>25</v>
      </c>
      <c r="AA26" s="81"/>
      <c r="AB26" s="25">
        <f t="shared" si="2"/>
        <v>0</v>
      </c>
      <c r="AC26" s="81">
        <v>25</v>
      </c>
      <c r="AD26" s="81"/>
      <c r="AE26" s="25">
        <f t="shared" si="3"/>
        <v>0</v>
      </c>
      <c r="AF26" s="140">
        <f t="shared" si="42"/>
        <v>100</v>
      </c>
      <c r="AG26" s="140">
        <f t="shared" si="43"/>
        <v>0</v>
      </c>
      <c r="AH26" s="138">
        <f t="shared" si="5"/>
        <v>0</v>
      </c>
      <c r="AI26" s="101">
        <v>46113</v>
      </c>
      <c r="AJ26" s="101">
        <v>46477</v>
      </c>
      <c r="AK26" s="102" t="s">
        <v>112</v>
      </c>
      <c r="AL26" s="102" t="s">
        <v>113</v>
      </c>
      <c r="AM26" s="103" t="s">
        <v>114</v>
      </c>
      <c r="AN26" s="324"/>
      <c r="AO26" s="324"/>
      <c r="AP26" s="324"/>
      <c r="AQ26" s="326"/>
      <c r="AR26" s="102" t="s">
        <v>191</v>
      </c>
      <c r="AS26" s="102" t="s">
        <v>112</v>
      </c>
      <c r="AT26" s="152" t="s">
        <v>200</v>
      </c>
      <c r="AU26" s="166" t="s">
        <v>2264</v>
      </c>
      <c r="AV26" s="247" t="s">
        <v>2234</v>
      </c>
      <c r="AW26" s="136" t="s">
        <v>2247</v>
      </c>
      <c r="AX26" s="136" t="s">
        <v>2368</v>
      </c>
      <c r="AY26" s="136" t="s">
        <v>2376</v>
      </c>
      <c r="BA26" s="272"/>
      <c r="BB26" s="273"/>
      <c r="BC26" s="209" t="e">
        <f t="shared" si="7"/>
        <v>#DIV/0!</v>
      </c>
      <c r="BD26" s="272"/>
      <c r="BE26" s="273"/>
      <c r="BF26" s="209" t="e">
        <f t="shared" si="8"/>
        <v>#DIV/0!</v>
      </c>
      <c r="BG26" s="272"/>
      <c r="BH26" s="273"/>
      <c r="BI26" s="209" t="e">
        <f t="shared" si="9"/>
        <v>#DIV/0!</v>
      </c>
      <c r="BJ26" s="210">
        <f t="shared" si="10"/>
        <v>0</v>
      </c>
      <c r="BK26" s="211">
        <f t="shared" si="11"/>
        <v>0</v>
      </c>
      <c r="BL26" s="209" t="e">
        <f t="shared" si="12"/>
        <v>#DIV/0!</v>
      </c>
      <c r="BM26" s="272"/>
      <c r="BN26" s="273"/>
      <c r="BO26" s="209" t="e">
        <f t="shared" si="44"/>
        <v>#DIV/0!</v>
      </c>
      <c r="BP26" s="272"/>
      <c r="BQ26" s="273"/>
      <c r="BR26" s="209" t="e">
        <f t="shared" si="45"/>
        <v>#DIV/0!</v>
      </c>
      <c r="BS26" s="272"/>
      <c r="BT26" s="272"/>
      <c r="BU26" s="209" t="e">
        <f t="shared" si="46"/>
        <v>#DIV/0!</v>
      </c>
      <c r="BV26" s="210">
        <f t="shared" si="16"/>
        <v>0</v>
      </c>
      <c r="BW26" s="210">
        <f t="shared" si="17"/>
        <v>0</v>
      </c>
      <c r="BX26" s="209" t="e">
        <f t="shared" si="18"/>
        <v>#DIV/0!</v>
      </c>
      <c r="BY26" s="209">
        <f t="shared" si="19"/>
        <v>0</v>
      </c>
      <c r="BZ26" s="209">
        <f t="shared" si="20"/>
        <v>0</v>
      </c>
      <c r="CA26" s="212"/>
      <c r="CB26" s="245"/>
      <c r="CC26" s="183"/>
      <c r="CD26" s="184"/>
      <c r="CE26" s="185" t="e">
        <f t="shared" si="47"/>
        <v>#DIV/0!</v>
      </c>
      <c r="CF26" s="183"/>
      <c r="CG26" s="184"/>
      <c r="CH26" s="185" t="e">
        <f t="shared" si="48"/>
        <v>#DIV/0!</v>
      </c>
      <c r="CI26" s="189"/>
      <c r="CJ26" s="190"/>
      <c r="CK26" s="185" t="e">
        <f t="shared" si="49"/>
        <v>#DIV/0!</v>
      </c>
      <c r="CL26" s="187">
        <f t="shared" si="50"/>
        <v>0</v>
      </c>
      <c r="CM26" s="186">
        <f t="shared" si="51"/>
        <v>0</v>
      </c>
      <c r="CN26" s="185" t="e">
        <f t="shared" si="52"/>
        <v>#DIV/0!</v>
      </c>
      <c r="CO26" s="245"/>
      <c r="CP26" s="188">
        <f t="shared" si="53"/>
        <v>0</v>
      </c>
      <c r="CQ26" s="188">
        <f t="shared" si="54"/>
        <v>0</v>
      </c>
      <c r="CR26" s="191" t="e">
        <f t="shared" si="55"/>
        <v>#DIV/0!</v>
      </c>
      <c r="CS26" s="279">
        <f t="shared" si="28"/>
        <v>100</v>
      </c>
      <c r="CT26" s="245"/>
      <c r="CU26" s="188">
        <f t="shared" si="29"/>
        <v>30</v>
      </c>
      <c r="CV26" s="277"/>
      <c r="CW26" s="191">
        <f t="shared" si="30"/>
        <v>0</v>
      </c>
      <c r="CX26" s="188">
        <f t="shared" si="31"/>
        <v>30</v>
      </c>
      <c r="CY26" s="277"/>
      <c r="CZ26" s="191">
        <f t="shared" si="32"/>
        <v>0</v>
      </c>
      <c r="DA26" s="188">
        <f t="shared" si="33"/>
        <v>30</v>
      </c>
      <c r="DB26" s="277"/>
      <c r="DC26" s="191">
        <f t="shared" si="34"/>
        <v>0</v>
      </c>
      <c r="DD26" s="188">
        <f t="shared" si="35"/>
        <v>10</v>
      </c>
      <c r="DE26" s="277"/>
      <c r="DF26" s="191">
        <f t="shared" si="36"/>
        <v>0</v>
      </c>
      <c r="DG26" s="245"/>
      <c r="DH26" s="188">
        <f t="shared" si="37"/>
        <v>100</v>
      </c>
      <c r="DI26" s="188">
        <f t="shared" si="38"/>
        <v>0</v>
      </c>
      <c r="DJ26" s="191">
        <f t="shared" si="39"/>
        <v>0</v>
      </c>
      <c r="DK26" s="286">
        <f t="shared" si="40"/>
        <v>100</v>
      </c>
      <c r="DL26" s="261">
        <v>22</v>
      </c>
      <c r="DM26" s="244">
        <f>+A26-DL26</f>
        <v>0</v>
      </c>
    </row>
    <row r="27" spans="1:117" x14ac:dyDescent="0.35">
      <c r="A27" s="263">
        <v>23</v>
      </c>
      <c r="B27" s="102" t="s">
        <v>182</v>
      </c>
      <c r="C27" s="102" t="s">
        <v>118</v>
      </c>
      <c r="D27" s="102" t="s">
        <v>119</v>
      </c>
      <c r="E27" s="102" t="s">
        <v>155</v>
      </c>
      <c r="F27" s="102" t="s">
        <v>193</v>
      </c>
      <c r="G27" s="98" t="s">
        <v>186</v>
      </c>
      <c r="H27" s="98" t="s">
        <v>187</v>
      </c>
      <c r="I27" s="98" t="s">
        <v>188</v>
      </c>
      <c r="J27" s="98" t="s">
        <v>188</v>
      </c>
      <c r="K27" s="96" t="s">
        <v>104</v>
      </c>
      <c r="L27" s="96" t="s">
        <v>105</v>
      </c>
      <c r="M27" s="98" t="s">
        <v>106</v>
      </c>
      <c r="N27" s="98" t="s">
        <v>189</v>
      </c>
      <c r="O27" s="98" t="s">
        <v>127</v>
      </c>
      <c r="P27" s="258" t="s">
        <v>201</v>
      </c>
      <c r="Q27" s="98" t="s">
        <v>129</v>
      </c>
      <c r="R27" s="301">
        <v>100</v>
      </c>
      <c r="S27" s="99" t="s">
        <v>158</v>
      </c>
      <c r="T27" s="81">
        <v>0</v>
      </c>
      <c r="U27" s="81">
        <v>0</v>
      </c>
      <c r="V27" s="25" t="e">
        <f t="shared" si="56"/>
        <v>#DIV/0!</v>
      </c>
      <c r="W27" s="81">
        <v>100</v>
      </c>
      <c r="X27" s="81">
        <v>33.299999999999997</v>
      </c>
      <c r="Y27" s="25">
        <f t="shared" si="1"/>
        <v>33.299999999999997</v>
      </c>
      <c r="Z27" s="81">
        <v>0</v>
      </c>
      <c r="AA27" s="81"/>
      <c r="AB27" s="25" t="e">
        <f t="shared" si="2"/>
        <v>#DIV/0!</v>
      </c>
      <c r="AC27" s="81">
        <v>0</v>
      </c>
      <c r="AD27" s="81"/>
      <c r="AE27" s="25" t="e">
        <f t="shared" si="3"/>
        <v>#DIV/0!</v>
      </c>
      <c r="AF27" s="140">
        <f t="shared" si="42"/>
        <v>100</v>
      </c>
      <c r="AG27" s="140">
        <f t="shared" si="43"/>
        <v>33.299999999999997</v>
      </c>
      <c r="AH27" s="138">
        <f t="shared" si="5"/>
        <v>33.299999999999997</v>
      </c>
      <c r="AI27" s="101">
        <v>46113</v>
      </c>
      <c r="AJ27" s="101">
        <v>46477</v>
      </c>
      <c r="AK27" s="102" t="s">
        <v>112</v>
      </c>
      <c r="AL27" s="102" t="s">
        <v>113</v>
      </c>
      <c r="AM27" s="103" t="s">
        <v>114</v>
      </c>
      <c r="AN27" s="104">
        <v>140000000</v>
      </c>
      <c r="AO27" s="104">
        <v>140000000</v>
      </c>
      <c r="AP27" s="104">
        <v>140000000</v>
      </c>
      <c r="AQ27" s="326">
        <v>0</v>
      </c>
      <c r="AR27" s="102" t="s">
        <v>191</v>
      </c>
      <c r="AS27" s="102" t="s">
        <v>112</v>
      </c>
      <c r="AT27" s="152" t="s">
        <v>200</v>
      </c>
      <c r="AU27" s="166" t="s">
        <v>2264</v>
      </c>
      <c r="AV27" s="247" t="s">
        <v>2234</v>
      </c>
      <c r="AW27" s="136" t="s">
        <v>2247</v>
      </c>
      <c r="AX27" s="136" t="s">
        <v>2368</v>
      </c>
      <c r="AY27" s="136" t="s">
        <v>2376</v>
      </c>
      <c r="BA27" s="272"/>
      <c r="BB27" s="273"/>
      <c r="BC27" s="209" t="e">
        <f t="shared" si="7"/>
        <v>#DIV/0!</v>
      </c>
      <c r="BD27" s="272"/>
      <c r="BE27" s="273"/>
      <c r="BF27" s="209" t="e">
        <f t="shared" si="8"/>
        <v>#DIV/0!</v>
      </c>
      <c r="BG27" s="272"/>
      <c r="BH27" s="273"/>
      <c r="BI27" s="209" t="e">
        <f t="shared" si="9"/>
        <v>#DIV/0!</v>
      </c>
      <c r="BJ27" s="210">
        <f t="shared" si="10"/>
        <v>0</v>
      </c>
      <c r="BK27" s="211">
        <f t="shared" si="11"/>
        <v>0</v>
      </c>
      <c r="BL27" s="209" t="e">
        <f t="shared" si="12"/>
        <v>#DIV/0!</v>
      </c>
      <c r="BM27" s="272"/>
      <c r="BN27" s="273"/>
      <c r="BO27" s="209" t="e">
        <f t="shared" si="44"/>
        <v>#DIV/0!</v>
      </c>
      <c r="BP27" s="272"/>
      <c r="BQ27" s="273"/>
      <c r="BR27" s="209" t="e">
        <f t="shared" si="45"/>
        <v>#DIV/0!</v>
      </c>
      <c r="BS27" s="272"/>
      <c r="BT27" s="272"/>
      <c r="BU27" s="209" t="e">
        <f t="shared" si="46"/>
        <v>#DIV/0!</v>
      </c>
      <c r="BV27" s="210">
        <f t="shared" si="16"/>
        <v>0</v>
      </c>
      <c r="BW27" s="210">
        <f t="shared" si="17"/>
        <v>0</v>
      </c>
      <c r="BX27" s="209" t="e">
        <f t="shared" si="18"/>
        <v>#DIV/0!</v>
      </c>
      <c r="BY27" s="209">
        <f t="shared" si="19"/>
        <v>0</v>
      </c>
      <c r="BZ27" s="209">
        <f t="shared" si="20"/>
        <v>0</v>
      </c>
      <c r="CA27" s="212"/>
      <c r="CB27" s="245"/>
      <c r="CC27" s="183"/>
      <c r="CD27" s="184"/>
      <c r="CE27" s="185" t="e">
        <f t="shared" si="47"/>
        <v>#DIV/0!</v>
      </c>
      <c r="CF27" s="183"/>
      <c r="CG27" s="184"/>
      <c r="CH27" s="185" t="e">
        <f t="shared" si="48"/>
        <v>#DIV/0!</v>
      </c>
      <c r="CI27" s="189"/>
      <c r="CJ27" s="190"/>
      <c r="CK27" s="185" t="e">
        <f t="shared" si="49"/>
        <v>#DIV/0!</v>
      </c>
      <c r="CL27" s="187">
        <f t="shared" si="50"/>
        <v>0</v>
      </c>
      <c r="CM27" s="186">
        <f t="shared" si="51"/>
        <v>0</v>
      </c>
      <c r="CN27" s="185" t="e">
        <f t="shared" si="52"/>
        <v>#DIV/0!</v>
      </c>
      <c r="CO27" s="245"/>
      <c r="CP27" s="188">
        <f t="shared" si="53"/>
        <v>0</v>
      </c>
      <c r="CQ27" s="188">
        <f t="shared" si="54"/>
        <v>0</v>
      </c>
      <c r="CR27" s="191" t="e">
        <f t="shared" si="55"/>
        <v>#DIV/0!</v>
      </c>
      <c r="CS27" s="279">
        <f t="shared" si="28"/>
        <v>100</v>
      </c>
      <c r="CT27" s="245"/>
      <c r="CU27" s="188">
        <f t="shared" si="29"/>
        <v>30</v>
      </c>
      <c r="CV27" s="277"/>
      <c r="CW27" s="191">
        <f t="shared" si="30"/>
        <v>0</v>
      </c>
      <c r="CX27" s="188">
        <f t="shared" si="31"/>
        <v>30</v>
      </c>
      <c r="CY27" s="277"/>
      <c r="CZ27" s="191">
        <f t="shared" si="32"/>
        <v>0</v>
      </c>
      <c r="DA27" s="188">
        <f t="shared" si="33"/>
        <v>30</v>
      </c>
      <c r="DB27" s="277"/>
      <c r="DC27" s="191">
        <f t="shared" si="34"/>
        <v>0</v>
      </c>
      <c r="DD27" s="188">
        <f t="shared" si="35"/>
        <v>10</v>
      </c>
      <c r="DE27" s="277"/>
      <c r="DF27" s="191">
        <f t="shared" si="36"/>
        <v>0</v>
      </c>
      <c r="DG27" s="245"/>
      <c r="DH27" s="188">
        <f t="shared" si="37"/>
        <v>100</v>
      </c>
      <c r="DI27" s="188">
        <f t="shared" si="38"/>
        <v>0</v>
      </c>
      <c r="DJ27" s="191">
        <f t="shared" si="39"/>
        <v>0</v>
      </c>
      <c r="DK27" s="286">
        <f t="shared" si="40"/>
        <v>100</v>
      </c>
      <c r="DL27" s="261">
        <v>23</v>
      </c>
      <c r="DM27" s="244">
        <f>+A27-DL27</f>
        <v>0</v>
      </c>
    </row>
    <row r="28" spans="1:117" x14ac:dyDescent="0.35">
      <c r="A28" s="263">
        <v>24</v>
      </c>
      <c r="B28" s="102" t="s">
        <v>182</v>
      </c>
      <c r="C28" s="102" t="s">
        <v>97</v>
      </c>
      <c r="D28" s="102" t="s">
        <v>98</v>
      </c>
      <c r="E28" s="102" t="s">
        <v>99</v>
      </c>
      <c r="F28" s="102" t="s">
        <v>202</v>
      </c>
      <c r="G28" s="98" t="s">
        <v>164</v>
      </c>
      <c r="H28" s="98" t="s">
        <v>203</v>
      </c>
      <c r="I28" s="98" t="s">
        <v>188</v>
      </c>
      <c r="J28" s="98" t="s">
        <v>188</v>
      </c>
      <c r="K28" s="96" t="s">
        <v>104</v>
      </c>
      <c r="L28" s="96" t="s">
        <v>105</v>
      </c>
      <c r="M28" s="98" t="s">
        <v>106</v>
      </c>
      <c r="N28" s="98" t="s">
        <v>189</v>
      </c>
      <c r="O28" s="98" t="s">
        <v>108</v>
      </c>
      <c r="P28" s="98" t="s">
        <v>204</v>
      </c>
      <c r="Q28" s="98" t="s">
        <v>110</v>
      </c>
      <c r="R28" s="301">
        <v>29</v>
      </c>
      <c r="S28" s="99" t="s">
        <v>111</v>
      </c>
      <c r="T28" s="81">
        <v>0</v>
      </c>
      <c r="U28" s="81">
        <v>0</v>
      </c>
      <c r="V28" s="25" t="e">
        <f t="shared" si="56"/>
        <v>#DIV/0!</v>
      </c>
      <c r="W28" s="81">
        <v>0</v>
      </c>
      <c r="X28" s="81">
        <v>0</v>
      </c>
      <c r="Y28" s="25" t="e">
        <f t="shared" si="1"/>
        <v>#DIV/0!</v>
      </c>
      <c r="Z28" s="81">
        <v>29</v>
      </c>
      <c r="AA28" s="81"/>
      <c r="AB28" s="25">
        <f t="shared" si="2"/>
        <v>0</v>
      </c>
      <c r="AC28" s="81">
        <v>0</v>
      </c>
      <c r="AD28" s="81"/>
      <c r="AE28" s="25" t="e">
        <f t="shared" si="3"/>
        <v>#DIV/0!</v>
      </c>
      <c r="AF28" s="140">
        <f t="shared" si="42"/>
        <v>29</v>
      </c>
      <c r="AG28" s="140">
        <f t="shared" si="43"/>
        <v>0</v>
      </c>
      <c r="AH28" s="138" t="e">
        <f t="shared" si="5"/>
        <v>#DIV/0!</v>
      </c>
      <c r="AI28" s="101">
        <v>46113</v>
      </c>
      <c r="AJ28" s="101">
        <v>46477</v>
      </c>
      <c r="AK28" s="102" t="s">
        <v>112</v>
      </c>
      <c r="AL28" s="102" t="s">
        <v>113</v>
      </c>
      <c r="AM28" s="103" t="s">
        <v>114</v>
      </c>
      <c r="AN28" s="104">
        <v>60000000</v>
      </c>
      <c r="AO28" s="104">
        <v>60000000</v>
      </c>
      <c r="AP28" s="104">
        <v>60000000</v>
      </c>
      <c r="AQ28" s="326">
        <v>0</v>
      </c>
      <c r="AR28" s="102" t="s">
        <v>159</v>
      </c>
      <c r="AS28" s="102" t="s">
        <v>112</v>
      </c>
      <c r="AT28" s="152" t="s">
        <v>200</v>
      </c>
      <c r="AU28" s="166" t="s">
        <v>2264</v>
      </c>
      <c r="AV28" s="247" t="s">
        <v>2234</v>
      </c>
      <c r="AW28" s="136" t="s">
        <v>2247</v>
      </c>
      <c r="AX28" s="136" t="s">
        <v>2368</v>
      </c>
      <c r="AY28" s="136" t="s">
        <v>2376</v>
      </c>
      <c r="BA28" s="272"/>
      <c r="BB28" s="273"/>
      <c r="BC28" s="209" t="e">
        <f t="shared" si="7"/>
        <v>#DIV/0!</v>
      </c>
      <c r="BD28" s="272"/>
      <c r="BE28" s="273"/>
      <c r="BF28" s="209" t="e">
        <f t="shared" si="8"/>
        <v>#DIV/0!</v>
      </c>
      <c r="BG28" s="272"/>
      <c r="BH28" s="273"/>
      <c r="BI28" s="209" t="e">
        <f t="shared" si="9"/>
        <v>#DIV/0!</v>
      </c>
      <c r="BJ28" s="210">
        <f t="shared" si="10"/>
        <v>0</v>
      </c>
      <c r="BK28" s="211">
        <f t="shared" si="11"/>
        <v>0</v>
      </c>
      <c r="BL28" s="209" t="e">
        <f t="shared" si="12"/>
        <v>#DIV/0!</v>
      </c>
      <c r="BM28" s="272"/>
      <c r="BN28" s="273"/>
      <c r="BO28" s="209" t="e">
        <f t="shared" si="44"/>
        <v>#DIV/0!</v>
      </c>
      <c r="BP28" s="272"/>
      <c r="BQ28" s="273"/>
      <c r="BR28" s="209" t="e">
        <f t="shared" si="45"/>
        <v>#DIV/0!</v>
      </c>
      <c r="BS28" s="272"/>
      <c r="BT28" s="272"/>
      <c r="BU28" s="209" t="e">
        <f t="shared" si="46"/>
        <v>#DIV/0!</v>
      </c>
      <c r="BV28" s="210">
        <f t="shared" si="16"/>
        <v>0</v>
      </c>
      <c r="BW28" s="210">
        <f t="shared" si="17"/>
        <v>0</v>
      </c>
      <c r="BX28" s="209" t="e">
        <f t="shared" si="18"/>
        <v>#DIV/0!</v>
      </c>
      <c r="BY28" s="209">
        <f t="shared" si="19"/>
        <v>0</v>
      </c>
      <c r="BZ28" s="209">
        <f t="shared" si="20"/>
        <v>0</v>
      </c>
      <c r="CA28" s="212"/>
      <c r="CB28" s="245"/>
      <c r="CC28" s="183"/>
      <c r="CD28" s="184"/>
      <c r="CE28" s="185" t="e">
        <f t="shared" si="47"/>
        <v>#DIV/0!</v>
      </c>
      <c r="CF28" s="183"/>
      <c r="CG28" s="184"/>
      <c r="CH28" s="185" t="e">
        <f t="shared" si="48"/>
        <v>#DIV/0!</v>
      </c>
      <c r="CI28" s="189"/>
      <c r="CJ28" s="190"/>
      <c r="CK28" s="185" t="e">
        <f t="shared" si="49"/>
        <v>#DIV/0!</v>
      </c>
      <c r="CL28" s="187">
        <f t="shared" si="50"/>
        <v>0</v>
      </c>
      <c r="CM28" s="186">
        <f t="shared" si="51"/>
        <v>0</v>
      </c>
      <c r="CN28" s="185" t="e">
        <f t="shared" si="52"/>
        <v>#DIV/0!</v>
      </c>
      <c r="CO28" s="245"/>
      <c r="CP28" s="188">
        <f t="shared" si="53"/>
        <v>0</v>
      </c>
      <c r="CQ28" s="188">
        <f t="shared" si="54"/>
        <v>0</v>
      </c>
      <c r="CR28" s="191" t="e">
        <f t="shared" si="55"/>
        <v>#DIV/0!</v>
      </c>
      <c r="CS28" s="279">
        <f t="shared" si="28"/>
        <v>29</v>
      </c>
      <c r="CT28" s="245"/>
      <c r="CU28" s="188">
        <f t="shared" si="29"/>
        <v>8.6999999999999993</v>
      </c>
      <c r="CV28" s="277"/>
      <c r="CW28" s="191">
        <f t="shared" si="30"/>
        <v>0</v>
      </c>
      <c r="CX28" s="188">
        <f t="shared" si="31"/>
        <v>8.6999999999999993</v>
      </c>
      <c r="CY28" s="277"/>
      <c r="CZ28" s="191">
        <f t="shared" si="32"/>
        <v>0</v>
      </c>
      <c r="DA28" s="188">
        <f t="shared" si="33"/>
        <v>8.6999999999999993</v>
      </c>
      <c r="DB28" s="277"/>
      <c r="DC28" s="191">
        <f t="shared" si="34"/>
        <v>0</v>
      </c>
      <c r="DD28" s="188">
        <f t="shared" si="35"/>
        <v>2.9000000000000004</v>
      </c>
      <c r="DE28" s="277"/>
      <c r="DF28" s="191">
        <f t="shared" si="36"/>
        <v>0</v>
      </c>
      <c r="DG28" s="245"/>
      <c r="DH28" s="188">
        <f t="shared" si="37"/>
        <v>29</v>
      </c>
      <c r="DI28" s="188">
        <f t="shared" si="38"/>
        <v>0</v>
      </c>
      <c r="DJ28" s="191">
        <f t="shared" si="39"/>
        <v>0</v>
      </c>
      <c r="DK28" s="286">
        <f t="shared" si="40"/>
        <v>29</v>
      </c>
      <c r="DL28" s="261">
        <v>24</v>
      </c>
      <c r="DM28" s="244">
        <f>+A28-DL28</f>
        <v>0</v>
      </c>
    </row>
    <row r="29" spans="1:117" x14ac:dyDescent="0.35">
      <c r="A29" s="263">
        <v>25</v>
      </c>
      <c r="B29" s="102" t="s">
        <v>182</v>
      </c>
      <c r="C29" s="102" t="s">
        <v>97</v>
      </c>
      <c r="D29" s="102" t="s">
        <v>98</v>
      </c>
      <c r="E29" s="102" t="s">
        <v>205</v>
      </c>
      <c r="F29" s="102" t="s">
        <v>202</v>
      </c>
      <c r="G29" s="98" t="s">
        <v>164</v>
      </c>
      <c r="H29" s="98" t="s">
        <v>203</v>
      </c>
      <c r="I29" s="98" t="s">
        <v>188</v>
      </c>
      <c r="J29" s="98" t="s">
        <v>188</v>
      </c>
      <c r="K29" s="96" t="s">
        <v>104</v>
      </c>
      <c r="L29" s="96" t="s">
        <v>105</v>
      </c>
      <c r="M29" s="98" t="s">
        <v>106</v>
      </c>
      <c r="N29" s="98" t="s">
        <v>189</v>
      </c>
      <c r="O29" s="98" t="s">
        <v>108</v>
      </c>
      <c r="P29" s="98" t="s">
        <v>206</v>
      </c>
      <c r="Q29" s="98" t="s">
        <v>110</v>
      </c>
      <c r="R29" s="301">
        <v>29</v>
      </c>
      <c r="S29" s="99" t="s">
        <v>111</v>
      </c>
      <c r="T29" s="81">
        <v>0</v>
      </c>
      <c r="U29" s="81">
        <v>0</v>
      </c>
      <c r="V29" s="25" t="e">
        <f t="shared" si="56"/>
        <v>#DIV/0!</v>
      </c>
      <c r="W29" s="81">
        <v>0</v>
      </c>
      <c r="X29" s="81">
        <v>0</v>
      </c>
      <c r="Y29" s="25" t="e">
        <f t="shared" si="1"/>
        <v>#DIV/0!</v>
      </c>
      <c r="Z29" s="81">
        <v>29</v>
      </c>
      <c r="AA29" s="81"/>
      <c r="AB29" s="25">
        <f t="shared" si="2"/>
        <v>0</v>
      </c>
      <c r="AC29" s="81">
        <v>0</v>
      </c>
      <c r="AD29" s="81"/>
      <c r="AE29" s="25" t="e">
        <f t="shared" si="3"/>
        <v>#DIV/0!</v>
      </c>
      <c r="AF29" s="140">
        <f t="shared" si="42"/>
        <v>29</v>
      </c>
      <c r="AG29" s="140">
        <f t="shared" si="43"/>
        <v>0</v>
      </c>
      <c r="AH29" s="138" t="e">
        <f t="shared" si="5"/>
        <v>#DIV/0!</v>
      </c>
      <c r="AI29" s="101">
        <v>46113</v>
      </c>
      <c r="AJ29" s="101">
        <v>46477</v>
      </c>
      <c r="AK29" s="102" t="s">
        <v>112</v>
      </c>
      <c r="AL29" s="102" t="s">
        <v>113</v>
      </c>
      <c r="AM29" s="103" t="s">
        <v>114</v>
      </c>
      <c r="AN29" s="104">
        <v>100000000</v>
      </c>
      <c r="AO29" s="104">
        <v>100000000</v>
      </c>
      <c r="AP29" s="104">
        <v>100000000</v>
      </c>
      <c r="AQ29" s="326">
        <v>0</v>
      </c>
      <c r="AR29" s="102" t="s">
        <v>207</v>
      </c>
      <c r="AS29" s="102" t="s">
        <v>112</v>
      </c>
      <c r="AT29" s="152" t="s">
        <v>200</v>
      </c>
      <c r="AU29" s="166" t="s">
        <v>2264</v>
      </c>
      <c r="AV29" s="247" t="s">
        <v>2234</v>
      </c>
      <c r="AW29" s="136" t="s">
        <v>2247</v>
      </c>
      <c r="AX29" s="136" t="s">
        <v>2368</v>
      </c>
      <c r="AY29" s="136" t="s">
        <v>2376</v>
      </c>
      <c r="BA29" s="272"/>
      <c r="BB29" s="273"/>
      <c r="BC29" s="209" t="e">
        <f t="shared" si="7"/>
        <v>#DIV/0!</v>
      </c>
      <c r="BD29" s="272"/>
      <c r="BE29" s="273"/>
      <c r="BF29" s="209" t="e">
        <f t="shared" si="8"/>
        <v>#DIV/0!</v>
      </c>
      <c r="BG29" s="272"/>
      <c r="BH29" s="273"/>
      <c r="BI29" s="209" t="e">
        <f t="shared" si="9"/>
        <v>#DIV/0!</v>
      </c>
      <c r="BJ29" s="210">
        <f t="shared" si="10"/>
        <v>0</v>
      </c>
      <c r="BK29" s="211">
        <f t="shared" si="11"/>
        <v>0</v>
      </c>
      <c r="BL29" s="209" t="e">
        <f t="shared" si="12"/>
        <v>#DIV/0!</v>
      </c>
      <c r="BM29" s="272"/>
      <c r="BN29" s="273"/>
      <c r="BO29" s="209" t="e">
        <f t="shared" si="44"/>
        <v>#DIV/0!</v>
      </c>
      <c r="BP29" s="272"/>
      <c r="BQ29" s="273"/>
      <c r="BR29" s="209" t="e">
        <f t="shared" si="45"/>
        <v>#DIV/0!</v>
      </c>
      <c r="BS29" s="272"/>
      <c r="BT29" s="272"/>
      <c r="BU29" s="209" t="e">
        <f t="shared" si="46"/>
        <v>#DIV/0!</v>
      </c>
      <c r="BV29" s="210">
        <f t="shared" si="16"/>
        <v>0</v>
      </c>
      <c r="BW29" s="210">
        <f t="shared" si="17"/>
        <v>0</v>
      </c>
      <c r="BX29" s="209" t="e">
        <f t="shared" si="18"/>
        <v>#DIV/0!</v>
      </c>
      <c r="BY29" s="209">
        <f t="shared" si="19"/>
        <v>0</v>
      </c>
      <c r="BZ29" s="209">
        <f t="shared" si="20"/>
        <v>0</v>
      </c>
      <c r="CA29" s="212"/>
      <c r="CB29" s="245"/>
      <c r="CC29" s="183"/>
      <c r="CD29" s="184"/>
      <c r="CE29" s="185" t="e">
        <f t="shared" si="47"/>
        <v>#DIV/0!</v>
      </c>
      <c r="CF29" s="183"/>
      <c r="CG29" s="184"/>
      <c r="CH29" s="185" t="e">
        <f t="shared" si="48"/>
        <v>#DIV/0!</v>
      </c>
      <c r="CI29" s="189"/>
      <c r="CJ29" s="190"/>
      <c r="CK29" s="185" t="e">
        <f t="shared" si="49"/>
        <v>#DIV/0!</v>
      </c>
      <c r="CL29" s="187">
        <f t="shared" si="50"/>
        <v>0</v>
      </c>
      <c r="CM29" s="186">
        <f t="shared" si="51"/>
        <v>0</v>
      </c>
      <c r="CN29" s="185" t="e">
        <f t="shared" si="52"/>
        <v>#DIV/0!</v>
      </c>
      <c r="CO29" s="245"/>
      <c r="CP29" s="188">
        <f t="shared" si="53"/>
        <v>0</v>
      </c>
      <c r="CQ29" s="188">
        <f t="shared" si="54"/>
        <v>0</v>
      </c>
      <c r="CR29" s="191" t="e">
        <f t="shared" si="55"/>
        <v>#DIV/0!</v>
      </c>
      <c r="CS29" s="279">
        <f t="shared" si="28"/>
        <v>29</v>
      </c>
      <c r="CT29" s="245"/>
      <c r="CU29" s="188">
        <f t="shared" si="29"/>
        <v>8.6999999999999993</v>
      </c>
      <c r="CV29" s="277"/>
      <c r="CW29" s="191">
        <f t="shared" si="30"/>
        <v>0</v>
      </c>
      <c r="CX29" s="188">
        <f t="shared" si="31"/>
        <v>8.6999999999999993</v>
      </c>
      <c r="CY29" s="277"/>
      <c r="CZ29" s="191">
        <f t="shared" si="32"/>
        <v>0</v>
      </c>
      <c r="DA29" s="188">
        <f t="shared" si="33"/>
        <v>8.6999999999999993</v>
      </c>
      <c r="DB29" s="277"/>
      <c r="DC29" s="191">
        <f t="shared" si="34"/>
        <v>0</v>
      </c>
      <c r="DD29" s="188">
        <f t="shared" si="35"/>
        <v>2.9000000000000004</v>
      </c>
      <c r="DE29" s="277"/>
      <c r="DF29" s="191">
        <f t="shared" si="36"/>
        <v>0</v>
      </c>
      <c r="DG29" s="245"/>
      <c r="DH29" s="188">
        <f t="shared" si="37"/>
        <v>29</v>
      </c>
      <c r="DI29" s="188">
        <f t="shared" si="38"/>
        <v>0</v>
      </c>
      <c r="DJ29" s="191">
        <f t="shared" si="39"/>
        <v>0</v>
      </c>
      <c r="DK29" s="286">
        <f t="shared" si="40"/>
        <v>29</v>
      </c>
      <c r="DL29" s="261">
        <v>25</v>
      </c>
      <c r="DM29" s="244">
        <f>+A29-DL29</f>
        <v>0</v>
      </c>
    </row>
    <row r="30" spans="1:117" x14ac:dyDescent="0.35">
      <c r="A30" s="263">
        <v>26</v>
      </c>
      <c r="B30" s="102" t="s">
        <v>182</v>
      </c>
      <c r="C30" s="102" t="s">
        <v>97</v>
      </c>
      <c r="D30" s="102" t="s">
        <v>98</v>
      </c>
      <c r="E30" s="102" t="s">
        <v>99</v>
      </c>
      <c r="F30" s="102" t="s">
        <v>202</v>
      </c>
      <c r="G30" s="98" t="s">
        <v>164</v>
      </c>
      <c r="H30" s="98" t="s">
        <v>203</v>
      </c>
      <c r="I30" s="98" t="s">
        <v>188</v>
      </c>
      <c r="J30" s="98" t="s">
        <v>188</v>
      </c>
      <c r="K30" s="96" t="s">
        <v>104</v>
      </c>
      <c r="L30" s="96" t="s">
        <v>105</v>
      </c>
      <c r="M30" s="98" t="s">
        <v>106</v>
      </c>
      <c r="N30" s="98" t="s">
        <v>189</v>
      </c>
      <c r="O30" s="98" t="s">
        <v>108</v>
      </c>
      <c r="P30" s="98" t="s">
        <v>208</v>
      </c>
      <c r="Q30" s="98" t="s">
        <v>110</v>
      </c>
      <c r="R30" s="301">
        <v>29</v>
      </c>
      <c r="S30" s="99" t="s">
        <v>111</v>
      </c>
      <c r="T30" s="81">
        <v>0</v>
      </c>
      <c r="U30" s="81">
        <v>0</v>
      </c>
      <c r="V30" s="25" t="e">
        <f t="shared" si="56"/>
        <v>#DIV/0!</v>
      </c>
      <c r="W30" s="81">
        <v>0</v>
      </c>
      <c r="X30" s="81">
        <v>0</v>
      </c>
      <c r="Y30" s="25" t="e">
        <f t="shared" si="1"/>
        <v>#DIV/0!</v>
      </c>
      <c r="Z30" s="81">
        <v>29</v>
      </c>
      <c r="AA30" s="81"/>
      <c r="AB30" s="25">
        <f t="shared" si="2"/>
        <v>0</v>
      </c>
      <c r="AC30" s="81">
        <v>0</v>
      </c>
      <c r="AD30" s="81"/>
      <c r="AE30" s="25" t="e">
        <f t="shared" si="3"/>
        <v>#DIV/0!</v>
      </c>
      <c r="AF30" s="140">
        <f t="shared" si="42"/>
        <v>29</v>
      </c>
      <c r="AG30" s="140">
        <f t="shared" si="43"/>
        <v>0</v>
      </c>
      <c r="AH30" s="138" t="e">
        <f t="shared" si="5"/>
        <v>#DIV/0!</v>
      </c>
      <c r="AI30" s="101">
        <v>46054</v>
      </c>
      <c r="AJ30" s="101">
        <v>46477</v>
      </c>
      <c r="AK30" s="102" t="s">
        <v>112</v>
      </c>
      <c r="AL30" s="102" t="s">
        <v>113</v>
      </c>
      <c r="AM30" s="103" t="s">
        <v>114</v>
      </c>
      <c r="AN30" s="104">
        <v>80000000</v>
      </c>
      <c r="AO30" s="104">
        <v>80000000</v>
      </c>
      <c r="AP30" s="104">
        <v>80000000</v>
      </c>
      <c r="AQ30" s="326">
        <v>0</v>
      </c>
      <c r="AR30" s="102" t="s">
        <v>191</v>
      </c>
      <c r="AS30" s="102" t="s">
        <v>112</v>
      </c>
      <c r="AT30" s="152" t="s">
        <v>200</v>
      </c>
      <c r="AU30" s="166" t="s">
        <v>2264</v>
      </c>
      <c r="AV30" s="247" t="s">
        <v>2234</v>
      </c>
      <c r="AW30" s="136" t="s">
        <v>2247</v>
      </c>
      <c r="AX30" s="136" t="s">
        <v>2368</v>
      </c>
      <c r="AY30" s="136" t="s">
        <v>2376</v>
      </c>
      <c r="BA30" s="272"/>
      <c r="BB30" s="273"/>
      <c r="BC30" s="209" t="e">
        <f t="shared" si="7"/>
        <v>#DIV/0!</v>
      </c>
      <c r="BD30" s="272"/>
      <c r="BE30" s="273"/>
      <c r="BF30" s="209" t="e">
        <f t="shared" si="8"/>
        <v>#DIV/0!</v>
      </c>
      <c r="BG30" s="272"/>
      <c r="BH30" s="273"/>
      <c r="BI30" s="209" t="e">
        <f t="shared" si="9"/>
        <v>#DIV/0!</v>
      </c>
      <c r="BJ30" s="210">
        <f t="shared" si="10"/>
        <v>0</v>
      </c>
      <c r="BK30" s="211">
        <f t="shared" si="11"/>
        <v>0</v>
      </c>
      <c r="BL30" s="209" t="e">
        <f t="shared" si="12"/>
        <v>#DIV/0!</v>
      </c>
      <c r="BM30" s="272"/>
      <c r="BN30" s="273"/>
      <c r="BO30" s="209" t="e">
        <f t="shared" si="44"/>
        <v>#DIV/0!</v>
      </c>
      <c r="BP30" s="272"/>
      <c r="BQ30" s="273"/>
      <c r="BR30" s="209" t="e">
        <f t="shared" si="45"/>
        <v>#DIV/0!</v>
      </c>
      <c r="BS30" s="272"/>
      <c r="BT30" s="272"/>
      <c r="BU30" s="209" t="e">
        <f t="shared" si="46"/>
        <v>#DIV/0!</v>
      </c>
      <c r="BV30" s="210">
        <f t="shared" si="16"/>
        <v>0</v>
      </c>
      <c r="BW30" s="210">
        <f t="shared" si="17"/>
        <v>0</v>
      </c>
      <c r="BX30" s="209" t="e">
        <f t="shared" si="18"/>
        <v>#DIV/0!</v>
      </c>
      <c r="BY30" s="209">
        <f t="shared" si="19"/>
        <v>0</v>
      </c>
      <c r="BZ30" s="209">
        <f t="shared" si="20"/>
        <v>0</v>
      </c>
      <c r="CA30" s="212"/>
      <c r="CB30" s="245"/>
      <c r="CC30" s="183"/>
      <c r="CD30" s="184"/>
      <c r="CE30" s="185" t="e">
        <f t="shared" si="47"/>
        <v>#DIV/0!</v>
      </c>
      <c r="CF30" s="183"/>
      <c r="CG30" s="184"/>
      <c r="CH30" s="185" t="e">
        <f t="shared" si="48"/>
        <v>#DIV/0!</v>
      </c>
      <c r="CI30" s="189"/>
      <c r="CJ30" s="190"/>
      <c r="CK30" s="185" t="e">
        <f t="shared" si="49"/>
        <v>#DIV/0!</v>
      </c>
      <c r="CL30" s="187">
        <f t="shared" si="50"/>
        <v>0</v>
      </c>
      <c r="CM30" s="186">
        <f t="shared" si="51"/>
        <v>0</v>
      </c>
      <c r="CN30" s="185" t="e">
        <f t="shared" si="52"/>
        <v>#DIV/0!</v>
      </c>
      <c r="CO30" s="245"/>
      <c r="CP30" s="188">
        <f t="shared" si="53"/>
        <v>0</v>
      </c>
      <c r="CQ30" s="188">
        <f t="shared" si="54"/>
        <v>0</v>
      </c>
      <c r="CR30" s="191" t="e">
        <f t="shared" si="55"/>
        <v>#DIV/0!</v>
      </c>
      <c r="CS30" s="279">
        <f t="shared" si="28"/>
        <v>29</v>
      </c>
      <c r="CT30" s="245"/>
      <c r="CU30" s="188">
        <f t="shared" si="29"/>
        <v>8.6999999999999993</v>
      </c>
      <c r="CV30" s="277"/>
      <c r="CW30" s="191">
        <f t="shared" si="30"/>
        <v>0</v>
      </c>
      <c r="CX30" s="188">
        <f t="shared" si="31"/>
        <v>8.6999999999999993</v>
      </c>
      <c r="CY30" s="277"/>
      <c r="CZ30" s="191">
        <f t="shared" si="32"/>
        <v>0</v>
      </c>
      <c r="DA30" s="188">
        <f t="shared" si="33"/>
        <v>8.6999999999999993</v>
      </c>
      <c r="DB30" s="277"/>
      <c r="DC30" s="191">
        <f t="shared" si="34"/>
        <v>0</v>
      </c>
      <c r="DD30" s="188">
        <f t="shared" si="35"/>
        <v>2.9000000000000004</v>
      </c>
      <c r="DE30" s="277"/>
      <c r="DF30" s="191">
        <f t="shared" si="36"/>
        <v>0</v>
      </c>
      <c r="DG30" s="245"/>
      <c r="DH30" s="188">
        <f t="shared" si="37"/>
        <v>29</v>
      </c>
      <c r="DI30" s="188">
        <f t="shared" si="38"/>
        <v>0</v>
      </c>
      <c r="DJ30" s="191">
        <f t="shared" si="39"/>
        <v>0</v>
      </c>
      <c r="DK30" s="286">
        <f t="shared" si="40"/>
        <v>29</v>
      </c>
      <c r="DL30" s="261">
        <v>26</v>
      </c>
      <c r="DM30" s="244">
        <f>+A30-DL30</f>
        <v>0</v>
      </c>
    </row>
    <row r="31" spans="1:117" x14ac:dyDescent="0.35">
      <c r="A31" s="263">
        <v>27</v>
      </c>
      <c r="B31" s="102" t="s">
        <v>182</v>
      </c>
      <c r="C31" s="102" t="s">
        <v>118</v>
      </c>
      <c r="D31" s="102" t="s">
        <v>119</v>
      </c>
      <c r="E31" s="102" t="s">
        <v>120</v>
      </c>
      <c r="F31" s="102" t="s">
        <v>121</v>
      </c>
      <c r="G31" s="98" t="s">
        <v>164</v>
      </c>
      <c r="H31" s="98" t="s">
        <v>203</v>
      </c>
      <c r="I31" s="98" t="s">
        <v>188</v>
      </c>
      <c r="J31" s="98" t="s">
        <v>188</v>
      </c>
      <c r="K31" s="96" t="s">
        <v>104</v>
      </c>
      <c r="L31" s="96" t="s">
        <v>105</v>
      </c>
      <c r="M31" s="98" t="s">
        <v>106</v>
      </c>
      <c r="N31" s="98" t="s">
        <v>189</v>
      </c>
      <c r="O31" s="98" t="s">
        <v>127</v>
      </c>
      <c r="P31" s="98" t="s">
        <v>209</v>
      </c>
      <c r="Q31" s="98" t="s">
        <v>129</v>
      </c>
      <c r="R31" s="301">
        <v>50</v>
      </c>
      <c r="S31" s="99" t="s">
        <v>158</v>
      </c>
      <c r="T31" s="81">
        <v>12.5</v>
      </c>
      <c r="U31" s="81">
        <v>12.5</v>
      </c>
      <c r="V31" s="25">
        <f t="shared" si="56"/>
        <v>100</v>
      </c>
      <c r="W31" s="81">
        <v>12.5</v>
      </c>
      <c r="X31" s="81">
        <v>12.5</v>
      </c>
      <c r="Y31" s="25">
        <f t="shared" si="1"/>
        <v>100</v>
      </c>
      <c r="Z31" s="81">
        <v>12.5</v>
      </c>
      <c r="AA31" s="81"/>
      <c r="AB31" s="25">
        <f t="shared" si="2"/>
        <v>0</v>
      </c>
      <c r="AC31" s="81">
        <v>12.5</v>
      </c>
      <c r="AD31" s="81"/>
      <c r="AE31" s="25">
        <f t="shared" si="3"/>
        <v>0</v>
      </c>
      <c r="AF31" s="140">
        <f t="shared" si="42"/>
        <v>50</v>
      </c>
      <c r="AG31" s="140">
        <f t="shared" si="43"/>
        <v>25</v>
      </c>
      <c r="AH31" s="138">
        <f t="shared" si="5"/>
        <v>100</v>
      </c>
      <c r="AI31" s="101">
        <v>46113</v>
      </c>
      <c r="AJ31" s="101">
        <v>46477</v>
      </c>
      <c r="AK31" s="102" t="s">
        <v>112</v>
      </c>
      <c r="AL31" s="102" t="s">
        <v>113</v>
      </c>
      <c r="AM31" s="103" t="s">
        <v>114</v>
      </c>
      <c r="AN31" s="324"/>
      <c r="AO31" s="324"/>
      <c r="AP31" s="324"/>
      <c r="AQ31" s="326"/>
      <c r="AR31" s="102" t="s">
        <v>191</v>
      </c>
      <c r="AS31" s="102" t="s">
        <v>112</v>
      </c>
      <c r="AT31" s="152" t="s">
        <v>200</v>
      </c>
      <c r="AU31" s="166" t="s">
        <v>2264</v>
      </c>
      <c r="AV31" s="247" t="s">
        <v>2234</v>
      </c>
      <c r="AW31" s="136" t="s">
        <v>2247</v>
      </c>
      <c r="AX31" s="136" t="s">
        <v>2368</v>
      </c>
      <c r="AY31" s="136" t="s">
        <v>2376</v>
      </c>
      <c r="BA31" s="272"/>
      <c r="BB31" s="273"/>
      <c r="BC31" s="209" t="e">
        <f t="shared" si="7"/>
        <v>#DIV/0!</v>
      </c>
      <c r="BD31" s="272"/>
      <c r="BE31" s="273"/>
      <c r="BF31" s="209" t="e">
        <f t="shared" si="8"/>
        <v>#DIV/0!</v>
      </c>
      <c r="BG31" s="272"/>
      <c r="BH31" s="273"/>
      <c r="BI31" s="209" t="e">
        <f t="shared" si="9"/>
        <v>#DIV/0!</v>
      </c>
      <c r="BJ31" s="210">
        <f t="shared" si="10"/>
        <v>0</v>
      </c>
      <c r="BK31" s="211">
        <f t="shared" si="11"/>
        <v>0</v>
      </c>
      <c r="BL31" s="209" t="e">
        <f t="shared" si="12"/>
        <v>#DIV/0!</v>
      </c>
      <c r="BM31" s="272"/>
      <c r="BN31" s="273"/>
      <c r="BO31" s="209" t="e">
        <f t="shared" si="44"/>
        <v>#DIV/0!</v>
      </c>
      <c r="BP31" s="272"/>
      <c r="BQ31" s="273"/>
      <c r="BR31" s="209" t="e">
        <f t="shared" si="45"/>
        <v>#DIV/0!</v>
      </c>
      <c r="BS31" s="272"/>
      <c r="BT31" s="272"/>
      <c r="BU31" s="209" t="e">
        <f t="shared" si="46"/>
        <v>#DIV/0!</v>
      </c>
      <c r="BV31" s="210">
        <f t="shared" si="16"/>
        <v>0</v>
      </c>
      <c r="BW31" s="210">
        <f t="shared" si="17"/>
        <v>0</v>
      </c>
      <c r="BX31" s="209" t="e">
        <f t="shared" si="18"/>
        <v>#DIV/0!</v>
      </c>
      <c r="BY31" s="209">
        <f t="shared" si="19"/>
        <v>0</v>
      </c>
      <c r="BZ31" s="209">
        <f t="shared" si="20"/>
        <v>0</v>
      </c>
      <c r="CA31" s="212"/>
      <c r="CB31" s="245"/>
      <c r="CC31" s="183"/>
      <c r="CD31" s="184"/>
      <c r="CE31" s="185" t="e">
        <f t="shared" si="47"/>
        <v>#DIV/0!</v>
      </c>
      <c r="CF31" s="183"/>
      <c r="CG31" s="184"/>
      <c r="CH31" s="185" t="e">
        <f t="shared" si="48"/>
        <v>#DIV/0!</v>
      </c>
      <c r="CI31" s="189"/>
      <c r="CJ31" s="190"/>
      <c r="CK31" s="185" t="e">
        <f t="shared" si="49"/>
        <v>#DIV/0!</v>
      </c>
      <c r="CL31" s="187">
        <f t="shared" si="50"/>
        <v>0</v>
      </c>
      <c r="CM31" s="186">
        <f t="shared" si="51"/>
        <v>0</v>
      </c>
      <c r="CN31" s="185" t="e">
        <f t="shared" si="52"/>
        <v>#DIV/0!</v>
      </c>
      <c r="CO31" s="245"/>
      <c r="CP31" s="188">
        <f t="shared" si="53"/>
        <v>0</v>
      </c>
      <c r="CQ31" s="188">
        <f t="shared" si="54"/>
        <v>0</v>
      </c>
      <c r="CR31" s="191" t="e">
        <f t="shared" si="55"/>
        <v>#DIV/0!</v>
      </c>
      <c r="CS31" s="279">
        <f t="shared" si="28"/>
        <v>50</v>
      </c>
      <c r="CT31" s="245"/>
      <c r="CU31" s="188">
        <f t="shared" si="29"/>
        <v>15</v>
      </c>
      <c r="CV31" s="277"/>
      <c r="CW31" s="191">
        <f t="shared" si="30"/>
        <v>0</v>
      </c>
      <c r="CX31" s="188">
        <f t="shared" si="31"/>
        <v>15</v>
      </c>
      <c r="CY31" s="277"/>
      <c r="CZ31" s="191">
        <f t="shared" si="32"/>
        <v>0</v>
      </c>
      <c r="DA31" s="188">
        <f t="shared" si="33"/>
        <v>15</v>
      </c>
      <c r="DB31" s="277"/>
      <c r="DC31" s="191">
        <f t="shared" si="34"/>
        <v>0</v>
      </c>
      <c r="DD31" s="188">
        <f t="shared" si="35"/>
        <v>5</v>
      </c>
      <c r="DE31" s="277"/>
      <c r="DF31" s="191">
        <f t="shared" si="36"/>
        <v>0</v>
      </c>
      <c r="DG31" s="245"/>
      <c r="DH31" s="188">
        <f t="shared" si="37"/>
        <v>50</v>
      </c>
      <c r="DI31" s="188">
        <f t="shared" si="38"/>
        <v>0</v>
      </c>
      <c r="DJ31" s="191">
        <f t="shared" si="39"/>
        <v>0</v>
      </c>
      <c r="DK31" s="286">
        <f t="shared" si="40"/>
        <v>50</v>
      </c>
      <c r="DL31" s="261">
        <v>27</v>
      </c>
      <c r="DM31" s="244">
        <f>+A31-DL31</f>
        <v>0</v>
      </c>
    </row>
    <row r="32" spans="1:117" x14ac:dyDescent="0.35">
      <c r="A32" s="263">
        <v>28</v>
      </c>
      <c r="B32" s="102" t="s">
        <v>182</v>
      </c>
      <c r="C32" s="102" t="s">
        <v>118</v>
      </c>
      <c r="D32" s="102" t="s">
        <v>119</v>
      </c>
      <c r="E32" s="102" t="s">
        <v>120</v>
      </c>
      <c r="F32" s="102" t="s">
        <v>121</v>
      </c>
      <c r="G32" s="98" t="s">
        <v>164</v>
      </c>
      <c r="H32" s="98" t="s">
        <v>203</v>
      </c>
      <c r="I32" s="98" t="s">
        <v>210</v>
      </c>
      <c r="J32" s="98" t="s">
        <v>210</v>
      </c>
      <c r="K32" s="96" t="s">
        <v>104</v>
      </c>
      <c r="L32" s="96" t="s">
        <v>105</v>
      </c>
      <c r="M32" s="98" t="s">
        <v>106</v>
      </c>
      <c r="N32" s="98" t="s">
        <v>189</v>
      </c>
      <c r="O32" s="98" t="s">
        <v>127</v>
      </c>
      <c r="P32" s="98" t="s">
        <v>211</v>
      </c>
      <c r="Q32" s="98" t="s">
        <v>129</v>
      </c>
      <c r="R32" s="301">
        <v>100</v>
      </c>
      <c r="S32" s="99" t="s">
        <v>158</v>
      </c>
      <c r="T32" s="81">
        <v>25</v>
      </c>
      <c r="U32" s="81">
        <v>25</v>
      </c>
      <c r="V32" s="25">
        <f t="shared" si="56"/>
        <v>100</v>
      </c>
      <c r="W32" s="81">
        <v>25</v>
      </c>
      <c r="X32" s="81">
        <v>25</v>
      </c>
      <c r="Y32" s="25">
        <f t="shared" si="1"/>
        <v>100</v>
      </c>
      <c r="Z32" s="81">
        <v>25</v>
      </c>
      <c r="AA32" s="81"/>
      <c r="AB32" s="25">
        <f t="shared" si="2"/>
        <v>0</v>
      </c>
      <c r="AC32" s="81">
        <v>25</v>
      </c>
      <c r="AD32" s="81"/>
      <c r="AE32" s="25">
        <f t="shared" si="3"/>
        <v>0</v>
      </c>
      <c r="AF32" s="140">
        <f t="shared" si="42"/>
        <v>100</v>
      </c>
      <c r="AG32" s="140">
        <f t="shared" si="43"/>
        <v>50</v>
      </c>
      <c r="AH32" s="138">
        <f t="shared" si="5"/>
        <v>100</v>
      </c>
      <c r="AI32" s="101">
        <v>46113</v>
      </c>
      <c r="AJ32" s="101">
        <v>46477</v>
      </c>
      <c r="AK32" s="102" t="s">
        <v>112</v>
      </c>
      <c r="AL32" s="102" t="s">
        <v>113</v>
      </c>
      <c r="AM32" s="103" t="s">
        <v>114</v>
      </c>
      <c r="AN32" s="324"/>
      <c r="AO32" s="324"/>
      <c r="AP32" s="324"/>
      <c r="AQ32" s="326"/>
      <c r="AR32" s="102" t="s">
        <v>191</v>
      </c>
      <c r="AS32" s="102" t="s">
        <v>112</v>
      </c>
      <c r="AT32" s="152" t="s">
        <v>200</v>
      </c>
      <c r="AU32" s="166" t="s">
        <v>2264</v>
      </c>
      <c r="AV32" s="247" t="s">
        <v>2234</v>
      </c>
      <c r="AW32" s="136" t="s">
        <v>2247</v>
      </c>
      <c r="AX32" s="136" t="s">
        <v>2368</v>
      </c>
      <c r="AY32" s="136" t="s">
        <v>2376</v>
      </c>
      <c r="BA32" s="272"/>
      <c r="BB32" s="273"/>
      <c r="BC32" s="209" t="e">
        <f t="shared" si="7"/>
        <v>#DIV/0!</v>
      </c>
      <c r="BD32" s="272"/>
      <c r="BE32" s="273"/>
      <c r="BF32" s="209" t="e">
        <f t="shared" si="8"/>
        <v>#DIV/0!</v>
      </c>
      <c r="BG32" s="272"/>
      <c r="BH32" s="273"/>
      <c r="BI32" s="209" t="e">
        <f t="shared" si="9"/>
        <v>#DIV/0!</v>
      </c>
      <c r="BJ32" s="210">
        <f t="shared" si="10"/>
        <v>0</v>
      </c>
      <c r="BK32" s="211">
        <f t="shared" si="11"/>
        <v>0</v>
      </c>
      <c r="BL32" s="209" t="e">
        <f t="shared" si="12"/>
        <v>#DIV/0!</v>
      </c>
      <c r="BM32" s="272"/>
      <c r="BN32" s="273"/>
      <c r="BO32" s="209" t="e">
        <f t="shared" si="44"/>
        <v>#DIV/0!</v>
      </c>
      <c r="BP32" s="272"/>
      <c r="BQ32" s="273"/>
      <c r="BR32" s="209" t="e">
        <f t="shared" si="45"/>
        <v>#DIV/0!</v>
      </c>
      <c r="BS32" s="272"/>
      <c r="BT32" s="272"/>
      <c r="BU32" s="209" t="e">
        <f t="shared" si="46"/>
        <v>#DIV/0!</v>
      </c>
      <c r="BV32" s="210">
        <f t="shared" si="16"/>
        <v>0</v>
      </c>
      <c r="BW32" s="210">
        <f t="shared" si="17"/>
        <v>0</v>
      </c>
      <c r="BX32" s="209" t="e">
        <f t="shared" si="18"/>
        <v>#DIV/0!</v>
      </c>
      <c r="BY32" s="209">
        <f t="shared" si="19"/>
        <v>0</v>
      </c>
      <c r="BZ32" s="209">
        <f t="shared" si="20"/>
        <v>0</v>
      </c>
      <c r="CA32" s="212"/>
      <c r="CB32" s="245"/>
      <c r="CC32" s="183"/>
      <c r="CD32" s="184"/>
      <c r="CE32" s="185" t="e">
        <f t="shared" si="47"/>
        <v>#DIV/0!</v>
      </c>
      <c r="CF32" s="183"/>
      <c r="CG32" s="184"/>
      <c r="CH32" s="185" t="e">
        <f t="shared" si="48"/>
        <v>#DIV/0!</v>
      </c>
      <c r="CI32" s="189"/>
      <c r="CJ32" s="190"/>
      <c r="CK32" s="185" t="e">
        <f t="shared" si="49"/>
        <v>#DIV/0!</v>
      </c>
      <c r="CL32" s="187">
        <f t="shared" si="50"/>
        <v>0</v>
      </c>
      <c r="CM32" s="186">
        <f t="shared" si="51"/>
        <v>0</v>
      </c>
      <c r="CN32" s="185" t="e">
        <f t="shared" si="52"/>
        <v>#DIV/0!</v>
      </c>
      <c r="CO32" s="245"/>
      <c r="CP32" s="188">
        <f t="shared" si="53"/>
        <v>0</v>
      </c>
      <c r="CQ32" s="188">
        <f t="shared" si="54"/>
        <v>0</v>
      </c>
      <c r="CR32" s="191" t="e">
        <f t="shared" si="55"/>
        <v>#DIV/0!</v>
      </c>
      <c r="CS32" s="279">
        <f t="shared" si="28"/>
        <v>100</v>
      </c>
      <c r="CT32" s="245"/>
      <c r="CU32" s="188">
        <f t="shared" si="29"/>
        <v>30</v>
      </c>
      <c r="CV32" s="277"/>
      <c r="CW32" s="191">
        <f t="shared" si="30"/>
        <v>0</v>
      </c>
      <c r="CX32" s="188">
        <f t="shared" si="31"/>
        <v>30</v>
      </c>
      <c r="CY32" s="277"/>
      <c r="CZ32" s="191">
        <f t="shared" si="32"/>
        <v>0</v>
      </c>
      <c r="DA32" s="188">
        <f t="shared" si="33"/>
        <v>30</v>
      </c>
      <c r="DB32" s="277"/>
      <c r="DC32" s="191">
        <f t="shared" si="34"/>
        <v>0</v>
      </c>
      <c r="DD32" s="188">
        <f t="shared" si="35"/>
        <v>10</v>
      </c>
      <c r="DE32" s="277"/>
      <c r="DF32" s="191">
        <f t="shared" si="36"/>
        <v>0</v>
      </c>
      <c r="DG32" s="245"/>
      <c r="DH32" s="188">
        <f t="shared" si="37"/>
        <v>100</v>
      </c>
      <c r="DI32" s="188">
        <f t="shared" si="38"/>
        <v>0</v>
      </c>
      <c r="DJ32" s="191">
        <f t="shared" si="39"/>
        <v>0</v>
      </c>
      <c r="DK32" s="286">
        <f t="shared" si="40"/>
        <v>100</v>
      </c>
      <c r="DL32" s="261">
        <v>28</v>
      </c>
      <c r="DM32" s="244">
        <f>+A32-DL32</f>
        <v>0</v>
      </c>
    </row>
    <row r="33" spans="1:117" x14ac:dyDescent="0.35">
      <c r="A33" s="263">
        <v>29</v>
      </c>
      <c r="B33" s="102" t="s">
        <v>182</v>
      </c>
      <c r="C33" s="102" t="s">
        <v>133</v>
      </c>
      <c r="D33" s="102" t="s">
        <v>119</v>
      </c>
      <c r="E33" s="102" t="s">
        <v>212</v>
      </c>
      <c r="F33" s="102" t="s">
        <v>176</v>
      </c>
      <c r="G33" s="98" t="s">
        <v>164</v>
      </c>
      <c r="H33" s="98" t="s">
        <v>203</v>
      </c>
      <c r="I33" s="98" t="s">
        <v>188</v>
      </c>
      <c r="J33" s="98" t="s">
        <v>188</v>
      </c>
      <c r="K33" s="96" t="s">
        <v>104</v>
      </c>
      <c r="L33" s="96" t="s">
        <v>105</v>
      </c>
      <c r="M33" s="98" t="s">
        <v>106</v>
      </c>
      <c r="N33" s="98" t="s">
        <v>189</v>
      </c>
      <c r="O33" s="98" t="s">
        <v>127</v>
      </c>
      <c r="P33" s="258" t="s">
        <v>213</v>
      </c>
      <c r="Q33" s="98" t="s">
        <v>129</v>
      </c>
      <c r="R33" s="301">
        <v>1</v>
      </c>
      <c r="S33" s="99" t="s">
        <v>111</v>
      </c>
      <c r="T33" s="81">
        <v>0</v>
      </c>
      <c r="U33" s="81">
        <v>0</v>
      </c>
      <c r="V33" s="25" t="e">
        <f t="shared" si="56"/>
        <v>#DIV/0!</v>
      </c>
      <c r="W33" s="81">
        <v>0</v>
      </c>
      <c r="X33" s="81">
        <v>0</v>
      </c>
      <c r="Y33" s="25" t="e">
        <f t="shared" si="1"/>
        <v>#DIV/0!</v>
      </c>
      <c r="Z33" s="81">
        <v>1</v>
      </c>
      <c r="AA33" s="81"/>
      <c r="AB33" s="25">
        <f t="shared" si="2"/>
        <v>0</v>
      </c>
      <c r="AC33" s="81">
        <v>0</v>
      </c>
      <c r="AD33" s="81"/>
      <c r="AE33" s="25" t="e">
        <f t="shared" si="3"/>
        <v>#DIV/0!</v>
      </c>
      <c r="AF33" s="140">
        <f t="shared" si="42"/>
        <v>1</v>
      </c>
      <c r="AG33" s="140">
        <f t="shared" si="43"/>
        <v>0</v>
      </c>
      <c r="AH33" s="138" t="e">
        <f t="shared" si="5"/>
        <v>#DIV/0!</v>
      </c>
      <c r="AI33" s="101">
        <v>46113</v>
      </c>
      <c r="AJ33" s="101">
        <v>46477</v>
      </c>
      <c r="AK33" s="102" t="s">
        <v>112</v>
      </c>
      <c r="AL33" s="102" t="s">
        <v>113</v>
      </c>
      <c r="AM33" s="103" t="s">
        <v>114</v>
      </c>
      <c r="AN33" s="104">
        <v>40000000</v>
      </c>
      <c r="AO33" s="104">
        <v>40000000</v>
      </c>
      <c r="AP33" s="104">
        <v>40000000</v>
      </c>
      <c r="AQ33" s="326">
        <v>0</v>
      </c>
      <c r="AR33" s="102" t="s">
        <v>191</v>
      </c>
      <c r="AS33" s="102" t="s">
        <v>112</v>
      </c>
      <c r="AT33" s="152" t="s">
        <v>200</v>
      </c>
      <c r="AU33" s="166" t="s">
        <v>2264</v>
      </c>
      <c r="AV33" s="247" t="s">
        <v>2234</v>
      </c>
      <c r="AW33" s="136" t="s">
        <v>2247</v>
      </c>
      <c r="AX33" s="136" t="s">
        <v>2368</v>
      </c>
      <c r="AY33" s="136" t="s">
        <v>2376</v>
      </c>
      <c r="BA33" s="272"/>
      <c r="BB33" s="273"/>
      <c r="BC33" s="209" t="e">
        <f t="shared" si="7"/>
        <v>#DIV/0!</v>
      </c>
      <c r="BD33" s="272"/>
      <c r="BE33" s="273"/>
      <c r="BF33" s="209" t="e">
        <f t="shared" si="8"/>
        <v>#DIV/0!</v>
      </c>
      <c r="BG33" s="272"/>
      <c r="BH33" s="273"/>
      <c r="BI33" s="209" t="e">
        <f t="shared" si="9"/>
        <v>#DIV/0!</v>
      </c>
      <c r="BJ33" s="210">
        <f t="shared" si="10"/>
        <v>0</v>
      </c>
      <c r="BK33" s="211">
        <f t="shared" si="11"/>
        <v>0</v>
      </c>
      <c r="BL33" s="209" t="e">
        <f t="shared" si="12"/>
        <v>#DIV/0!</v>
      </c>
      <c r="BM33" s="272"/>
      <c r="BN33" s="273"/>
      <c r="BO33" s="209" t="e">
        <f t="shared" si="44"/>
        <v>#DIV/0!</v>
      </c>
      <c r="BP33" s="272"/>
      <c r="BQ33" s="273"/>
      <c r="BR33" s="209" t="e">
        <f t="shared" si="45"/>
        <v>#DIV/0!</v>
      </c>
      <c r="BS33" s="272"/>
      <c r="BT33" s="272"/>
      <c r="BU33" s="209" t="e">
        <f t="shared" si="46"/>
        <v>#DIV/0!</v>
      </c>
      <c r="BV33" s="210">
        <f t="shared" si="16"/>
        <v>0</v>
      </c>
      <c r="BW33" s="210">
        <f t="shared" si="17"/>
        <v>0</v>
      </c>
      <c r="BX33" s="209" t="e">
        <f t="shared" si="18"/>
        <v>#DIV/0!</v>
      </c>
      <c r="BY33" s="209">
        <f t="shared" si="19"/>
        <v>0</v>
      </c>
      <c r="BZ33" s="209">
        <f t="shared" si="20"/>
        <v>0</v>
      </c>
      <c r="CA33" s="212"/>
      <c r="CB33" s="245"/>
      <c r="CC33" s="183"/>
      <c r="CD33" s="184"/>
      <c r="CE33" s="185" t="e">
        <f t="shared" si="47"/>
        <v>#DIV/0!</v>
      </c>
      <c r="CF33" s="183"/>
      <c r="CG33" s="184"/>
      <c r="CH33" s="185" t="e">
        <f t="shared" si="48"/>
        <v>#DIV/0!</v>
      </c>
      <c r="CI33" s="189"/>
      <c r="CJ33" s="190"/>
      <c r="CK33" s="185" t="e">
        <f t="shared" si="49"/>
        <v>#DIV/0!</v>
      </c>
      <c r="CL33" s="187">
        <f t="shared" si="50"/>
        <v>0</v>
      </c>
      <c r="CM33" s="186">
        <f t="shared" si="51"/>
        <v>0</v>
      </c>
      <c r="CN33" s="185" t="e">
        <f t="shared" si="52"/>
        <v>#DIV/0!</v>
      </c>
      <c r="CO33" s="245"/>
      <c r="CP33" s="188">
        <f t="shared" si="53"/>
        <v>0</v>
      </c>
      <c r="CQ33" s="188">
        <f t="shared" si="54"/>
        <v>0</v>
      </c>
      <c r="CR33" s="191" t="e">
        <f t="shared" si="55"/>
        <v>#DIV/0!</v>
      </c>
      <c r="CS33" s="279">
        <f t="shared" si="28"/>
        <v>1</v>
      </c>
      <c r="CT33" s="245"/>
      <c r="CU33" s="188">
        <f t="shared" si="29"/>
        <v>0.3</v>
      </c>
      <c r="CV33" s="277"/>
      <c r="CW33" s="191">
        <f t="shared" si="30"/>
        <v>0</v>
      </c>
      <c r="CX33" s="188">
        <f t="shared" si="31"/>
        <v>0.3</v>
      </c>
      <c r="CY33" s="277"/>
      <c r="CZ33" s="191">
        <f t="shared" si="32"/>
        <v>0</v>
      </c>
      <c r="DA33" s="188">
        <f t="shared" si="33"/>
        <v>0.3</v>
      </c>
      <c r="DB33" s="277"/>
      <c r="DC33" s="191">
        <f t="shared" si="34"/>
        <v>0</v>
      </c>
      <c r="DD33" s="188">
        <f t="shared" si="35"/>
        <v>0.1</v>
      </c>
      <c r="DE33" s="277"/>
      <c r="DF33" s="191">
        <f t="shared" si="36"/>
        <v>0</v>
      </c>
      <c r="DG33" s="245"/>
      <c r="DH33" s="188">
        <f t="shared" si="37"/>
        <v>1</v>
      </c>
      <c r="DI33" s="188">
        <f t="shared" si="38"/>
        <v>0</v>
      </c>
      <c r="DJ33" s="191">
        <f t="shared" si="39"/>
        <v>0</v>
      </c>
      <c r="DK33" s="286">
        <f t="shared" si="40"/>
        <v>1</v>
      </c>
      <c r="DL33" s="261">
        <v>29</v>
      </c>
      <c r="DM33" s="244">
        <f>+A33-DL33</f>
        <v>0</v>
      </c>
    </row>
    <row r="34" spans="1:117" x14ac:dyDescent="0.35">
      <c r="A34" s="263">
        <v>30</v>
      </c>
      <c r="B34" s="102" t="s">
        <v>182</v>
      </c>
      <c r="C34" s="102" t="s">
        <v>133</v>
      </c>
      <c r="D34" s="102" t="s">
        <v>119</v>
      </c>
      <c r="E34" s="102" t="s">
        <v>212</v>
      </c>
      <c r="F34" s="102" t="s">
        <v>176</v>
      </c>
      <c r="G34" s="98" t="s">
        <v>186</v>
      </c>
      <c r="H34" s="98" t="s">
        <v>187</v>
      </c>
      <c r="I34" s="98" t="s">
        <v>188</v>
      </c>
      <c r="J34" s="98" t="s">
        <v>188</v>
      </c>
      <c r="K34" s="96" t="s">
        <v>104</v>
      </c>
      <c r="L34" s="96" t="s">
        <v>105</v>
      </c>
      <c r="M34" s="98" t="s">
        <v>106</v>
      </c>
      <c r="N34" s="98" t="s">
        <v>189</v>
      </c>
      <c r="O34" s="98" t="s">
        <v>127</v>
      </c>
      <c r="P34" s="258" t="s">
        <v>214</v>
      </c>
      <c r="Q34" s="98" t="s">
        <v>129</v>
      </c>
      <c r="R34" s="301">
        <v>1</v>
      </c>
      <c r="S34" s="99" t="s">
        <v>111</v>
      </c>
      <c r="T34" s="81">
        <v>0</v>
      </c>
      <c r="U34" s="81">
        <v>0</v>
      </c>
      <c r="V34" s="25" t="e">
        <f t="shared" si="56"/>
        <v>#DIV/0!</v>
      </c>
      <c r="W34" s="81">
        <v>0</v>
      </c>
      <c r="X34" s="81">
        <v>1</v>
      </c>
      <c r="Y34" s="25" t="e">
        <f t="shared" si="1"/>
        <v>#DIV/0!</v>
      </c>
      <c r="Z34" s="81">
        <v>0</v>
      </c>
      <c r="AA34" s="81">
        <v>0</v>
      </c>
      <c r="AB34" s="25" t="e">
        <f t="shared" si="2"/>
        <v>#DIV/0!</v>
      </c>
      <c r="AC34" s="81">
        <v>1</v>
      </c>
      <c r="AD34" s="81">
        <v>0</v>
      </c>
      <c r="AE34" s="25">
        <f t="shared" si="3"/>
        <v>0</v>
      </c>
      <c r="AF34" s="140">
        <f t="shared" si="42"/>
        <v>1</v>
      </c>
      <c r="AG34" s="140">
        <f t="shared" si="43"/>
        <v>1</v>
      </c>
      <c r="AH34" s="138">
        <f t="shared" si="5"/>
        <v>100</v>
      </c>
      <c r="AI34" s="101">
        <v>46113</v>
      </c>
      <c r="AJ34" s="101">
        <v>46477</v>
      </c>
      <c r="AK34" s="102" t="s">
        <v>112</v>
      </c>
      <c r="AL34" s="102" t="s">
        <v>113</v>
      </c>
      <c r="AM34" s="103" t="s">
        <v>114</v>
      </c>
      <c r="AN34" s="104">
        <v>40000000</v>
      </c>
      <c r="AO34" s="104">
        <v>40000000</v>
      </c>
      <c r="AP34" s="104">
        <v>40000000</v>
      </c>
      <c r="AQ34" s="105">
        <f>AO34</f>
        <v>40000000</v>
      </c>
      <c r="AR34" s="102" t="s">
        <v>191</v>
      </c>
      <c r="AS34" s="102" t="s">
        <v>112</v>
      </c>
      <c r="AT34" s="152" t="s">
        <v>200</v>
      </c>
      <c r="AU34" s="166" t="s">
        <v>2264</v>
      </c>
      <c r="AV34" s="247" t="s">
        <v>2234</v>
      </c>
      <c r="AW34" s="136" t="s">
        <v>2247</v>
      </c>
      <c r="AX34" s="136" t="s">
        <v>2368</v>
      </c>
      <c r="AY34" s="136" t="s">
        <v>2376</v>
      </c>
      <c r="BA34" s="272"/>
      <c r="BB34" s="273"/>
      <c r="BC34" s="209" t="e">
        <f t="shared" si="7"/>
        <v>#DIV/0!</v>
      </c>
      <c r="BD34" s="272"/>
      <c r="BE34" s="273"/>
      <c r="BF34" s="209" t="e">
        <f t="shared" si="8"/>
        <v>#DIV/0!</v>
      </c>
      <c r="BG34" s="272"/>
      <c r="BH34" s="273"/>
      <c r="BI34" s="209" t="e">
        <f t="shared" si="9"/>
        <v>#DIV/0!</v>
      </c>
      <c r="BJ34" s="210">
        <f t="shared" si="10"/>
        <v>0</v>
      </c>
      <c r="BK34" s="211">
        <f t="shared" si="11"/>
        <v>0</v>
      </c>
      <c r="BL34" s="209" t="e">
        <f t="shared" si="12"/>
        <v>#DIV/0!</v>
      </c>
      <c r="BM34" s="272"/>
      <c r="BN34" s="273"/>
      <c r="BO34" s="209" t="e">
        <f t="shared" si="44"/>
        <v>#DIV/0!</v>
      </c>
      <c r="BP34" s="272"/>
      <c r="BQ34" s="273"/>
      <c r="BR34" s="209" t="e">
        <f t="shared" si="45"/>
        <v>#DIV/0!</v>
      </c>
      <c r="BS34" s="272"/>
      <c r="BT34" s="272"/>
      <c r="BU34" s="209" t="e">
        <f t="shared" si="46"/>
        <v>#DIV/0!</v>
      </c>
      <c r="BV34" s="210">
        <f t="shared" si="16"/>
        <v>0</v>
      </c>
      <c r="BW34" s="210">
        <f t="shared" si="17"/>
        <v>0</v>
      </c>
      <c r="BX34" s="209" t="e">
        <f t="shared" si="18"/>
        <v>#DIV/0!</v>
      </c>
      <c r="BY34" s="209">
        <f t="shared" si="19"/>
        <v>0</v>
      </c>
      <c r="BZ34" s="209">
        <f t="shared" si="20"/>
        <v>0</v>
      </c>
      <c r="CA34" s="212"/>
      <c r="CB34" s="245"/>
      <c r="CC34" s="183"/>
      <c r="CD34" s="184"/>
      <c r="CE34" s="185" t="e">
        <f t="shared" si="47"/>
        <v>#DIV/0!</v>
      </c>
      <c r="CF34" s="183"/>
      <c r="CG34" s="184"/>
      <c r="CH34" s="185" t="e">
        <f t="shared" si="48"/>
        <v>#DIV/0!</v>
      </c>
      <c r="CI34" s="189"/>
      <c r="CJ34" s="190"/>
      <c r="CK34" s="185" t="e">
        <f t="shared" si="49"/>
        <v>#DIV/0!</v>
      </c>
      <c r="CL34" s="187">
        <f t="shared" si="50"/>
        <v>0</v>
      </c>
      <c r="CM34" s="186">
        <f t="shared" si="51"/>
        <v>0</v>
      </c>
      <c r="CN34" s="185" t="e">
        <f t="shared" si="52"/>
        <v>#DIV/0!</v>
      </c>
      <c r="CO34" s="245"/>
      <c r="CP34" s="188">
        <f t="shared" si="53"/>
        <v>0</v>
      </c>
      <c r="CQ34" s="188">
        <f t="shared" si="54"/>
        <v>0</v>
      </c>
      <c r="CR34" s="191" t="e">
        <f t="shared" si="55"/>
        <v>#DIV/0!</v>
      </c>
      <c r="CS34" s="279">
        <f t="shared" si="28"/>
        <v>1</v>
      </c>
      <c r="CT34" s="245"/>
      <c r="CU34" s="188">
        <f t="shared" si="29"/>
        <v>0.3</v>
      </c>
      <c r="CV34" s="277"/>
      <c r="CW34" s="191">
        <f t="shared" si="30"/>
        <v>0</v>
      </c>
      <c r="CX34" s="188">
        <f t="shared" si="31"/>
        <v>0.3</v>
      </c>
      <c r="CY34" s="277"/>
      <c r="CZ34" s="191">
        <f t="shared" si="32"/>
        <v>0</v>
      </c>
      <c r="DA34" s="188">
        <f t="shared" si="33"/>
        <v>0.3</v>
      </c>
      <c r="DB34" s="277"/>
      <c r="DC34" s="191">
        <f t="shared" si="34"/>
        <v>0</v>
      </c>
      <c r="DD34" s="188">
        <f t="shared" si="35"/>
        <v>0.1</v>
      </c>
      <c r="DE34" s="277"/>
      <c r="DF34" s="191">
        <f t="shared" si="36"/>
        <v>0</v>
      </c>
      <c r="DG34" s="245"/>
      <c r="DH34" s="188">
        <f t="shared" si="37"/>
        <v>1</v>
      </c>
      <c r="DI34" s="188">
        <f t="shared" si="38"/>
        <v>0</v>
      </c>
      <c r="DJ34" s="191">
        <f t="shared" si="39"/>
        <v>0</v>
      </c>
      <c r="DK34" s="286">
        <f t="shared" si="40"/>
        <v>1</v>
      </c>
      <c r="DL34" s="261">
        <v>30</v>
      </c>
      <c r="DM34" s="244">
        <f>+A34-DL34</f>
        <v>0</v>
      </c>
    </row>
    <row r="35" spans="1:117" x14ac:dyDescent="0.35">
      <c r="A35" s="263">
        <v>31</v>
      </c>
      <c r="B35" s="102" t="s">
        <v>215</v>
      </c>
      <c r="C35" s="102" t="s">
        <v>97</v>
      </c>
      <c r="D35" s="102" t="s">
        <v>98</v>
      </c>
      <c r="E35" s="102" t="s">
        <v>216</v>
      </c>
      <c r="F35" s="102" t="s">
        <v>217</v>
      </c>
      <c r="G35" s="98" t="s">
        <v>186</v>
      </c>
      <c r="H35" s="98" t="s">
        <v>187</v>
      </c>
      <c r="I35" s="98" t="s">
        <v>218</v>
      </c>
      <c r="J35" s="98" t="s">
        <v>218</v>
      </c>
      <c r="K35" s="96" t="s">
        <v>104</v>
      </c>
      <c r="L35" s="96" t="s">
        <v>105</v>
      </c>
      <c r="M35" s="98" t="s">
        <v>106</v>
      </c>
      <c r="N35" s="98" t="s">
        <v>219</v>
      </c>
      <c r="O35" s="98" t="s">
        <v>108</v>
      </c>
      <c r="P35" s="98" t="s">
        <v>220</v>
      </c>
      <c r="Q35" s="98" t="s">
        <v>110</v>
      </c>
      <c r="R35" s="301">
        <v>29</v>
      </c>
      <c r="S35" s="99" t="s">
        <v>111</v>
      </c>
      <c r="T35" s="81">
        <v>0</v>
      </c>
      <c r="U35" s="81">
        <v>0</v>
      </c>
      <c r="V35" s="25" t="e">
        <f t="shared" si="56"/>
        <v>#DIV/0!</v>
      </c>
      <c r="W35" s="81">
        <v>10</v>
      </c>
      <c r="X35" s="81"/>
      <c r="Y35" s="25">
        <f t="shared" si="1"/>
        <v>0</v>
      </c>
      <c r="Z35" s="81">
        <v>10</v>
      </c>
      <c r="AA35" s="81"/>
      <c r="AB35" s="25">
        <f t="shared" si="2"/>
        <v>0</v>
      </c>
      <c r="AC35" s="81">
        <v>9</v>
      </c>
      <c r="AD35" s="81"/>
      <c r="AE35" s="25">
        <f t="shared" si="3"/>
        <v>0</v>
      </c>
      <c r="AF35" s="140">
        <f t="shared" si="42"/>
        <v>29</v>
      </c>
      <c r="AG35" s="140">
        <f t="shared" si="43"/>
        <v>0</v>
      </c>
      <c r="AH35" s="138" t="e">
        <f t="shared" si="5"/>
        <v>#DIV/0!</v>
      </c>
      <c r="AI35" s="101">
        <v>46054</v>
      </c>
      <c r="AJ35" s="101">
        <v>46477</v>
      </c>
      <c r="AK35" s="102" t="s">
        <v>112</v>
      </c>
      <c r="AL35" s="102" t="s">
        <v>113</v>
      </c>
      <c r="AM35" s="103" t="s">
        <v>114</v>
      </c>
      <c r="AN35" s="104">
        <v>200000000</v>
      </c>
      <c r="AO35" s="104">
        <v>200000000</v>
      </c>
      <c r="AP35" s="104">
        <v>200000000</v>
      </c>
      <c r="AQ35" s="326">
        <v>0</v>
      </c>
      <c r="AR35" s="102" t="s">
        <v>159</v>
      </c>
      <c r="AS35" s="102" t="s">
        <v>112</v>
      </c>
      <c r="AT35" s="152" t="s">
        <v>221</v>
      </c>
      <c r="AU35" s="166" t="s">
        <v>2264</v>
      </c>
      <c r="AV35" s="247" t="s">
        <v>2234</v>
      </c>
      <c r="AW35" s="136" t="s">
        <v>2255</v>
      </c>
      <c r="AX35" s="136" t="s">
        <v>2348</v>
      </c>
      <c r="AY35" s="136" t="s">
        <v>2308</v>
      </c>
      <c r="BA35" s="272"/>
      <c r="BB35" s="273"/>
      <c r="BC35" s="209" t="e">
        <f t="shared" si="7"/>
        <v>#DIV/0!</v>
      </c>
      <c r="BD35" s="272"/>
      <c r="BE35" s="273"/>
      <c r="BF35" s="209" t="e">
        <f t="shared" si="8"/>
        <v>#DIV/0!</v>
      </c>
      <c r="BG35" s="272"/>
      <c r="BH35" s="273"/>
      <c r="BI35" s="209" t="e">
        <f t="shared" si="9"/>
        <v>#DIV/0!</v>
      </c>
      <c r="BJ35" s="210">
        <f t="shared" si="10"/>
        <v>0</v>
      </c>
      <c r="BK35" s="211">
        <f t="shared" si="11"/>
        <v>0</v>
      </c>
      <c r="BL35" s="209" t="e">
        <f t="shared" si="12"/>
        <v>#DIV/0!</v>
      </c>
      <c r="BM35" s="272"/>
      <c r="BN35" s="273"/>
      <c r="BO35" s="209" t="e">
        <f t="shared" si="44"/>
        <v>#DIV/0!</v>
      </c>
      <c r="BP35" s="272"/>
      <c r="BQ35" s="273"/>
      <c r="BR35" s="209" t="e">
        <f t="shared" si="45"/>
        <v>#DIV/0!</v>
      </c>
      <c r="BS35" s="272"/>
      <c r="BT35" s="272"/>
      <c r="BU35" s="209" t="e">
        <f t="shared" si="46"/>
        <v>#DIV/0!</v>
      </c>
      <c r="BV35" s="210">
        <f t="shared" si="16"/>
        <v>0</v>
      </c>
      <c r="BW35" s="210">
        <f t="shared" si="17"/>
        <v>0</v>
      </c>
      <c r="BX35" s="209" t="e">
        <f t="shared" si="18"/>
        <v>#DIV/0!</v>
      </c>
      <c r="BY35" s="209">
        <f t="shared" si="19"/>
        <v>0</v>
      </c>
      <c r="BZ35" s="209">
        <f t="shared" si="20"/>
        <v>0</v>
      </c>
      <c r="CA35" s="212"/>
      <c r="CB35" s="245"/>
      <c r="CC35" s="183"/>
      <c r="CD35" s="184"/>
      <c r="CE35" s="185" t="e">
        <f t="shared" si="47"/>
        <v>#DIV/0!</v>
      </c>
      <c r="CF35" s="183"/>
      <c r="CG35" s="184"/>
      <c r="CH35" s="185" t="e">
        <f t="shared" si="48"/>
        <v>#DIV/0!</v>
      </c>
      <c r="CI35" s="189"/>
      <c r="CJ35" s="190"/>
      <c r="CK35" s="185" t="e">
        <f t="shared" si="49"/>
        <v>#DIV/0!</v>
      </c>
      <c r="CL35" s="187">
        <f t="shared" si="50"/>
        <v>0</v>
      </c>
      <c r="CM35" s="186">
        <f t="shared" si="51"/>
        <v>0</v>
      </c>
      <c r="CN35" s="185" t="e">
        <f t="shared" si="52"/>
        <v>#DIV/0!</v>
      </c>
      <c r="CO35" s="245"/>
      <c r="CP35" s="188">
        <f t="shared" si="53"/>
        <v>0</v>
      </c>
      <c r="CQ35" s="188">
        <f t="shared" si="54"/>
        <v>0</v>
      </c>
      <c r="CR35" s="191" t="e">
        <f t="shared" si="55"/>
        <v>#DIV/0!</v>
      </c>
      <c r="CS35" s="279">
        <f t="shared" si="28"/>
        <v>29</v>
      </c>
      <c r="CT35" s="245"/>
      <c r="CU35" s="188">
        <f t="shared" si="29"/>
        <v>8.6999999999999993</v>
      </c>
      <c r="CV35" s="277"/>
      <c r="CW35" s="191">
        <f t="shared" si="30"/>
        <v>0</v>
      </c>
      <c r="CX35" s="188">
        <f t="shared" si="31"/>
        <v>8.6999999999999993</v>
      </c>
      <c r="CY35" s="277"/>
      <c r="CZ35" s="191">
        <f t="shared" si="32"/>
        <v>0</v>
      </c>
      <c r="DA35" s="188">
        <f t="shared" si="33"/>
        <v>8.6999999999999993</v>
      </c>
      <c r="DB35" s="277"/>
      <c r="DC35" s="191">
        <f t="shared" si="34"/>
        <v>0</v>
      </c>
      <c r="DD35" s="188">
        <f t="shared" si="35"/>
        <v>2.9000000000000004</v>
      </c>
      <c r="DE35" s="277"/>
      <c r="DF35" s="191">
        <f t="shared" si="36"/>
        <v>0</v>
      </c>
      <c r="DG35" s="245"/>
      <c r="DH35" s="188">
        <f t="shared" si="37"/>
        <v>29</v>
      </c>
      <c r="DI35" s="188">
        <f t="shared" si="38"/>
        <v>0</v>
      </c>
      <c r="DJ35" s="191">
        <f t="shared" si="39"/>
        <v>0</v>
      </c>
      <c r="DK35" s="286">
        <f t="shared" si="40"/>
        <v>29</v>
      </c>
      <c r="DL35" s="261">
        <v>31</v>
      </c>
      <c r="DM35" s="244">
        <f>+A35-DL35</f>
        <v>0</v>
      </c>
    </row>
    <row r="36" spans="1:117" x14ac:dyDescent="0.35">
      <c r="A36" s="263">
        <v>32</v>
      </c>
      <c r="B36" s="102" t="s">
        <v>215</v>
      </c>
      <c r="C36" s="102" t="s">
        <v>97</v>
      </c>
      <c r="D36" s="102" t="s">
        <v>98</v>
      </c>
      <c r="E36" s="102" t="s">
        <v>155</v>
      </c>
      <c r="F36" s="102" t="s">
        <v>217</v>
      </c>
      <c r="G36" s="98" t="s">
        <v>186</v>
      </c>
      <c r="H36" s="98" t="s">
        <v>187</v>
      </c>
      <c r="I36" s="98" t="s">
        <v>222</v>
      </c>
      <c r="J36" s="98" t="s">
        <v>222</v>
      </c>
      <c r="K36" s="96" t="s">
        <v>104</v>
      </c>
      <c r="L36" s="96" t="s">
        <v>105</v>
      </c>
      <c r="M36" s="98" t="s">
        <v>106</v>
      </c>
      <c r="N36" s="98" t="s">
        <v>219</v>
      </c>
      <c r="O36" s="98" t="s">
        <v>108</v>
      </c>
      <c r="P36" s="98" t="s">
        <v>223</v>
      </c>
      <c r="Q36" s="98" t="s">
        <v>110</v>
      </c>
      <c r="R36" s="301">
        <v>29</v>
      </c>
      <c r="S36" s="99" t="s">
        <v>111</v>
      </c>
      <c r="T36" s="81">
        <v>0</v>
      </c>
      <c r="U36" s="81">
        <v>0</v>
      </c>
      <c r="V36" s="25" t="e">
        <f t="shared" si="56"/>
        <v>#DIV/0!</v>
      </c>
      <c r="W36" s="81">
        <v>10</v>
      </c>
      <c r="X36" s="81">
        <v>0</v>
      </c>
      <c r="Y36" s="25">
        <f t="shared" si="1"/>
        <v>0</v>
      </c>
      <c r="Z36" s="81">
        <v>10</v>
      </c>
      <c r="AA36" s="81"/>
      <c r="AB36" s="25">
        <f t="shared" si="2"/>
        <v>0</v>
      </c>
      <c r="AC36" s="81">
        <v>9</v>
      </c>
      <c r="AD36" s="81"/>
      <c r="AE36" s="25">
        <f t="shared" si="3"/>
        <v>0</v>
      </c>
      <c r="AF36" s="140">
        <f t="shared" si="42"/>
        <v>29</v>
      </c>
      <c r="AG36" s="140">
        <f t="shared" si="43"/>
        <v>0</v>
      </c>
      <c r="AH36" s="138">
        <f t="shared" si="5"/>
        <v>0</v>
      </c>
      <c r="AI36" s="101">
        <v>46054</v>
      </c>
      <c r="AJ36" s="101">
        <v>46477</v>
      </c>
      <c r="AK36" s="102" t="s">
        <v>112</v>
      </c>
      <c r="AL36" s="102" t="s">
        <v>113</v>
      </c>
      <c r="AM36" s="103" t="s">
        <v>114</v>
      </c>
      <c r="AN36" s="104">
        <v>100000000</v>
      </c>
      <c r="AO36" s="104">
        <v>100000000</v>
      </c>
      <c r="AP36" s="104">
        <v>100000000</v>
      </c>
      <c r="AQ36" s="326">
        <v>0</v>
      </c>
      <c r="AR36" s="102" t="s">
        <v>159</v>
      </c>
      <c r="AS36" s="102" t="s">
        <v>112</v>
      </c>
      <c r="AT36" s="152" t="s">
        <v>221</v>
      </c>
      <c r="AU36" s="166" t="s">
        <v>2264</v>
      </c>
      <c r="AV36" s="247" t="s">
        <v>2234</v>
      </c>
      <c r="AW36" s="136" t="s">
        <v>2255</v>
      </c>
      <c r="AX36" s="136" t="s">
        <v>2348</v>
      </c>
      <c r="AY36" s="136" t="s">
        <v>2308</v>
      </c>
      <c r="BA36" s="272"/>
      <c r="BB36" s="273"/>
      <c r="BC36" s="209" t="e">
        <f t="shared" si="7"/>
        <v>#DIV/0!</v>
      </c>
      <c r="BD36" s="272"/>
      <c r="BE36" s="273"/>
      <c r="BF36" s="209" t="e">
        <f t="shared" si="8"/>
        <v>#DIV/0!</v>
      </c>
      <c r="BG36" s="272"/>
      <c r="BH36" s="273"/>
      <c r="BI36" s="209" t="e">
        <f t="shared" si="9"/>
        <v>#DIV/0!</v>
      </c>
      <c r="BJ36" s="210">
        <f t="shared" si="10"/>
        <v>0</v>
      </c>
      <c r="BK36" s="211">
        <f t="shared" si="11"/>
        <v>0</v>
      </c>
      <c r="BL36" s="209" t="e">
        <f t="shared" si="12"/>
        <v>#DIV/0!</v>
      </c>
      <c r="BM36" s="272"/>
      <c r="BN36" s="273"/>
      <c r="BO36" s="209" t="e">
        <f t="shared" si="44"/>
        <v>#DIV/0!</v>
      </c>
      <c r="BP36" s="272"/>
      <c r="BQ36" s="273"/>
      <c r="BR36" s="209" t="e">
        <f t="shared" si="45"/>
        <v>#DIV/0!</v>
      </c>
      <c r="BS36" s="272"/>
      <c r="BT36" s="272"/>
      <c r="BU36" s="209" t="e">
        <f t="shared" si="46"/>
        <v>#DIV/0!</v>
      </c>
      <c r="BV36" s="210">
        <f t="shared" si="16"/>
        <v>0</v>
      </c>
      <c r="BW36" s="210">
        <f t="shared" si="17"/>
        <v>0</v>
      </c>
      <c r="BX36" s="209" t="e">
        <f t="shared" si="18"/>
        <v>#DIV/0!</v>
      </c>
      <c r="BY36" s="209">
        <f t="shared" si="19"/>
        <v>0</v>
      </c>
      <c r="BZ36" s="209">
        <f t="shared" si="20"/>
        <v>0</v>
      </c>
      <c r="CA36" s="212"/>
      <c r="CB36" s="245"/>
      <c r="CC36" s="183"/>
      <c r="CD36" s="184"/>
      <c r="CE36" s="185" t="e">
        <f t="shared" si="47"/>
        <v>#DIV/0!</v>
      </c>
      <c r="CF36" s="183"/>
      <c r="CG36" s="184"/>
      <c r="CH36" s="185" t="e">
        <f t="shared" si="48"/>
        <v>#DIV/0!</v>
      </c>
      <c r="CI36" s="189"/>
      <c r="CJ36" s="190"/>
      <c r="CK36" s="185" t="e">
        <f t="shared" si="49"/>
        <v>#DIV/0!</v>
      </c>
      <c r="CL36" s="187">
        <f t="shared" si="50"/>
        <v>0</v>
      </c>
      <c r="CM36" s="186">
        <f t="shared" si="51"/>
        <v>0</v>
      </c>
      <c r="CN36" s="185" t="e">
        <f t="shared" si="52"/>
        <v>#DIV/0!</v>
      </c>
      <c r="CO36" s="245"/>
      <c r="CP36" s="188">
        <f t="shared" si="53"/>
        <v>0</v>
      </c>
      <c r="CQ36" s="188">
        <f t="shared" si="54"/>
        <v>0</v>
      </c>
      <c r="CR36" s="191" t="e">
        <f t="shared" si="55"/>
        <v>#DIV/0!</v>
      </c>
      <c r="CS36" s="279">
        <f t="shared" si="28"/>
        <v>29</v>
      </c>
      <c r="CT36" s="245"/>
      <c r="CU36" s="188">
        <f t="shared" si="29"/>
        <v>8.6999999999999993</v>
      </c>
      <c r="CV36" s="277"/>
      <c r="CW36" s="191">
        <f t="shared" si="30"/>
        <v>0</v>
      </c>
      <c r="CX36" s="188">
        <f t="shared" si="31"/>
        <v>8.6999999999999993</v>
      </c>
      <c r="CY36" s="277"/>
      <c r="CZ36" s="191">
        <f t="shared" si="32"/>
        <v>0</v>
      </c>
      <c r="DA36" s="188">
        <f t="shared" si="33"/>
        <v>8.6999999999999993</v>
      </c>
      <c r="DB36" s="277"/>
      <c r="DC36" s="191">
        <f t="shared" si="34"/>
        <v>0</v>
      </c>
      <c r="DD36" s="188">
        <f t="shared" si="35"/>
        <v>2.9000000000000004</v>
      </c>
      <c r="DE36" s="277"/>
      <c r="DF36" s="191">
        <f t="shared" si="36"/>
        <v>0</v>
      </c>
      <c r="DG36" s="245"/>
      <c r="DH36" s="188">
        <f t="shared" si="37"/>
        <v>29</v>
      </c>
      <c r="DI36" s="188">
        <f t="shared" si="38"/>
        <v>0</v>
      </c>
      <c r="DJ36" s="191">
        <f t="shared" si="39"/>
        <v>0</v>
      </c>
      <c r="DK36" s="286">
        <f t="shared" si="40"/>
        <v>29</v>
      </c>
      <c r="DL36" s="261">
        <v>32</v>
      </c>
      <c r="DM36" s="244">
        <f>+A36-DL36</f>
        <v>0</v>
      </c>
    </row>
    <row r="37" spans="1:117" x14ac:dyDescent="0.35">
      <c r="A37" s="263">
        <v>33</v>
      </c>
      <c r="B37" s="102" t="s">
        <v>215</v>
      </c>
      <c r="C37" s="102" t="s">
        <v>97</v>
      </c>
      <c r="D37" s="102" t="s">
        <v>98</v>
      </c>
      <c r="E37" s="102" t="s">
        <v>216</v>
      </c>
      <c r="F37" s="102" t="s">
        <v>217</v>
      </c>
      <c r="G37" s="98" t="s">
        <v>186</v>
      </c>
      <c r="H37" s="98" t="s">
        <v>187</v>
      </c>
      <c r="I37" s="98" t="s">
        <v>224</v>
      </c>
      <c r="J37" s="98" t="s">
        <v>224</v>
      </c>
      <c r="K37" s="96" t="s">
        <v>104</v>
      </c>
      <c r="L37" s="96" t="s">
        <v>105</v>
      </c>
      <c r="M37" s="98" t="s">
        <v>106</v>
      </c>
      <c r="N37" s="98" t="s">
        <v>219</v>
      </c>
      <c r="O37" s="98" t="s">
        <v>108</v>
      </c>
      <c r="P37" s="98" t="s">
        <v>225</v>
      </c>
      <c r="Q37" s="98" t="s">
        <v>110</v>
      </c>
      <c r="R37" s="301">
        <v>29</v>
      </c>
      <c r="S37" s="99" t="s">
        <v>111</v>
      </c>
      <c r="T37" s="81">
        <v>0</v>
      </c>
      <c r="U37" s="81">
        <v>0</v>
      </c>
      <c r="V37" s="25" t="e">
        <f t="shared" si="56"/>
        <v>#DIV/0!</v>
      </c>
      <c r="W37" s="81">
        <v>10</v>
      </c>
      <c r="X37" s="81">
        <v>0</v>
      </c>
      <c r="Y37" s="25">
        <f t="shared" si="1"/>
        <v>0</v>
      </c>
      <c r="Z37" s="81">
        <v>10</v>
      </c>
      <c r="AA37" s="81"/>
      <c r="AB37" s="25">
        <f t="shared" si="2"/>
        <v>0</v>
      </c>
      <c r="AC37" s="81">
        <v>9</v>
      </c>
      <c r="AD37" s="81"/>
      <c r="AE37" s="25">
        <f t="shared" si="3"/>
        <v>0</v>
      </c>
      <c r="AF37" s="140">
        <f t="shared" si="42"/>
        <v>29</v>
      </c>
      <c r="AG37" s="140">
        <f t="shared" si="43"/>
        <v>0</v>
      </c>
      <c r="AH37" s="138">
        <f t="shared" si="5"/>
        <v>0</v>
      </c>
      <c r="AI37" s="101">
        <v>46113</v>
      </c>
      <c r="AJ37" s="101">
        <v>46477</v>
      </c>
      <c r="AK37" s="102" t="s">
        <v>112</v>
      </c>
      <c r="AL37" s="102" t="s">
        <v>113</v>
      </c>
      <c r="AM37" s="103" t="s">
        <v>114</v>
      </c>
      <c r="AN37" s="104">
        <v>120000000</v>
      </c>
      <c r="AO37" s="104">
        <v>120000000</v>
      </c>
      <c r="AP37" s="104">
        <v>120000000</v>
      </c>
      <c r="AQ37" s="326">
        <v>0</v>
      </c>
      <c r="AR37" s="102" t="s">
        <v>159</v>
      </c>
      <c r="AS37" s="102" t="s">
        <v>112</v>
      </c>
      <c r="AT37" s="152" t="s">
        <v>221</v>
      </c>
      <c r="AU37" s="166" t="s">
        <v>2264</v>
      </c>
      <c r="AV37" s="247" t="s">
        <v>2234</v>
      </c>
      <c r="AW37" s="136" t="s">
        <v>2255</v>
      </c>
      <c r="AX37" s="136" t="s">
        <v>2348</v>
      </c>
      <c r="AY37" s="136" t="s">
        <v>2308</v>
      </c>
      <c r="BA37" s="272"/>
      <c r="BB37" s="273"/>
      <c r="BC37" s="209" t="e">
        <f t="shared" si="7"/>
        <v>#DIV/0!</v>
      </c>
      <c r="BD37" s="272"/>
      <c r="BE37" s="273"/>
      <c r="BF37" s="209" t="e">
        <f t="shared" si="8"/>
        <v>#DIV/0!</v>
      </c>
      <c r="BG37" s="272"/>
      <c r="BH37" s="273"/>
      <c r="BI37" s="209" t="e">
        <f t="shared" si="9"/>
        <v>#DIV/0!</v>
      </c>
      <c r="BJ37" s="210">
        <f t="shared" si="10"/>
        <v>0</v>
      </c>
      <c r="BK37" s="211">
        <f t="shared" si="11"/>
        <v>0</v>
      </c>
      <c r="BL37" s="209" t="e">
        <f t="shared" si="12"/>
        <v>#DIV/0!</v>
      </c>
      <c r="BM37" s="272"/>
      <c r="BN37" s="273"/>
      <c r="BO37" s="209" t="e">
        <f t="shared" si="44"/>
        <v>#DIV/0!</v>
      </c>
      <c r="BP37" s="272"/>
      <c r="BQ37" s="273"/>
      <c r="BR37" s="209" t="e">
        <f t="shared" si="45"/>
        <v>#DIV/0!</v>
      </c>
      <c r="BS37" s="272"/>
      <c r="BT37" s="272"/>
      <c r="BU37" s="209" t="e">
        <f t="shared" si="46"/>
        <v>#DIV/0!</v>
      </c>
      <c r="BV37" s="210">
        <f t="shared" si="16"/>
        <v>0</v>
      </c>
      <c r="BW37" s="210">
        <f t="shared" si="17"/>
        <v>0</v>
      </c>
      <c r="BX37" s="209" t="e">
        <f t="shared" si="18"/>
        <v>#DIV/0!</v>
      </c>
      <c r="BY37" s="209">
        <f t="shared" si="19"/>
        <v>0</v>
      </c>
      <c r="BZ37" s="209">
        <f t="shared" si="20"/>
        <v>0</v>
      </c>
      <c r="CA37" s="212"/>
      <c r="CB37" s="245"/>
      <c r="CC37" s="183"/>
      <c r="CD37" s="184"/>
      <c r="CE37" s="185" t="e">
        <f t="shared" si="47"/>
        <v>#DIV/0!</v>
      </c>
      <c r="CF37" s="183"/>
      <c r="CG37" s="184"/>
      <c r="CH37" s="185" t="e">
        <f t="shared" si="48"/>
        <v>#DIV/0!</v>
      </c>
      <c r="CI37" s="189"/>
      <c r="CJ37" s="190"/>
      <c r="CK37" s="185" t="e">
        <f t="shared" si="49"/>
        <v>#DIV/0!</v>
      </c>
      <c r="CL37" s="187">
        <f t="shared" si="50"/>
        <v>0</v>
      </c>
      <c r="CM37" s="186">
        <f t="shared" si="51"/>
        <v>0</v>
      </c>
      <c r="CN37" s="185" t="e">
        <f t="shared" si="52"/>
        <v>#DIV/0!</v>
      </c>
      <c r="CO37" s="245"/>
      <c r="CP37" s="188">
        <f t="shared" si="53"/>
        <v>0</v>
      </c>
      <c r="CQ37" s="188">
        <f t="shared" si="54"/>
        <v>0</v>
      </c>
      <c r="CR37" s="191" t="e">
        <f t="shared" si="55"/>
        <v>#DIV/0!</v>
      </c>
      <c r="CS37" s="279">
        <f t="shared" si="28"/>
        <v>29</v>
      </c>
      <c r="CT37" s="245"/>
      <c r="CU37" s="188">
        <f t="shared" si="29"/>
        <v>8.6999999999999993</v>
      </c>
      <c r="CV37" s="277"/>
      <c r="CW37" s="191">
        <f t="shared" si="30"/>
        <v>0</v>
      </c>
      <c r="CX37" s="188">
        <f t="shared" si="31"/>
        <v>8.6999999999999993</v>
      </c>
      <c r="CY37" s="277"/>
      <c r="CZ37" s="191">
        <f t="shared" si="32"/>
        <v>0</v>
      </c>
      <c r="DA37" s="188">
        <f t="shared" si="33"/>
        <v>8.6999999999999993</v>
      </c>
      <c r="DB37" s="277"/>
      <c r="DC37" s="191">
        <f t="shared" si="34"/>
        <v>0</v>
      </c>
      <c r="DD37" s="188">
        <f t="shared" si="35"/>
        <v>2.9000000000000004</v>
      </c>
      <c r="DE37" s="277"/>
      <c r="DF37" s="191">
        <f t="shared" si="36"/>
        <v>0</v>
      </c>
      <c r="DG37" s="245"/>
      <c r="DH37" s="188">
        <f t="shared" si="37"/>
        <v>29</v>
      </c>
      <c r="DI37" s="188">
        <f t="shared" si="38"/>
        <v>0</v>
      </c>
      <c r="DJ37" s="191">
        <f t="shared" si="39"/>
        <v>0</v>
      </c>
      <c r="DK37" s="286">
        <f t="shared" si="40"/>
        <v>29</v>
      </c>
      <c r="DL37" s="261">
        <v>33</v>
      </c>
      <c r="DM37" s="244">
        <f>+A37-DL37</f>
        <v>0</v>
      </c>
    </row>
    <row r="38" spans="1:117" x14ac:dyDescent="0.35">
      <c r="A38" s="263">
        <v>34</v>
      </c>
      <c r="B38" s="102" t="s">
        <v>215</v>
      </c>
      <c r="C38" s="102" t="s">
        <v>118</v>
      </c>
      <c r="D38" s="102" t="s">
        <v>119</v>
      </c>
      <c r="E38" s="102" t="s">
        <v>120</v>
      </c>
      <c r="F38" s="102" t="s">
        <v>226</v>
      </c>
      <c r="G38" s="98" t="s">
        <v>186</v>
      </c>
      <c r="H38" s="98" t="s">
        <v>186</v>
      </c>
      <c r="I38" s="98" t="s">
        <v>227</v>
      </c>
      <c r="J38" s="98" t="s">
        <v>227</v>
      </c>
      <c r="K38" s="96" t="s">
        <v>104</v>
      </c>
      <c r="L38" s="96" t="s">
        <v>105</v>
      </c>
      <c r="M38" s="98" t="s">
        <v>106</v>
      </c>
      <c r="N38" s="98" t="s">
        <v>219</v>
      </c>
      <c r="O38" s="98" t="s">
        <v>127</v>
      </c>
      <c r="P38" s="258" t="s">
        <v>228</v>
      </c>
      <c r="Q38" s="98" t="s">
        <v>129</v>
      </c>
      <c r="R38" s="301">
        <v>3</v>
      </c>
      <c r="S38" s="99" t="s">
        <v>111</v>
      </c>
      <c r="T38" s="81">
        <v>0</v>
      </c>
      <c r="U38" s="81">
        <v>0</v>
      </c>
      <c r="V38" s="25">
        <v>0</v>
      </c>
      <c r="W38" s="81">
        <v>1</v>
      </c>
      <c r="X38" s="81"/>
      <c r="Y38" s="25">
        <f t="shared" si="1"/>
        <v>0</v>
      </c>
      <c r="Z38" s="81">
        <v>1</v>
      </c>
      <c r="AA38" s="81"/>
      <c r="AB38" s="25">
        <f t="shared" si="2"/>
        <v>0</v>
      </c>
      <c r="AC38" s="81">
        <v>1</v>
      </c>
      <c r="AD38" s="81"/>
      <c r="AE38" s="25">
        <f t="shared" si="3"/>
        <v>0</v>
      </c>
      <c r="AF38" s="140">
        <f t="shared" si="42"/>
        <v>3</v>
      </c>
      <c r="AG38" s="140">
        <f t="shared" si="43"/>
        <v>0</v>
      </c>
      <c r="AH38" s="138" t="e">
        <f t="shared" si="5"/>
        <v>#DIV/0!</v>
      </c>
      <c r="AI38" s="101">
        <v>46113</v>
      </c>
      <c r="AJ38" s="101">
        <v>46477</v>
      </c>
      <c r="AK38" s="102" t="s">
        <v>112</v>
      </c>
      <c r="AL38" s="102" t="s">
        <v>113</v>
      </c>
      <c r="AM38" s="103" t="s">
        <v>114</v>
      </c>
      <c r="AN38" s="104">
        <v>12000000</v>
      </c>
      <c r="AO38" s="104">
        <v>12000000</v>
      </c>
      <c r="AP38" s="104">
        <v>12000000</v>
      </c>
      <c r="AQ38" s="326">
        <v>0</v>
      </c>
      <c r="AR38" s="102" t="s">
        <v>159</v>
      </c>
      <c r="AS38" s="102" t="s">
        <v>112</v>
      </c>
      <c r="AT38" s="152" t="s">
        <v>229</v>
      </c>
      <c r="AU38" s="166" t="s">
        <v>2264</v>
      </c>
      <c r="AV38" s="247" t="s">
        <v>2234</v>
      </c>
      <c r="AW38" s="136" t="s">
        <v>2255</v>
      </c>
      <c r="AX38" s="136" t="s">
        <v>2348</v>
      </c>
      <c r="AY38" s="136" t="s">
        <v>2308</v>
      </c>
      <c r="BA38" s="272"/>
      <c r="BB38" s="273"/>
      <c r="BC38" s="209" t="e">
        <f t="shared" si="7"/>
        <v>#DIV/0!</v>
      </c>
      <c r="BD38" s="272"/>
      <c r="BE38" s="273"/>
      <c r="BF38" s="209" t="e">
        <f t="shared" si="8"/>
        <v>#DIV/0!</v>
      </c>
      <c r="BG38" s="272">
        <v>33</v>
      </c>
      <c r="BH38" s="273">
        <v>33</v>
      </c>
      <c r="BI38" s="209">
        <f t="shared" si="9"/>
        <v>1</v>
      </c>
      <c r="BJ38" s="210">
        <f t="shared" si="10"/>
        <v>33</v>
      </c>
      <c r="BK38" s="211">
        <f t="shared" si="11"/>
        <v>33</v>
      </c>
      <c r="BL38" s="209">
        <f t="shared" si="12"/>
        <v>1</v>
      </c>
      <c r="BM38" s="272"/>
      <c r="BN38" s="273"/>
      <c r="BO38" s="209" t="e">
        <f t="shared" si="44"/>
        <v>#DIV/0!</v>
      </c>
      <c r="BP38" s="272"/>
      <c r="BQ38" s="273"/>
      <c r="BR38" s="209" t="e">
        <f t="shared" si="45"/>
        <v>#DIV/0!</v>
      </c>
      <c r="BS38" s="272">
        <v>33</v>
      </c>
      <c r="BT38" s="272">
        <v>33</v>
      </c>
      <c r="BU38" s="209">
        <f t="shared" si="46"/>
        <v>1</v>
      </c>
      <c r="BV38" s="210">
        <f t="shared" si="16"/>
        <v>33</v>
      </c>
      <c r="BW38" s="210">
        <f t="shared" si="17"/>
        <v>33</v>
      </c>
      <c r="BX38" s="209">
        <f t="shared" si="18"/>
        <v>1</v>
      </c>
      <c r="BY38" s="209">
        <f t="shared" si="19"/>
        <v>22</v>
      </c>
      <c r="BZ38" s="209">
        <f t="shared" si="20"/>
        <v>-22</v>
      </c>
      <c r="CA38" s="212"/>
      <c r="CB38" s="245"/>
      <c r="CC38" s="183"/>
      <c r="CD38" s="184"/>
      <c r="CE38" s="185" t="e">
        <f t="shared" si="47"/>
        <v>#DIV/0!</v>
      </c>
      <c r="CF38" s="183"/>
      <c r="CG38" s="184"/>
      <c r="CH38" s="185" t="e">
        <f t="shared" si="48"/>
        <v>#DIV/0!</v>
      </c>
      <c r="CI38" s="189"/>
      <c r="CJ38" s="190"/>
      <c r="CK38" s="185" t="e">
        <f t="shared" si="49"/>
        <v>#DIV/0!</v>
      </c>
      <c r="CL38" s="187">
        <f t="shared" si="50"/>
        <v>0</v>
      </c>
      <c r="CM38" s="186">
        <f t="shared" si="51"/>
        <v>0</v>
      </c>
      <c r="CN38" s="185" t="e">
        <f t="shared" si="52"/>
        <v>#DIV/0!</v>
      </c>
      <c r="CO38" s="245"/>
      <c r="CP38" s="188">
        <f t="shared" si="53"/>
        <v>66</v>
      </c>
      <c r="CQ38" s="188">
        <f t="shared" si="54"/>
        <v>66</v>
      </c>
      <c r="CR38" s="191">
        <f t="shared" si="55"/>
        <v>1</v>
      </c>
      <c r="CS38" s="279">
        <f t="shared" si="28"/>
        <v>-63</v>
      </c>
      <c r="CT38" s="245"/>
      <c r="CU38" s="188">
        <f t="shared" si="29"/>
        <v>-18.899999999999999</v>
      </c>
      <c r="CV38" s="277"/>
      <c r="CW38" s="191">
        <f t="shared" si="30"/>
        <v>0</v>
      </c>
      <c r="CX38" s="188">
        <f t="shared" si="31"/>
        <v>-18.899999999999999</v>
      </c>
      <c r="CY38" s="277"/>
      <c r="CZ38" s="191">
        <f t="shared" si="32"/>
        <v>0</v>
      </c>
      <c r="DA38" s="188">
        <f t="shared" si="33"/>
        <v>-18.899999999999999</v>
      </c>
      <c r="DB38" s="277"/>
      <c r="DC38" s="191">
        <f t="shared" si="34"/>
        <v>0</v>
      </c>
      <c r="DD38" s="188">
        <f t="shared" si="35"/>
        <v>-6.3000000000000007</v>
      </c>
      <c r="DE38" s="277"/>
      <c r="DF38" s="191">
        <f t="shared" si="36"/>
        <v>0</v>
      </c>
      <c r="DG38" s="245"/>
      <c r="DH38" s="188">
        <f t="shared" si="37"/>
        <v>3</v>
      </c>
      <c r="DI38" s="188">
        <f t="shared" si="38"/>
        <v>66</v>
      </c>
      <c r="DJ38" s="191">
        <f t="shared" si="39"/>
        <v>22</v>
      </c>
      <c r="DK38" s="286">
        <f t="shared" si="40"/>
        <v>-63</v>
      </c>
      <c r="DL38" s="261">
        <v>34</v>
      </c>
      <c r="DM38" s="244">
        <f>+A38-DL38</f>
        <v>0</v>
      </c>
    </row>
    <row r="39" spans="1:117" x14ac:dyDescent="0.35">
      <c r="A39" s="263">
        <v>35</v>
      </c>
      <c r="B39" s="102" t="s">
        <v>215</v>
      </c>
      <c r="C39" s="102" t="s">
        <v>118</v>
      </c>
      <c r="D39" s="102" t="s">
        <v>119</v>
      </c>
      <c r="E39" s="102" t="s">
        <v>120</v>
      </c>
      <c r="F39" s="102" t="s">
        <v>230</v>
      </c>
      <c r="G39" s="98" t="s">
        <v>186</v>
      </c>
      <c r="H39" s="98" t="s">
        <v>187</v>
      </c>
      <c r="I39" s="98" t="s">
        <v>224</v>
      </c>
      <c r="J39" s="98" t="s">
        <v>224</v>
      </c>
      <c r="K39" s="96" t="s">
        <v>104</v>
      </c>
      <c r="L39" s="96" t="s">
        <v>105</v>
      </c>
      <c r="M39" s="98" t="s">
        <v>106</v>
      </c>
      <c r="N39" s="98" t="s">
        <v>231</v>
      </c>
      <c r="O39" s="98" t="s">
        <v>127</v>
      </c>
      <c r="P39" s="98" t="s">
        <v>232</v>
      </c>
      <c r="Q39" s="98" t="s">
        <v>129</v>
      </c>
      <c r="R39" s="301">
        <v>29</v>
      </c>
      <c r="S39" s="99" t="s">
        <v>111</v>
      </c>
      <c r="T39" s="81">
        <v>8</v>
      </c>
      <c r="U39" s="81">
        <v>0</v>
      </c>
      <c r="V39" s="25">
        <f t="shared" ref="V39:V44" si="57">U39/T39*100</f>
        <v>0</v>
      </c>
      <c r="W39" s="81">
        <v>8</v>
      </c>
      <c r="X39" s="81">
        <v>7</v>
      </c>
      <c r="Y39" s="25">
        <f t="shared" si="1"/>
        <v>87.5</v>
      </c>
      <c r="Z39" s="81">
        <v>8</v>
      </c>
      <c r="AA39" s="81"/>
      <c r="AB39" s="25">
        <f t="shared" si="2"/>
        <v>0</v>
      </c>
      <c r="AC39" s="81">
        <v>5</v>
      </c>
      <c r="AD39" s="81"/>
      <c r="AE39" s="25">
        <f t="shared" si="3"/>
        <v>0</v>
      </c>
      <c r="AF39" s="140">
        <f t="shared" si="42"/>
        <v>29</v>
      </c>
      <c r="AG39" s="140">
        <f t="shared" si="43"/>
        <v>7</v>
      </c>
      <c r="AH39" s="138">
        <f t="shared" si="5"/>
        <v>43.75</v>
      </c>
      <c r="AI39" s="101">
        <v>46113</v>
      </c>
      <c r="AJ39" s="101">
        <v>46477</v>
      </c>
      <c r="AK39" s="102" t="s">
        <v>112</v>
      </c>
      <c r="AL39" s="102" t="s">
        <v>113</v>
      </c>
      <c r="AM39" s="103" t="s">
        <v>114</v>
      </c>
      <c r="AN39" s="324"/>
      <c r="AO39" s="324"/>
      <c r="AP39" s="324"/>
      <c r="AQ39" s="326"/>
      <c r="AR39" s="102" t="s">
        <v>233</v>
      </c>
      <c r="AS39" s="102" t="s">
        <v>112</v>
      </c>
      <c r="AT39" s="152" t="s">
        <v>221</v>
      </c>
      <c r="AU39" s="166" t="s">
        <v>2264</v>
      </c>
      <c r="AV39" s="247" t="s">
        <v>2234</v>
      </c>
      <c r="AW39" s="136" t="s">
        <v>2255</v>
      </c>
      <c r="AX39" s="136" t="s">
        <v>2348</v>
      </c>
      <c r="AY39" s="136" t="s">
        <v>2308</v>
      </c>
      <c r="BA39" s="272"/>
      <c r="BB39" s="273"/>
      <c r="BC39" s="209" t="e">
        <f t="shared" si="7"/>
        <v>#DIV/0!</v>
      </c>
      <c r="BD39" s="272"/>
      <c r="BE39" s="273"/>
      <c r="BF39" s="209" t="e">
        <f t="shared" si="8"/>
        <v>#DIV/0!</v>
      </c>
      <c r="BG39" s="272"/>
      <c r="BH39" s="273"/>
      <c r="BI39" s="209" t="e">
        <f t="shared" si="9"/>
        <v>#DIV/0!</v>
      </c>
      <c r="BJ39" s="210">
        <f t="shared" si="10"/>
        <v>0</v>
      </c>
      <c r="BK39" s="211">
        <f t="shared" si="11"/>
        <v>0</v>
      </c>
      <c r="BL39" s="209" t="e">
        <f t="shared" si="12"/>
        <v>#DIV/0!</v>
      </c>
      <c r="BM39" s="272">
        <v>6</v>
      </c>
      <c r="BN39" s="273"/>
      <c r="BO39" s="209">
        <f t="shared" si="44"/>
        <v>0</v>
      </c>
      <c r="BP39" s="272"/>
      <c r="BQ39" s="273"/>
      <c r="BR39" s="209" t="e">
        <f t="shared" si="45"/>
        <v>#DIV/0!</v>
      </c>
      <c r="BS39" s="272"/>
      <c r="BT39" s="272"/>
      <c r="BU39" s="209" t="e">
        <f t="shared" si="46"/>
        <v>#DIV/0!</v>
      </c>
      <c r="BV39" s="210">
        <f t="shared" si="16"/>
        <v>6</v>
      </c>
      <c r="BW39" s="210">
        <f t="shared" si="17"/>
        <v>0</v>
      </c>
      <c r="BX39" s="209">
        <f t="shared" si="18"/>
        <v>0</v>
      </c>
      <c r="BY39" s="209">
        <f t="shared" si="19"/>
        <v>0</v>
      </c>
      <c r="BZ39" s="209">
        <f t="shared" si="20"/>
        <v>0</v>
      </c>
      <c r="CA39" s="212"/>
      <c r="CB39" s="245"/>
      <c r="CC39" s="183"/>
      <c r="CD39" s="184"/>
      <c r="CE39" s="185" t="e">
        <f t="shared" si="47"/>
        <v>#DIV/0!</v>
      </c>
      <c r="CF39" s="183"/>
      <c r="CG39" s="184"/>
      <c r="CH39" s="185" t="e">
        <f t="shared" si="48"/>
        <v>#DIV/0!</v>
      </c>
      <c r="CI39" s="189"/>
      <c r="CJ39" s="190"/>
      <c r="CK39" s="185" t="e">
        <f t="shared" si="49"/>
        <v>#DIV/0!</v>
      </c>
      <c r="CL39" s="187">
        <f t="shared" si="50"/>
        <v>0</v>
      </c>
      <c r="CM39" s="186">
        <f t="shared" si="51"/>
        <v>0</v>
      </c>
      <c r="CN39" s="185" t="e">
        <f t="shared" si="52"/>
        <v>#DIV/0!</v>
      </c>
      <c r="CO39" s="245"/>
      <c r="CP39" s="188">
        <f t="shared" si="53"/>
        <v>6</v>
      </c>
      <c r="CQ39" s="188">
        <f t="shared" si="54"/>
        <v>0</v>
      </c>
      <c r="CR39" s="191">
        <f t="shared" si="55"/>
        <v>0</v>
      </c>
      <c r="CS39" s="279">
        <f t="shared" si="28"/>
        <v>29</v>
      </c>
      <c r="CT39" s="245"/>
      <c r="CU39" s="188">
        <f t="shared" si="29"/>
        <v>8.6999999999999993</v>
      </c>
      <c r="CV39" s="277"/>
      <c r="CW39" s="191">
        <f t="shared" si="30"/>
        <v>0</v>
      </c>
      <c r="CX39" s="188">
        <f t="shared" si="31"/>
        <v>8.6999999999999993</v>
      </c>
      <c r="CY39" s="277"/>
      <c r="CZ39" s="191">
        <f t="shared" si="32"/>
        <v>0</v>
      </c>
      <c r="DA39" s="188">
        <f t="shared" si="33"/>
        <v>8.6999999999999993</v>
      </c>
      <c r="DB39" s="277"/>
      <c r="DC39" s="191">
        <f t="shared" si="34"/>
        <v>0</v>
      </c>
      <c r="DD39" s="188">
        <f t="shared" si="35"/>
        <v>2.9000000000000004</v>
      </c>
      <c r="DE39" s="277"/>
      <c r="DF39" s="191">
        <f t="shared" si="36"/>
        <v>0</v>
      </c>
      <c r="DG39" s="245"/>
      <c r="DH39" s="188">
        <f t="shared" si="37"/>
        <v>29</v>
      </c>
      <c r="DI39" s="188">
        <f t="shared" si="38"/>
        <v>0</v>
      </c>
      <c r="DJ39" s="191">
        <f t="shared" si="39"/>
        <v>0</v>
      </c>
      <c r="DK39" s="286">
        <f t="shared" si="40"/>
        <v>29</v>
      </c>
      <c r="DL39" s="261">
        <v>35</v>
      </c>
      <c r="DM39" s="244">
        <f>+A39-DL39</f>
        <v>0</v>
      </c>
    </row>
    <row r="40" spans="1:117" x14ac:dyDescent="0.35">
      <c r="A40" s="263">
        <v>36</v>
      </c>
      <c r="B40" s="102" t="s">
        <v>215</v>
      </c>
      <c r="C40" s="102" t="s">
        <v>118</v>
      </c>
      <c r="D40" s="102" t="s">
        <v>119</v>
      </c>
      <c r="E40" s="102" t="s">
        <v>120</v>
      </c>
      <c r="F40" s="102" t="s">
        <v>226</v>
      </c>
      <c r="G40" s="98" t="s">
        <v>186</v>
      </c>
      <c r="H40" s="98" t="s">
        <v>187</v>
      </c>
      <c r="I40" s="98" t="s">
        <v>234</v>
      </c>
      <c r="J40" s="98" t="s">
        <v>234</v>
      </c>
      <c r="K40" s="96" t="s">
        <v>104</v>
      </c>
      <c r="L40" s="96" t="s">
        <v>105</v>
      </c>
      <c r="M40" s="98" t="s">
        <v>106</v>
      </c>
      <c r="N40" s="98" t="s">
        <v>235</v>
      </c>
      <c r="O40" s="98" t="s">
        <v>127</v>
      </c>
      <c r="P40" s="258" t="s">
        <v>236</v>
      </c>
      <c r="Q40" s="98" t="s">
        <v>129</v>
      </c>
      <c r="R40" s="301">
        <v>4</v>
      </c>
      <c r="S40" s="99"/>
      <c r="T40" s="81">
        <v>1</v>
      </c>
      <c r="U40" s="81">
        <v>1</v>
      </c>
      <c r="V40" s="25">
        <f t="shared" si="57"/>
        <v>100</v>
      </c>
      <c r="W40" s="81">
        <v>1</v>
      </c>
      <c r="X40" s="81">
        <v>1</v>
      </c>
      <c r="Y40" s="25">
        <f t="shared" si="1"/>
        <v>100</v>
      </c>
      <c r="Z40" s="81">
        <v>1</v>
      </c>
      <c r="AA40" s="81"/>
      <c r="AB40" s="25">
        <f t="shared" si="2"/>
        <v>0</v>
      </c>
      <c r="AC40" s="81">
        <v>1</v>
      </c>
      <c r="AD40" s="81"/>
      <c r="AE40" s="25">
        <f t="shared" si="3"/>
        <v>0</v>
      </c>
      <c r="AF40" s="140">
        <f t="shared" si="42"/>
        <v>4</v>
      </c>
      <c r="AG40" s="140">
        <f t="shared" si="43"/>
        <v>2</v>
      </c>
      <c r="AH40" s="138">
        <f t="shared" si="5"/>
        <v>100</v>
      </c>
      <c r="AI40" s="101">
        <v>46113</v>
      </c>
      <c r="AJ40" s="101">
        <v>46477</v>
      </c>
      <c r="AK40" s="102" t="s">
        <v>112</v>
      </c>
      <c r="AL40" s="102" t="s">
        <v>113</v>
      </c>
      <c r="AM40" s="103" t="s">
        <v>114</v>
      </c>
      <c r="AN40" s="104">
        <v>16000000</v>
      </c>
      <c r="AO40" s="104">
        <v>16000000</v>
      </c>
      <c r="AP40" s="104">
        <v>16000000</v>
      </c>
      <c r="AQ40" s="105">
        <f>AO40</f>
        <v>16000000</v>
      </c>
      <c r="AR40" s="102" t="s">
        <v>191</v>
      </c>
      <c r="AS40" s="102" t="s">
        <v>112</v>
      </c>
      <c r="AT40" s="152" t="s">
        <v>229</v>
      </c>
      <c r="AU40" s="166" t="s">
        <v>2264</v>
      </c>
      <c r="AV40" s="247" t="s">
        <v>2234</v>
      </c>
      <c r="AW40" s="136" t="s">
        <v>2255</v>
      </c>
      <c r="AX40" s="136" t="s">
        <v>2348</v>
      </c>
      <c r="AY40" s="136" t="s">
        <v>2308</v>
      </c>
      <c r="BA40" s="272"/>
      <c r="BB40" s="273"/>
      <c r="BC40" s="209" t="e">
        <f t="shared" si="7"/>
        <v>#DIV/0!</v>
      </c>
      <c r="BD40" s="272"/>
      <c r="BE40" s="273"/>
      <c r="BF40" s="209" t="e">
        <f t="shared" si="8"/>
        <v>#DIV/0!</v>
      </c>
      <c r="BG40" s="272">
        <v>1</v>
      </c>
      <c r="BH40" s="273">
        <v>1</v>
      </c>
      <c r="BI40" s="209">
        <f t="shared" si="9"/>
        <v>1</v>
      </c>
      <c r="BJ40" s="210">
        <f t="shared" si="10"/>
        <v>1</v>
      </c>
      <c r="BK40" s="211">
        <f t="shared" si="11"/>
        <v>1</v>
      </c>
      <c r="BL40" s="209">
        <f t="shared" si="12"/>
        <v>1</v>
      </c>
      <c r="BM40" s="272"/>
      <c r="BN40" s="273"/>
      <c r="BO40" s="209" t="e">
        <f t="shared" si="44"/>
        <v>#DIV/0!</v>
      </c>
      <c r="BP40" s="272"/>
      <c r="BQ40" s="273"/>
      <c r="BR40" s="209" t="e">
        <f t="shared" si="45"/>
        <v>#DIV/0!</v>
      </c>
      <c r="BS40" s="272"/>
      <c r="BT40" s="272"/>
      <c r="BU40" s="209" t="e">
        <f t="shared" si="46"/>
        <v>#DIV/0!</v>
      </c>
      <c r="BV40" s="210">
        <f t="shared" si="16"/>
        <v>0</v>
      </c>
      <c r="BW40" s="210">
        <f t="shared" si="17"/>
        <v>0</v>
      </c>
      <c r="BX40" s="209" t="e">
        <f t="shared" si="18"/>
        <v>#DIV/0!</v>
      </c>
      <c r="BY40" s="209">
        <f t="shared" si="19"/>
        <v>0.25</v>
      </c>
      <c r="BZ40" s="209">
        <f t="shared" si="20"/>
        <v>-0.25</v>
      </c>
      <c r="CA40" s="212"/>
      <c r="CB40" s="245"/>
      <c r="CC40" s="183"/>
      <c r="CD40" s="184"/>
      <c r="CE40" s="185" t="e">
        <f t="shared" si="47"/>
        <v>#DIV/0!</v>
      </c>
      <c r="CF40" s="183"/>
      <c r="CG40" s="184"/>
      <c r="CH40" s="185" t="e">
        <f t="shared" si="48"/>
        <v>#DIV/0!</v>
      </c>
      <c r="CI40" s="189"/>
      <c r="CJ40" s="190"/>
      <c r="CK40" s="185" t="e">
        <f t="shared" si="49"/>
        <v>#DIV/0!</v>
      </c>
      <c r="CL40" s="187">
        <f t="shared" si="50"/>
        <v>0</v>
      </c>
      <c r="CM40" s="186">
        <f t="shared" si="51"/>
        <v>0</v>
      </c>
      <c r="CN40" s="185" t="e">
        <f t="shared" si="52"/>
        <v>#DIV/0!</v>
      </c>
      <c r="CO40" s="245"/>
      <c r="CP40" s="188">
        <f t="shared" si="53"/>
        <v>1</v>
      </c>
      <c r="CQ40" s="188">
        <f t="shared" si="54"/>
        <v>1</v>
      </c>
      <c r="CR40" s="191">
        <f t="shared" si="55"/>
        <v>1</v>
      </c>
      <c r="CS40" s="279">
        <f t="shared" si="28"/>
        <v>3</v>
      </c>
      <c r="CT40" s="245"/>
      <c r="CU40" s="188">
        <f t="shared" si="29"/>
        <v>0.89999999999999991</v>
      </c>
      <c r="CV40" s="277"/>
      <c r="CW40" s="191">
        <f t="shared" si="30"/>
        <v>0</v>
      </c>
      <c r="CX40" s="188">
        <f t="shared" si="31"/>
        <v>0.89999999999999991</v>
      </c>
      <c r="CY40" s="277"/>
      <c r="CZ40" s="191">
        <f t="shared" si="32"/>
        <v>0</v>
      </c>
      <c r="DA40" s="188">
        <f t="shared" si="33"/>
        <v>0.89999999999999991</v>
      </c>
      <c r="DB40" s="277"/>
      <c r="DC40" s="191">
        <f t="shared" si="34"/>
        <v>0</v>
      </c>
      <c r="DD40" s="188">
        <f t="shared" si="35"/>
        <v>0.30000000000000004</v>
      </c>
      <c r="DE40" s="277"/>
      <c r="DF40" s="191">
        <f t="shared" si="36"/>
        <v>0</v>
      </c>
      <c r="DG40" s="245"/>
      <c r="DH40" s="188">
        <f t="shared" si="37"/>
        <v>4</v>
      </c>
      <c r="DI40" s="188">
        <f t="shared" si="38"/>
        <v>1</v>
      </c>
      <c r="DJ40" s="191">
        <f t="shared" si="39"/>
        <v>0.25</v>
      </c>
      <c r="DK40" s="286">
        <f t="shared" si="40"/>
        <v>3</v>
      </c>
      <c r="DL40" s="261">
        <v>36</v>
      </c>
      <c r="DM40" s="244">
        <f>+A40-DL40</f>
        <v>0</v>
      </c>
    </row>
    <row r="41" spans="1:117" x14ac:dyDescent="0.35">
      <c r="A41" s="263">
        <v>37</v>
      </c>
      <c r="B41" s="102" t="s">
        <v>215</v>
      </c>
      <c r="C41" s="102" t="s">
        <v>133</v>
      </c>
      <c r="D41" s="102" t="s">
        <v>119</v>
      </c>
      <c r="E41" s="102" t="s">
        <v>120</v>
      </c>
      <c r="F41" s="102" t="s">
        <v>176</v>
      </c>
      <c r="G41" s="98" t="s">
        <v>186</v>
      </c>
      <c r="H41" s="98" t="s">
        <v>187</v>
      </c>
      <c r="I41" s="98" t="s">
        <v>153</v>
      </c>
      <c r="J41" s="98" t="s">
        <v>153</v>
      </c>
      <c r="K41" s="96" t="s">
        <v>104</v>
      </c>
      <c r="L41" s="96" t="s">
        <v>105</v>
      </c>
      <c r="M41" s="98" t="s">
        <v>106</v>
      </c>
      <c r="N41" s="98" t="s">
        <v>231</v>
      </c>
      <c r="O41" s="98" t="s">
        <v>127</v>
      </c>
      <c r="P41" s="258" t="s">
        <v>237</v>
      </c>
      <c r="Q41" s="98" t="s">
        <v>129</v>
      </c>
      <c r="R41" s="301">
        <v>4</v>
      </c>
      <c r="S41" s="99" t="s">
        <v>111</v>
      </c>
      <c r="T41" s="81">
        <v>0</v>
      </c>
      <c r="U41" s="81">
        <v>0</v>
      </c>
      <c r="V41" s="25" t="e">
        <f t="shared" si="57"/>
        <v>#DIV/0!</v>
      </c>
      <c r="W41" s="81">
        <v>0</v>
      </c>
      <c r="X41" s="81">
        <v>0</v>
      </c>
      <c r="Y41" s="25" t="e">
        <f t="shared" si="1"/>
        <v>#DIV/0!</v>
      </c>
      <c r="Z41" s="81">
        <v>2</v>
      </c>
      <c r="AA41" s="81"/>
      <c r="AB41" s="25">
        <f t="shared" si="2"/>
        <v>0</v>
      </c>
      <c r="AC41" s="81">
        <v>2</v>
      </c>
      <c r="AD41" s="81"/>
      <c r="AE41" s="25">
        <f t="shared" si="3"/>
        <v>0</v>
      </c>
      <c r="AF41" s="140">
        <f t="shared" si="42"/>
        <v>4</v>
      </c>
      <c r="AG41" s="140">
        <f t="shared" si="43"/>
        <v>0</v>
      </c>
      <c r="AH41" s="138" t="e">
        <f t="shared" si="5"/>
        <v>#DIV/0!</v>
      </c>
      <c r="AI41" s="101">
        <v>46113</v>
      </c>
      <c r="AJ41" s="101">
        <v>46477</v>
      </c>
      <c r="AK41" s="102" t="s">
        <v>112</v>
      </c>
      <c r="AL41" s="102" t="s">
        <v>113</v>
      </c>
      <c r="AM41" s="103" t="s">
        <v>114</v>
      </c>
      <c r="AN41" s="104">
        <v>50000000</v>
      </c>
      <c r="AO41" s="104">
        <v>50000000</v>
      </c>
      <c r="AP41" s="104">
        <v>50000000</v>
      </c>
      <c r="AQ41" s="326">
        <v>0</v>
      </c>
      <c r="AR41" s="102" t="s">
        <v>191</v>
      </c>
      <c r="AS41" s="102" t="s">
        <v>112</v>
      </c>
      <c r="AT41" s="152" t="s">
        <v>229</v>
      </c>
      <c r="AU41" s="166" t="s">
        <v>2264</v>
      </c>
      <c r="AV41" s="247" t="s">
        <v>2234</v>
      </c>
      <c r="AW41" s="136" t="s">
        <v>2255</v>
      </c>
      <c r="AX41" s="136" t="s">
        <v>2348</v>
      </c>
      <c r="AY41" s="136" t="s">
        <v>2308</v>
      </c>
      <c r="BA41" s="272"/>
      <c r="BB41" s="273"/>
      <c r="BC41" s="209" t="e">
        <f t="shared" si="7"/>
        <v>#DIV/0!</v>
      </c>
      <c r="BD41" s="272"/>
      <c r="BE41" s="273"/>
      <c r="BF41" s="209" t="e">
        <f t="shared" si="8"/>
        <v>#DIV/0!</v>
      </c>
      <c r="BG41" s="272"/>
      <c r="BH41" s="273"/>
      <c r="BI41" s="209" t="e">
        <f t="shared" si="9"/>
        <v>#DIV/0!</v>
      </c>
      <c r="BJ41" s="210">
        <f t="shared" si="10"/>
        <v>0</v>
      </c>
      <c r="BK41" s="211">
        <f t="shared" si="11"/>
        <v>0</v>
      </c>
      <c r="BL41" s="209" t="e">
        <f t="shared" si="12"/>
        <v>#DIV/0!</v>
      </c>
      <c r="BM41" s="272"/>
      <c r="BN41" s="273"/>
      <c r="BO41" s="209" t="e">
        <f t="shared" si="44"/>
        <v>#DIV/0!</v>
      </c>
      <c r="BP41" s="272"/>
      <c r="BQ41" s="273"/>
      <c r="BR41" s="209" t="e">
        <f t="shared" si="45"/>
        <v>#DIV/0!</v>
      </c>
      <c r="BS41" s="272"/>
      <c r="BT41" s="272"/>
      <c r="BU41" s="209" t="e">
        <f t="shared" si="46"/>
        <v>#DIV/0!</v>
      </c>
      <c r="BV41" s="210">
        <f t="shared" si="16"/>
        <v>0</v>
      </c>
      <c r="BW41" s="210">
        <f t="shared" si="17"/>
        <v>0</v>
      </c>
      <c r="BX41" s="209" t="e">
        <f t="shared" si="18"/>
        <v>#DIV/0!</v>
      </c>
      <c r="BY41" s="209">
        <f t="shared" si="19"/>
        <v>0</v>
      </c>
      <c r="BZ41" s="209">
        <f t="shared" si="20"/>
        <v>0</v>
      </c>
      <c r="CA41" s="212"/>
      <c r="CB41" s="245"/>
      <c r="CC41" s="183"/>
      <c r="CD41" s="184"/>
      <c r="CE41" s="185" t="e">
        <f t="shared" si="47"/>
        <v>#DIV/0!</v>
      </c>
      <c r="CF41" s="183"/>
      <c r="CG41" s="184"/>
      <c r="CH41" s="185" t="e">
        <f t="shared" si="48"/>
        <v>#DIV/0!</v>
      </c>
      <c r="CI41" s="189"/>
      <c r="CJ41" s="190"/>
      <c r="CK41" s="185" t="e">
        <f t="shared" si="49"/>
        <v>#DIV/0!</v>
      </c>
      <c r="CL41" s="187">
        <f t="shared" si="50"/>
        <v>0</v>
      </c>
      <c r="CM41" s="186">
        <f t="shared" si="51"/>
        <v>0</v>
      </c>
      <c r="CN41" s="185" t="e">
        <f t="shared" si="52"/>
        <v>#DIV/0!</v>
      </c>
      <c r="CO41" s="245"/>
      <c r="CP41" s="188">
        <f t="shared" si="53"/>
        <v>0</v>
      </c>
      <c r="CQ41" s="188">
        <f t="shared" si="54"/>
        <v>0</v>
      </c>
      <c r="CR41" s="191" t="e">
        <f t="shared" si="55"/>
        <v>#DIV/0!</v>
      </c>
      <c r="CS41" s="279">
        <f t="shared" si="28"/>
        <v>4</v>
      </c>
      <c r="CT41" s="245"/>
      <c r="CU41" s="188">
        <f t="shared" si="29"/>
        <v>1.2</v>
      </c>
      <c r="CV41" s="277"/>
      <c r="CW41" s="191">
        <f t="shared" si="30"/>
        <v>0</v>
      </c>
      <c r="CX41" s="188">
        <f t="shared" si="31"/>
        <v>1.2</v>
      </c>
      <c r="CY41" s="277"/>
      <c r="CZ41" s="191">
        <f t="shared" si="32"/>
        <v>0</v>
      </c>
      <c r="DA41" s="188">
        <f t="shared" si="33"/>
        <v>1.2</v>
      </c>
      <c r="DB41" s="277"/>
      <c r="DC41" s="191">
        <f t="shared" si="34"/>
        <v>0</v>
      </c>
      <c r="DD41" s="188">
        <f t="shared" si="35"/>
        <v>0.4</v>
      </c>
      <c r="DE41" s="277"/>
      <c r="DF41" s="191">
        <f t="shared" si="36"/>
        <v>0</v>
      </c>
      <c r="DG41" s="245"/>
      <c r="DH41" s="188">
        <f t="shared" si="37"/>
        <v>4</v>
      </c>
      <c r="DI41" s="188">
        <f t="shared" si="38"/>
        <v>0</v>
      </c>
      <c r="DJ41" s="191">
        <f t="shared" si="39"/>
        <v>0</v>
      </c>
      <c r="DK41" s="286">
        <f t="shared" si="40"/>
        <v>4</v>
      </c>
      <c r="DL41" s="261">
        <v>37</v>
      </c>
      <c r="DM41" s="244">
        <f>+A41-DL41</f>
        <v>0</v>
      </c>
    </row>
    <row r="42" spans="1:117" x14ac:dyDescent="0.35">
      <c r="A42" s="263">
        <v>38</v>
      </c>
      <c r="B42" s="102" t="s">
        <v>215</v>
      </c>
      <c r="C42" s="102" t="s">
        <v>118</v>
      </c>
      <c r="D42" s="102" t="s">
        <v>119</v>
      </c>
      <c r="E42" s="102" t="s">
        <v>120</v>
      </c>
      <c r="F42" s="102" t="s">
        <v>230</v>
      </c>
      <c r="G42" s="98" t="s">
        <v>186</v>
      </c>
      <c r="H42" s="98" t="s">
        <v>187</v>
      </c>
      <c r="I42" s="98" t="s">
        <v>224</v>
      </c>
      <c r="J42" s="98" t="s">
        <v>224</v>
      </c>
      <c r="K42" s="96" t="s">
        <v>104</v>
      </c>
      <c r="L42" s="96" t="s">
        <v>105</v>
      </c>
      <c r="M42" s="98" t="s">
        <v>106</v>
      </c>
      <c r="N42" s="98" t="s">
        <v>231</v>
      </c>
      <c r="O42" s="98" t="s">
        <v>127</v>
      </c>
      <c r="P42" s="258" t="s">
        <v>238</v>
      </c>
      <c r="Q42" s="98" t="s">
        <v>129</v>
      </c>
      <c r="R42" s="301">
        <v>1</v>
      </c>
      <c r="S42" s="99" t="s">
        <v>111</v>
      </c>
      <c r="T42" s="81">
        <v>0</v>
      </c>
      <c r="U42" s="81">
        <v>0</v>
      </c>
      <c r="V42" s="25" t="e">
        <f t="shared" si="57"/>
        <v>#DIV/0!</v>
      </c>
      <c r="W42" s="81">
        <v>0</v>
      </c>
      <c r="X42" s="81">
        <v>0</v>
      </c>
      <c r="Y42" s="25" t="e">
        <f t="shared" si="1"/>
        <v>#DIV/0!</v>
      </c>
      <c r="Z42" s="81">
        <v>0</v>
      </c>
      <c r="AA42" s="81"/>
      <c r="AB42" s="25" t="e">
        <f t="shared" si="2"/>
        <v>#DIV/0!</v>
      </c>
      <c r="AC42" s="81">
        <v>1</v>
      </c>
      <c r="AD42" s="81"/>
      <c r="AE42" s="25">
        <f t="shared" si="3"/>
        <v>0</v>
      </c>
      <c r="AF42" s="140">
        <f t="shared" si="42"/>
        <v>1</v>
      </c>
      <c r="AG42" s="140">
        <f t="shared" si="43"/>
        <v>0</v>
      </c>
      <c r="AH42" s="138" t="e">
        <f t="shared" si="5"/>
        <v>#DIV/0!</v>
      </c>
      <c r="AI42" s="101">
        <v>46113</v>
      </c>
      <c r="AJ42" s="101">
        <v>46477</v>
      </c>
      <c r="AK42" s="102" t="s">
        <v>112</v>
      </c>
      <c r="AL42" s="102" t="s">
        <v>113</v>
      </c>
      <c r="AM42" s="103" t="s">
        <v>114</v>
      </c>
      <c r="AN42" s="104">
        <v>30000000</v>
      </c>
      <c r="AO42" s="104">
        <v>30000000</v>
      </c>
      <c r="AP42" s="104">
        <v>30000000</v>
      </c>
      <c r="AQ42" s="326">
        <v>0</v>
      </c>
      <c r="AR42" s="102" t="s">
        <v>159</v>
      </c>
      <c r="AS42" s="102" t="s">
        <v>112</v>
      </c>
      <c r="AT42" s="152" t="s">
        <v>229</v>
      </c>
      <c r="AU42" s="166" t="s">
        <v>2264</v>
      </c>
      <c r="AV42" s="247" t="s">
        <v>2234</v>
      </c>
      <c r="AW42" s="136" t="s">
        <v>2255</v>
      </c>
      <c r="AX42" s="136" t="s">
        <v>2348</v>
      </c>
      <c r="AY42" s="136" t="s">
        <v>2308</v>
      </c>
      <c r="BA42" s="272"/>
      <c r="BB42" s="273"/>
      <c r="BC42" s="209" t="e">
        <f t="shared" si="7"/>
        <v>#DIV/0!</v>
      </c>
      <c r="BD42" s="272"/>
      <c r="BE42" s="273"/>
      <c r="BF42" s="209" t="e">
        <f t="shared" si="8"/>
        <v>#DIV/0!</v>
      </c>
      <c r="BG42" s="272"/>
      <c r="BH42" s="273"/>
      <c r="BI42" s="209" t="e">
        <f t="shared" si="9"/>
        <v>#DIV/0!</v>
      </c>
      <c r="BJ42" s="210">
        <f t="shared" si="10"/>
        <v>0</v>
      </c>
      <c r="BK42" s="211">
        <f t="shared" si="11"/>
        <v>0</v>
      </c>
      <c r="BL42" s="209" t="e">
        <f t="shared" si="12"/>
        <v>#DIV/0!</v>
      </c>
      <c r="BM42" s="272"/>
      <c r="BN42" s="273"/>
      <c r="BO42" s="209" t="e">
        <f t="shared" si="44"/>
        <v>#DIV/0!</v>
      </c>
      <c r="BP42" s="272"/>
      <c r="BQ42" s="273"/>
      <c r="BR42" s="209" t="e">
        <f t="shared" si="45"/>
        <v>#DIV/0!</v>
      </c>
      <c r="BS42" s="272"/>
      <c r="BT42" s="272"/>
      <c r="BU42" s="209" t="e">
        <f t="shared" si="46"/>
        <v>#DIV/0!</v>
      </c>
      <c r="BV42" s="210">
        <f t="shared" si="16"/>
        <v>0</v>
      </c>
      <c r="BW42" s="210">
        <f t="shared" si="17"/>
        <v>0</v>
      </c>
      <c r="BX42" s="209" t="e">
        <f t="shared" si="18"/>
        <v>#DIV/0!</v>
      </c>
      <c r="BY42" s="209">
        <f t="shared" si="19"/>
        <v>0</v>
      </c>
      <c r="BZ42" s="209">
        <f t="shared" si="20"/>
        <v>0</v>
      </c>
      <c r="CA42" s="212"/>
      <c r="CB42" s="245"/>
      <c r="CC42" s="183"/>
      <c r="CD42" s="184"/>
      <c r="CE42" s="185" t="e">
        <f t="shared" si="47"/>
        <v>#DIV/0!</v>
      </c>
      <c r="CF42" s="183"/>
      <c r="CG42" s="184"/>
      <c r="CH42" s="185" t="e">
        <f t="shared" si="48"/>
        <v>#DIV/0!</v>
      </c>
      <c r="CI42" s="189"/>
      <c r="CJ42" s="190"/>
      <c r="CK42" s="185" t="e">
        <f t="shared" si="49"/>
        <v>#DIV/0!</v>
      </c>
      <c r="CL42" s="187">
        <f t="shared" si="50"/>
        <v>0</v>
      </c>
      <c r="CM42" s="186">
        <f t="shared" si="51"/>
        <v>0</v>
      </c>
      <c r="CN42" s="185" t="e">
        <f t="shared" si="52"/>
        <v>#DIV/0!</v>
      </c>
      <c r="CO42" s="245"/>
      <c r="CP42" s="188">
        <f t="shared" si="53"/>
        <v>0</v>
      </c>
      <c r="CQ42" s="188">
        <f t="shared" si="54"/>
        <v>0</v>
      </c>
      <c r="CR42" s="191" t="e">
        <f t="shared" si="55"/>
        <v>#DIV/0!</v>
      </c>
      <c r="CS42" s="279">
        <f t="shared" si="28"/>
        <v>1</v>
      </c>
      <c r="CT42" s="245"/>
      <c r="CU42" s="188">
        <f t="shared" si="29"/>
        <v>0.3</v>
      </c>
      <c r="CV42" s="277"/>
      <c r="CW42" s="191">
        <f t="shared" si="30"/>
        <v>0</v>
      </c>
      <c r="CX42" s="188">
        <f t="shared" si="31"/>
        <v>0.3</v>
      </c>
      <c r="CY42" s="277"/>
      <c r="CZ42" s="191">
        <f t="shared" si="32"/>
        <v>0</v>
      </c>
      <c r="DA42" s="188">
        <f t="shared" si="33"/>
        <v>0.3</v>
      </c>
      <c r="DB42" s="277"/>
      <c r="DC42" s="191">
        <f t="shared" si="34"/>
        <v>0</v>
      </c>
      <c r="DD42" s="188">
        <f t="shared" si="35"/>
        <v>0.1</v>
      </c>
      <c r="DE42" s="277"/>
      <c r="DF42" s="191">
        <f t="shared" si="36"/>
        <v>0</v>
      </c>
      <c r="DG42" s="245"/>
      <c r="DH42" s="188">
        <f t="shared" si="37"/>
        <v>1</v>
      </c>
      <c r="DI42" s="188">
        <f t="shared" si="38"/>
        <v>0</v>
      </c>
      <c r="DJ42" s="191">
        <f t="shared" si="39"/>
        <v>0</v>
      </c>
      <c r="DK42" s="286">
        <f t="shared" si="40"/>
        <v>1</v>
      </c>
      <c r="DL42" s="261">
        <v>38</v>
      </c>
      <c r="DM42" s="244">
        <f>+A42-DL42</f>
        <v>0</v>
      </c>
    </row>
    <row r="43" spans="1:117" x14ac:dyDescent="0.35">
      <c r="A43" s="263">
        <v>39</v>
      </c>
      <c r="B43" s="102" t="s">
        <v>239</v>
      </c>
      <c r="C43" s="102" t="s">
        <v>97</v>
      </c>
      <c r="D43" s="102" t="s">
        <v>98</v>
      </c>
      <c r="E43" s="102" t="s">
        <v>99</v>
      </c>
      <c r="F43" s="102" t="s">
        <v>240</v>
      </c>
      <c r="G43" s="98" t="s">
        <v>241</v>
      </c>
      <c r="H43" s="98" t="s">
        <v>242</v>
      </c>
      <c r="I43" s="98" t="s">
        <v>243</v>
      </c>
      <c r="J43" s="98" t="s">
        <v>243</v>
      </c>
      <c r="K43" s="96" t="s">
        <v>104</v>
      </c>
      <c r="L43" s="96" t="s">
        <v>105</v>
      </c>
      <c r="M43" s="98" t="s">
        <v>106</v>
      </c>
      <c r="N43" s="98" t="s">
        <v>244</v>
      </c>
      <c r="O43" s="98" t="s">
        <v>108</v>
      </c>
      <c r="P43" s="98" t="s">
        <v>245</v>
      </c>
      <c r="Q43" s="98" t="s">
        <v>110</v>
      </c>
      <c r="R43" s="301">
        <v>35</v>
      </c>
      <c r="S43" s="99" t="s">
        <v>111</v>
      </c>
      <c r="T43" s="81">
        <v>35</v>
      </c>
      <c r="U43" s="81">
        <v>0</v>
      </c>
      <c r="V43" s="25">
        <f t="shared" si="57"/>
        <v>0</v>
      </c>
      <c r="W43" s="81">
        <v>35</v>
      </c>
      <c r="X43" s="81">
        <v>10</v>
      </c>
      <c r="Y43" s="25">
        <f t="shared" si="1"/>
        <v>28.571428571428569</v>
      </c>
      <c r="Z43" s="81">
        <v>35</v>
      </c>
      <c r="AA43" s="81"/>
      <c r="AB43" s="25">
        <f t="shared" si="2"/>
        <v>0</v>
      </c>
      <c r="AC43" s="81">
        <v>35</v>
      </c>
      <c r="AD43" s="81"/>
      <c r="AE43" s="25">
        <f t="shared" si="3"/>
        <v>0</v>
      </c>
      <c r="AF43" s="140">
        <f t="shared" si="42"/>
        <v>35</v>
      </c>
      <c r="AG43" s="140">
        <f t="shared" si="43"/>
        <v>10</v>
      </c>
      <c r="AH43" s="138">
        <f t="shared" si="5"/>
        <v>14.285714285714285</v>
      </c>
      <c r="AI43" s="101">
        <v>46054</v>
      </c>
      <c r="AJ43" s="101">
        <v>46477</v>
      </c>
      <c r="AK43" s="102" t="s">
        <v>112</v>
      </c>
      <c r="AL43" s="102" t="s">
        <v>113</v>
      </c>
      <c r="AM43" s="103" t="s">
        <v>114</v>
      </c>
      <c r="AN43" s="104">
        <v>419200000</v>
      </c>
      <c r="AO43" s="104">
        <v>419200000</v>
      </c>
      <c r="AP43" s="104">
        <v>419200000</v>
      </c>
      <c r="AQ43" s="326">
        <v>0</v>
      </c>
      <c r="AR43" s="102" t="s">
        <v>246</v>
      </c>
      <c r="AS43" s="102" t="s">
        <v>112</v>
      </c>
      <c r="AT43" s="152" t="s">
        <v>247</v>
      </c>
      <c r="AU43" s="166" t="s">
        <v>2264</v>
      </c>
      <c r="AV43" s="247" t="s">
        <v>2234</v>
      </c>
      <c r="AW43" s="136" t="s">
        <v>2243</v>
      </c>
      <c r="AX43" s="136" t="s">
        <v>2346</v>
      </c>
      <c r="AY43" s="136" t="s">
        <v>2376</v>
      </c>
      <c r="BA43" s="272">
        <v>0</v>
      </c>
      <c r="BB43" s="273">
        <v>0</v>
      </c>
      <c r="BC43" s="209" t="e">
        <f t="shared" si="7"/>
        <v>#DIV/0!</v>
      </c>
      <c r="BD43" s="272">
        <v>0</v>
      </c>
      <c r="BE43" s="273">
        <v>0</v>
      </c>
      <c r="BF43" s="209" t="e">
        <f t="shared" si="8"/>
        <v>#DIV/0!</v>
      </c>
      <c r="BG43" s="272">
        <v>0</v>
      </c>
      <c r="BH43" s="273">
        <v>0</v>
      </c>
      <c r="BI43" s="209" t="e">
        <f t="shared" si="9"/>
        <v>#DIV/0!</v>
      </c>
      <c r="BJ43" s="210">
        <f t="shared" si="10"/>
        <v>0</v>
      </c>
      <c r="BK43" s="211">
        <f t="shared" si="11"/>
        <v>0</v>
      </c>
      <c r="BL43" s="209" t="e">
        <f t="shared" si="12"/>
        <v>#DIV/0!</v>
      </c>
      <c r="BM43" s="272">
        <v>29</v>
      </c>
      <c r="BN43" s="273">
        <v>4</v>
      </c>
      <c r="BO43" s="209">
        <f t="shared" si="44"/>
        <v>0.13793103448275862</v>
      </c>
      <c r="BP43" s="272">
        <v>29</v>
      </c>
      <c r="BQ43" s="273">
        <v>12</v>
      </c>
      <c r="BR43" s="209">
        <f t="shared" si="45"/>
        <v>0.41379310344827586</v>
      </c>
      <c r="BS43" s="272">
        <v>29</v>
      </c>
      <c r="BT43" s="272">
        <v>13</v>
      </c>
      <c r="BU43" s="209">
        <f t="shared" si="46"/>
        <v>0.44827586206896552</v>
      </c>
      <c r="BV43" s="210">
        <f t="shared" si="16"/>
        <v>87</v>
      </c>
      <c r="BW43" s="210">
        <f t="shared" si="17"/>
        <v>29</v>
      </c>
      <c r="BX43" s="209">
        <f t="shared" si="18"/>
        <v>0.33333333333333331</v>
      </c>
      <c r="BY43" s="209">
        <f t="shared" si="19"/>
        <v>0.82857142857142863</v>
      </c>
      <c r="BZ43" s="209">
        <f t="shared" si="20"/>
        <v>-0.82857142857142863</v>
      </c>
      <c r="CA43" s="212"/>
      <c r="CB43" s="245"/>
      <c r="CC43" s="183">
        <v>29</v>
      </c>
      <c r="CD43" s="184">
        <v>15</v>
      </c>
      <c r="CE43" s="185">
        <f t="shared" si="47"/>
        <v>0.51724137931034486</v>
      </c>
      <c r="CF43" s="183">
        <v>29</v>
      </c>
      <c r="CG43" s="184">
        <v>20</v>
      </c>
      <c r="CH43" s="185">
        <f t="shared" si="48"/>
        <v>0.68965517241379315</v>
      </c>
      <c r="CI43" s="189"/>
      <c r="CJ43" s="190"/>
      <c r="CK43" s="185" t="e">
        <f t="shared" si="49"/>
        <v>#DIV/0!</v>
      </c>
      <c r="CL43" s="187">
        <f t="shared" si="50"/>
        <v>58</v>
      </c>
      <c r="CM43" s="186">
        <f t="shared" si="51"/>
        <v>35</v>
      </c>
      <c r="CN43" s="185">
        <f t="shared" si="52"/>
        <v>0.60344827586206895</v>
      </c>
      <c r="CO43" s="245"/>
      <c r="CP43" s="188">
        <f t="shared" si="53"/>
        <v>145</v>
      </c>
      <c r="CQ43" s="188">
        <f t="shared" si="54"/>
        <v>64</v>
      </c>
      <c r="CR43" s="191">
        <f t="shared" si="55"/>
        <v>0.44137931034482758</v>
      </c>
      <c r="CS43" s="279">
        <f t="shared" si="28"/>
        <v>-29</v>
      </c>
      <c r="CT43" s="245"/>
      <c r="CU43" s="188">
        <f t="shared" si="29"/>
        <v>-8.6999999999999993</v>
      </c>
      <c r="CV43" s="277"/>
      <c r="CW43" s="191">
        <f t="shared" si="30"/>
        <v>0</v>
      </c>
      <c r="CX43" s="188">
        <f t="shared" si="31"/>
        <v>-8.6999999999999993</v>
      </c>
      <c r="CY43" s="277"/>
      <c r="CZ43" s="191">
        <f t="shared" si="32"/>
        <v>0</v>
      </c>
      <c r="DA43" s="188">
        <f t="shared" si="33"/>
        <v>-8.6999999999999993</v>
      </c>
      <c r="DB43" s="277"/>
      <c r="DC43" s="191">
        <f t="shared" si="34"/>
        <v>0</v>
      </c>
      <c r="DD43" s="188">
        <f t="shared" si="35"/>
        <v>-2.9000000000000004</v>
      </c>
      <c r="DE43" s="277"/>
      <c r="DF43" s="191">
        <f t="shared" si="36"/>
        <v>0</v>
      </c>
      <c r="DG43" s="245"/>
      <c r="DH43" s="188">
        <f t="shared" si="37"/>
        <v>35</v>
      </c>
      <c r="DI43" s="188">
        <f t="shared" si="38"/>
        <v>64</v>
      </c>
      <c r="DJ43" s="191">
        <f t="shared" si="39"/>
        <v>1.8285714285714285</v>
      </c>
      <c r="DK43" s="286">
        <f t="shared" si="40"/>
        <v>-29</v>
      </c>
      <c r="DL43" s="261">
        <v>39</v>
      </c>
      <c r="DM43" s="244">
        <f>+A43-DL43</f>
        <v>0</v>
      </c>
    </row>
    <row r="44" spans="1:117" x14ac:dyDescent="0.35">
      <c r="A44" s="263">
        <v>40</v>
      </c>
      <c r="B44" s="102" t="s">
        <v>239</v>
      </c>
      <c r="C44" s="102" t="s">
        <v>97</v>
      </c>
      <c r="D44" s="102" t="s">
        <v>98</v>
      </c>
      <c r="E44" s="102" t="s">
        <v>99</v>
      </c>
      <c r="F44" s="102" t="s">
        <v>240</v>
      </c>
      <c r="G44" s="98" t="s">
        <v>241</v>
      </c>
      <c r="H44" s="98" t="s">
        <v>242</v>
      </c>
      <c r="I44" s="98" t="s">
        <v>243</v>
      </c>
      <c r="J44" s="98" t="s">
        <v>243</v>
      </c>
      <c r="K44" s="96" t="s">
        <v>104</v>
      </c>
      <c r="L44" s="96" t="s">
        <v>105</v>
      </c>
      <c r="M44" s="98" t="s">
        <v>106</v>
      </c>
      <c r="N44" s="98" t="s">
        <v>244</v>
      </c>
      <c r="O44" s="98" t="s">
        <v>108</v>
      </c>
      <c r="P44" s="98" t="s">
        <v>248</v>
      </c>
      <c r="Q44" s="98" t="s">
        <v>110</v>
      </c>
      <c r="R44" s="301">
        <v>102</v>
      </c>
      <c r="S44" s="99" t="s">
        <v>111</v>
      </c>
      <c r="T44" s="81">
        <v>0</v>
      </c>
      <c r="U44" s="81">
        <v>0</v>
      </c>
      <c r="V44" s="25" t="e">
        <f t="shared" si="57"/>
        <v>#DIV/0!</v>
      </c>
      <c r="W44" s="81">
        <v>34</v>
      </c>
      <c r="X44" s="81">
        <v>24</v>
      </c>
      <c r="Y44" s="25">
        <f t="shared" si="1"/>
        <v>70.588235294117652</v>
      </c>
      <c r="Z44" s="81">
        <v>34</v>
      </c>
      <c r="AA44" s="81"/>
      <c r="AB44" s="25">
        <f t="shared" si="2"/>
        <v>0</v>
      </c>
      <c r="AC44" s="81">
        <v>34</v>
      </c>
      <c r="AD44" s="81"/>
      <c r="AE44" s="25">
        <f t="shared" si="3"/>
        <v>0</v>
      </c>
      <c r="AF44" s="140">
        <f t="shared" si="42"/>
        <v>102</v>
      </c>
      <c r="AG44" s="140">
        <f t="shared" si="43"/>
        <v>24</v>
      </c>
      <c r="AH44" s="138">
        <f t="shared" si="5"/>
        <v>70.588235294117652</v>
      </c>
      <c r="AI44" s="101">
        <v>46113</v>
      </c>
      <c r="AJ44" s="101">
        <v>46477</v>
      </c>
      <c r="AK44" s="102" t="s">
        <v>112</v>
      </c>
      <c r="AL44" s="102" t="s">
        <v>113</v>
      </c>
      <c r="AM44" s="103" t="s">
        <v>114</v>
      </c>
      <c r="AN44" s="104">
        <v>171000000</v>
      </c>
      <c r="AO44" s="104">
        <v>171000000</v>
      </c>
      <c r="AP44" s="104">
        <v>171000000</v>
      </c>
      <c r="AQ44" s="326">
        <v>0</v>
      </c>
      <c r="AR44" s="102" t="s">
        <v>246</v>
      </c>
      <c r="AS44" s="102" t="s">
        <v>112</v>
      </c>
      <c r="AT44" s="152" t="s">
        <v>247</v>
      </c>
      <c r="AU44" s="166" t="s">
        <v>2264</v>
      </c>
      <c r="AV44" s="247" t="s">
        <v>2234</v>
      </c>
      <c r="AW44" s="136" t="s">
        <v>2243</v>
      </c>
      <c r="AX44" s="136" t="s">
        <v>2346</v>
      </c>
      <c r="AY44" s="136" t="s">
        <v>2376</v>
      </c>
      <c r="BA44" s="272">
        <v>0</v>
      </c>
      <c r="BB44" s="273">
        <v>0</v>
      </c>
      <c r="BC44" s="209" t="e">
        <f t="shared" si="7"/>
        <v>#DIV/0!</v>
      </c>
      <c r="BD44" s="272">
        <v>0</v>
      </c>
      <c r="BE44" s="273">
        <v>0</v>
      </c>
      <c r="BF44" s="209" t="e">
        <f t="shared" si="8"/>
        <v>#DIV/0!</v>
      </c>
      <c r="BG44" s="272">
        <v>0</v>
      </c>
      <c r="BH44" s="273">
        <v>0</v>
      </c>
      <c r="BI44" s="209" t="e">
        <f t="shared" si="9"/>
        <v>#DIV/0!</v>
      </c>
      <c r="BJ44" s="210">
        <f t="shared" si="10"/>
        <v>0</v>
      </c>
      <c r="BK44" s="211">
        <f t="shared" si="11"/>
        <v>0</v>
      </c>
      <c r="BL44" s="209" t="e">
        <f t="shared" si="12"/>
        <v>#DIV/0!</v>
      </c>
      <c r="BM44" s="272">
        <v>87</v>
      </c>
      <c r="BN44" s="273">
        <v>0</v>
      </c>
      <c r="BO44" s="209">
        <f t="shared" si="44"/>
        <v>0</v>
      </c>
      <c r="BP44" s="272">
        <v>87</v>
      </c>
      <c r="BQ44" s="273">
        <v>0</v>
      </c>
      <c r="BR44" s="209">
        <f t="shared" si="45"/>
        <v>0</v>
      </c>
      <c r="BS44" s="272">
        <v>87</v>
      </c>
      <c r="BT44" s="272">
        <v>3</v>
      </c>
      <c r="BU44" s="209">
        <f t="shared" si="46"/>
        <v>3.4482758620689655E-2</v>
      </c>
      <c r="BV44" s="210">
        <f t="shared" si="16"/>
        <v>261</v>
      </c>
      <c r="BW44" s="210">
        <f t="shared" si="17"/>
        <v>3</v>
      </c>
      <c r="BX44" s="209">
        <f t="shared" si="18"/>
        <v>1.1494252873563218E-2</v>
      </c>
      <c r="BY44" s="209">
        <f t="shared" si="19"/>
        <v>2.9411764705882353E-2</v>
      </c>
      <c r="BZ44" s="209">
        <f t="shared" si="20"/>
        <v>-2.9411764705882353E-2</v>
      </c>
      <c r="CA44" s="212"/>
      <c r="CB44" s="245"/>
      <c r="CC44" s="183">
        <v>87</v>
      </c>
      <c r="CD44" s="184">
        <v>15</v>
      </c>
      <c r="CE44" s="185">
        <f t="shared" si="47"/>
        <v>0.17241379310344829</v>
      </c>
      <c r="CF44" s="183">
        <v>87</v>
      </c>
      <c r="CG44" s="184">
        <v>30</v>
      </c>
      <c r="CH44" s="185">
        <f t="shared" si="48"/>
        <v>0.34482758620689657</v>
      </c>
      <c r="CI44" s="189"/>
      <c r="CJ44" s="190"/>
      <c r="CK44" s="185" t="e">
        <f t="shared" si="49"/>
        <v>#DIV/0!</v>
      </c>
      <c r="CL44" s="187">
        <f t="shared" si="50"/>
        <v>174</v>
      </c>
      <c r="CM44" s="186">
        <f t="shared" si="51"/>
        <v>45</v>
      </c>
      <c r="CN44" s="185">
        <f t="shared" si="52"/>
        <v>0.25862068965517243</v>
      </c>
      <c r="CO44" s="245"/>
      <c r="CP44" s="188">
        <f t="shared" si="53"/>
        <v>435</v>
      </c>
      <c r="CQ44" s="188">
        <f t="shared" si="54"/>
        <v>48</v>
      </c>
      <c r="CR44" s="191">
        <f t="shared" si="55"/>
        <v>0.1103448275862069</v>
      </c>
      <c r="CS44" s="279">
        <f t="shared" si="28"/>
        <v>54</v>
      </c>
      <c r="CT44" s="245"/>
      <c r="CU44" s="188">
        <f t="shared" si="29"/>
        <v>16.2</v>
      </c>
      <c r="CV44" s="277"/>
      <c r="CW44" s="191">
        <f t="shared" si="30"/>
        <v>0</v>
      </c>
      <c r="CX44" s="188">
        <f t="shared" si="31"/>
        <v>16.2</v>
      </c>
      <c r="CY44" s="277"/>
      <c r="CZ44" s="191">
        <f t="shared" si="32"/>
        <v>0</v>
      </c>
      <c r="DA44" s="188">
        <f t="shared" si="33"/>
        <v>16.2</v>
      </c>
      <c r="DB44" s="277"/>
      <c r="DC44" s="191">
        <f t="shared" si="34"/>
        <v>0</v>
      </c>
      <c r="DD44" s="188">
        <f t="shared" si="35"/>
        <v>5.4</v>
      </c>
      <c r="DE44" s="277"/>
      <c r="DF44" s="191">
        <f t="shared" si="36"/>
        <v>0</v>
      </c>
      <c r="DG44" s="245"/>
      <c r="DH44" s="188">
        <f t="shared" si="37"/>
        <v>102</v>
      </c>
      <c r="DI44" s="188">
        <f t="shared" si="38"/>
        <v>48</v>
      </c>
      <c r="DJ44" s="191">
        <f t="shared" si="39"/>
        <v>0.47058823529411764</v>
      </c>
      <c r="DK44" s="286">
        <f t="shared" si="40"/>
        <v>54</v>
      </c>
      <c r="DL44" s="261">
        <v>40</v>
      </c>
      <c r="DM44" s="244">
        <f>+A44-DL44</f>
        <v>0</v>
      </c>
    </row>
    <row r="45" spans="1:117" x14ac:dyDescent="0.35">
      <c r="A45" s="263">
        <v>41</v>
      </c>
      <c r="B45" s="102" t="s">
        <v>239</v>
      </c>
      <c r="C45" s="102" t="s">
        <v>97</v>
      </c>
      <c r="D45" s="102" t="s">
        <v>98</v>
      </c>
      <c r="E45" s="102" t="s">
        <v>99</v>
      </c>
      <c r="F45" s="102" t="s">
        <v>240</v>
      </c>
      <c r="G45" s="98" t="s">
        <v>241</v>
      </c>
      <c r="H45" s="98" t="s">
        <v>242</v>
      </c>
      <c r="I45" s="98" t="s">
        <v>243</v>
      </c>
      <c r="J45" s="98" t="s">
        <v>243</v>
      </c>
      <c r="K45" s="96" t="s">
        <v>104</v>
      </c>
      <c r="L45" s="96" t="s">
        <v>105</v>
      </c>
      <c r="M45" s="98" t="s">
        <v>106</v>
      </c>
      <c r="N45" s="98" t="s">
        <v>244</v>
      </c>
      <c r="O45" s="98" t="s">
        <v>108</v>
      </c>
      <c r="P45" s="98" t="s">
        <v>249</v>
      </c>
      <c r="Q45" s="98" t="s">
        <v>110</v>
      </c>
      <c r="R45" s="301">
        <v>102</v>
      </c>
      <c r="S45" s="99" t="s">
        <v>111</v>
      </c>
      <c r="T45" s="81">
        <v>0</v>
      </c>
      <c r="U45" s="81">
        <v>0</v>
      </c>
      <c r="V45" s="25">
        <v>0</v>
      </c>
      <c r="W45" s="81">
        <v>34</v>
      </c>
      <c r="X45" s="81">
        <v>29</v>
      </c>
      <c r="Y45" s="25">
        <f t="shared" si="1"/>
        <v>85.294117647058826</v>
      </c>
      <c r="Z45" s="81">
        <v>34</v>
      </c>
      <c r="AA45" s="81"/>
      <c r="AB45" s="25">
        <f t="shared" si="2"/>
        <v>0</v>
      </c>
      <c r="AC45" s="81">
        <v>34</v>
      </c>
      <c r="AD45" s="81"/>
      <c r="AE45" s="25">
        <f t="shared" si="3"/>
        <v>0</v>
      </c>
      <c r="AF45" s="140">
        <f t="shared" si="42"/>
        <v>102</v>
      </c>
      <c r="AG45" s="140">
        <f t="shared" si="43"/>
        <v>29</v>
      </c>
      <c r="AH45" s="138">
        <f t="shared" si="5"/>
        <v>85.294117647058826</v>
      </c>
      <c r="AI45" s="101">
        <v>46113</v>
      </c>
      <c r="AJ45" s="101">
        <v>46477</v>
      </c>
      <c r="AK45" s="102" t="s">
        <v>112</v>
      </c>
      <c r="AL45" s="102" t="s">
        <v>113</v>
      </c>
      <c r="AM45" s="103" t="s">
        <v>114</v>
      </c>
      <c r="AN45" s="104">
        <v>119000000</v>
      </c>
      <c r="AO45" s="104">
        <v>119000000</v>
      </c>
      <c r="AP45" s="104">
        <v>119000000</v>
      </c>
      <c r="AQ45" s="326">
        <v>0</v>
      </c>
      <c r="AR45" s="102" t="s">
        <v>159</v>
      </c>
      <c r="AS45" s="102" t="s">
        <v>112</v>
      </c>
      <c r="AT45" s="152" t="s">
        <v>247</v>
      </c>
      <c r="AU45" s="166" t="s">
        <v>2264</v>
      </c>
      <c r="AV45" s="247" t="s">
        <v>2234</v>
      </c>
      <c r="AW45" s="136" t="s">
        <v>2243</v>
      </c>
      <c r="AX45" s="136" t="s">
        <v>2346</v>
      </c>
      <c r="AY45" s="136" t="s">
        <v>2376</v>
      </c>
      <c r="BA45" s="272">
        <v>0</v>
      </c>
      <c r="BB45" s="273">
        <v>0</v>
      </c>
      <c r="BC45" s="209" t="e">
        <f t="shared" si="7"/>
        <v>#DIV/0!</v>
      </c>
      <c r="BD45" s="272">
        <v>0</v>
      </c>
      <c r="BE45" s="273">
        <v>0</v>
      </c>
      <c r="BF45" s="209" t="e">
        <f t="shared" si="8"/>
        <v>#DIV/0!</v>
      </c>
      <c r="BG45" s="272">
        <v>0</v>
      </c>
      <c r="BH45" s="273">
        <v>0</v>
      </c>
      <c r="BI45" s="209" t="e">
        <f t="shared" si="9"/>
        <v>#DIV/0!</v>
      </c>
      <c r="BJ45" s="210">
        <f t="shared" si="10"/>
        <v>0</v>
      </c>
      <c r="BK45" s="211">
        <f t="shared" si="11"/>
        <v>0</v>
      </c>
      <c r="BL45" s="209" t="e">
        <f t="shared" si="12"/>
        <v>#DIV/0!</v>
      </c>
      <c r="BM45" s="272">
        <v>0</v>
      </c>
      <c r="BN45" s="273">
        <v>0</v>
      </c>
      <c r="BO45" s="209" t="e">
        <f t="shared" si="44"/>
        <v>#DIV/0!</v>
      </c>
      <c r="BP45" s="272">
        <v>0</v>
      </c>
      <c r="BQ45" s="273">
        <v>0</v>
      </c>
      <c r="BR45" s="209" t="e">
        <f t="shared" si="45"/>
        <v>#DIV/0!</v>
      </c>
      <c r="BS45" s="272">
        <v>29</v>
      </c>
      <c r="BT45" s="272">
        <v>8</v>
      </c>
      <c r="BU45" s="209">
        <f t="shared" si="46"/>
        <v>0.27586206896551724</v>
      </c>
      <c r="BV45" s="210">
        <f t="shared" si="16"/>
        <v>29</v>
      </c>
      <c r="BW45" s="210">
        <f t="shared" si="17"/>
        <v>8</v>
      </c>
      <c r="BX45" s="209">
        <f t="shared" si="18"/>
        <v>0.27586206896551724</v>
      </c>
      <c r="BY45" s="209">
        <f t="shared" si="19"/>
        <v>7.8431372549019607E-2</v>
      </c>
      <c r="BZ45" s="209">
        <f t="shared" si="20"/>
        <v>-7.8431372549019607E-2</v>
      </c>
      <c r="CA45" s="212"/>
      <c r="CB45" s="245"/>
      <c r="CC45" s="183">
        <v>29</v>
      </c>
      <c r="CD45" s="184">
        <v>21</v>
      </c>
      <c r="CE45" s="185">
        <f t="shared" si="47"/>
        <v>0.72413793103448276</v>
      </c>
      <c r="CF45" s="183">
        <v>0</v>
      </c>
      <c r="CG45" s="184">
        <v>0</v>
      </c>
      <c r="CH45" s="185" t="e">
        <f t="shared" si="48"/>
        <v>#DIV/0!</v>
      </c>
      <c r="CI45" s="189"/>
      <c r="CJ45" s="190"/>
      <c r="CK45" s="185" t="e">
        <f t="shared" si="49"/>
        <v>#DIV/0!</v>
      </c>
      <c r="CL45" s="187">
        <f t="shared" si="50"/>
        <v>29</v>
      </c>
      <c r="CM45" s="186">
        <f t="shared" si="51"/>
        <v>21</v>
      </c>
      <c r="CN45" s="185">
        <f t="shared" si="52"/>
        <v>0.72413793103448276</v>
      </c>
      <c r="CO45" s="245"/>
      <c r="CP45" s="188">
        <f t="shared" si="53"/>
        <v>58</v>
      </c>
      <c r="CQ45" s="188">
        <f t="shared" si="54"/>
        <v>29</v>
      </c>
      <c r="CR45" s="191">
        <f t="shared" si="55"/>
        <v>0.5</v>
      </c>
      <c r="CS45" s="279">
        <f t="shared" si="28"/>
        <v>73</v>
      </c>
      <c r="CT45" s="245"/>
      <c r="CU45" s="188">
        <f t="shared" si="29"/>
        <v>21.9</v>
      </c>
      <c r="CV45" s="277"/>
      <c r="CW45" s="191">
        <f t="shared" si="30"/>
        <v>0</v>
      </c>
      <c r="CX45" s="188">
        <f t="shared" si="31"/>
        <v>21.9</v>
      </c>
      <c r="CY45" s="277"/>
      <c r="CZ45" s="191">
        <f t="shared" si="32"/>
        <v>0</v>
      </c>
      <c r="DA45" s="188">
        <f t="shared" si="33"/>
        <v>21.9</v>
      </c>
      <c r="DB45" s="277"/>
      <c r="DC45" s="191">
        <f t="shared" si="34"/>
        <v>0</v>
      </c>
      <c r="DD45" s="188">
        <f t="shared" si="35"/>
        <v>7.3000000000000007</v>
      </c>
      <c r="DE45" s="277"/>
      <c r="DF45" s="191">
        <f t="shared" si="36"/>
        <v>0</v>
      </c>
      <c r="DG45" s="245"/>
      <c r="DH45" s="188">
        <f t="shared" si="37"/>
        <v>102</v>
      </c>
      <c r="DI45" s="188">
        <f t="shared" si="38"/>
        <v>29</v>
      </c>
      <c r="DJ45" s="191">
        <f t="shared" si="39"/>
        <v>0.28431372549019607</v>
      </c>
      <c r="DK45" s="286">
        <f t="shared" si="40"/>
        <v>73</v>
      </c>
      <c r="DL45" s="261">
        <v>41</v>
      </c>
      <c r="DM45" s="244">
        <f>+A45-DL45</f>
        <v>0</v>
      </c>
    </row>
    <row r="46" spans="1:117" x14ac:dyDescent="0.35">
      <c r="A46" s="263">
        <v>42</v>
      </c>
      <c r="B46" s="102" t="s">
        <v>250</v>
      </c>
      <c r="C46" s="102" t="s">
        <v>133</v>
      </c>
      <c r="D46" s="102" t="s">
        <v>119</v>
      </c>
      <c r="E46" s="102" t="s">
        <v>134</v>
      </c>
      <c r="F46" s="102" t="s">
        <v>251</v>
      </c>
      <c r="G46" s="98" t="s">
        <v>252</v>
      </c>
      <c r="H46" s="98" t="s">
        <v>253</v>
      </c>
      <c r="I46" s="98" t="s">
        <v>254</v>
      </c>
      <c r="J46" s="98" t="s">
        <v>254</v>
      </c>
      <c r="K46" s="96" t="s">
        <v>104</v>
      </c>
      <c r="L46" s="96" t="s">
        <v>105</v>
      </c>
      <c r="M46" s="98" t="s">
        <v>106</v>
      </c>
      <c r="N46" s="98" t="s">
        <v>255</v>
      </c>
      <c r="O46" s="98" t="s">
        <v>127</v>
      </c>
      <c r="P46" s="258" t="s">
        <v>256</v>
      </c>
      <c r="Q46" s="98" t="s">
        <v>129</v>
      </c>
      <c r="R46" s="301">
        <v>1</v>
      </c>
      <c r="S46" s="99" t="s">
        <v>111</v>
      </c>
      <c r="T46" s="81">
        <v>0</v>
      </c>
      <c r="U46" s="81">
        <v>0</v>
      </c>
      <c r="V46" s="25">
        <v>0</v>
      </c>
      <c r="W46" s="81">
        <v>0</v>
      </c>
      <c r="X46" s="81">
        <v>0</v>
      </c>
      <c r="Y46" s="25" t="e">
        <f t="shared" si="1"/>
        <v>#DIV/0!</v>
      </c>
      <c r="Z46" s="81">
        <v>1</v>
      </c>
      <c r="AA46" s="81"/>
      <c r="AB46" s="25">
        <f t="shared" si="2"/>
        <v>0</v>
      </c>
      <c r="AC46" s="81">
        <v>1</v>
      </c>
      <c r="AD46" s="81"/>
      <c r="AE46" s="25">
        <f t="shared" si="3"/>
        <v>0</v>
      </c>
      <c r="AF46" s="140">
        <f t="shared" si="42"/>
        <v>1</v>
      </c>
      <c r="AG46" s="140">
        <f t="shared" si="43"/>
        <v>0</v>
      </c>
      <c r="AH46" s="138" t="e">
        <f t="shared" si="5"/>
        <v>#DIV/0!</v>
      </c>
      <c r="AI46" s="101">
        <v>46054</v>
      </c>
      <c r="AJ46" s="101">
        <v>46477</v>
      </c>
      <c r="AK46" s="102" t="s">
        <v>112</v>
      </c>
      <c r="AL46" s="102" t="s">
        <v>113</v>
      </c>
      <c r="AM46" s="103" t="s">
        <v>114</v>
      </c>
      <c r="AN46" s="104">
        <v>120000000</v>
      </c>
      <c r="AO46" s="104">
        <v>120000000</v>
      </c>
      <c r="AP46" s="104">
        <v>120000000</v>
      </c>
      <c r="AQ46" s="326">
        <v>0</v>
      </c>
      <c r="AR46" s="102" t="s">
        <v>246</v>
      </c>
      <c r="AS46" s="102" t="s">
        <v>112</v>
      </c>
      <c r="AT46" s="152" t="s">
        <v>247</v>
      </c>
      <c r="AU46" s="166" t="s">
        <v>2264</v>
      </c>
      <c r="AV46" s="247" t="s">
        <v>2234</v>
      </c>
      <c r="AW46" s="136" t="s">
        <v>2243</v>
      </c>
      <c r="AX46" s="136" t="s">
        <v>2346</v>
      </c>
      <c r="AY46" s="136" t="s">
        <v>2376</v>
      </c>
      <c r="BA46" s="272"/>
      <c r="BB46" s="273"/>
      <c r="BC46" s="209" t="e">
        <f t="shared" si="7"/>
        <v>#DIV/0!</v>
      </c>
      <c r="BD46" s="272"/>
      <c r="BE46" s="273"/>
      <c r="BF46" s="209" t="e">
        <f t="shared" si="8"/>
        <v>#DIV/0!</v>
      </c>
      <c r="BG46" s="272"/>
      <c r="BH46" s="273"/>
      <c r="BI46" s="209" t="e">
        <f t="shared" si="9"/>
        <v>#DIV/0!</v>
      </c>
      <c r="BJ46" s="210">
        <f t="shared" si="10"/>
        <v>0</v>
      </c>
      <c r="BK46" s="211">
        <f t="shared" si="11"/>
        <v>0</v>
      </c>
      <c r="BL46" s="209" t="e">
        <f t="shared" si="12"/>
        <v>#DIV/0!</v>
      </c>
      <c r="BM46" s="272"/>
      <c r="BN46" s="273"/>
      <c r="BO46" s="209" t="e">
        <f t="shared" si="44"/>
        <v>#DIV/0!</v>
      </c>
      <c r="BP46" s="272"/>
      <c r="BQ46" s="273"/>
      <c r="BR46" s="209" t="e">
        <f t="shared" si="45"/>
        <v>#DIV/0!</v>
      </c>
      <c r="BS46" s="272"/>
      <c r="BT46" s="272"/>
      <c r="BU46" s="209" t="e">
        <f t="shared" si="46"/>
        <v>#DIV/0!</v>
      </c>
      <c r="BV46" s="210">
        <f t="shared" si="16"/>
        <v>0</v>
      </c>
      <c r="BW46" s="210">
        <f t="shared" si="17"/>
        <v>0</v>
      </c>
      <c r="BX46" s="209" t="e">
        <f t="shared" si="18"/>
        <v>#DIV/0!</v>
      </c>
      <c r="BY46" s="209">
        <f t="shared" si="19"/>
        <v>0</v>
      </c>
      <c r="BZ46" s="209">
        <f t="shared" si="20"/>
        <v>0</v>
      </c>
      <c r="CA46" s="212"/>
      <c r="CB46" s="245"/>
      <c r="CC46" s="183"/>
      <c r="CD46" s="184"/>
      <c r="CE46" s="185" t="e">
        <f t="shared" si="47"/>
        <v>#DIV/0!</v>
      </c>
      <c r="CF46" s="183"/>
      <c r="CG46" s="184"/>
      <c r="CH46" s="185" t="e">
        <f t="shared" si="48"/>
        <v>#DIV/0!</v>
      </c>
      <c r="CI46" s="189"/>
      <c r="CJ46" s="190"/>
      <c r="CK46" s="185" t="e">
        <f t="shared" si="49"/>
        <v>#DIV/0!</v>
      </c>
      <c r="CL46" s="187">
        <f t="shared" si="50"/>
        <v>0</v>
      </c>
      <c r="CM46" s="186">
        <f t="shared" si="51"/>
        <v>0</v>
      </c>
      <c r="CN46" s="185" t="e">
        <f t="shared" si="52"/>
        <v>#DIV/0!</v>
      </c>
      <c r="CO46" s="245"/>
      <c r="CP46" s="188">
        <f t="shared" si="53"/>
        <v>0</v>
      </c>
      <c r="CQ46" s="188">
        <f t="shared" si="54"/>
        <v>0</v>
      </c>
      <c r="CR46" s="191" t="e">
        <f t="shared" si="55"/>
        <v>#DIV/0!</v>
      </c>
      <c r="CS46" s="279">
        <f t="shared" si="28"/>
        <v>1</v>
      </c>
      <c r="CT46" s="245"/>
      <c r="CU46" s="188">
        <f t="shared" si="29"/>
        <v>0.3</v>
      </c>
      <c r="CV46" s="277"/>
      <c r="CW46" s="191">
        <f t="shared" si="30"/>
        <v>0</v>
      </c>
      <c r="CX46" s="188">
        <f t="shared" si="31"/>
        <v>0.3</v>
      </c>
      <c r="CY46" s="277"/>
      <c r="CZ46" s="191">
        <f t="shared" si="32"/>
        <v>0</v>
      </c>
      <c r="DA46" s="188">
        <f t="shared" si="33"/>
        <v>0.3</v>
      </c>
      <c r="DB46" s="277"/>
      <c r="DC46" s="191">
        <f t="shared" si="34"/>
        <v>0</v>
      </c>
      <c r="DD46" s="188">
        <f t="shared" si="35"/>
        <v>0.1</v>
      </c>
      <c r="DE46" s="277"/>
      <c r="DF46" s="191">
        <f t="shared" si="36"/>
        <v>0</v>
      </c>
      <c r="DG46" s="245"/>
      <c r="DH46" s="188">
        <f t="shared" si="37"/>
        <v>1</v>
      </c>
      <c r="DI46" s="188">
        <f t="shared" si="38"/>
        <v>0</v>
      </c>
      <c r="DJ46" s="191">
        <f t="shared" si="39"/>
        <v>0</v>
      </c>
      <c r="DK46" s="286">
        <f t="shared" si="40"/>
        <v>1</v>
      </c>
      <c r="DL46" s="261">
        <v>42</v>
      </c>
      <c r="DM46" s="244">
        <f>+A46-DL46</f>
        <v>0</v>
      </c>
    </row>
    <row r="47" spans="1:117" x14ac:dyDescent="0.35">
      <c r="A47" s="263">
        <v>43</v>
      </c>
      <c r="B47" s="102" t="s">
        <v>250</v>
      </c>
      <c r="C47" s="102" t="s">
        <v>133</v>
      </c>
      <c r="D47" s="102" t="s">
        <v>119</v>
      </c>
      <c r="E47" s="102" t="s">
        <v>134</v>
      </c>
      <c r="F47" s="102" t="s">
        <v>257</v>
      </c>
      <c r="G47" s="98" t="s">
        <v>258</v>
      </c>
      <c r="H47" s="98" t="s">
        <v>259</v>
      </c>
      <c r="I47" s="98" t="s">
        <v>243</v>
      </c>
      <c r="J47" s="98" t="s">
        <v>243</v>
      </c>
      <c r="K47" s="96" t="s">
        <v>104</v>
      </c>
      <c r="L47" s="96" t="s">
        <v>105</v>
      </c>
      <c r="M47" s="98" t="s">
        <v>106</v>
      </c>
      <c r="N47" s="98" t="s">
        <v>260</v>
      </c>
      <c r="O47" s="98" t="s">
        <v>127</v>
      </c>
      <c r="P47" s="258" t="s">
        <v>261</v>
      </c>
      <c r="Q47" s="98" t="s">
        <v>129</v>
      </c>
      <c r="R47" s="301">
        <v>4</v>
      </c>
      <c r="S47" s="99" t="s">
        <v>111</v>
      </c>
      <c r="T47" s="81">
        <v>0</v>
      </c>
      <c r="U47" s="81">
        <v>0</v>
      </c>
      <c r="V47" s="25">
        <v>0</v>
      </c>
      <c r="W47" s="81">
        <v>1</v>
      </c>
      <c r="X47" s="81">
        <v>0</v>
      </c>
      <c r="Y47" s="25">
        <f t="shared" si="1"/>
        <v>0</v>
      </c>
      <c r="Z47" s="81">
        <v>2</v>
      </c>
      <c r="AA47" s="81"/>
      <c r="AB47" s="25">
        <f t="shared" si="2"/>
        <v>0</v>
      </c>
      <c r="AC47" s="81">
        <v>4</v>
      </c>
      <c r="AD47" s="81"/>
      <c r="AE47" s="25">
        <f t="shared" si="3"/>
        <v>0</v>
      </c>
      <c r="AF47" s="140">
        <f t="shared" si="42"/>
        <v>4</v>
      </c>
      <c r="AG47" s="140">
        <f t="shared" si="43"/>
        <v>0</v>
      </c>
      <c r="AH47" s="138">
        <f t="shared" si="5"/>
        <v>0</v>
      </c>
      <c r="AI47" s="101">
        <v>46113</v>
      </c>
      <c r="AJ47" s="101">
        <v>46477</v>
      </c>
      <c r="AK47" s="102" t="s">
        <v>112</v>
      </c>
      <c r="AL47" s="102" t="s">
        <v>113</v>
      </c>
      <c r="AM47" s="103" t="s">
        <v>114</v>
      </c>
      <c r="AN47" s="104">
        <v>120000000</v>
      </c>
      <c r="AO47" s="104">
        <v>120000000</v>
      </c>
      <c r="AP47" s="104">
        <v>120000000</v>
      </c>
      <c r="AQ47" s="326">
        <v>0</v>
      </c>
      <c r="AR47" s="102" t="s">
        <v>262</v>
      </c>
      <c r="AS47" s="102" t="s">
        <v>112</v>
      </c>
      <c r="AT47" s="152" t="s">
        <v>247</v>
      </c>
      <c r="AU47" s="166" t="s">
        <v>2264</v>
      </c>
      <c r="AV47" s="247" t="s">
        <v>2234</v>
      </c>
      <c r="AW47" s="136" t="s">
        <v>2243</v>
      </c>
      <c r="AX47" s="136" t="s">
        <v>2346</v>
      </c>
      <c r="AY47" s="136" t="s">
        <v>2376</v>
      </c>
      <c r="BA47" s="272"/>
      <c r="BB47" s="273"/>
      <c r="BC47" s="209" t="e">
        <f t="shared" si="7"/>
        <v>#DIV/0!</v>
      </c>
      <c r="BD47" s="272"/>
      <c r="BE47" s="273"/>
      <c r="BF47" s="209" t="e">
        <f t="shared" si="8"/>
        <v>#DIV/0!</v>
      </c>
      <c r="BG47" s="272"/>
      <c r="BH47" s="273"/>
      <c r="BI47" s="209" t="e">
        <f t="shared" si="9"/>
        <v>#DIV/0!</v>
      </c>
      <c r="BJ47" s="210">
        <f t="shared" si="10"/>
        <v>0</v>
      </c>
      <c r="BK47" s="211">
        <f t="shared" si="11"/>
        <v>0</v>
      </c>
      <c r="BL47" s="209" t="e">
        <f t="shared" si="12"/>
        <v>#DIV/0!</v>
      </c>
      <c r="BM47" s="272"/>
      <c r="BN47" s="273"/>
      <c r="BO47" s="209" t="e">
        <f t="shared" si="44"/>
        <v>#DIV/0!</v>
      </c>
      <c r="BP47" s="272"/>
      <c r="BQ47" s="273"/>
      <c r="BR47" s="209" t="e">
        <f t="shared" si="45"/>
        <v>#DIV/0!</v>
      </c>
      <c r="BS47" s="272"/>
      <c r="BT47" s="272"/>
      <c r="BU47" s="209" t="e">
        <f t="shared" si="46"/>
        <v>#DIV/0!</v>
      </c>
      <c r="BV47" s="210">
        <f t="shared" si="16"/>
        <v>0</v>
      </c>
      <c r="BW47" s="210">
        <f t="shared" si="17"/>
        <v>0</v>
      </c>
      <c r="BX47" s="209" t="e">
        <f t="shared" si="18"/>
        <v>#DIV/0!</v>
      </c>
      <c r="BY47" s="209">
        <f t="shared" si="19"/>
        <v>0</v>
      </c>
      <c r="BZ47" s="209">
        <f t="shared" si="20"/>
        <v>0</v>
      </c>
      <c r="CA47" s="212"/>
      <c r="CB47" s="245"/>
      <c r="CC47" s="183"/>
      <c r="CD47" s="184"/>
      <c r="CE47" s="185" t="e">
        <f t="shared" si="47"/>
        <v>#DIV/0!</v>
      </c>
      <c r="CF47" s="183"/>
      <c r="CG47" s="184"/>
      <c r="CH47" s="185" t="e">
        <f t="shared" si="48"/>
        <v>#DIV/0!</v>
      </c>
      <c r="CI47" s="189"/>
      <c r="CJ47" s="190"/>
      <c r="CK47" s="185" t="e">
        <f t="shared" si="49"/>
        <v>#DIV/0!</v>
      </c>
      <c r="CL47" s="187">
        <f t="shared" si="50"/>
        <v>0</v>
      </c>
      <c r="CM47" s="186">
        <f t="shared" si="51"/>
        <v>0</v>
      </c>
      <c r="CN47" s="185" t="e">
        <f t="shared" si="52"/>
        <v>#DIV/0!</v>
      </c>
      <c r="CO47" s="245"/>
      <c r="CP47" s="188">
        <f t="shared" si="53"/>
        <v>0</v>
      </c>
      <c r="CQ47" s="188">
        <f t="shared" si="54"/>
        <v>0</v>
      </c>
      <c r="CR47" s="191" t="e">
        <f t="shared" si="55"/>
        <v>#DIV/0!</v>
      </c>
      <c r="CS47" s="279">
        <f t="shared" si="28"/>
        <v>4</v>
      </c>
      <c r="CT47" s="245"/>
      <c r="CU47" s="188">
        <f t="shared" si="29"/>
        <v>1.2</v>
      </c>
      <c r="CV47" s="277"/>
      <c r="CW47" s="191">
        <f t="shared" si="30"/>
        <v>0</v>
      </c>
      <c r="CX47" s="188">
        <f t="shared" si="31"/>
        <v>1.2</v>
      </c>
      <c r="CY47" s="277"/>
      <c r="CZ47" s="191">
        <f t="shared" si="32"/>
        <v>0</v>
      </c>
      <c r="DA47" s="188">
        <f t="shared" si="33"/>
        <v>1.2</v>
      </c>
      <c r="DB47" s="277"/>
      <c r="DC47" s="191">
        <f t="shared" si="34"/>
        <v>0</v>
      </c>
      <c r="DD47" s="188">
        <f t="shared" si="35"/>
        <v>0.4</v>
      </c>
      <c r="DE47" s="277"/>
      <c r="DF47" s="191">
        <f t="shared" si="36"/>
        <v>0</v>
      </c>
      <c r="DG47" s="245"/>
      <c r="DH47" s="188">
        <f t="shared" si="37"/>
        <v>4</v>
      </c>
      <c r="DI47" s="188">
        <f t="shared" si="38"/>
        <v>0</v>
      </c>
      <c r="DJ47" s="191">
        <f t="shared" si="39"/>
        <v>0</v>
      </c>
      <c r="DK47" s="286">
        <f t="shared" si="40"/>
        <v>4</v>
      </c>
      <c r="DL47" s="261">
        <v>43</v>
      </c>
      <c r="DM47" s="244">
        <f>+A47-DL47</f>
        <v>0</v>
      </c>
    </row>
    <row r="48" spans="1:117" x14ac:dyDescent="0.35">
      <c r="A48" s="263">
        <v>44</v>
      </c>
      <c r="B48" s="102" t="s">
        <v>250</v>
      </c>
      <c r="C48" s="102" t="s">
        <v>133</v>
      </c>
      <c r="D48" s="102" t="s">
        <v>119</v>
      </c>
      <c r="E48" s="102" t="s">
        <v>134</v>
      </c>
      <c r="F48" s="102" t="s">
        <v>257</v>
      </c>
      <c r="G48" s="98" t="s">
        <v>258</v>
      </c>
      <c r="H48" s="98" t="s">
        <v>259</v>
      </c>
      <c r="I48" s="98" t="s">
        <v>243</v>
      </c>
      <c r="J48" s="98" t="s">
        <v>243</v>
      </c>
      <c r="K48" s="96" t="s">
        <v>104</v>
      </c>
      <c r="L48" s="96" t="s">
        <v>105</v>
      </c>
      <c r="M48" s="98" t="s">
        <v>106</v>
      </c>
      <c r="N48" s="98" t="s">
        <v>260</v>
      </c>
      <c r="O48" s="98" t="s">
        <v>127</v>
      </c>
      <c r="P48" s="258" t="s">
        <v>263</v>
      </c>
      <c r="Q48" s="98" t="s">
        <v>129</v>
      </c>
      <c r="R48" s="301">
        <v>4</v>
      </c>
      <c r="S48" s="99" t="s">
        <v>111</v>
      </c>
      <c r="T48" s="81">
        <v>0</v>
      </c>
      <c r="U48" s="81">
        <v>0</v>
      </c>
      <c r="V48" s="25">
        <v>0</v>
      </c>
      <c r="W48" s="81">
        <v>1</v>
      </c>
      <c r="X48" s="81">
        <v>0</v>
      </c>
      <c r="Y48" s="25">
        <f t="shared" si="1"/>
        <v>0</v>
      </c>
      <c r="Z48" s="81">
        <v>1</v>
      </c>
      <c r="AA48" s="81"/>
      <c r="AB48" s="25">
        <f t="shared" si="2"/>
        <v>0</v>
      </c>
      <c r="AC48" s="81">
        <v>2</v>
      </c>
      <c r="AD48" s="81"/>
      <c r="AE48" s="25">
        <f t="shared" si="3"/>
        <v>0</v>
      </c>
      <c r="AF48" s="140">
        <f t="shared" si="42"/>
        <v>4</v>
      </c>
      <c r="AG48" s="140">
        <f t="shared" si="43"/>
        <v>0</v>
      </c>
      <c r="AH48" s="138">
        <f t="shared" si="5"/>
        <v>0</v>
      </c>
      <c r="AI48" s="101">
        <v>46113</v>
      </c>
      <c r="AJ48" s="101">
        <v>46477</v>
      </c>
      <c r="AK48" s="102" t="s">
        <v>112</v>
      </c>
      <c r="AL48" s="102" t="s">
        <v>113</v>
      </c>
      <c r="AM48" s="103" t="s">
        <v>114</v>
      </c>
      <c r="AN48" s="104">
        <v>120000000</v>
      </c>
      <c r="AO48" s="104">
        <v>120000000</v>
      </c>
      <c r="AP48" s="104">
        <v>120000000</v>
      </c>
      <c r="AQ48" s="326">
        <v>0</v>
      </c>
      <c r="AR48" s="102" t="s">
        <v>262</v>
      </c>
      <c r="AS48" s="102" t="s">
        <v>112</v>
      </c>
      <c r="AT48" s="152" t="s">
        <v>247</v>
      </c>
      <c r="AU48" s="166" t="s">
        <v>2264</v>
      </c>
      <c r="AV48" s="247" t="s">
        <v>2234</v>
      </c>
      <c r="AW48" s="136" t="s">
        <v>2243</v>
      </c>
      <c r="AX48" s="136" t="s">
        <v>2346</v>
      </c>
      <c r="AY48" s="136" t="s">
        <v>2376</v>
      </c>
      <c r="BA48" s="272"/>
      <c r="BB48" s="273"/>
      <c r="BC48" s="209" t="e">
        <f t="shared" si="7"/>
        <v>#DIV/0!</v>
      </c>
      <c r="BD48" s="272"/>
      <c r="BE48" s="273"/>
      <c r="BF48" s="209" t="e">
        <f t="shared" si="8"/>
        <v>#DIV/0!</v>
      </c>
      <c r="BG48" s="272"/>
      <c r="BH48" s="273"/>
      <c r="BI48" s="209" t="e">
        <f t="shared" si="9"/>
        <v>#DIV/0!</v>
      </c>
      <c r="BJ48" s="210">
        <f t="shared" si="10"/>
        <v>0</v>
      </c>
      <c r="BK48" s="211">
        <f t="shared" si="11"/>
        <v>0</v>
      </c>
      <c r="BL48" s="209" t="e">
        <f t="shared" si="12"/>
        <v>#DIV/0!</v>
      </c>
      <c r="BM48" s="272"/>
      <c r="BN48" s="273"/>
      <c r="BO48" s="209" t="e">
        <f t="shared" si="44"/>
        <v>#DIV/0!</v>
      </c>
      <c r="BP48" s="272"/>
      <c r="BQ48" s="273"/>
      <c r="BR48" s="209" t="e">
        <f t="shared" si="45"/>
        <v>#DIV/0!</v>
      </c>
      <c r="BS48" s="272"/>
      <c r="BT48" s="272"/>
      <c r="BU48" s="209" t="e">
        <f t="shared" si="46"/>
        <v>#DIV/0!</v>
      </c>
      <c r="BV48" s="210">
        <f t="shared" si="16"/>
        <v>0</v>
      </c>
      <c r="BW48" s="210">
        <f t="shared" si="17"/>
        <v>0</v>
      </c>
      <c r="BX48" s="209" t="e">
        <f t="shared" si="18"/>
        <v>#DIV/0!</v>
      </c>
      <c r="BY48" s="209">
        <f t="shared" si="19"/>
        <v>0</v>
      </c>
      <c r="BZ48" s="209">
        <f t="shared" si="20"/>
        <v>0</v>
      </c>
      <c r="CA48" s="212"/>
      <c r="CB48" s="245"/>
      <c r="CC48" s="183"/>
      <c r="CD48" s="184"/>
      <c r="CE48" s="185" t="e">
        <f t="shared" si="47"/>
        <v>#DIV/0!</v>
      </c>
      <c r="CF48" s="183"/>
      <c r="CG48" s="184"/>
      <c r="CH48" s="185" t="e">
        <f t="shared" si="48"/>
        <v>#DIV/0!</v>
      </c>
      <c r="CI48" s="189"/>
      <c r="CJ48" s="190"/>
      <c r="CK48" s="185" t="e">
        <f t="shared" si="49"/>
        <v>#DIV/0!</v>
      </c>
      <c r="CL48" s="187">
        <f t="shared" si="50"/>
        <v>0</v>
      </c>
      <c r="CM48" s="186">
        <f t="shared" si="51"/>
        <v>0</v>
      </c>
      <c r="CN48" s="185" t="e">
        <f t="shared" si="52"/>
        <v>#DIV/0!</v>
      </c>
      <c r="CO48" s="245"/>
      <c r="CP48" s="188">
        <f t="shared" si="53"/>
        <v>0</v>
      </c>
      <c r="CQ48" s="188">
        <f t="shared" si="54"/>
        <v>0</v>
      </c>
      <c r="CR48" s="191" t="e">
        <f t="shared" si="55"/>
        <v>#DIV/0!</v>
      </c>
      <c r="CS48" s="279">
        <f t="shared" si="28"/>
        <v>4</v>
      </c>
      <c r="CT48" s="245"/>
      <c r="CU48" s="188">
        <f t="shared" si="29"/>
        <v>1.2</v>
      </c>
      <c r="CV48" s="277"/>
      <c r="CW48" s="191">
        <f t="shared" si="30"/>
        <v>0</v>
      </c>
      <c r="CX48" s="188">
        <f t="shared" si="31"/>
        <v>1.2</v>
      </c>
      <c r="CY48" s="277"/>
      <c r="CZ48" s="191">
        <f t="shared" si="32"/>
        <v>0</v>
      </c>
      <c r="DA48" s="188">
        <f t="shared" si="33"/>
        <v>1.2</v>
      </c>
      <c r="DB48" s="277"/>
      <c r="DC48" s="191">
        <f t="shared" si="34"/>
        <v>0</v>
      </c>
      <c r="DD48" s="188">
        <f t="shared" si="35"/>
        <v>0.4</v>
      </c>
      <c r="DE48" s="277"/>
      <c r="DF48" s="191">
        <f t="shared" si="36"/>
        <v>0</v>
      </c>
      <c r="DG48" s="245"/>
      <c r="DH48" s="188">
        <f t="shared" si="37"/>
        <v>4</v>
      </c>
      <c r="DI48" s="188">
        <f t="shared" si="38"/>
        <v>0</v>
      </c>
      <c r="DJ48" s="191">
        <f t="shared" si="39"/>
        <v>0</v>
      </c>
      <c r="DK48" s="286">
        <f t="shared" si="40"/>
        <v>4</v>
      </c>
      <c r="DL48" s="261">
        <v>44</v>
      </c>
      <c r="DM48" s="244">
        <f>+A48-DL48</f>
        <v>0</v>
      </c>
    </row>
    <row r="49" spans="1:117" x14ac:dyDescent="0.35">
      <c r="A49" s="263">
        <v>45</v>
      </c>
      <c r="B49" s="102" t="s">
        <v>250</v>
      </c>
      <c r="C49" s="102" t="s">
        <v>133</v>
      </c>
      <c r="D49" s="102" t="s">
        <v>119</v>
      </c>
      <c r="E49" s="102" t="s">
        <v>134</v>
      </c>
      <c r="F49" s="102" t="s">
        <v>257</v>
      </c>
      <c r="G49" s="98" t="s">
        <v>258</v>
      </c>
      <c r="H49" s="98" t="s">
        <v>259</v>
      </c>
      <c r="I49" s="98" t="s">
        <v>243</v>
      </c>
      <c r="J49" s="98" t="s">
        <v>243</v>
      </c>
      <c r="K49" s="96" t="s">
        <v>104</v>
      </c>
      <c r="L49" s="96" t="s">
        <v>105</v>
      </c>
      <c r="M49" s="98" t="s">
        <v>106</v>
      </c>
      <c r="N49" s="98" t="s">
        <v>260</v>
      </c>
      <c r="O49" s="98" t="s">
        <v>127</v>
      </c>
      <c r="P49" s="258" t="s">
        <v>264</v>
      </c>
      <c r="Q49" s="98" t="s">
        <v>129</v>
      </c>
      <c r="R49" s="301">
        <v>2</v>
      </c>
      <c r="S49" s="99" t="s">
        <v>111</v>
      </c>
      <c r="T49" s="81">
        <v>0</v>
      </c>
      <c r="U49" s="81">
        <v>0</v>
      </c>
      <c r="V49" s="25">
        <v>0</v>
      </c>
      <c r="W49" s="81">
        <v>0</v>
      </c>
      <c r="X49" s="81">
        <v>0</v>
      </c>
      <c r="Y49" s="25" t="e">
        <f t="shared" si="1"/>
        <v>#DIV/0!</v>
      </c>
      <c r="Z49" s="81">
        <v>1</v>
      </c>
      <c r="AA49" s="81"/>
      <c r="AB49" s="25">
        <f t="shared" si="2"/>
        <v>0</v>
      </c>
      <c r="AC49" s="81">
        <v>1</v>
      </c>
      <c r="AD49" s="81"/>
      <c r="AE49" s="25">
        <f t="shared" si="3"/>
        <v>0</v>
      </c>
      <c r="AF49" s="140">
        <f t="shared" si="42"/>
        <v>2</v>
      </c>
      <c r="AG49" s="140">
        <f t="shared" si="43"/>
        <v>0</v>
      </c>
      <c r="AH49" s="138" t="e">
        <f t="shared" si="5"/>
        <v>#DIV/0!</v>
      </c>
      <c r="AI49" s="101">
        <v>46113</v>
      </c>
      <c r="AJ49" s="101">
        <v>46477</v>
      </c>
      <c r="AK49" s="102" t="s">
        <v>112</v>
      </c>
      <c r="AL49" s="102" t="s">
        <v>113</v>
      </c>
      <c r="AM49" s="103" t="s">
        <v>114</v>
      </c>
      <c r="AN49" s="104">
        <v>60000000</v>
      </c>
      <c r="AO49" s="104">
        <v>60000000</v>
      </c>
      <c r="AP49" s="104">
        <v>60000000</v>
      </c>
      <c r="AQ49" s="326">
        <v>0</v>
      </c>
      <c r="AR49" s="102" t="s">
        <v>262</v>
      </c>
      <c r="AS49" s="102" t="s">
        <v>112</v>
      </c>
      <c r="AT49" s="152" t="s">
        <v>247</v>
      </c>
      <c r="AU49" s="166" t="s">
        <v>2264</v>
      </c>
      <c r="AV49" s="247" t="s">
        <v>2234</v>
      </c>
      <c r="AW49" s="136" t="s">
        <v>2243</v>
      </c>
      <c r="AX49" s="136" t="s">
        <v>2346</v>
      </c>
      <c r="AY49" s="136" t="s">
        <v>2376</v>
      </c>
      <c r="BA49" s="272"/>
      <c r="BB49" s="273"/>
      <c r="BC49" s="209" t="e">
        <f t="shared" si="7"/>
        <v>#DIV/0!</v>
      </c>
      <c r="BD49" s="272"/>
      <c r="BE49" s="273"/>
      <c r="BF49" s="209" t="e">
        <f t="shared" si="8"/>
        <v>#DIV/0!</v>
      </c>
      <c r="BG49" s="272"/>
      <c r="BH49" s="273"/>
      <c r="BI49" s="209" t="e">
        <f t="shared" si="9"/>
        <v>#DIV/0!</v>
      </c>
      <c r="BJ49" s="210">
        <f t="shared" si="10"/>
        <v>0</v>
      </c>
      <c r="BK49" s="211">
        <f t="shared" si="11"/>
        <v>0</v>
      </c>
      <c r="BL49" s="209" t="e">
        <f t="shared" si="12"/>
        <v>#DIV/0!</v>
      </c>
      <c r="BM49" s="272"/>
      <c r="BN49" s="273"/>
      <c r="BO49" s="209" t="e">
        <f t="shared" si="44"/>
        <v>#DIV/0!</v>
      </c>
      <c r="BP49" s="272"/>
      <c r="BQ49" s="273"/>
      <c r="BR49" s="209" t="e">
        <f t="shared" si="45"/>
        <v>#DIV/0!</v>
      </c>
      <c r="BS49" s="272"/>
      <c r="BT49" s="272"/>
      <c r="BU49" s="209" t="e">
        <f t="shared" si="46"/>
        <v>#DIV/0!</v>
      </c>
      <c r="BV49" s="210">
        <f t="shared" si="16"/>
        <v>0</v>
      </c>
      <c r="BW49" s="210">
        <f t="shared" si="17"/>
        <v>0</v>
      </c>
      <c r="BX49" s="209" t="e">
        <f t="shared" si="18"/>
        <v>#DIV/0!</v>
      </c>
      <c r="BY49" s="209">
        <f t="shared" si="19"/>
        <v>0</v>
      </c>
      <c r="BZ49" s="209">
        <f t="shared" si="20"/>
        <v>0</v>
      </c>
      <c r="CA49" s="212"/>
      <c r="CB49" s="245"/>
      <c r="CC49" s="183"/>
      <c r="CD49" s="184"/>
      <c r="CE49" s="185" t="e">
        <f t="shared" si="47"/>
        <v>#DIV/0!</v>
      </c>
      <c r="CF49" s="183"/>
      <c r="CG49" s="184"/>
      <c r="CH49" s="185" t="e">
        <f t="shared" si="48"/>
        <v>#DIV/0!</v>
      </c>
      <c r="CI49" s="189"/>
      <c r="CJ49" s="190"/>
      <c r="CK49" s="185" t="e">
        <f t="shared" si="49"/>
        <v>#DIV/0!</v>
      </c>
      <c r="CL49" s="187">
        <f t="shared" si="50"/>
        <v>0</v>
      </c>
      <c r="CM49" s="186">
        <f t="shared" si="51"/>
        <v>0</v>
      </c>
      <c r="CN49" s="185" t="e">
        <f t="shared" si="52"/>
        <v>#DIV/0!</v>
      </c>
      <c r="CO49" s="245"/>
      <c r="CP49" s="188">
        <f t="shared" si="53"/>
        <v>0</v>
      </c>
      <c r="CQ49" s="188">
        <f t="shared" si="54"/>
        <v>0</v>
      </c>
      <c r="CR49" s="191" t="e">
        <f t="shared" si="55"/>
        <v>#DIV/0!</v>
      </c>
      <c r="CS49" s="279">
        <f t="shared" si="28"/>
        <v>2</v>
      </c>
      <c r="CT49" s="245"/>
      <c r="CU49" s="188">
        <f t="shared" si="29"/>
        <v>0.6</v>
      </c>
      <c r="CV49" s="277"/>
      <c r="CW49" s="191">
        <f t="shared" si="30"/>
        <v>0</v>
      </c>
      <c r="CX49" s="188">
        <f t="shared" si="31"/>
        <v>0.6</v>
      </c>
      <c r="CY49" s="277"/>
      <c r="CZ49" s="191">
        <f t="shared" si="32"/>
        <v>0</v>
      </c>
      <c r="DA49" s="188">
        <f t="shared" si="33"/>
        <v>0.6</v>
      </c>
      <c r="DB49" s="277"/>
      <c r="DC49" s="191">
        <f t="shared" si="34"/>
        <v>0</v>
      </c>
      <c r="DD49" s="188">
        <f t="shared" si="35"/>
        <v>0.2</v>
      </c>
      <c r="DE49" s="277"/>
      <c r="DF49" s="191">
        <f t="shared" si="36"/>
        <v>0</v>
      </c>
      <c r="DG49" s="245"/>
      <c r="DH49" s="188">
        <f t="shared" si="37"/>
        <v>2</v>
      </c>
      <c r="DI49" s="188">
        <f t="shared" si="38"/>
        <v>0</v>
      </c>
      <c r="DJ49" s="191">
        <f t="shared" si="39"/>
        <v>0</v>
      </c>
      <c r="DK49" s="286">
        <f t="shared" si="40"/>
        <v>2</v>
      </c>
      <c r="DL49" s="261">
        <v>45</v>
      </c>
      <c r="DM49" s="244">
        <f>+A49-DL49</f>
        <v>0</v>
      </c>
    </row>
    <row r="50" spans="1:117" x14ac:dyDescent="0.35">
      <c r="A50" s="263">
        <v>46</v>
      </c>
      <c r="B50" s="102" t="s">
        <v>250</v>
      </c>
      <c r="C50" s="102" t="s">
        <v>118</v>
      </c>
      <c r="D50" s="102" t="s">
        <v>119</v>
      </c>
      <c r="E50" s="102" t="s">
        <v>155</v>
      </c>
      <c r="F50" s="102" t="s">
        <v>257</v>
      </c>
      <c r="G50" s="98" t="s">
        <v>265</v>
      </c>
      <c r="H50" s="98" t="s">
        <v>259</v>
      </c>
      <c r="I50" s="98" t="s">
        <v>243</v>
      </c>
      <c r="J50" s="98" t="s">
        <v>266</v>
      </c>
      <c r="K50" s="96" t="s">
        <v>104</v>
      </c>
      <c r="L50" s="96" t="s">
        <v>105</v>
      </c>
      <c r="M50" s="98" t="s">
        <v>106</v>
      </c>
      <c r="N50" s="98" t="s">
        <v>255</v>
      </c>
      <c r="O50" s="98" t="s">
        <v>127</v>
      </c>
      <c r="P50" s="258" t="s">
        <v>267</v>
      </c>
      <c r="Q50" s="98" t="s">
        <v>129</v>
      </c>
      <c r="R50" s="301">
        <v>1</v>
      </c>
      <c r="S50" s="99" t="s">
        <v>111</v>
      </c>
      <c r="T50" s="81">
        <v>0</v>
      </c>
      <c r="U50" s="81">
        <v>0</v>
      </c>
      <c r="V50" s="25">
        <v>0</v>
      </c>
      <c r="W50" s="81">
        <v>1</v>
      </c>
      <c r="X50" s="81">
        <v>0</v>
      </c>
      <c r="Y50" s="25">
        <f t="shared" si="1"/>
        <v>0</v>
      </c>
      <c r="Z50" s="81">
        <v>0</v>
      </c>
      <c r="AA50" s="81"/>
      <c r="AB50" s="25" t="e">
        <f t="shared" si="2"/>
        <v>#DIV/0!</v>
      </c>
      <c r="AC50" s="81">
        <v>0</v>
      </c>
      <c r="AD50" s="81"/>
      <c r="AE50" s="25" t="e">
        <f t="shared" si="3"/>
        <v>#DIV/0!</v>
      </c>
      <c r="AF50" s="140">
        <f t="shared" si="42"/>
        <v>1</v>
      </c>
      <c r="AG50" s="140">
        <f t="shared" si="43"/>
        <v>0</v>
      </c>
      <c r="AH50" s="138">
        <f t="shared" si="5"/>
        <v>0</v>
      </c>
      <c r="AI50" s="101">
        <v>46113</v>
      </c>
      <c r="AJ50" s="101">
        <v>46477</v>
      </c>
      <c r="AK50" s="102" t="s">
        <v>112</v>
      </c>
      <c r="AL50" s="102" t="s">
        <v>113</v>
      </c>
      <c r="AM50" s="103" t="s">
        <v>114</v>
      </c>
      <c r="AN50" s="104">
        <v>50000000</v>
      </c>
      <c r="AO50" s="104">
        <v>50000000</v>
      </c>
      <c r="AP50" s="104">
        <v>50000000</v>
      </c>
      <c r="AQ50" s="326">
        <v>0</v>
      </c>
      <c r="AR50" s="102" t="s">
        <v>159</v>
      </c>
      <c r="AS50" s="102" t="s">
        <v>112</v>
      </c>
      <c r="AT50" s="152" t="s">
        <v>247</v>
      </c>
      <c r="AU50" s="166" t="s">
        <v>2264</v>
      </c>
      <c r="AV50" s="247" t="s">
        <v>2234</v>
      </c>
      <c r="AW50" s="136" t="s">
        <v>2243</v>
      </c>
      <c r="AX50" s="136" t="s">
        <v>2346</v>
      </c>
      <c r="AY50" s="136" t="s">
        <v>2376</v>
      </c>
      <c r="BA50" s="272"/>
      <c r="BB50" s="273"/>
      <c r="BC50" s="209" t="e">
        <f t="shared" si="7"/>
        <v>#DIV/0!</v>
      </c>
      <c r="BD50" s="272"/>
      <c r="BE50" s="273"/>
      <c r="BF50" s="209" t="e">
        <f t="shared" si="8"/>
        <v>#DIV/0!</v>
      </c>
      <c r="BG50" s="272"/>
      <c r="BH50" s="273"/>
      <c r="BI50" s="209" t="e">
        <f t="shared" si="9"/>
        <v>#DIV/0!</v>
      </c>
      <c r="BJ50" s="210">
        <f t="shared" si="10"/>
        <v>0</v>
      </c>
      <c r="BK50" s="211">
        <f t="shared" si="11"/>
        <v>0</v>
      </c>
      <c r="BL50" s="209" t="e">
        <f t="shared" si="12"/>
        <v>#DIV/0!</v>
      </c>
      <c r="BM50" s="272"/>
      <c r="BN50" s="273"/>
      <c r="BO50" s="209" t="e">
        <f t="shared" si="44"/>
        <v>#DIV/0!</v>
      </c>
      <c r="BP50" s="272"/>
      <c r="BQ50" s="273"/>
      <c r="BR50" s="209" t="e">
        <f t="shared" si="45"/>
        <v>#DIV/0!</v>
      </c>
      <c r="BS50" s="272"/>
      <c r="BT50" s="272"/>
      <c r="BU50" s="209" t="e">
        <f t="shared" si="46"/>
        <v>#DIV/0!</v>
      </c>
      <c r="BV50" s="210">
        <f t="shared" si="16"/>
        <v>0</v>
      </c>
      <c r="BW50" s="210">
        <f t="shared" si="17"/>
        <v>0</v>
      </c>
      <c r="BX50" s="209" t="e">
        <f t="shared" si="18"/>
        <v>#DIV/0!</v>
      </c>
      <c r="BY50" s="209">
        <f t="shared" si="19"/>
        <v>0</v>
      </c>
      <c r="BZ50" s="209">
        <f t="shared" si="20"/>
        <v>0</v>
      </c>
      <c r="CA50" s="212"/>
      <c r="CB50" s="245"/>
      <c r="CC50" s="183"/>
      <c r="CD50" s="184"/>
      <c r="CE50" s="185" t="e">
        <f t="shared" si="47"/>
        <v>#DIV/0!</v>
      </c>
      <c r="CF50" s="183"/>
      <c r="CG50" s="184"/>
      <c r="CH50" s="185" t="e">
        <f t="shared" si="48"/>
        <v>#DIV/0!</v>
      </c>
      <c r="CI50" s="189"/>
      <c r="CJ50" s="190"/>
      <c r="CK50" s="185" t="e">
        <f t="shared" si="49"/>
        <v>#DIV/0!</v>
      </c>
      <c r="CL50" s="187">
        <f t="shared" si="50"/>
        <v>0</v>
      </c>
      <c r="CM50" s="186">
        <f t="shared" si="51"/>
        <v>0</v>
      </c>
      <c r="CN50" s="185" t="e">
        <f t="shared" si="52"/>
        <v>#DIV/0!</v>
      </c>
      <c r="CO50" s="245"/>
      <c r="CP50" s="188">
        <f t="shared" si="53"/>
        <v>0</v>
      </c>
      <c r="CQ50" s="188">
        <f t="shared" si="54"/>
        <v>0</v>
      </c>
      <c r="CR50" s="191" t="e">
        <f t="shared" si="55"/>
        <v>#DIV/0!</v>
      </c>
      <c r="CS50" s="279">
        <f t="shared" si="28"/>
        <v>1</v>
      </c>
      <c r="CT50" s="245"/>
      <c r="CU50" s="188">
        <f t="shared" si="29"/>
        <v>0.3</v>
      </c>
      <c r="CV50" s="277"/>
      <c r="CW50" s="191">
        <f t="shared" si="30"/>
        <v>0</v>
      </c>
      <c r="CX50" s="188">
        <f t="shared" si="31"/>
        <v>0.3</v>
      </c>
      <c r="CY50" s="277"/>
      <c r="CZ50" s="191">
        <f t="shared" si="32"/>
        <v>0</v>
      </c>
      <c r="DA50" s="188">
        <f t="shared" si="33"/>
        <v>0.3</v>
      </c>
      <c r="DB50" s="277"/>
      <c r="DC50" s="191">
        <f t="shared" si="34"/>
        <v>0</v>
      </c>
      <c r="DD50" s="188">
        <f t="shared" si="35"/>
        <v>0.1</v>
      </c>
      <c r="DE50" s="277"/>
      <c r="DF50" s="191">
        <f t="shared" si="36"/>
        <v>0</v>
      </c>
      <c r="DG50" s="245"/>
      <c r="DH50" s="188">
        <f t="shared" si="37"/>
        <v>1</v>
      </c>
      <c r="DI50" s="188">
        <f t="shared" si="38"/>
        <v>0</v>
      </c>
      <c r="DJ50" s="191">
        <f t="shared" si="39"/>
        <v>0</v>
      </c>
      <c r="DK50" s="286">
        <f t="shared" si="40"/>
        <v>1</v>
      </c>
      <c r="DL50" s="261">
        <v>46</v>
      </c>
      <c r="DM50" s="244">
        <f>+A50-DL50</f>
        <v>0</v>
      </c>
    </row>
    <row r="51" spans="1:117" x14ac:dyDescent="0.35">
      <c r="A51" s="263">
        <v>47</v>
      </c>
      <c r="B51" s="102" t="s">
        <v>250</v>
      </c>
      <c r="C51" s="102" t="s">
        <v>118</v>
      </c>
      <c r="D51" s="102" t="s">
        <v>119</v>
      </c>
      <c r="E51" s="102" t="s">
        <v>155</v>
      </c>
      <c r="F51" s="102" t="s">
        <v>268</v>
      </c>
      <c r="G51" s="98" t="s">
        <v>258</v>
      </c>
      <c r="H51" s="98" t="s">
        <v>259</v>
      </c>
      <c r="I51" s="98" t="s">
        <v>243</v>
      </c>
      <c r="J51" s="98" t="s">
        <v>243</v>
      </c>
      <c r="K51" s="96" t="s">
        <v>104</v>
      </c>
      <c r="L51" s="96" t="s">
        <v>105</v>
      </c>
      <c r="M51" s="98" t="s">
        <v>106</v>
      </c>
      <c r="N51" s="98" t="s">
        <v>244</v>
      </c>
      <c r="O51" s="98" t="s">
        <v>127</v>
      </c>
      <c r="P51" s="258" t="s">
        <v>269</v>
      </c>
      <c r="Q51" s="98" t="s">
        <v>129</v>
      </c>
      <c r="R51" s="301">
        <v>9</v>
      </c>
      <c r="S51" s="99" t="s">
        <v>111</v>
      </c>
      <c r="T51" s="81">
        <v>0</v>
      </c>
      <c r="U51" s="81"/>
      <c r="V51" s="25">
        <v>0</v>
      </c>
      <c r="W51" s="81">
        <v>3</v>
      </c>
      <c r="X51" s="81">
        <v>2</v>
      </c>
      <c r="Y51" s="25">
        <f t="shared" si="1"/>
        <v>66.666666666666657</v>
      </c>
      <c r="Z51" s="81">
        <v>3</v>
      </c>
      <c r="AA51" s="81"/>
      <c r="AB51" s="25">
        <f t="shared" si="2"/>
        <v>0</v>
      </c>
      <c r="AC51" s="81">
        <v>3</v>
      </c>
      <c r="AD51" s="81"/>
      <c r="AE51" s="25">
        <f t="shared" si="3"/>
        <v>0</v>
      </c>
      <c r="AF51" s="140">
        <f t="shared" si="42"/>
        <v>9</v>
      </c>
      <c r="AG51" s="140">
        <f t="shared" si="43"/>
        <v>2</v>
      </c>
      <c r="AH51" s="138" t="e">
        <f t="shared" si="5"/>
        <v>#DIV/0!</v>
      </c>
      <c r="AI51" s="101">
        <v>46113</v>
      </c>
      <c r="AJ51" s="101">
        <v>46477</v>
      </c>
      <c r="AK51" s="102" t="s">
        <v>112</v>
      </c>
      <c r="AL51" s="102" t="s">
        <v>113</v>
      </c>
      <c r="AM51" s="103" t="s">
        <v>114</v>
      </c>
      <c r="AN51" s="104">
        <v>32000000</v>
      </c>
      <c r="AO51" s="104">
        <v>32000000</v>
      </c>
      <c r="AP51" s="104">
        <v>32000000</v>
      </c>
      <c r="AQ51" s="326">
        <v>0</v>
      </c>
      <c r="AR51" s="102" t="s">
        <v>159</v>
      </c>
      <c r="AS51" s="102" t="s">
        <v>112</v>
      </c>
      <c r="AT51" s="152" t="s">
        <v>247</v>
      </c>
      <c r="AU51" s="166" t="s">
        <v>2264</v>
      </c>
      <c r="AV51" s="247" t="s">
        <v>2234</v>
      </c>
      <c r="AW51" s="136" t="s">
        <v>2243</v>
      </c>
      <c r="AX51" s="136" t="s">
        <v>2346</v>
      </c>
      <c r="AY51" s="136" t="s">
        <v>2376</v>
      </c>
      <c r="BA51" s="272"/>
      <c r="BB51" s="273"/>
      <c r="BC51" s="209" t="e">
        <f t="shared" si="7"/>
        <v>#DIV/0!</v>
      </c>
      <c r="BD51" s="272"/>
      <c r="BE51" s="273"/>
      <c r="BF51" s="209" t="e">
        <f t="shared" si="8"/>
        <v>#DIV/0!</v>
      </c>
      <c r="BG51" s="272"/>
      <c r="BH51" s="273"/>
      <c r="BI51" s="209" t="e">
        <f t="shared" si="9"/>
        <v>#DIV/0!</v>
      </c>
      <c r="BJ51" s="210">
        <f t="shared" si="10"/>
        <v>0</v>
      </c>
      <c r="BK51" s="211">
        <f t="shared" si="11"/>
        <v>0</v>
      </c>
      <c r="BL51" s="209" t="e">
        <f t="shared" si="12"/>
        <v>#DIV/0!</v>
      </c>
      <c r="BM51" s="272"/>
      <c r="BN51" s="273"/>
      <c r="BO51" s="209" t="e">
        <f t="shared" si="44"/>
        <v>#DIV/0!</v>
      </c>
      <c r="BP51" s="272"/>
      <c r="BQ51" s="273"/>
      <c r="BR51" s="209" t="e">
        <f t="shared" si="45"/>
        <v>#DIV/0!</v>
      </c>
      <c r="BS51" s="272"/>
      <c r="BT51" s="272"/>
      <c r="BU51" s="209" t="e">
        <f t="shared" si="46"/>
        <v>#DIV/0!</v>
      </c>
      <c r="BV51" s="210">
        <f t="shared" si="16"/>
        <v>0</v>
      </c>
      <c r="BW51" s="210">
        <f t="shared" si="17"/>
        <v>0</v>
      </c>
      <c r="BX51" s="209" t="e">
        <f t="shared" si="18"/>
        <v>#DIV/0!</v>
      </c>
      <c r="BY51" s="209">
        <f t="shared" si="19"/>
        <v>0</v>
      </c>
      <c r="BZ51" s="209">
        <f t="shared" si="20"/>
        <v>0</v>
      </c>
      <c r="CA51" s="212"/>
      <c r="CB51" s="245"/>
      <c r="CC51" s="183"/>
      <c r="CD51" s="184"/>
      <c r="CE51" s="185" t="e">
        <f t="shared" si="47"/>
        <v>#DIV/0!</v>
      </c>
      <c r="CF51" s="183"/>
      <c r="CG51" s="184"/>
      <c r="CH51" s="185" t="e">
        <f t="shared" si="48"/>
        <v>#DIV/0!</v>
      </c>
      <c r="CI51" s="189"/>
      <c r="CJ51" s="190"/>
      <c r="CK51" s="185" t="e">
        <f t="shared" si="49"/>
        <v>#DIV/0!</v>
      </c>
      <c r="CL51" s="187">
        <f t="shared" si="50"/>
        <v>0</v>
      </c>
      <c r="CM51" s="186">
        <f t="shared" si="51"/>
        <v>0</v>
      </c>
      <c r="CN51" s="185" t="e">
        <f t="shared" si="52"/>
        <v>#DIV/0!</v>
      </c>
      <c r="CO51" s="245"/>
      <c r="CP51" s="188">
        <f t="shared" si="53"/>
        <v>0</v>
      </c>
      <c r="CQ51" s="188">
        <f t="shared" si="54"/>
        <v>0</v>
      </c>
      <c r="CR51" s="191" t="e">
        <f t="shared" si="55"/>
        <v>#DIV/0!</v>
      </c>
      <c r="CS51" s="279">
        <f t="shared" si="28"/>
        <v>9</v>
      </c>
      <c r="CT51" s="245"/>
      <c r="CU51" s="188">
        <f t="shared" si="29"/>
        <v>2.6999999999999997</v>
      </c>
      <c r="CV51" s="277"/>
      <c r="CW51" s="191">
        <f t="shared" si="30"/>
        <v>0</v>
      </c>
      <c r="CX51" s="188">
        <f t="shared" si="31"/>
        <v>2.6999999999999997</v>
      </c>
      <c r="CY51" s="277"/>
      <c r="CZ51" s="191">
        <f t="shared" si="32"/>
        <v>0</v>
      </c>
      <c r="DA51" s="188">
        <f t="shared" si="33"/>
        <v>2.6999999999999997</v>
      </c>
      <c r="DB51" s="277"/>
      <c r="DC51" s="191">
        <f t="shared" si="34"/>
        <v>0</v>
      </c>
      <c r="DD51" s="188">
        <f t="shared" si="35"/>
        <v>0.9</v>
      </c>
      <c r="DE51" s="277"/>
      <c r="DF51" s="191">
        <f t="shared" si="36"/>
        <v>0</v>
      </c>
      <c r="DG51" s="245"/>
      <c r="DH51" s="188">
        <f t="shared" si="37"/>
        <v>9</v>
      </c>
      <c r="DI51" s="188">
        <f t="shared" si="38"/>
        <v>0</v>
      </c>
      <c r="DJ51" s="191">
        <f t="shared" si="39"/>
        <v>0</v>
      </c>
      <c r="DK51" s="286">
        <f t="shared" si="40"/>
        <v>9</v>
      </c>
      <c r="DL51" s="261">
        <v>47</v>
      </c>
      <c r="DM51" s="244">
        <f>+A51-DL51</f>
        <v>0</v>
      </c>
    </row>
    <row r="52" spans="1:117" x14ac:dyDescent="0.35">
      <c r="A52" s="263">
        <v>48</v>
      </c>
      <c r="B52" s="102" t="s">
        <v>270</v>
      </c>
      <c r="C52" s="102" t="s">
        <v>97</v>
      </c>
      <c r="D52" s="102" t="s">
        <v>98</v>
      </c>
      <c r="E52" s="102" t="s">
        <v>205</v>
      </c>
      <c r="F52" s="102" t="s">
        <v>271</v>
      </c>
      <c r="G52" s="98" t="s">
        <v>272</v>
      </c>
      <c r="H52" s="98" t="s">
        <v>273</v>
      </c>
      <c r="I52" s="98" t="s">
        <v>274</v>
      </c>
      <c r="J52" s="98" t="s">
        <v>274</v>
      </c>
      <c r="K52" s="96" t="s">
        <v>104</v>
      </c>
      <c r="L52" s="96" t="s">
        <v>105</v>
      </c>
      <c r="M52" s="98" t="s">
        <v>106</v>
      </c>
      <c r="N52" s="98" t="s">
        <v>275</v>
      </c>
      <c r="O52" s="98" t="s">
        <v>276</v>
      </c>
      <c r="P52" s="98" t="s">
        <v>277</v>
      </c>
      <c r="Q52" s="98" t="s">
        <v>110</v>
      </c>
      <c r="R52" s="301">
        <v>29</v>
      </c>
      <c r="S52" s="99" t="s">
        <v>111</v>
      </c>
      <c r="T52" s="81">
        <v>7</v>
      </c>
      <c r="U52" s="81">
        <v>0</v>
      </c>
      <c r="V52" s="25">
        <f>U52/T52*100</f>
        <v>0</v>
      </c>
      <c r="W52" s="81">
        <v>7</v>
      </c>
      <c r="X52" s="81">
        <v>0</v>
      </c>
      <c r="Y52" s="25">
        <f t="shared" si="1"/>
        <v>0</v>
      </c>
      <c r="Z52" s="81">
        <v>7</v>
      </c>
      <c r="AA52" s="81"/>
      <c r="AB52" s="25">
        <f t="shared" si="2"/>
        <v>0</v>
      </c>
      <c r="AC52" s="81">
        <v>8</v>
      </c>
      <c r="AD52" s="81"/>
      <c r="AE52" s="25">
        <f t="shared" si="3"/>
        <v>0</v>
      </c>
      <c r="AF52" s="140">
        <f t="shared" si="42"/>
        <v>29</v>
      </c>
      <c r="AG52" s="140">
        <f t="shared" si="43"/>
        <v>0</v>
      </c>
      <c r="AH52" s="138">
        <f t="shared" si="5"/>
        <v>0</v>
      </c>
      <c r="AI52" s="101">
        <v>46113</v>
      </c>
      <c r="AJ52" s="101">
        <v>46477</v>
      </c>
      <c r="AK52" s="102" t="s">
        <v>112</v>
      </c>
      <c r="AL52" s="102" t="s">
        <v>113</v>
      </c>
      <c r="AM52" s="103" t="s">
        <v>114</v>
      </c>
      <c r="AN52" s="104">
        <v>150000000</v>
      </c>
      <c r="AO52" s="104">
        <v>150000000</v>
      </c>
      <c r="AP52" s="104">
        <v>150000000</v>
      </c>
      <c r="AQ52" s="326">
        <v>0</v>
      </c>
      <c r="AR52" s="102" t="s">
        <v>159</v>
      </c>
      <c r="AS52" s="102" t="s">
        <v>112</v>
      </c>
      <c r="AT52" s="152" t="s">
        <v>298</v>
      </c>
      <c r="AU52" s="166" t="s">
        <v>2264</v>
      </c>
      <c r="AV52" s="247" t="s">
        <v>2234</v>
      </c>
      <c r="AW52" s="136" t="s">
        <v>2249</v>
      </c>
      <c r="AX52" s="136" t="s">
        <v>2353</v>
      </c>
      <c r="AY52" s="136" t="s">
        <v>2308</v>
      </c>
      <c r="BA52" s="272"/>
      <c r="BB52" s="273"/>
      <c r="BC52" s="209" t="e">
        <f t="shared" si="7"/>
        <v>#DIV/0!</v>
      </c>
      <c r="BD52" s="272"/>
      <c r="BE52" s="273"/>
      <c r="BF52" s="209" t="e">
        <f t="shared" si="8"/>
        <v>#DIV/0!</v>
      </c>
      <c r="BG52" s="272"/>
      <c r="BH52" s="273"/>
      <c r="BI52" s="209" t="e">
        <f t="shared" si="9"/>
        <v>#DIV/0!</v>
      </c>
      <c r="BJ52" s="210">
        <f t="shared" si="10"/>
        <v>0</v>
      </c>
      <c r="BK52" s="211">
        <f t="shared" si="11"/>
        <v>0</v>
      </c>
      <c r="BL52" s="209" t="e">
        <f t="shared" si="12"/>
        <v>#DIV/0!</v>
      </c>
      <c r="BM52" s="272"/>
      <c r="BN52" s="273"/>
      <c r="BO52" s="209" t="e">
        <f t="shared" si="44"/>
        <v>#DIV/0!</v>
      </c>
      <c r="BP52" s="272"/>
      <c r="BQ52" s="273"/>
      <c r="BR52" s="209" t="e">
        <f t="shared" si="45"/>
        <v>#DIV/0!</v>
      </c>
      <c r="BS52" s="272"/>
      <c r="BT52" s="272"/>
      <c r="BU52" s="209" t="e">
        <f t="shared" si="46"/>
        <v>#DIV/0!</v>
      </c>
      <c r="BV52" s="210">
        <f t="shared" si="16"/>
        <v>0</v>
      </c>
      <c r="BW52" s="210">
        <f t="shared" si="17"/>
        <v>0</v>
      </c>
      <c r="BX52" s="209" t="e">
        <f t="shared" si="18"/>
        <v>#DIV/0!</v>
      </c>
      <c r="BY52" s="209">
        <f t="shared" si="19"/>
        <v>0</v>
      </c>
      <c r="BZ52" s="209">
        <f t="shared" si="20"/>
        <v>0</v>
      </c>
      <c r="CA52" s="212"/>
      <c r="CB52" s="245"/>
      <c r="CC52" s="183"/>
      <c r="CD52" s="184"/>
      <c r="CE52" s="185" t="e">
        <f t="shared" si="47"/>
        <v>#DIV/0!</v>
      </c>
      <c r="CF52" s="183"/>
      <c r="CG52" s="184"/>
      <c r="CH52" s="185" t="e">
        <f t="shared" si="48"/>
        <v>#DIV/0!</v>
      </c>
      <c r="CI52" s="189"/>
      <c r="CJ52" s="190"/>
      <c r="CK52" s="185" t="e">
        <f t="shared" si="49"/>
        <v>#DIV/0!</v>
      </c>
      <c r="CL52" s="187">
        <f t="shared" si="50"/>
        <v>0</v>
      </c>
      <c r="CM52" s="186">
        <f t="shared" si="51"/>
        <v>0</v>
      </c>
      <c r="CN52" s="185" t="e">
        <f t="shared" si="52"/>
        <v>#DIV/0!</v>
      </c>
      <c r="CO52" s="245"/>
      <c r="CP52" s="188">
        <f t="shared" si="53"/>
        <v>0</v>
      </c>
      <c r="CQ52" s="188">
        <f t="shared" si="54"/>
        <v>0</v>
      </c>
      <c r="CR52" s="191" t="e">
        <f t="shared" si="55"/>
        <v>#DIV/0!</v>
      </c>
      <c r="CS52" s="279">
        <f t="shared" si="28"/>
        <v>29</v>
      </c>
      <c r="CT52" s="245"/>
      <c r="CU52" s="188">
        <f t="shared" si="29"/>
        <v>8.6999999999999993</v>
      </c>
      <c r="CV52" s="277"/>
      <c r="CW52" s="191">
        <f t="shared" si="30"/>
        <v>0</v>
      </c>
      <c r="CX52" s="188">
        <f t="shared" si="31"/>
        <v>8.6999999999999993</v>
      </c>
      <c r="CY52" s="277"/>
      <c r="CZ52" s="191">
        <f t="shared" si="32"/>
        <v>0</v>
      </c>
      <c r="DA52" s="188">
        <f t="shared" si="33"/>
        <v>8.6999999999999993</v>
      </c>
      <c r="DB52" s="277"/>
      <c r="DC52" s="191">
        <f t="shared" si="34"/>
        <v>0</v>
      </c>
      <c r="DD52" s="188">
        <f t="shared" si="35"/>
        <v>2.9000000000000004</v>
      </c>
      <c r="DE52" s="277"/>
      <c r="DF52" s="191">
        <f t="shared" si="36"/>
        <v>0</v>
      </c>
      <c r="DG52" s="245"/>
      <c r="DH52" s="188">
        <f t="shared" si="37"/>
        <v>29</v>
      </c>
      <c r="DI52" s="188">
        <f t="shared" si="38"/>
        <v>0</v>
      </c>
      <c r="DJ52" s="191">
        <f t="shared" si="39"/>
        <v>0</v>
      </c>
      <c r="DK52" s="286">
        <f t="shared" si="40"/>
        <v>29</v>
      </c>
      <c r="DL52" s="261">
        <v>48</v>
      </c>
      <c r="DM52" s="244">
        <f>+A52-DL52</f>
        <v>0</v>
      </c>
    </row>
    <row r="53" spans="1:117" x14ac:dyDescent="0.35">
      <c r="A53" s="263">
        <v>49</v>
      </c>
      <c r="B53" s="102" t="s">
        <v>270</v>
      </c>
      <c r="C53" s="102" t="s">
        <v>195</v>
      </c>
      <c r="D53" s="102" t="s">
        <v>196</v>
      </c>
      <c r="E53" s="102" t="s">
        <v>278</v>
      </c>
      <c r="F53" s="102" t="s">
        <v>271</v>
      </c>
      <c r="G53" s="98" t="s">
        <v>279</v>
      </c>
      <c r="H53" s="98" t="s">
        <v>280</v>
      </c>
      <c r="I53" s="98" t="s">
        <v>281</v>
      </c>
      <c r="J53" s="98" t="s">
        <v>281</v>
      </c>
      <c r="K53" s="96" t="s">
        <v>104</v>
      </c>
      <c r="L53" s="96" t="s">
        <v>105</v>
      </c>
      <c r="M53" s="98" t="s">
        <v>106</v>
      </c>
      <c r="N53" s="98" t="s">
        <v>275</v>
      </c>
      <c r="O53" s="98" t="s">
        <v>108</v>
      </c>
      <c r="P53" s="98" t="s">
        <v>282</v>
      </c>
      <c r="Q53" s="98" t="s">
        <v>110</v>
      </c>
      <c r="R53" s="301">
        <v>4</v>
      </c>
      <c r="S53" s="99" t="s">
        <v>111</v>
      </c>
      <c r="T53" s="81">
        <v>1</v>
      </c>
      <c r="U53" s="81">
        <v>0</v>
      </c>
      <c r="V53" s="25">
        <v>0</v>
      </c>
      <c r="W53" s="81">
        <v>1</v>
      </c>
      <c r="X53" s="81">
        <v>0</v>
      </c>
      <c r="Y53" s="25">
        <f t="shared" si="1"/>
        <v>0</v>
      </c>
      <c r="Z53" s="81">
        <v>1</v>
      </c>
      <c r="AA53" s="81"/>
      <c r="AB53" s="25">
        <f t="shared" si="2"/>
        <v>0</v>
      </c>
      <c r="AC53" s="81">
        <v>1</v>
      </c>
      <c r="AD53" s="81"/>
      <c r="AE53" s="25">
        <f t="shared" si="3"/>
        <v>0</v>
      </c>
      <c r="AF53" s="140">
        <f t="shared" si="42"/>
        <v>4</v>
      </c>
      <c r="AG53" s="140">
        <f t="shared" si="43"/>
        <v>0</v>
      </c>
      <c r="AH53" s="138">
        <f t="shared" si="5"/>
        <v>0</v>
      </c>
      <c r="AI53" s="101">
        <v>46113</v>
      </c>
      <c r="AJ53" s="101">
        <v>46477</v>
      </c>
      <c r="AK53" s="102" t="s">
        <v>112</v>
      </c>
      <c r="AL53" s="102" t="s">
        <v>113</v>
      </c>
      <c r="AM53" s="103" t="s">
        <v>114</v>
      </c>
      <c r="AN53" s="104">
        <v>80274232</v>
      </c>
      <c r="AO53" s="104">
        <v>80274232</v>
      </c>
      <c r="AP53" s="104">
        <v>80274232</v>
      </c>
      <c r="AQ53" s="326">
        <v>0</v>
      </c>
      <c r="AR53" s="102" t="s">
        <v>159</v>
      </c>
      <c r="AS53" s="102" t="s">
        <v>112</v>
      </c>
      <c r="AT53" s="152" t="s">
        <v>298</v>
      </c>
      <c r="AU53" s="166" t="s">
        <v>2264</v>
      </c>
      <c r="AV53" s="247" t="s">
        <v>2234</v>
      </c>
      <c r="AW53" s="136" t="s">
        <v>2249</v>
      </c>
      <c r="AX53" s="136" t="s">
        <v>2353</v>
      </c>
      <c r="AY53" s="136" t="s">
        <v>2308</v>
      </c>
      <c r="BA53" s="272"/>
      <c r="BB53" s="273"/>
      <c r="BC53" s="209" t="e">
        <f t="shared" si="7"/>
        <v>#DIV/0!</v>
      </c>
      <c r="BD53" s="272"/>
      <c r="BE53" s="273"/>
      <c r="BF53" s="209" t="e">
        <f t="shared" si="8"/>
        <v>#DIV/0!</v>
      </c>
      <c r="BG53" s="272"/>
      <c r="BH53" s="273"/>
      <c r="BI53" s="209" t="e">
        <f t="shared" si="9"/>
        <v>#DIV/0!</v>
      </c>
      <c r="BJ53" s="210">
        <f t="shared" si="10"/>
        <v>0</v>
      </c>
      <c r="BK53" s="211">
        <f t="shared" si="11"/>
        <v>0</v>
      </c>
      <c r="BL53" s="209" t="e">
        <f t="shared" si="12"/>
        <v>#DIV/0!</v>
      </c>
      <c r="BM53" s="272"/>
      <c r="BN53" s="273"/>
      <c r="BO53" s="209" t="e">
        <f t="shared" si="44"/>
        <v>#DIV/0!</v>
      </c>
      <c r="BP53" s="272"/>
      <c r="BQ53" s="273"/>
      <c r="BR53" s="209" t="e">
        <f t="shared" si="45"/>
        <v>#DIV/0!</v>
      </c>
      <c r="BS53" s="272"/>
      <c r="BT53" s="272"/>
      <c r="BU53" s="209" t="e">
        <f t="shared" si="46"/>
        <v>#DIV/0!</v>
      </c>
      <c r="BV53" s="210">
        <f t="shared" si="16"/>
        <v>0</v>
      </c>
      <c r="BW53" s="210">
        <f t="shared" si="17"/>
        <v>0</v>
      </c>
      <c r="BX53" s="209" t="e">
        <f t="shared" si="18"/>
        <v>#DIV/0!</v>
      </c>
      <c r="BY53" s="209">
        <f t="shared" si="19"/>
        <v>0</v>
      </c>
      <c r="BZ53" s="209">
        <f t="shared" si="20"/>
        <v>0</v>
      </c>
      <c r="CA53" s="212"/>
      <c r="CB53" s="245"/>
      <c r="CC53" s="183"/>
      <c r="CD53" s="184"/>
      <c r="CE53" s="185" t="e">
        <f t="shared" si="47"/>
        <v>#DIV/0!</v>
      </c>
      <c r="CF53" s="183"/>
      <c r="CG53" s="184"/>
      <c r="CH53" s="185" t="e">
        <f t="shared" si="48"/>
        <v>#DIV/0!</v>
      </c>
      <c r="CI53" s="189"/>
      <c r="CJ53" s="190"/>
      <c r="CK53" s="185" t="e">
        <f t="shared" si="49"/>
        <v>#DIV/0!</v>
      </c>
      <c r="CL53" s="187">
        <f t="shared" si="50"/>
        <v>0</v>
      </c>
      <c r="CM53" s="186">
        <f t="shared" si="51"/>
        <v>0</v>
      </c>
      <c r="CN53" s="185" t="e">
        <f t="shared" si="52"/>
        <v>#DIV/0!</v>
      </c>
      <c r="CO53" s="245"/>
      <c r="CP53" s="188">
        <f t="shared" si="53"/>
        <v>0</v>
      </c>
      <c r="CQ53" s="188">
        <f t="shared" si="54"/>
        <v>0</v>
      </c>
      <c r="CR53" s="191" t="e">
        <f t="shared" si="55"/>
        <v>#DIV/0!</v>
      </c>
      <c r="CS53" s="279">
        <f t="shared" si="28"/>
        <v>4</v>
      </c>
      <c r="CT53" s="245"/>
      <c r="CU53" s="188">
        <f t="shared" si="29"/>
        <v>1.2</v>
      </c>
      <c r="CV53" s="277"/>
      <c r="CW53" s="191">
        <f t="shared" si="30"/>
        <v>0</v>
      </c>
      <c r="CX53" s="188">
        <f t="shared" si="31"/>
        <v>1.2</v>
      </c>
      <c r="CY53" s="277"/>
      <c r="CZ53" s="191">
        <f t="shared" si="32"/>
        <v>0</v>
      </c>
      <c r="DA53" s="188">
        <f t="shared" si="33"/>
        <v>1.2</v>
      </c>
      <c r="DB53" s="277"/>
      <c r="DC53" s="191">
        <f t="shared" si="34"/>
        <v>0</v>
      </c>
      <c r="DD53" s="188">
        <f t="shared" si="35"/>
        <v>0.4</v>
      </c>
      <c r="DE53" s="277"/>
      <c r="DF53" s="191">
        <f t="shared" si="36"/>
        <v>0</v>
      </c>
      <c r="DG53" s="245"/>
      <c r="DH53" s="188">
        <f t="shared" si="37"/>
        <v>4</v>
      </c>
      <c r="DI53" s="188">
        <f t="shared" si="38"/>
        <v>0</v>
      </c>
      <c r="DJ53" s="191">
        <f t="shared" si="39"/>
        <v>0</v>
      </c>
      <c r="DK53" s="286">
        <f t="shared" si="40"/>
        <v>4</v>
      </c>
      <c r="DL53" s="261">
        <v>49</v>
      </c>
      <c r="DM53" s="244">
        <f>+A53-DL53</f>
        <v>0</v>
      </c>
    </row>
    <row r="54" spans="1:117" x14ac:dyDescent="0.35">
      <c r="A54" s="263">
        <v>50</v>
      </c>
      <c r="B54" s="102" t="s">
        <v>270</v>
      </c>
      <c r="C54" s="102" t="s">
        <v>97</v>
      </c>
      <c r="D54" s="102" t="s">
        <v>98</v>
      </c>
      <c r="E54" s="102" t="s">
        <v>205</v>
      </c>
      <c r="F54" s="102" t="s">
        <v>283</v>
      </c>
      <c r="G54" s="98" t="s">
        <v>284</v>
      </c>
      <c r="H54" s="98" t="s">
        <v>284</v>
      </c>
      <c r="I54" s="98" t="s">
        <v>285</v>
      </c>
      <c r="J54" s="98" t="s">
        <v>285</v>
      </c>
      <c r="K54" s="96" t="s">
        <v>104</v>
      </c>
      <c r="L54" s="96" t="s">
        <v>105</v>
      </c>
      <c r="M54" s="98" t="s">
        <v>106</v>
      </c>
      <c r="N54" s="98" t="s">
        <v>286</v>
      </c>
      <c r="O54" s="98" t="s">
        <v>287</v>
      </c>
      <c r="P54" s="98" t="s">
        <v>288</v>
      </c>
      <c r="Q54" s="98" t="s">
        <v>110</v>
      </c>
      <c r="R54" s="301">
        <v>200</v>
      </c>
      <c r="S54" s="99" t="s">
        <v>111</v>
      </c>
      <c r="T54" s="81">
        <v>50</v>
      </c>
      <c r="U54" s="81">
        <v>0</v>
      </c>
      <c r="V54" s="25">
        <f t="shared" ref="V54:V66" si="58">U54/T54*100</f>
        <v>0</v>
      </c>
      <c r="W54" s="81">
        <v>50</v>
      </c>
      <c r="X54" s="81">
        <v>0</v>
      </c>
      <c r="Y54" s="25">
        <f t="shared" si="1"/>
        <v>0</v>
      </c>
      <c r="Z54" s="81">
        <v>50</v>
      </c>
      <c r="AA54" s="81">
        <v>0</v>
      </c>
      <c r="AB54" s="25">
        <f t="shared" si="2"/>
        <v>0</v>
      </c>
      <c r="AC54" s="81">
        <v>50</v>
      </c>
      <c r="AD54" s="81"/>
      <c r="AE54" s="25">
        <f t="shared" si="3"/>
        <v>0</v>
      </c>
      <c r="AF54" s="140">
        <f t="shared" si="42"/>
        <v>200</v>
      </c>
      <c r="AG54" s="140">
        <f t="shared" si="43"/>
        <v>0</v>
      </c>
      <c r="AH54" s="138">
        <f t="shared" si="5"/>
        <v>0</v>
      </c>
      <c r="AI54" s="101">
        <v>46113</v>
      </c>
      <c r="AJ54" s="101">
        <v>46477</v>
      </c>
      <c r="AK54" s="102" t="s">
        <v>112</v>
      </c>
      <c r="AL54" s="102" t="s">
        <v>113</v>
      </c>
      <c r="AM54" s="103" t="s">
        <v>114</v>
      </c>
      <c r="AN54" s="104">
        <v>310000000</v>
      </c>
      <c r="AO54" s="104">
        <v>310000000</v>
      </c>
      <c r="AP54" s="104">
        <v>310000000</v>
      </c>
      <c r="AQ54" s="326">
        <v>0</v>
      </c>
      <c r="AR54" s="102" t="s">
        <v>159</v>
      </c>
      <c r="AS54" s="102" t="s">
        <v>112</v>
      </c>
      <c r="AT54" s="152" t="s">
        <v>298</v>
      </c>
      <c r="AU54" s="166" t="s">
        <v>2264</v>
      </c>
      <c r="AV54" s="247" t="s">
        <v>2234</v>
      </c>
      <c r="AW54" s="136" t="s">
        <v>2249</v>
      </c>
      <c r="AX54" s="136" t="s">
        <v>2353</v>
      </c>
      <c r="AY54" s="136" t="s">
        <v>2308</v>
      </c>
      <c r="BA54" s="272"/>
      <c r="BB54" s="273"/>
      <c r="BC54" s="209" t="e">
        <f t="shared" si="7"/>
        <v>#DIV/0!</v>
      </c>
      <c r="BD54" s="272"/>
      <c r="BE54" s="273"/>
      <c r="BF54" s="209" t="e">
        <f t="shared" si="8"/>
        <v>#DIV/0!</v>
      </c>
      <c r="BG54" s="272"/>
      <c r="BH54" s="273"/>
      <c r="BI54" s="209" t="e">
        <f t="shared" si="9"/>
        <v>#DIV/0!</v>
      </c>
      <c r="BJ54" s="210">
        <f t="shared" si="10"/>
        <v>0</v>
      </c>
      <c r="BK54" s="211">
        <f t="shared" si="11"/>
        <v>0</v>
      </c>
      <c r="BL54" s="209" t="e">
        <f t="shared" si="12"/>
        <v>#DIV/0!</v>
      </c>
      <c r="BM54" s="272"/>
      <c r="BN54" s="273"/>
      <c r="BO54" s="209" t="e">
        <f t="shared" si="44"/>
        <v>#DIV/0!</v>
      </c>
      <c r="BP54" s="272"/>
      <c r="BQ54" s="273"/>
      <c r="BR54" s="209" t="e">
        <f t="shared" si="45"/>
        <v>#DIV/0!</v>
      </c>
      <c r="BS54" s="272"/>
      <c r="BT54" s="272"/>
      <c r="BU54" s="209" t="e">
        <f t="shared" si="46"/>
        <v>#DIV/0!</v>
      </c>
      <c r="BV54" s="210">
        <f t="shared" si="16"/>
        <v>0</v>
      </c>
      <c r="BW54" s="210">
        <f t="shared" si="17"/>
        <v>0</v>
      </c>
      <c r="BX54" s="209" t="e">
        <f t="shared" si="18"/>
        <v>#DIV/0!</v>
      </c>
      <c r="BY54" s="209">
        <f t="shared" si="19"/>
        <v>0</v>
      </c>
      <c r="BZ54" s="209">
        <f t="shared" si="20"/>
        <v>0</v>
      </c>
      <c r="CA54" s="212"/>
      <c r="CB54" s="245"/>
      <c r="CC54" s="183"/>
      <c r="CD54" s="184"/>
      <c r="CE54" s="185" t="e">
        <f t="shared" si="47"/>
        <v>#DIV/0!</v>
      </c>
      <c r="CF54" s="183"/>
      <c r="CG54" s="184"/>
      <c r="CH54" s="185" t="e">
        <f t="shared" si="48"/>
        <v>#DIV/0!</v>
      </c>
      <c r="CI54" s="189"/>
      <c r="CJ54" s="190"/>
      <c r="CK54" s="185" t="e">
        <f t="shared" si="49"/>
        <v>#DIV/0!</v>
      </c>
      <c r="CL54" s="187">
        <f t="shared" si="50"/>
        <v>0</v>
      </c>
      <c r="CM54" s="186">
        <f t="shared" si="51"/>
        <v>0</v>
      </c>
      <c r="CN54" s="185" t="e">
        <f t="shared" si="52"/>
        <v>#DIV/0!</v>
      </c>
      <c r="CO54" s="245"/>
      <c r="CP54" s="188">
        <f t="shared" si="53"/>
        <v>0</v>
      </c>
      <c r="CQ54" s="188">
        <f t="shared" si="54"/>
        <v>0</v>
      </c>
      <c r="CR54" s="191" t="e">
        <f t="shared" si="55"/>
        <v>#DIV/0!</v>
      </c>
      <c r="CS54" s="279">
        <f t="shared" si="28"/>
        <v>200</v>
      </c>
      <c r="CT54" s="245"/>
      <c r="CU54" s="188">
        <f t="shared" si="29"/>
        <v>60</v>
      </c>
      <c r="CV54" s="277"/>
      <c r="CW54" s="191">
        <f t="shared" si="30"/>
        <v>0</v>
      </c>
      <c r="CX54" s="188">
        <f t="shared" si="31"/>
        <v>60</v>
      </c>
      <c r="CY54" s="277"/>
      <c r="CZ54" s="191">
        <f t="shared" si="32"/>
        <v>0</v>
      </c>
      <c r="DA54" s="188">
        <f t="shared" si="33"/>
        <v>60</v>
      </c>
      <c r="DB54" s="277"/>
      <c r="DC54" s="191">
        <f t="shared" si="34"/>
        <v>0</v>
      </c>
      <c r="DD54" s="188">
        <f t="shared" si="35"/>
        <v>20</v>
      </c>
      <c r="DE54" s="277"/>
      <c r="DF54" s="191">
        <f t="shared" si="36"/>
        <v>0</v>
      </c>
      <c r="DG54" s="245"/>
      <c r="DH54" s="188">
        <f t="shared" si="37"/>
        <v>200</v>
      </c>
      <c r="DI54" s="188">
        <f t="shared" si="38"/>
        <v>0</v>
      </c>
      <c r="DJ54" s="191">
        <f t="shared" si="39"/>
        <v>0</v>
      </c>
      <c r="DK54" s="286">
        <f t="shared" si="40"/>
        <v>200</v>
      </c>
      <c r="DL54" s="261">
        <v>50</v>
      </c>
      <c r="DM54" s="244">
        <f>+A54-DL54</f>
        <v>0</v>
      </c>
    </row>
    <row r="55" spans="1:117" x14ac:dyDescent="0.35">
      <c r="A55" s="263">
        <v>51</v>
      </c>
      <c r="B55" s="102" t="s">
        <v>270</v>
      </c>
      <c r="C55" s="102" t="s">
        <v>133</v>
      </c>
      <c r="D55" s="102" t="s">
        <v>119</v>
      </c>
      <c r="E55" s="102" t="s">
        <v>289</v>
      </c>
      <c r="F55" s="102" t="s">
        <v>290</v>
      </c>
      <c r="G55" s="98" t="s">
        <v>291</v>
      </c>
      <c r="H55" s="98" t="s">
        <v>292</v>
      </c>
      <c r="I55" s="98" t="s">
        <v>285</v>
      </c>
      <c r="J55" s="98" t="s">
        <v>285</v>
      </c>
      <c r="K55" s="96" t="s">
        <v>104</v>
      </c>
      <c r="L55" s="96" t="s">
        <v>105</v>
      </c>
      <c r="M55" s="98" t="s">
        <v>106</v>
      </c>
      <c r="N55" s="98" t="s">
        <v>275</v>
      </c>
      <c r="O55" s="98" t="s">
        <v>293</v>
      </c>
      <c r="P55" s="258" t="s">
        <v>294</v>
      </c>
      <c r="Q55" s="98" t="s">
        <v>129</v>
      </c>
      <c r="R55" s="301">
        <v>1</v>
      </c>
      <c r="S55" s="99" t="s">
        <v>111</v>
      </c>
      <c r="T55" s="81">
        <v>0</v>
      </c>
      <c r="U55" s="81">
        <v>0</v>
      </c>
      <c r="V55" s="25" t="e">
        <f t="shared" si="58"/>
        <v>#DIV/0!</v>
      </c>
      <c r="W55" s="81">
        <v>0</v>
      </c>
      <c r="X55" s="81">
        <v>1</v>
      </c>
      <c r="Y55" s="25" t="e">
        <f t="shared" si="1"/>
        <v>#DIV/0!</v>
      </c>
      <c r="Z55" s="81">
        <v>1</v>
      </c>
      <c r="AA55" s="81">
        <v>0</v>
      </c>
      <c r="AB55" s="25">
        <f t="shared" si="2"/>
        <v>0</v>
      </c>
      <c r="AC55" s="81">
        <v>0</v>
      </c>
      <c r="AD55" s="81"/>
      <c r="AE55" s="25" t="e">
        <f t="shared" si="3"/>
        <v>#DIV/0!</v>
      </c>
      <c r="AF55" s="140">
        <f t="shared" si="42"/>
        <v>1</v>
      </c>
      <c r="AG55" s="140">
        <f t="shared" si="43"/>
        <v>1</v>
      </c>
      <c r="AH55" s="138">
        <f t="shared" si="5"/>
        <v>100</v>
      </c>
      <c r="AI55" s="101">
        <v>46113</v>
      </c>
      <c r="AJ55" s="101">
        <v>46477</v>
      </c>
      <c r="AK55" s="102" t="s">
        <v>112</v>
      </c>
      <c r="AL55" s="102" t="s">
        <v>113</v>
      </c>
      <c r="AM55" s="103" t="s">
        <v>114</v>
      </c>
      <c r="AN55" s="104">
        <v>20000000</v>
      </c>
      <c r="AO55" s="104">
        <v>20000000</v>
      </c>
      <c r="AP55" s="104">
        <v>20000000</v>
      </c>
      <c r="AQ55" s="105">
        <f>AO55</f>
        <v>20000000</v>
      </c>
      <c r="AR55" s="102" t="s">
        <v>159</v>
      </c>
      <c r="AS55" s="102" t="s">
        <v>112</v>
      </c>
      <c r="AT55" s="152" t="s">
        <v>298</v>
      </c>
      <c r="AU55" s="166" t="s">
        <v>2264</v>
      </c>
      <c r="AV55" s="247" t="s">
        <v>2234</v>
      </c>
      <c r="AW55" s="136" t="s">
        <v>2249</v>
      </c>
      <c r="AX55" s="136" t="s">
        <v>2353</v>
      </c>
      <c r="AY55" s="136" t="s">
        <v>2308</v>
      </c>
      <c r="BA55" s="272"/>
      <c r="BB55" s="273"/>
      <c r="BC55" s="209" t="e">
        <f t="shared" si="7"/>
        <v>#DIV/0!</v>
      </c>
      <c r="BD55" s="272"/>
      <c r="BE55" s="273"/>
      <c r="BF55" s="209" t="e">
        <f t="shared" si="8"/>
        <v>#DIV/0!</v>
      </c>
      <c r="BG55" s="272"/>
      <c r="BH55" s="273"/>
      <c r="BI55" s="209" t="e">
        <f t="shared" si="9"/>
        <v>#DIV/0!</v>
      </c>
      <c r="BJ55" s="210">
        <f t="shared" si="10"/>
        <v>0</v>
      </c>
      <c r="BK55" s="211">
        <f t="shared" si="11"/>
        <v>0</v>
      </c>
      <c r="BL55" s="209" t="e">
        <f t="shared" si="12"/>
        <v>#DIV/0!</v>
      </c>
      <c r="BM55" s="272">
        <v>1</v>
      </c>
      <c r="BN55" s="273">
        <v>1</v>
      </c>
      <c r="BO55" s="209">
        <f t="shared" si="44"/>
        <v>1</v>
      </c>
      <c r="BP55" s="272"/>
      <c r="BQ55" s="273"/>
      <c r="BR55" s="209" t="e">
        <f t="shared" si="45"/>
        <v>#DIV/0!</v>
      </c>
      <c r="BS55" s="272"/>
      <c r="BT55" s="272"/>
      <c r="BU55" s="209" t="e">
        <f t="shared" si="46"/>
        <v>#DIV/0!</v>
      </c>
      <c r="BV55" s="210">
        <f t="shared" si="16"/>
        <v>1</v>
      </c>
      <c r="BW55" s="210">
        <f t="shared" si="17"/>
        <v>1</v>
      </c>
      <c r="BX55" s="209">
        <f t="shared" si="18"/>
        <v>1</v>
      </c>
      <c r="BY55" s="209">
        <f t="shared" si="19"/>
        <v>1</v>
      </c>
      <c r="BZ55" s="209">
        <f t="shared" si="20"/>
        <v>-1</v>
      </c>
      <c r="CA55" s="212"/>
      <c r="CB55" s="245"/>
      <c r="CC55" s="183"/>
      <c r="CD55" s="184"/>
      <c r="CE55" s="185" t="e">
        <f t="shared" si="47"/>
        <v>#DIV/0!</v>
      </c>
      <c r="CF55" s="183"/>
      <c r="CG55" s="184"/>
      <c r="CH55" s="185" t="e">
        <f t="shared" si="48"/>
        <v>#DIV/0!</v>
      </c>
      <c r="CI55" s="189"/>
      <c r="CJ55" s="190"/>
      <c r="CK55" s="185" t="e">
        <f t="shared" si="49"/>
        <v>#DIV/0!</v>
      </c>
      <c r="CL55" s="187">
        <f t="shared" si="50"/>
        <v>0</v>
      </c>
      <c r="CM55" s="186">
        <f t="shared" si="51"/>
        <v>0</v>
      </c>
      <c r="CN55" s="185" t="e">
        <f t="shared" si="52"/>
        <v>#DIV/0!</v>
      </c>
      <c r="CO55" s="245"/>
      <c r="CP55" s="188">
        <f t="shared" si="53"/>
        <v>1</v>
      </c>
      <c r="CQ55" s="188">
        <f t="shared" si="54"/>
        <v>1</v>
      </c>
      <c r="CR55" s="191">
        <f t="shared" si="55"/>
        <v>1</v>
      </c>
      <c r="CS55" s="279">
        <f t="shared" si="28"/>
        <v>0</v>
      </c>
      <c r="CT55" s="245"/>
      <c r="CU55" s="188">
        <f t="shared" si="29"/>
        <v>0</v>
      </c>
      <c r="CV55" s="277"/>
      <c r="CW55" s="191" t="e">
        <f t="shared" si="30"/>
        <v>#DIV/0!</v>
      </c>
      <c r="CX55" s="188">
        <f t="shared" si="31"/>
        <v>0</v>
      </c>
      <c r="CY55" s="277"/>
      <c r="CZ55" s="191" t="e">
        <f t="shared" si="32"/>
        <v>#DIV/0!</v>
      </c>
      <c r="DA55" s="188">
        <f t="shared" si="33"/>
        <v>0</v>
      </c>
      <c r="DB55" s="277"/>
      <c r="DC55" s="191" t="e">
        <f t="shared" si="34"/>
        <v>#DIV/0!</v>
      </c>
      <c r="DD55" s="188">
        <f t="shared" si="35"/>
        <v>0</v>
      </c>
      <c r="DE55" s="277"/>
      <c r="DF55" s="191" t="e">
        <f t="shared" si="36"/>
        <v>#DIV/0!</v>
      </c>
      <c r="DG55" s="245"/>
      <c r="DH55" s="188">
        <f t="shared" si="37"/>
        <v>1</v>
      </c>
      <c r="DI55" s="188">
        <f t="shared" si="38"/>
        <v>1</v>
      </c>
      <c r="DJ55" s="191">
        <f t="shared" si="39"/>
        <v>1</v>
      </c>
      <c r="DK55" s="286">
        <f t="shared" si="40"/>
        <v>0</v>
      </c>
      <c r="DL55" s="261">
        <v>51</v>
      </c>
      <c r="DM55" s="244">
        <f>+A55-DL55</f>
        <v>0</v>
      </c>
    </row>
    <row r="56" spans="1:117" x14ac:dyDescent="0.35">
      <c r="A56" s="263">
        <v>52</v>
      </c>
      <c r="B56" s="102" t="s">
        <v>270</v>
      </c>
      <c r="C56" s="102" t="s">
        <v>97</v>
      </c>
      <c r="D56" s="102" t="s">
        <v>98</v>
      </c>
      <c r="E56" s="102" t="s">
        <v>205</v>
      </c>
      <c r="F56" s="102" t="s">
        <v>283</v>
      </c>
      <c r="G56" s="98" t="s">
        <v>284</v>
      </c>
      <c r="H56" s="98" t="s">
        <v>284</v>
      </c>
      <c r="I56" s="98" t="s">
        <v>295</v>
      </c>
      <c r="J56" s="98" t="s">
        <v>295</v>
      </c>
      <c r="K56" s="96" t="s">
        <v>104</v>
      </c>
      <c r="L56" s="96" t="s">
        <v>105</v>
      </c>
      <c r="M56" s="98" t="s">
        <v>106</v>
      </c>
      <c r="N56" s="98" t="s">
        <v>286</v>
      </c>
      <c r="O56" s="98" t="s">
        <v>287</v>
      </c>
      <c r="P56" s="98" t="s">
        <v>296</v>
      </c>
      <c r="Q56" s="98" t="s">
        <v>110</v>
      </c>
      <c r="R56" s="301">
        <v>29</v>
      </c>
      <c r="S56" s="99" t="s">
        <v>111</v>
      </c>
      <c r="T56" s="81">
        <v>0</v>
      </c>
      <c r="U56" s="81">
        <v>0</v>
      </c>
      <c r="V56" s="25" t="e">
        <f t="shared" si="58"/>
        <v>#DIV/0!</v>
      </c>
      <c r="W56" s="81">
        <v>0</v>
      </c>
      <c r="X56" s="81">
        <v>0</v>
      </c>
      <c r="Y56" s="25" t="e">
        <f t="shared" si="1"/>
        <v>#DIV/0!</v>
      </c>
      <c r="Z56" s="81">
        <v>29</v>
      </c>
      <c r="AA56" s="81">
        <v>0</v>
      </c>
      <c r="AB56" s="25">
        <f t="shared" si="2"/>
        <v>0</v>
      </c>
      <c r="AC56" s="81">
        <v>0</v>
      </c>
      <c r="AD56" s="81"/>
      <c r="AE56" s="25" t="e">
        <f t="shared" si="3"/>
        <v>#DIV/0!</v>
      </c>
      <c r="AF56" s="140">
        <f t="shared" si="42"/>
        <v>29</v>
      </c>
      <c r="AG56" s="140">
        <f t="shared" si="43"/>
        <v>0</v>
      </c>
      <c r="AH56" s="138">
        <f t="shared" si="5"/>
        <v>0</v>
      </c>
      <c r="AI56" s="101">
        <v>46113</v>
      </c>
      <c r="AJ56" s="101">
        <v>46477</v>
      </c>
      <c r="AK56" s="102" t="s">
        <v>112</v>
      </c>
      <c r="AL56" s="102" t="s">
        <v>113</v>
      </c>
      <c r="AM56" s="103" t="s">
        <v>114</v>
      </c>
      <c r="AN56" s="104">
        <v>90000000</v>
      </c>
      <c r="AO56" s="104">
        <v>90000000</v>
      </c>
      <c r="AP56" s="104">
        <v>90000000</v>
      </c>
      <c r="AQ56" s="326">
        <v>0</v>
      </c>
      <c r="AR56" s="102" t="s">
        <v>297</v>
      </c>
      <c r="AS56" s="102" t="s">
        <v>112</v>
      </c>
      <c r="AT56" s="152" t="s">
        <v>298</v>
      </c>
      <c r="AU56" s="166" t="s">
        <v>2264</v>
      </c>
      <c r="AV56" s="247" t="s">
        <v>2234</v>
      </c>
      <c r="AW56" s="136" t="s">
        <v>2249</v>
      </c>
      <c r="AX56" s="136" t="s">
        <v>2353</v>
      </c>
      <c r="AY56" s="136" t="s">
        <v>2308</v>
      </c>
      <c r="BA56" s="272"/>
      <c r="BB56" s="273"/>
      <c r="BC56" s="209" t="e">
        <f t="shared" si="7"/>
        <v>#DIV/0!</v>
      </c>
      <c r="BD56" s="272"/>
      <c r="BE56" s="273"/>
      <c r="BF56" s="209" t="e">
        <f t="shared" si="8"/>
        <v>#DIV/0!</v>
      </c>
      <c r="BG56" s="272"/>
      <c r="BH56" s="273"/>
      <c r="BI56" s="209" t="e">
        <f t="shared" si="9"/>
        <v>#DIV/0!</v>
      </c>
      <c r="BJ56" s="210">
        <f t="shared" si="10"/>
        <v>0</v>
      </c>
      <c r="BK56" s="211">
        <f t="shared" si="11"/>
        <v>0</v>
      </c>
      <c r="BL56" s="209" t="e">
        <f t="shared" si="12"/>
        <v>#DIV/0!</v>
      </c>
      <c r="BM56" s="272"/>
      <c r="BN56" s="273"/>
      <c r="BO56" s="209" t="e">
        <f t="shared" si="44"/>
        <v>#DIV/0!</v>
      </c>
      <c r="BP56" s="272"/>
      <c r="BQ56" s="273"/>
      <c r="BR56" s="209" t="e">
        <f t="shared" si="45"/>
        <v>#DIV/0!</v>
      </c>
      <c r="BS56" s="272"/>
      <c r="BT56" s="272"/>
      <c r="BU56" s="209" t="e">
        <f t="shared" si="46"/>
        <v>#DIV/0!</v>
      </c>
      <c r="BV56" s="210">
        <f t="shared" si="16"/>
        <v>0</v>
      </c>
      <c r="BW56" s="210">
        <f t="shared" si="17"/>
        <v>0</v>
      </c>
      <c r="BX56" s="209" t="e">
        <f t="shared" si="18"/>
        <v>#DIV/0!</v>
      </c>
      <c r="BY56" s="209">
        <f t="shared" si="19"/>
        <v>0</v>
      </c>
      <c r="BZ56" s="209">
        <f t="shared" si="20"/>
        <v>0</v>
      </c>
      <c r="CA56" s="212"/>
      <c r="CB56" s="245"/>
      <c r="CC56" s="183"/>
      <c r="CD56" s="184"/>
      <c r="CE56" s="185" t="e">
        <f t="shared" si="47"/>
        <v>#DIV/0!</v>
      </c>
      <c r="CF56" s="183">
        <v>29</v>
      </c>
      <c r="CG56" s="184">
        <v>29</v>
      </c>
      <c r="CH56" s="185">
        <f t="shared" si="48"/>
        <v>1</v>
      </c>
      <c r="CI56" s="189"/>
      <c r="CJ56" s="190"/>
      <c r="CK56" s="185" t="e">
        <f t="shared" si="49"/>
        <v>#DIV/0!</v>
      </c>
      <c r="CL56" s="187">
        <f t="shared" si="50"/>
        <v>29</v>
      </c>
      <c r="CM56" s="186">
        <f t="shared" si="51"/>
        <v>29</v>
      </c>
      <c r="CN56" s="185">
        <f t="shared" si="52"/>
        <v>1</v>
      </c>
      <c r="CO56" s="245"/>
      <c r="CP56" s="188">
        <f t="shared" si="53"/>
        <v>29</v>
      </c>
      <c r="CQ56" s="188">
        <f t="shared" si="54"/>
        <v>29</v>
      </c>
      <c r="CR56" s="191">
        <f t="shared" si="55"/>
        <v>1</v>
      </c>
      <c r="CS56" s="279">
        <f t="shared" si="28"/>
        <v>0</v>
      </c>
      <c r="CT56" s="245"/>
      <c r="CU56" s="188">
        <f t="shared" si="29"/>
        <v>0</v>
      </c>
      <c r="CV56" s="277"/>
      <c r="CW56" s="191" t="e">
        <f t="shared" si="30"/>
        <v>#DIV/0!</v>
      </c>
      <c r="CX56" s="188">
        <f t="shared" si="31"/>
        <v>0</v>
      </c>
      <c r="CY56" s="277"/>
      <c r="CZ56" s="191" t="e">
        <f t="shared" si="32"/>
        <v>#DIV/0!</v>
      </c>
      <c r="DA56" s="188">
        <f t="shared" si="33"/>
        <v>0</v>
      </c>
      <c r="DB56" s="277"/>
      <c r="DC56" s="191" t="e">
        <f t="shared" si="34"/>
        <v>#DIV/0!</v>
      </c>
      <c r="DD56" s="188">
        <f t="shared" si="35"/>
        <v>0</v>
      </c>
      <c r="DE56" s="277"/>
      <c r="DF56" s="191" t="e">
        <f t="shared" si="36"/>
        <v>#DIV/0!</v>
      </c>
      <c r="DG56" s="245"/>
      <c r="DH56" s="188">
        <f t="shared" si="37"/>
        <v>29</v>
      </c>
      <c r="DI56" s="188">
        <f t="shared" si="38"/>
        <v>29</v>
      </c>
      <c r="DJ56" s="191">
        <f t="shared" si="39"/>
        <v>1</v>
      </c>
      <c r="DK56" s="286">
        <f t="shared" si="40"/>
        <v>0</v>
      </c>
      <c r="DL56" s="261">
        <v>52</v>
      </c>
      <c r="DM56" s="244">
        <f>+A56-DL56</f>
        <v>0</v>
      </c>
    </row>
    <row r="57" spans="1:117" x14ac:dyDescent="0.35">
      <c r="A57" s="263">
        <v>53</v>
      </c>
      <c r="B57" s="102" t="s">
        <v>270</v>
      </c>
      <c r="C57" s="102" t="s">
        <v>133</v>
      </c>
      <c r="D57" s="102" t="s">
        <v>119</v>
      </c>
      <c r="E57" s="102" t="s">
        <v>289</v>
      </c>
      <c r="F57" s="102" t="s">
        <v>290</v>
      </c>
      <c r="G57" s="98" t="s">
        <v>284</v>
      </c>
      <c r="H57" s="98" t="s">
        <v>284</v>
      </c>
      <c r="I57" s="98" t="s">
        <v>295</v>
      </c>
      <c r="J57" s="98" t="s">
        <v>295</v>
      </c>
      <c r="K57" s="96" t="s">
        <v>104</v>
      </c>
      <c r="L57" s="96" t="s">
        <v>105</v>
      </c>
      <c r="M57" s="98" t="s">
        <v>106</v>
      </c>
      <c r="N57" s="98" t="s">
        <v>275</v>
      </c>
      <c r="O57" s="98" t="s">
        <v>293</v>
      </c>
      <c r="P57" s="258" t="s">
        <v>299</v>
      </c>
      <c r="Q57" s="98" t="s">
        <v>129</v>
      </c>
      <c r="R57" s="301">
        <v>2</v>
      </c>
      <c r="S57" s="99" t="s">
        <v>111</v>
      </c>
      <c r="T57" s="81">
        <v>0</v>
      </c>
      <c r="U57" s="81">
        <v>0</v>
      </c>
      <c r="V57" s="25" t="e">
        <f t="shared" si="58"/>
        <v>#DIV/0!</v>
      </c>
      <c r="W57" s="81">
        <v>1</v>
      </c>
      <c r="X57" s="81">
        <v>1</v>
      </c>
      <c r="Y57" s="25">
        <f t="shared" si="1"/>
        <v>100</v>
      </c>
      <c r="Z57" s="81">
        <v>1</v>
      </c>
      <c r="AA57" s="81"/>
      <c r="AB57" s="25">
        <f t="shared" si="2"/>
        <v>0</v>
      </c>
      <c r="AC57" s="81">
        <v>0</v>
      </c>
      <c r="AD57" s="81"/>
      <c r="AE57" s="25" t="e">
        <f t="shared" si="3"/>
        <v>#DIV/0!</v>
      </c>
      <c r="AF57" s="140">
        <f t="shared" si="42"/>
        <v>2</v>
      </c>
      <c r="AG57" s="140">
        <f t="shared" si="43"/>
        <v>1</v>
      </c>
      <c r="AH57" s="138">
        <f t="shared" si="5"/>
        <v>100</v>
      </c>
      <c r="AI57" s="101">
        <v>46113</v>
      </c>
      <c r="AJ57" s="101">
        <v>46477</v>
      </c>
      <c r="AK57" s="102" t="s">
        <v>112</v>
      </c>
      <c r="AL57" s="102" t="s">
        <v>113</v>
      </c>
      <c r="AM57" s="103" t="s">
        <v>114</v>
      </c>
      <c r="AN57" s="104">
        <v>60000000</v>
      </c>
      <c r="AO57" s="104">
        <v>60000000</v>
      </c>
      <c r="AP57" s="104">
        <v>60000000</v>
      </c>
      <c r="AQ57" s="105">
        <f>AO57</f>
        <v>60000000</v>
      </c>
      <c r="AR57" s="102" t="s">
        <v>207</v>
      </c>
      <c r="AS57" s="102" t="s">
        <v>112</v>
      </c>
      <c r="AT57" s="152" t="s">
        <v>298</v>
      </c>
      <c r="AU57" s="166" t="s">
        <v>2264</v>
      </c>
      <c r="AV57" s="247" t="s">
        <v>2234</v>
      </c>
      <c r="AW57" s="136" t="s">
        <v>2249</v>
      </c>
      <c r="AX57" s="136" t="s">
        <v>2353</v>
      </c>
      <c r="AY57" s="136" t="s">
        <v>2308</v>
      </c>
      <c r="BA57" s="272"/>
      <c r="BB57" s="273"/>
      <c r="BC57" s="209" t="e">
        <f t="shared" si="7"/>
        <v>#DIV/0!</v>
      </c>
      <c r="BD57" s="272"/>
      <c r="BE57" s="273"/>
      <c r="BF57" s="209" t="e">
        <f t="shared" si="8"/>
        <v>#DIV/0!</v>
      </c>
      <c r="BG57" s="272"/>
      <c r="BH57" s="273"/>
      <c r="BI57" s="209" t="e">
        <f t="shared" si="9"/>
        <v>#DIV/0!</v>
      </c>
      <c r="BJ57" s="210">
        <f t="shared" si="10"/>
        <v>0</v>
      </c>
      <c r="BK57" s="211">
        <f t="shared" si="11"/>
        <v>0</v>
      </c>
      <c r="BL57" s="209" t="e">
        <f t="shared" si="12"/>
        <v>#DIV/0!</v>
      </c>
      <c r="BM57" s="272"/>
      <c r="BN57" s="273"/>
      <c r="BO57" s="209" t="e">
        <f t="shared" si="44"/>
        <v>#DIV/0!</v>
      </c>
      <c r="BP57" s="272"/>
      <c r="BQ57" s="273"/>
      <c r="BR57" s="209" t="e">
        <f t="shared" si="45"/>
        <v>#DIV/0!</v>
      </c>
      <c r="BS57" s="272">
        <v>2</v>
      </c>
      <c r="BT57" s="272">
        <v>2</v>
      </c>
      <c r="BU57" s="209">
        <f t="shared" si="46"/>
        <v>1</v>
      </c>
      <c r="BV57" s="210">
        <f t="shared" si="16"/>
        <v>2</v>
      </c>
      <c r="BW57" s="210">
        <f t="shared" si="17"/>
        <v>2</v>
      </c>
      <c r="BX57" s="209">
        <f t="shared" si="18"/>
        <v>1</v>
      </c>
      <c r="BY57" s="209">
        <f t="shared" si="19"/>
        <v>1</v>
      </c>
      <c r="BZ57" s="209">
        <f t="shared" si="20"/>
        <v>-1</v>
      </c>
      <c r="CA57" s="212"/>
      <c r="CB57" s="245"/>
      <c r="CC57" s="183"/>
      <c r="CD57" s="184"/>
      <c r="CE57" s="185" t="e">
        <f t="shared" si="47"/>
        <v>#DIV/0!</v>
      </c>
      <c r="CF57" s="183"/>
      <c r="CG57" s="184"/>
      <c r="CH57" s="185" t="e">
        <f t="shared" si="48"/>
        <v>#DIV/0!</v>
      </c>
      <c r="CI57" s="189"/>
      <c r="CJ57" s="190"/>
      <c r="CK57" s="185" t="e">
        <f t="shared" si="49"/>
        <v>#DIV/0!</v>
      </c>
      <c r="CL57" s="187">
        <f t="shared" si="50"/>
        <v>0</v>
      </c>
      <c r="CM57" s="186">
        <f t="shared" si="51"/>
        <v>0</v>
      </c>
      <c r="CN57" s="185" t="e">
        <f t="shared" si="52"/>
        <v>#DIV/0!</v>
      </c>
      <c r="CO57" s="245"/>
      <c r="CP57" s="188">
        <f t="shared" si="53"/>
        <v>2</v>
      </c>
      <c r="CQ57" s="188">
        <f t="shared" si="54"/>
        <v>2</v>
      </c>
      <c r="CR57" s="191">
        <f t="shared" si="55"/>
        <v>1</v>
      </c>
      <c r="CS57" s="279">
        <f t="shared" si="28"/>
        <v>0</v>
      </c>
      <c r="CT57" s="245"/>
      <c r="CU57" s="188">
        <f t="shared" si="29"/>
        <v>0</v>
      </c>
      <c r="CV57" s="277"/>
      <c r="CW57" s="191" t="e">
        <f t="shared" si="30"/>
        <v>#DIV/0!</v>
      </c>
      <c r="CX57" s="188">
        <f t="shared" si="31"/>
        <v>0</v>
      </c>
      <c r="CY57" s="277"/>
      <c r="CZ57" s="191" t="e">
        <f t="shared" si="32"/>
        <v>#DIV/0!</v>
      </c>
      <c r="DA57" s="188">
        <f t="shared" si="33"/>
        <v>0</v>
      </c>
      <c r="DB57" s="277"/>
      <c r="DC57" s="191" t="e">
        <f t="shared" si="34"/>
        <v>#DIV/0!</v>
      </c>
      <c r="DD57" s="188">
        <f t="shared" si="35"/>
        <v>0</v>
      </c>
      <c r="DE57" s="277"/>
      <c r="DF57" s="191" t="e">
        <f t="shared" si="36"/>
        <v>#DIV/0!</v>
      </c>
      <c r="DG57" s="245"/>
      <c r="DH57" s="188">
        <f t="shared" si="37"/>
        <v>2</v>
      </c>
      <c r="DI57" s="188">
        <f t="shared" si="38"/>
        <v>2</v>
      </c>
      <c r="DJ57" s="191">
        <f t="shared" si="39"/>
        <v>1</v>
      </c>
      <c r="DK57" s="286">
        <f t="shared" si="40"/>
        <v>0</v>
      </c>
      <c r="DL57" s="261">
        <v>53</v>
      </c>
      <c r="DM57" s="244">
        <f>+A57-DL57</f>
        <v>0</v>
      </c>
    </row>
    <row r="58" spans="1:117" ht="62.5" x14ac:dyDescent="0.35">
      <c r="A58" s="263">
        <v>54</v>
      </c>
      <c r="B58" s="102" t="s">
        <v>270</v>
      </c>
      <c r="C58" s="102" t="s">
        <v>118</v>
      </c>
      <c r="D58" s="102" t="s">
        <v>119</v>
      </c>
      <c r="E58" s="102" t="s">
        <v>289</v>
      </c>
      <c r="F58" s="102" t="s">
        <v>300</v>
      </c>
      <c r="G58" s="98" t="s">
        <v>290</v>
      </c>
      <c r="H58" s="98" t="s">
        <v>301</v>
      </c>
      <c r="I58" s="98" t="s">
        <v>295</v>
      </c>
      <c r="J58" s="98" t="s">
        <v>295</v>
      </c>
      <c r="K58" s="96" t="s">
        <v>104</v>
      </c>
      <c r="L58" s="96" t="s">
        <v>105</v>
      </c>
      <c r="M58" s="98" t="s">
        <v>106</v>
      </c>
      <c r="N58" s="98" t="s">
        <v>275</v>
      </c>
      <c r="O58" s="98" t="s">
        <v>293</v>
      </c>
      <c r="P58" s="241" t="s">
        <v>302</v>
      </c>
      <c r="Q58" s="98" t="s">
        <v>129</v>
      </c>
      <c r="R58" s="301">
        <v>29</v>
      </c>
      <c r="S58" s="99" t="s">
        <v>111</v>
      </c>
      <c r="T58" s="81">
        <v>0</v>
      </c>
      <c r="U58" s="81">
        <v>0</v>
      </c>
      <c r="V58" s="25" t="e">
        <f t="shared" si="58"/>
        <v>#DIV/0!</v>
      </c>
      <c r="W58" s="81">
        <v>10</v>
      </c>
      <c r="X58" s="81">
        <v>0</v>
      </c>
      <c r="Y58" s="25">
        <f t="shared" si="1"/>
        <v>0</v>
      </c>
      <c r="Z58" s="81">
        <v>10</v>
      </c>
      <c r="AA58" s="81"/>
      <c r="AB58" s="25">
        <f t="shared" si="2"/>
        <v>0</v>
      </c>
      <c r="AC58" s="81">
        <v>9</v>
      </c>
      <c r="AD58" s="81"/>
      <c r="AE58" s="25">
        <f t="shared" si="3"/>
        <v>0</v>
      </c>
      <c r="AF58" s="140">
        <f t="shared" si="42"/>
        <v>29</v>
      </c>
      <c r="AG58" s="140">
        <f t="shared" si="43"/>
        <v>0</v>
      </c>
      <c r="AH58" s="138">
        <f t="shared" si="5"/>
        <v>0</v>
      </c>
      <c r="AI58" s="101">
        <v>46113</v>
      </c>
      <c r="AJ58" s="101">
        <v>46477</v>
      </c>
      <c r="AK58" s="102" t="s">
        <v>112</v>
      </c>
      <c r="AL58" s="102" t="s">
        <v>113</v>
      </c>
      <c r="AM58" s="103" t="s">
        <v>114</v>
      </c>
      <c r="AN58" s="324"/>
      <c r="AO58" s="324"/>
      <c r="AP58" s="324"/>
      <c r="AQ58" s="326"/>
      <c r="AR58" s="102" t="s">
        <v>303</v>
      </c>
      <c r="AS58" s="102" t="s">
        <v>112</v>
      </c>
      <c r="AT58" s="152" t="s">
        <v>2228</v>
      </c>
      <c r="AU58" s="166" t="s">
        <v>2264</v>
      </c>
      <c r="AV58" s="247" t="s">
        <v>2234</v>
      </c>
      <c r="AW58" s="136" t="s">
        <v>2256</v>
      </c>
      <c r="AX58" s="136" t="s">
        <v>2352</v>
      </c>
      <c r="AY58" s="136" t="s">
        <v>2308</v>
      </c>
      <c r="BA58" s="272"/>
      <c r="BB58" s="273"/>
      <c r="BC58" s="209" t="e">
        <f t="shared" si="7"/>
        <v>#DIV/0!</v>
      </c>
      <c r="BD58" s="272"/>
      <c r="BE58" s="273"/>
      <c r="BF58" s="209" t="e">
        <f t="shared" si="8"/>
        <v>#DIV/0!</v>
      </c>
      <c r="BG58" s="272"/>
      <c r="BH58" s="273"/>
      <c r="BI58" s="209" t="e">
        <f t="shared" si="9"/>
        <v>#DIV/0!</v>
      </c>
      <c r="BJ58" s="210">
        <f t="shared" si="10"/>
        <v>0</v>
      </c>
      <c r="BK58" s="211">
        <f t="shared" si="11"/>
        <v>0</v>
      </c>
      <c r="BL58" s="209" t="e">
        <f t="shared" si="12"/>
        <v>#DIV/0!</v>
      </c>
      <c r="BM58" s="272"/>
      <c r="BN58" s="273"/>
      <c r="BO58" s="209" t="e">
        <f t="shared" si="44"/>
        <v>#DIV/0!</v>
      </c>
      <c r="BP58" s="272">
        <v>29</v>
      </c>
      <c r="BQ58" s="273">
        <v>29</v>
      </c>
      <c r="BR58" s="209">
        <f t="shared" si="45"/>
        <v>1</v>
      </c>
      <c r="BS58" s="272"/>
      <c r="BT58" s="272"/>
      <c r="BU58" s="209" t="e">
        <f t="shared" si="46"/>
        <v>#DIV/0!</v>
      </c>
      <c r="BV58" s="210">
        <f t="shared" si="16"/>
        <v>29</v>
      </c>
      <c r="BW58" s="210">
        <f t="shared" si="17"/>
        <v>29</v>
      </c>
      <c r="BX58" s="209">
        <f t="shared" si="18"/>
        <v>1</v>
      </c>
      <c r="BY58" s="209">
        <f t="shared" si="19"/>
        <v>1</v>
      </c>
      <c r="BZ58" s="209">
        <f t="shared" si="20"/>
        <v>-1</v>
      </c>
      <c r="CA58" s="212"/>
      <c r="CB58" s="245"/>
      <c r="CC58" s="183"/>
      <c r="CD58" s="184"/>
      <c r="CE58" s="185" t="e">
        <f t="shared" si="47"/>
        <v>#DIV/0!</v>
      </c>
      <c r="CF58" s="183"/>
      <c r="CG58" s="184"/>
      <c r="CH58" s="185" t="e">
        <f t="shared" si="48"/>
        <v>#DIV/0!</v>
      </c>
      <c r="CI58" s="189"/>
      <c r="CJ58" s="190"/>
      <c r="CK58" s="185" t="e">
        <f t="shared" si="49"/>
        <v>#DIV/0!</v>
      </c>
      <c r="CL58" s="187">
        <f t="shared" si="50"/>
        <v>0</v>
      </c>
      <c r="CM58" s="186">
        <f t="shared" si="51"/>
        <v>0</v>
      </c>
      <c r="CN58" s="185" t="e">
        <f t="shared" si="52"/>
        <v>#DIV/0!</v>
      </c>
      <c r="CO58" s="245"/>
      <c r="CP58" s="188">
        <f t="shared" si="53"/>
        <v>29</v>
      </c>
      <c r="CQ58" s="188">
        <f t="shared" si="54"/>
        <v>29</v>
      </c>
      <c r="CR58" s="191">
        <f t="shared" si="55"/>
        <v>1</v>
      </c>
      <c r="CS58" s="279">
        <f t="shared" si="28"/>
        <v>0</v>
      </c>
      <c r="CT58" s="245"/>
      <c r="CU58" s="188">
        <f t="shared" si="29"/>
        <v>0</v>
      </c>
      <c r="CV58" s="277"/>
      <c r="CW58" s="191" t="e">
        <f t="shared" si="30"/>
        <v>#DIV/0!</v>
      </c>
      <c r="CX58" s="188">
        <f t="shared" si="31"/>
        <v>0</v>
      </c>
      <c r="CY58" s="277"/>
      <c r="CZ58" s="191" t="e">
        <f t="shared" si="32"/>
        <v>#DIV/0!</v>
      </c>
      <c r="DA58" s="188">
        <f t="shared" si="33"/>
        <v>0</v>
      </c>
      <c r="DB58" s="277"/>
      <c r="DC58" s="191" t="e">
        <f t="shared" si="34"/>
        <v>#DIV/0!</v>
      </c>
      <c r="DD58" s="188">
        <f t="shared" si="35"/>
        <v>0</v>
      </c>
      <c r="DE58" s="277"/>
      <c r="DF58" s="191" t="e">
        <f t="shared" si="36"/>
        <v>#DIV/0!</v>
      </c>
      <c r="DG58" s="245"/>
      <c r="DH58" s="188">
        <f t="shared" si="37"/>
        <v>29</v>
      </c>
      <c r="DI58" s="188">
        <f t="shared" si="38"/>
        <v>29</v>
      </c>
      <c r="DJ58" s="191">
        <f t="shared" si="39"/>
        <v>1</v>
      </c>
      <c r="DK58" s="286">
        <f t="shared" si="40"/>
        <v>0</v>
      </c>
      <c r="DL58" s="261">
        <v>54</v>
      </c>
      <c r="DM58" s="244">
        <f>+A58-DL58</f>
        <v>0</v>
      </c>
    </row>
    <row r="59" spans="1:117" x14ac:dyDescent="0.35">
      <c r="A59" s="263">
        <v>55</v>
      </c>
      <c r="B59" s="102" t="s">
        <v>270</v>
      </c>
      <c r="C59" s="102" t="s">
        <v>118</v>
      </c>
      <c r="D59" s="102" t="s">
        <v>119</v>
      </c>
      <c r="E59" s="102" t="s">
        <v>289</v>
      </c>
      <c r="F59" s="102" t="s">
        <v>300</v>
      </c>
      <c r="G59" s="98" t="s">
        <v>290</v>
      </c>
      <c r="H59" s="98" t="s">
        <v>301</v>
      </c>
      <c r="I59" s="98" t="s">
        <v>281</v>
      </c>
      <c r="J59" s="98" t="s">
        <v>281</v>
      </c>
      <c r="K59" s="96" t="s">
        <v>104</v>
      </c>
      <c r="L59" s="96" t="s">
        <v>105</v>
      </c>
      <c r="M59" s="98" t="s">
        <v>106</v>
      </c>
      <c r="N59" s="98" t="s">
        <v>286</v>
      </c>
      <c r="O59" s="98" t="s">
        <v>293</v>
      </c>
      <c r="P59" s="258" t="s">
        <v>304</v>
      </c>
      <c r="Q59" s="98" t="s">
        <v>129</v>
      </c>
      <c r="R59" s="301">
        <v>4</v>
      </c>
      <c r="S59" s="99" t="s">
        <v>111</v>
      </c>
      <c r="T59" s="81">
        <v>1</v>
      </c>
      <c r="U59" s="81">
        <v>0</v>
      </c>
      <c r="V59" s="25">
        <f t="shared" si="58"/>
        <v>0</v>
      </c>
      <c r="W59" s="81">
        <v>1</v>
      </c>
      <c r="X59" s="81">
        <v>1</v>
      </c>
      <c r="Y59" s="25">
        <f t="shared" si="1"/>
        <v>100</v>
      </c>
      <c r="Z59" s="81">
        <v>1</v>
      </c>
      <c r="AA59" s="81"/>
      <c r="AB59" s="25">
        <f t="shared" si="2"/>
        <v>0</v>
      </c>
      <c r="AC59" s="81">
        <v>1</v>
      </c>
      <c r="AD59" s="81"/>
      <c r="AE59" s="25">
        <f t="shared" si="3"/>
        <v>0</v>
      </c>
      <c r="AF59" s="140">
        <f t="shared" si="42"/>
        <v>4</v>
      </c>
      <c r="AG59" s="140">
        <f t="shared" si="43"/>
        <v>1</v>
      </c>
      <c r="AH59" s="138">
        <f t="shared" si="5"/>
        <v>50</v>
      </c>
      <c r="AI59" s="101">
        <v>46113</v>
      </c>
      <c r="AJ59" s="101">
        <v>46477</v>
      </c>
      <c r="AK59" s="102" t="s">
        <v>112</v>
      </c>
      <c r="AL59" s="102" t="s">
        <v>113</v>
      </c>
      <c r="AM59" s="103" t="s">
        <v>114</v>
      </c>
      <c r="AN59" s="104">
        <v>20000000</v>
      </c>
      <c r="AO59" s="104">
        <v>20000000</v>
      </c>
      <c r="AP59" s="104">
        <v>20000000</v>
      </c>
      <c r="AQ59" s="326">
        <v>0</v>
      </c>
      <c r="AR59" s="102" t="s">
        <v>130</v>
      </c>
      <c r="AS59" s="102" t="s">
        <v>112</v>
      </c>
      <c r="AT59" s="152" t="s">
        <v>298</v>
      </c>
      <c r="AU59" s="166" t="s">
        <v>2264</v>
      </c>
      <c r="AV59" s="247" t="s">
        <v>2234</v>
      </c>
      <c r="AW59" s="136" t="s">
        <v>2249</v>
      </c>
      <c r="AX59" s="136" t="s">
        <v>2353</v>
      </c>
      <c r="AY59" s="136" t="s">
        <v>2308</v>
      </c>
      <c r="BA59" s="272"/>
      <c r="BB59" s="273"/>
      <c r="BC59" s="209" t="e">
        <f t="shared" si="7"/>
        <v>#DIV/0!</v>
      </c>
      <c r="BD59" s="272"/>
      <c r="BE59" s="273"/>
      <c r="BF59" s="209" t="e">
        <f t="shared" si="8"/>
        <v>#DIV/0!</v>
      </c>
      <c r="BG59" s="272">
        <v>1</v>
      </c>
      <c r="BH59" s="273">
        <v>1</v>
      </c>
      <c r="BI59" s="209">
        <f t="shared" si="9"/>
        <v>1</v>
      </c>
      <c r="BJ59" s="210">
        <f t="shared" si="10"/>
        <v>1</v>
      </c>
      <c r="BK59" s="211">
        <f t="shared" si="11"/>
        <v>1</v>
      </c>
      <c r="BL59" s="209">
        <f t="shared" si="12"/>
        <v>1</v>
      </c>
      <c r="BM59" s="272"/>
      <c r="BN59" s="273"/>
      <c r="BO59" s="209" t="e">
        <f t="shared" si="44"/>
        <v>#DIV/0!</v>
      </c>
      <c r="BP59" s="272"/>
      <c r="BQ59" s="273"/>
      <c r="BR59" s="209" t="e">
        <f t="shared" si="45"/>
        <v>#DIV/0!</v>
      </c>
      <c r="BS59" s="272"/>
      <c r="BT59" s="272"/>
      <c r="BU59" s="209" t="e">
        <f t="shared" si="46"/>
        <v>#DIV/0!</v>
      </c>
      <c r="BV59" s="210">
        <f t="shared" si="16"/>
        <v>0</v>
      </c>
      <c r="BW59" s="210">
        <f t="shared" si="17"/>
        <v>0</v>
      </c>
      <c r="BX59" s="209" t="e">
        <f t="shared" si="18"/>
        <v>#DIV/0!</v>
      </c>
      <c r="BY59" s="209">
        <f t="shared" si="19"/>
        <v>0.25</v>
      </c>
      <c r="BZ59" s="209">
        <f t="shared" si="20"/>
        <v>-0.25</v>
      </c>
      <c r="CA59" s="212"/>
      <c r="CB59" s="245"/>
      <c r="CC59" s="183"/>
      <c r="CD59" s="184"/>
      <c r="CE59" s="185" t="e">
        <f t="shared" si="47"/>
        <v>#DIV/0!</v>
      </c>
      <c r="CF59" s="183"/>
      <c r="CG59" s="184"/>
      <c r="CH59" s="185" t="e">
        <f t="shared" si="48"/>
        <v>#DIV/0!</v>
      </c>
      <c r="CI59" s="189"/>
      <c r="CJ59" s="190"/>
      <c r="CK59" s="185" t="e">
        <f t="shared" si="49"/>
        <v>#DIV/0!</v>
      </c>
      <c r="CL59" s="187">
        <f t="shared" si="50"/>
        <v>0</v>
      </c>
      <c r="CM59" s="186">
        <f t="shared" si="51"/>
        <v>0</v>
      </c>
      <c r="CN59" s="185" t="e">
        <f t="shared" si="52"/>
        <v>#DIV/0!</v>
      </c>
      <c r="CO59" s="245"/>
      <c r="CP59" s="188">
        <f t="shared" si="53"/>
        <v>1</v>
      </c>
      <c r="CQ59" s="188">
        <f t="shared" si="54"/>
        <v>1</v>
      </c>
      <c r="CR59" s="191">
        <f t="shared" si="55"/>
        <v>1</v>
      </c>
      <c r="CS59" s="279">
        <f t="shared" si="28"/>
        <v>3</v>
      </c>
      <c r="CT59" s="245"/>
      <c r="CU59" s="188">
        <f t="shared" si="29"/>
        <v>0.89999999999999991</v>
      </c>
      <c r="CV59" s="277"/>
      <c r="CW59" s="191">
        <f t="shared" si="30"/>
        <v>0</v>
      </c>
      <c r="CX59" s="188">
        <f t="shared" si="31"/>
        <v>0.89999999999999991</v>
      </c>
      <c r="CY59" s="277"/>
      <c r="CZ59" s="191">
        <f t="shared" si="32"/>
        <v>0</v>
      </c>
      <c r="DA59" s="188">
        <f t="shared" si="33"/>
        <v>0.89999999999999991</v>
      </c>
      <c r="DB59" s="277"/>
      <c r="DC59" s="191">
        <f t="shared" si="34"/>
        <v>0</v>
      </c>
      <c r="DD59" s="188">
        <f t="shared" si="35"/>
        <v>0.30000000000000004</v>
      </c>
      <c r="DE59" s="277"/>
      <c r="DF59" s="191">
        <f t="shared" si="36"/>
        <v>0</v>
      </c>
      <c r="DG59" s="245"/>
      <c r="DH59" s="188">
        <f t="shared" si="37"/>
        <v>4</v>
      </c>
      <c r="DI59" s="188">
        <f t="shared" si="38"/>
        <v>1</v>
      </c>
      <c r="DJ59" s="191">
        <f t="shared" si="39"/>
        <v>0.25</v>
      </c>
      <c r="DK59" s="286">
        <f t="shared" si="40"/>
        <v>3</v>
      </c>
      <c r="DL59" s="261">
        <v>55</v>
      </c>
      <c r="DM59" s="244">
        <f>+A59-DL59</f>
        <v>0</v>
      </c>
    </row>
    <row r="60" spans="1:117" x14ac:dyDescent="0.35">
      <c r="A60" s="263">
        <v>56</v>
      </c>
      <c r="B60" s="102" t="s">
        <v>270</v>
      </c>
      <c r="C60" s="102" t="s">
        <v>133</v>
      </c>
      <c r="D60" s="102" t="s">
        <v>119</v>
      </c>
      <c r="E60" s="102" t="s">
        <v>289</v>
      </c>
      <c r="F60" s="102" t="s">
        <v>300</v>
      </c>
      <c r="G60" s="98" t="s">
        <v>290</v>
      </c>
      <c r="H60" s="98" t="s">
        <v>301</v>
      </c>
      <c r="I60" s="98" t="s">
        <v>285</v>
      </c>
      <c r="J60" s="98" t="s">
        <v>285</v>
      </c>
      <c r="K60" s="96" t="s">
        <v>104</v>
      </c>
      <c r="L60" s="96" t="s">
        <v>105</v>
      </c>
      <c r="M60" s="98" t="s">
        <v>106</v>
      </c>
      <c r="N60" s="98" t="s">
        <v>286</v>
      </c>
      <c r="O60" s="98" t="s">
        <v>293</v>
      </c>
      <c r="P60" s="258" t="s">
        <v>305</v>
      </c>
      <c r="Q60" s="98" t="s">
        <v>129</v>
      </c>
      <c r="R60" s="301">
        <v>29</v>
      </c>
      <c r="S60" s="99" t="s">
        <v>111</v>
      </c>
      <c r="T60" s="81">
        <v>7</v>
      </c>
      <c r="U60" s="81">
        <v>0</v>
      </c>
      <c r="V60" s="25">
        <f t="shared" si="58"/>
        <v>0</v>
      </c>
      <c r="W60" s="81">
        <v>7</v>
      </c>
      <c r="X60" s="81">
        <v>0</v>
      </c>
      <c r="Y60" s="25">
        <f t="shared" si="1"/>
        <v>0</v>
      </c>
      <c r="Z60" s="81">
        <v>7</v>
      </c>
      <c r="AA60" s="81"/>
      <c r="AB60" s="25">
        <f t="shared" si="2"/>
        <v>0</v>
      </c>
      <c r="AC60" s="81">
        <v>8</v>
      </c>
      <c r="AD60" s="81"/>
      <c r="AE60" s="25">
        <f t="shared" si="3"/>
        <v>0</v>
      </c>
      <c r="AF60" s="140">
        <f t="shared" si="42"/>
        <v>29</v>
      </c>
      <c r="AG60" s="140">
        <f t="shared" si="43"/>
        <v>0</v>
      </c>
      <c r="AH60" s="138">
        <f t="shared" si="5"/>
        <v>0</v>
      </c>
      <c r="AI60" s="101">
        <v>46113</v>
      </c>
      <c r="AJ60" s="101">
        <v>46477</v>
      </c>
      <c r="AK60" s="102" t="s">
        <v>112</v>
      </c>
      <c r="AL60" s="102" t="s">
        <v>113</v>
      </c>
      <c r="AM60" s="103" t="s">
        <v>114</v>
      </c>
      <c r="AN60" s="104">
        <v>70000000</v>
      </c>
      <c r="AO60" s="104">
        <v>70000000</v>
      </c>
      <c r="AP60" s="104">
        <v>70000000</v>
      </c>
      <c r="AQ60" s="326">
        <v>0</v>
      </c>
      <c r="AR60" s="102" t="s">
        <v>306</v>
      </c>
      <c r="AS60" s="102" t="s">
        <v>112</v>
      </c>
      <c r="AT60" s="152" t="s">
        <v>298</v>
      </c>
      <c r="AU60" s="166" t="s">
        <v>2264</v>
      </c>
      <c r="AV60" s="247" t="s">
        <v>2234</v>
      </c>
      <c r="AW60" s="136" t="s">
        <v>2249</v>
      </c>
      <c r="AX60" s="136" t="s">
        <v>2353</v>
      </c>
      <c r="AY60" s="136" t="s">
        <v>2308</v>
      </c>
      <c r="BA60" s="272"/>
      <c r="BB60" s="273"/>
      <c r="BC60" s="209" t="e">
        <f t="shared" si="7"/>
        <v>#DIV/0!</v>
      </c>
      <c r="BD60" s="272"/>
      <c r="BE60" s="273"/>
      <c r="BF60" s="209" t="e">
        <f t="shared" si="8"/>
        <v>#DIV/0!</v>
      </c>
      <c r="BG60" s="272"/>
      <c r="BH60" s="273"/>
      <c r="BI60" s="209" t="e">
        <f t="shared" si="9"/>
        <v>#DIV/0!</v>
      </c>
      <c r="BJ60" s="210">
        <f t="shared" si="10"/>
        <v>0</v>
      </c>
      <c r="BK60" s="211">
        <f t="shared" si="11"/>
        <v>0</v>
      </c>
      <c r="BL60" s="209" t="e">
        <f t="shared" si="12"/>
        <v>#DIV/0!</v>
      </c>
      <c r="BM60" s="272"/>
      <c r="BN60" s="273"/>
      <c r="BO60" s="209" t="e">
        <f t="shared" si="44"/>
        <v>#DIV/0!</v>
      </c>
      <c r="BP60" s="272">
        <v>29</v>
      </c>
      <c r="BQ60" s="273">
        <v>29</v>
      </c>
      <c r="BR60" s="209">
        <f t="shared" si="45"/>
        <v>1</v>
      </c>
      <c r="BS60" s="272"/>
      <c r="BT60" s="272"/>
      <c r="BU60" s="209" t="e">
        <f t="shared" si="46"/>
        <v>#DIV/0!</v>
      </c>
      <c r="BV60" s="210">
        <f t="shared" si="16"/>
        <v>29</v>
      </c>
      <c r="BW60" s="210">
        <f t="shared" si="17"/>
        <v>29</v>
      </c>
      <c r="BX60" s="209">
        <f t="shared" si="18"/>
        <v>1</v>
      </c>
      <c r="BY60" s="209">
        <f t="shared" si="19"/>
        <v>1</v>
      </c>
      <c r="BZ60" s="209">
        <f t="shared" si="20"/>
        <v>-1</v>
      </c>
      <c r="CA60" s="212"/>
      <c r="CB60" s="245"/>
      <c r="CC60" s="183"/>
      <c r="CD60" s="184"/>
      <c r="CE60" s="185" t="e">
        <f t="shared" si="47"/>
        <v>#DIV/0!</v>
      </c>
      <c r="CF60" s="183"/>
      <c r="CG60" s="184"/>
      <c r="CH60" s="185" t="e">
        <f t="shared" si="48"/>
        <v>#DIV/0!</v>
      </c>
      <c r="CI60" s="189"/>
      <c r="CJ60" s="190"/>
      <c r="CK60" s="185" t="e">
        <f t="shared" si="49"/>
        <v>#DIV/0!</v>
      </c>
      <c r="CL60" s="187">
        <f t="shared" si="50"/>
        <v>0</v>
      </c>
      <c r="CM60" s="186">
        <f t="shared" si="51"/>
        <v>0</v>
      </c>
      <c r="CN60" s="185" t="e">
        <f t="shared" si="52"/>
        <v>#DIV/0!</v>
      </c>
      <c r="CO60" s="245"/>
      <c r="CP60" s="188">
        <f t="shared" si="53"/>
        <v>29</v>
      </c>
      <c r="CQ60" s="188">
        <f t="shared" si="54"/>
        <v>29</v>
      </c>
      <c r="CR60" s="191">
        <f t="shared" si="55"/>
        <v>1</v>
      </c>
      <c r="CS60" s="279">
        <f t="shared" si="28"/>
        <v>0</v>
      </c>
      <c r="CT60" s="245"/>
      <c r="CU60" s="188">
        <f t="shared" si="29"/>
        <v>0</v>
      </c>
      <c r="CV60" s="277"/>
      <c r="CW60" s="191" t="e">
        <f t="shared" si="30"/>
        <v>#DIV/0!</v>
      </c>
      <c r="CX60" s="188">
        <f t="shared" si="31"/>
        <v>0</v>
      </c>
      <c r="CY60" s="277"/>
      <c r="CZ60" s="191" t="e">
        <f t="shared" si="32"/>
        <v>#DIV/0!</v>
      </c>
      <c r="DA60" s="188">
        <f t="shared" si="33"/>
        <v>0</v>
      </c>
      <c r="DB60" s="277"/>
      <c r="DC60" s="191" t="e">
        <f t="shared" si="34"/>
        <v>#DIV/0!</v>
      </c>
      <c r="DD60" s="188">
        <f t="shared" si="35"/>
        <v>0</v>
      </c>
      <c r="DE60" s="277"/>
      <c r="DF60" s="191" t="e">
        <f t="shared" si="36"/>
        <v>#DIV/0!</v>
      </c>
      <c r="DG60" s="245"/>
      <c r="DH60" s="188">
        <f t="shared" si="37"/>
        <v>29</v>
      </c>
      <c r="DI60" s="188">
        <f t="shared" si="38"/>
        <v>29</v>
      </c>
      <c r="DJ60" s="191">
        <f t="shared" si="39"/>
        <v>1</v>
      </c>
      <c r="DK60" s="286">
        <f t="shared" si="40"/>
        <v>0</v>
      </c>
      <c r="DL60" s="261">
        <v>56</v>
      </c>
      <c r="DM60" s="244">
        <f>+A60-DL60</f>
        <v>0</v>
      </c>
    </row>
    <row r="61" spans="1:117" x14ac:dyDescent="0.35">
      <c r="A61" s="263">
        <v>57</v>
      </c>
      <c r="B61" s="102" t="s">
        <v>270</v>
      </c>
      <c r="C61" s="102" t="s">
        <v>133</v>
      </c>
      <c r="D61" s="102" t="s">
        <v>119</v>
      </c>
      <c r="E61" s="102" t="s">
        <v>289</v>
      </c>
      <c r="F61" s="102" t="s">
        <v>300</v>
      </c>
      <c r="G61" s="98" t="s">
        <v>290</v>
      </c>
      <c r="H61" s="98" t="s">
        <v>301</v>
      </c>
      <c r="I61" s="98" t="s">
        <v>285</v>
      </c>
      <c r="J61" s="98" t="s">
        <v>285</v>
      </c>
      <c r="K61" s="96" t="s">
        <v>104</v>
      </c>
      <c r="L61" s="96" t="s">
        <v>105</v>
      </c>
      <c r="M61" s="98" t="s">
        <v>106</v>
      </c>
      <c r="N61" s="98" t="s">
        <v>286</v>
      </c>
      <c r="O61" s="98" t="s">
        <v>293</v>
      </c>
      <c r="P61" s="258" t="s">
        <v>307</v>
      </c>
      <c r="Q61" s="98" t="s">
        <v>129</v>
      </c>
      <c r="R61" s="301">
        <v>29</v>
      </c>
      <c r="S61" s="99" t="s">
        <v>111</v>
      </c>
      <c r="T61" s="81">
        <v>0</v>
      </c>
      <c r="U61" s="81">
        <v>0</v>
      </c>
      <c r="V61" s="25" t="e">
        <f t="shared" si="58"/>
        <v>#DIV/0!</v>
      </c>
      <c r="W61" s="81">
        <v>10</v>
      </c>
      <c r="X61" s="81">
        <v>10</v>
      </c>
      <c r="Y61" s="25">
        <f t="shared" si="1"/>
        <v>100</v>
      </c>
      <c r="Z61" s="81">
        <v>10</v>
      </c>
      <c r="AA61" s="81"/>
      <c r="AB61" s="25">
        <f t="shared" si="2"/>
        <v>0</v>
      </c>
      <c r="AC61" s="81">
        <v>9</v>
      </c>
      <c r="AD61" s="81"/>
      <c r="AE61" s="25">
        <f t="shared" si="3"/>
        <v>0</v>
      </c>
      <c r="AF61" s="140">
        <f t="shared" si="42"/>
        <v>29</v>
      </c>
      <c r="AG61" s="140">
        <f t="shared" si="43"/>
        <v>10</v>
      </c>
      <c r="AH61" s="138">
        <f t="shared" si="5"/>
        <v>100</v>
      </c>
      <c r="AI61" s="101">
        <v>46113</v>
      </c>
      <c r="AJ61" s="101">
        <v>46477</v>
      </c>
      <c r="AK61" s="102" t="s">
        <v>112</v>
      </c>
      <c r="AL61" s="102" t="s">
        <v>113</v>
      </c>
      <c r="AM61" s="103" t="s">
        <v>114</v>
      </c>
      <c r="AN61" s="104">
        <v>70000000</v>
      </c>
      <c r="AO61" s="104">
        <v>70000000</v>
      </c>
      <c r="AP61" s="104">
        <v>70000000</v>
      </c>
      <c r="AQ61" s="105">
        <f>AO61</f>
        <v>70000000</v>
      </c>
      <c r="AR61" s="102" t="s">
        <v>130</v>
      </c>
      <c r="AS61" s="102" t="s">
        <v>112</v>
      </c>
      <c r="AT61" s="152" t="s">
        <v>298</v>
      </c>
      <c r="AU61" s="166" t="s">
        <v>2264</v>
      </c>
      <c r="AV61" s="247" t="s">
        <v>2234</v>
      </c>
      <c r="AW61" s="136" t="s">
        <v>2249</v>
      </c>
      <c r="AX61" s="136" t="s">
        <v>2353</v>
      </c>
      <c r="AY61" s="136" t="s">
        <v>2308</v>
      </c>
      <c r="BA61" s="272"/>
      <c r="BB61" s="273"/>
      <c r="BC61" s="209" t="e">
        <f t="shared" si="7"/>
        <v>#DIV/0!</v>
      </c>
      <c r="BD61" s="272"/>
      <c r="BE61" s="273"/>
      <c r="BF61" s="209" t="e">
        <f t="shared" si="8"/>
        <v>#DIV/0!</v>
      </c>
      <c r="BG61" s="272"/>
      <c r="BH61" s="273"/>
      <c r="BI61" s="209" t="e">
        <f t="shared" si="9"/>
        <v>#DIV/0!</v>
      </c>
      <c r="BJ61" s="210">
        <f t="shared" si="10"/>
        <v>0</v>
      </c>
      <c r="BK61" s="211">
        <f t="shared" si="11"/>
        <v>0</v>
      </c>
      <c r="BL61" s="209" t="e">
        <f t="shared" si="12"/>
        <v>#DIV/0!</v>
      </c>
      <c r="BM61" s="272"/>
      <c r="BN61" s="273"/>
      <c r="BO61" s="209" t="e">
        <f t="shared" si="44"/>
        <v>#DIV/0!</v>
      </c>
      <c r="BP61" s="272">
        <v>29</v>
      </c>
      <c r="BQ61" s="273">
        <v>29</v>
      </c>
      <c r="BR61" s="209">
        <f t="shared" si="45"/>
        <v>1</v>
      </c>
      <c r="BS61" s="272"/>
      <c r="BT61" s="272"/>
      <c r="BU61" s="209" t="e">
        <f t="shared" si="46"/>
        <v>#DIV/0!</v>
      </c>
      <c r="BV61" s="210">
        <f t="shared" si="16"/>
        <v>29</v>
      </c>
      <c r="BW61" s="210">
        <f t="shared" si="17"/>
        <v>29</v>
      </c>
      <c r="BX61" s="209">
        <f t="shared" si="18"/>
        <v>1</v>
      </c>
      <c r="BY61" s="209">
        <f t="shared" si="19"/>
        <v>1</v>
      </c>
      <c r="BZ61" s="209">
        <f t="shared" si="20"/>
        <v>-1</v>
      </c>
      <c r="CA61" s="212"/>
      <c r="CB61" s="245"/>
      <c r="CC61" s="183"/>
      <c r="CD61" s="184"/>
      <c r="CE61" s="185" t="e">
        <f t="shared" si="47"/>
        <v>#DIV/0!</v>
      </c>
      <c r="CF61" s="183"/>
      <c r="CG61" s="184"/>
      <c r="CH61" s="185" t="e">
        <f t="shared" si="48"/>
        <v>#DIV/0!</v>
      </c>
      <c r="CI61" s="189"/>
      <c r="CJ61" s="190"/>
      <c r="CK61" s="185" t="e">
        <f t="shared" si="49"/>
        <v>#DIV/0!</v>
      </c>
      <c r="CL61" s="187">
        <f t="shared" si="50"/>
        <v>0</v>
      </c>
      <c r="CM61" s="186">
        <f t="shared" si="51"/>
        <v>0</v>
      </c>
      <c r="CN61" s="185" t="e">
        <f t="shared" si="52"/>
        <v>#DIV/0!</v>
      </c>
      <c r="CO61" s="245"/>
      <c r="CP61" s="188">
        <f t="shared" si="53"/>
        <v>29</v>
      </c>
      <c r="CQ61" s="188">
        <f t="shared" si="54"/>
        <v>29</v>
      </c>
      <c r="CR61" s="191">
        <f t="shared" si="55"/>
        <v>1</v>
      </c>
      <c r="CS61" s="279">
        <f t="shared" si="28"/>
        <v>0</v>
      </c>
      <c r="CT61" s="245"/>
      <c r="CU61" s="188">
        <f t="shared" si="29"/>
        <v>0</v>
      </c>
      <c r="CV61" s="277"/>
      <c r="CW61" s="191" t="e">
        <f t="shared" si="30"/>
        <v>#DIV/0!</v>
      </c>
      <c r="CX61" s="188">
        <f t="shared" si="31"/>
        <v>0</v>
      </c>
      <c r="CY61" s="277"/>
      <c r="CZ61" s="191" t="e">
        <f t="shared" si="32"/>
        <v>#DIV/0!</v>
      </c>
      <c r="DA61" s="188">
        <f t="shared" si="33"/>
        <v>0</v>
      </c>
      <c r="DB61" s="277"/>
      <c r="DC61" s="191" t="e">
        <f t="shared" si="34"/>
        <v>#DIV/0!</v>
      </c>
      <c r="DD61" s="188">
        <f t="shared" si="35"/>
        <v>0</v>
      </c>
      <c r="DE61" s="277"/>
      <c r="DF61" s="191" t="e">
        <f t="shared" si="36"/>
        <v>#DIV/0!</v>
      </c>
      <c r="DG61" s="245"/>
      <c r="DH61" s="188">
        <f t="shared" si="37"/>
        <v>29</v>
      </c>
      <c r="DI61" s="188">
        <f t="shared" si="38"/>
        <v>29</v>
      </c>
      <c r="DJ61" s="191">
        <f t="shared" si="39"/>
        <v>1</v>
      </c>
      <c r="DK61" s="286">
        <f t="shared" si="40"/>
        <v>0</v>
      </c>
      <c r="DL61" s="261">
        <v>57</v>
      </c>
      <c r="DM61" s="244">
        <f>+A61-DL61</f>
        <v>0</v>
      </c>
    </row>
    <row r="62" spans="1:117" ht="75" x14ac:dyDescent="0.35">
      <c r="A62" s="263">
        <v>58</v>
      </c>
      <c r="B62" s="102" t="s">
        <v>270</v>
      </c>
      <c r="C62" s="102" t="s">
        <v>133</v>
      </c>
      <c r="D62" s="102" t="s">
        <v>119</v>
      </c>
      <c r="E62" s="102" t="s">
        <v>289</v>
      </c>
      <c r="F62" s="102" t="s">
        <v>300</v>
      </c>
      <c r="G62" s="98" t="s">
        <v>290</v>
      </c>
      <c r="H62" s="98" t="s">
        <v>301</v>
      </c>
      <c r="I62" s="98" t="s">
        <v>285</v>
      </c>
      <c r="J62" s="98" t="s">
        <v>285</v>
      </c>
      <c r="K62" s="96" t="s">
        <v>104</v>
      </c>
      <c r="L62" s="96" t="s">
        <v>105</v>
      </c>
      <c r="M62" s="98" t="s">
        <v>106</v>
      </c>
      <c r="N62" s="98" t="s">
        <v>286</v>
      </c>
      <c r="O62" s="98" t="s">
        <v>293</v>
      </c>
      <c r="P62" s="259" t="s">
        <v>308</v>
      </c>
      <c r="Q62" s="98" t="s">
        <v>129</v>
      </c>
      <c r="R62" s="301">
        <v>4</v>
      </c>
      <c r="S62" s="99" t="s">
        <v>111</v>
      </c>
      <c r="T62" s="81">
        <v>0</v>
      </c>
      <c r="U62" s="81">
        <v>0</v>
      </c>
      <c r="V62" s="25" t="e">
        <f t="shared" si="58"/>
        <v>#DIV/0!</v>
      </c>
      <c r="W62" s="81">
        <v>2</v>
      </c>
      <c r="X62" s="81">
        <v>0</v>
      </c>
      <c r="Y62" s="25">
        <f t="shared" si="1"/>
        <v>0</v>
      </c>
      <c r="Z62" s="81">
        <v>2</v>
      </c>
      <c r="AA62" s="81"/>
      <c r="AB62" s="25">
        <f t="shared" si="2"/>
        <v>0</v>
      </c>
      <c r="AC62" s="81">
        <v>0</v>
      </c>
      <c r="AD62" s="81"/>
      <c r="AE62" s="25" t="e">
        <f t="shared" si="3"/>
        <v>#DIV/0!</v>
      </c>
      <c r="AF62" s="140">
        <f t="shared" si="42"/>
        <v>4</v>
      </c>
      <c r="AG62" s="140">
        <f t="shared" si="43"/>
        <v>0</v>
      </c>
      <c r="AH62" s="138">
        <f t="shared" si="5"/>
        <v>0</v>
      </c>
      <c r="AI62" s="101">
        <v>46113</v>
      </c>
      <c r="AJ62" s="101">
        <v>46477</v>
      </c>
      <c r="AK62" s="102" t="s">
        <v>112</v>
      </c>
      <c r="AL62" s="102" t="s">
        <v>113</v>
      </c>
      <c r="AM62" s="103" t="s">
        <v>114</v>
      </c>
      <c r="AN62" s="104">
        <v>80000000</v>
      </c>
      <c r="AO62" s="104">
        <v>80000000</v>
      </c>
      <c r="AP62" s="104">
        <v>80000000</v>
      </c>
      <c r="AQ62" s="326">
        <v>0</v>
      </c>
      <c r="AR62" s="102" t="s">
        <v>306</v>
      </c>
      <c r="AS62" s="102" t="s">
        <v>112</v>
      </c>
      <c r="AT62" s="152" t="s">
        <v>309</v>
      </c>
      <c r="AU62" s="166" t="s">
        <v>2264</v>
      </c>
      <c r="AV62" s="247" t="s">
        <v>2234</v>
      </c>
      <c r="BA62" s="272"/>
      <c r="BB62" s="273"/>
      <c r="BC62" s="209" t="e">
        <f t="shared" si="7"/>
        <v>#DIV/0!</v>
      </c>
      <c r="BD62" s="272"/>
      <c r="BE62" s="273"/>
      <c r="BF62" s="209" t="e">
        <f t="shared" si="8"/>
        <v>#DIV/0!</v>
      </c>
      <c r="BG62" s="272"/>
      <c r="BH62" s="273"/>
      <c r="BI62" s="209" t="e">
        <f t="shared" si="9"/>
        <v>#DIV/0!</v>
      </c>
      <c r="BJ62" s="210">
        <f t="shared" si="10"/>
        <v>0</v>
      </c>
      <c r="BK62" s="211">
        <f t="shared" si="11"/>
        <v>0</v>
      </c>
      <c r="BL62" s="209" t="e">
        <f t="shared" si="12"/>
        <v>#DIV/0!</v>
      </c>
      <c r="BM62" s="272"/>
      <c r="BN62" s="273"/>
      <c r="BO62" s="209" t="e">
        <f t="shared" si="44"/>
        <v>#DIV/0!</v>
      </c>
      <c r="BP62" s="272"/>
      <c r="BQ62" s="273"/>
      <c r="BR62" s="209" t="e">
        <f t="shared" si="45"/>
        <v>#DIV/0!</v>
      </c>
      <c r="BS62" s="272"/>
      <c r="BT62" s="272"/>
      <c r="BU62" s="209" t="e">
        <f t="shared" si="46"/>
        <v>#DIV/0!</v>
      </c>
      <c r="BV62" s="210">
        <f t="shared" si="16"/>
        <v>0</v>
      </c>
      <c r="BW62" s="210">
        <f t="shared" si="17"/>
        <v>0</v>
      </c>
      <c r="BX62" s="209" t="e">
        <f t="shared" si="18"/>
        <v>#DIV/0!</v>
      </c>
      <c r="BY62" s="209">
        <f t="shared" si="19"/>
        <v>0</v>
      </c>
      <c r="BZ62" s="209">
        <f t="shared" si="20"/>
        <v>0</v>
      </c>
      <c r="CA62" s="212"/>
      <c r="CB62" s="245"/>
      <c r="CC62" s="183"/>
      <c r="CD62" s="184"/>
      <c r="CE62" s="185" t="e">
        <f t="shared" si="47"/>
        <v>#DIV/0!</v>
      </c>
      <c r="CF62" s="183"/>
      <c r="CG62" s="184"/>
      <c r="CH62" s="185" t="e">
        <f t="shared" si="48"/>
        <v>#DIV/0!</v>
      </c>
      <c r="CI62" s="189"/>
      <c r="CJ62" s="190"/>
      <c r="CK62" s="185" t="e">
        <f t="shared" si="49"/>
        <v>#DIV/0!</v>
      </c>
      <c r="CL62" s="187">
        <f t="shared" si="50"/>
        <v>0</v>
      </c>
      <c r="CM62" s="186">
        <f t="shared" si="51"/>
        <v>0</v>
      </c>
      <c r="CN62" s="185" t="e">
        <f t="shared" si="52"/>
        <v>#DIV/0!</v>
      </c>
      <c r="CO62" s="245"/>
      <c r="CP62" s="188">
        <f t="shared" si="53"/>
        <v>0</v>
      </c>
      <c r="CQ62" s="188">
        <f t="shared" si="54"/>
        <v>0</v>
      </c>
      <c r="CR62" s="191" t="e">
        <f t="shared" si="55"/>
        <v>#DIV/0!</v>
      </c>
      <c r="CS62" s="279">
        <f t="shared" si="28"/>
        <v>4</v>
      </c>
      <c r="CT62" s="245"/>
      <c r="CU62" s="188">
        <f t="shared" si="29"/>
        <v>1.2</v>
      </c>
      <c r="CV62" s="277"/>
      <c r="CW62" s="191">
        <f t="shared" si="30"/>
        <v>0</v>
      </c>
      <c r="CX62" s="188">
        <f t="shared" si="31"/>
        <v>1.2</v>
      </c>
      <c r="CY62" s="277"/>
      <c r="CZ62" s="191">
        <f t="shared" si="32"/>
        <v>0</v>
      </c>
      <c r="DA62" s="188">
        <f t="shared" si="33"/>
        <v>1.2</v>
      </c>
      <c r="DB62" s="277"/>
      <c r="DC62" s="191">
        <f t="shared" si="34"/>
        <v>0</v>
      </c>
      <c r="DD62" s="188">
        <f t="shared" si="35"/>
        <v>0.4</v>
      </c>
      <c r="DE62" s="277"/>
      <c r="DF62" s="191">
        <f t="shared" si="36"/>
        <v>0</v>
      </c>
      <c r="DG62" s="245"/>
      <c r="DH62" s="188">
        <f t="shared" si="37"/>
        <v>4</v>
      </c>
      <c r="DI62" s="188">
        <f t="shared" si="38"/>
        <v>0</v>
      </c>
      <c r="DJ62" s="191">
        <f t="shared" si="39"/>
        <v>0</v>
      </c>
      <c r="DK62" s="286">
        <f t="shared" si="40"/>
        <v>4</v>
      </c>
      <c r="DL62" s="261">
        <v>58</v>
      </c>
      <c r="DM62" s="244">
        <f>+A62-DL62</f>
        <v>0</v>
      </c>
    </row>
    <row r="63" spans="1:117" ht="25" x14ac:dyDescent="0.35">
      <c r="A63" s="263">
        <v>59</v>
      </c>
      <c r="B63" s="102" t="s">
        <v>270</v>
      </c>
      <c r="C63" s="102" t="s">
        <v>118</v>
      </c>
      <c r="D63" s="102" t="s">
        <v>119</v>
      </c>
      <c r="E63" s="102" t="s">
        <v>289</v>
      </c>
      <c r="F63" s="102" t="s">
        <v>300</v>
      </c>
      <c r="G63" s="98" t="s">
        <v>290</v>
      </c>
      <c r="H63" s="98" t="s">
        <v>301</v>
      </c>
      <c r="I63" s="98" t="s">
        <v>281</v>
      </c>
      <c r="J63" s="98" t="s">
        <v>281</v>
      </c>
      <c r="K63" s="96" t="s">
        <v>104</v>
      </c>
      <c r="L63" s="96" t="s">
        <v>105</v>
      </c>
      <c r="M63" s="98" t="s">
        <v>106</v>
      </c>
      <c r="N63" s="98" t="s">
        <v>275</v>
      </c>
      <c r="O63" s="98" t="s">
        <v>293</v>
      </c>
      <c r="P63" s="241" t="s">
        <v>310</v>
      </c>
      <c r="Q63" s="98" t="s">
        <v>129</v>
      </c>
      <c r="R63" s="301">
        <v>1</v>
      </c>
      <c r="S63" s="99" t="s">
        <v>111</v>
      </c>
      <c r="T63" s="81">
        <v>1</v>
      </c>
      <c r="U63" s="81">
        <v>0</v>
      </c>
      <c r="V63" s="25">
        <f t="shared" si="58"/>
        <v>0</v>
      </c>
      <c r="W63" s="81">
        <v>0</v>
      </c>
      <c r="X63" s="81">
        <v>1</v>
      </c>
      <c r="Y63" s="25" t="e">
        <f t="shared" si="1"/>
        <v>#DIV/0!</v>
      </c>
      <c r="Z63" s="81">
        <v>1</v>
      </c>
      <c r="AA63" s="81"/>
      <c r="AB63" s="25">
        <f t="shared" si="2"/>
        <v>0</v>
      </c>
      <c r="AC63" s="81">
        <v>0</v>
      </c>
      <c r="AD63" s="81"/>
      <c r="AE63" s="25" t="e">
        <f t="shared" si="3"/>
        <v>#DIV/0!</v>
      </c>
      <c r="AF63" s="140">
        <f t="shared" si="42"/>
        <v>1</v>
      </c>
      <c r="AG63" s="140">
        <f t="shared" si="43"/>
        <v>1</v>
      </c>
      <c r="AH63" s="138">
        <f t="shared" si="5"/>
        <v>100</v>
      </c>
      <c r="AI63" s="101">
        <v>46113</v>
      </c>
      <c r="AJ63" s="101">
        <v>46477</v>
      </c>
      <c r="AK63" s="102" t="s">
        <v>112</v>
      </c>
      <c r="AL63" s="102" t="s">
        <v>113</v>
      </c>
      <c r="AM63" s="103" t="s">
        <v>114</v>
      </c>
      <c r="AN63" s="324"/>
      <c r="AO63" s="324"/>
      <c r="AP63" s="324"/>
      <c r="AQ63" s="326"/>
      <c r="AR63" s="102" t="s">
        <v>115</v>
      </c>
      <c r="AS63" s="102" t="s">
        <v>112</v>
      </c>
      <c r="AT63" s="152" t="s">
        <v>309</v>
      </c>
      <c r="AU63" s="166" t="s">
        <v>2264</v>
      </c>
      <c r="AV63" s="247" t="s">
        <v>2234</v>
      </c>
      <c r="AW63" s="136" t="s">
        <v>2256</v>
      </c>
      <c r="AX63" s="136" t="s">
        <v>2352</v>
      </c>
      <c r="AY63" s="136" t="s">
        <v>2308</v>
      </c>
      <c r="BA63" s="272"/>
      <c r="BB63" s="273"/>
      <c r="BC63" s="209" t="e">
        <f t="shared" si="7"/>
        <v>#DIV/0!</v>
      </c>
      <c r="BD63" s="272"/>
      <c r="BE63" s="273"/>
      <c r="BF63" s="209" t="e">
        <f t="shared" si="8"/>
        <v>#DIV/0!</v>
      </c>
      <c r="BG63" s="272">
        <v>1</v>
      </c>
      <c r="BH63" s="273">
        <v>1</v>
      </c>
      <c r="BI63" s="209">
        <f t="shared" si="9"/>
        <v>1</v>
      </c>
      <c r="BJ63" s="210">
        <f t="shared" si="10"/>
        <v>1</v>
      </c>
      <c r="BK63" s="211">
        <f t="shared" si="11"/>
        <v>1</v>
      </c>
      <c r="BL63" s="209">
        <f t="shared" si="12"/>
        <v>1</v>
      </c>
      <c r="BM63" s="272">
        <v>1</v>
      </c>
      <c r="BN63" s="273">
        <v>1</v>
      </c>
      <c r="BO63" s="209">
        <f t="shared" si="44"/>
        <v>1</v>
      </c>
      <c r="BP63" s="272">
        <v>1</v>
      </c>
      <c r="BQ63" s="273">
        <v>1</v>
      </c>
      <c r="BR63" s="209">
        <f t="shared" si="45"/>
        <v>1</v>
      </c>
      <c r="BS63" s="272">
        <v>1</v>
      </c>
      <c r="BT63" s="272">
        <v>1</v>
      </c>
      <c r="BU63" s="209">
        <f t="shared" si="46"/>
        <v>1</v>
      </c>
      <c r="BV63" s="210">
        <f t="shared" si="16"/>
        <v>3</v>
      </c>
      <c r="BW63" s="210">
        <f t="shared" si="17"/>
        <v>3</v>
      </c>
      <c r="BX63" s="209">
        <f t="shared" si="18"/>
        <v>1</v>
      </c>
      <c r="BY63" s="209">
        <f t="shared" si="19"/>
        <v>4</v>
      </c>
      <c r="BZ63" s="209">
        <f t="shared" si="20"/>
        <v>-4</v>
      </c>
      <c r="CA63" s="212"/>
      <c r="CB63" s="245"/>
      <c r="CC63" s="183"/>
      <c r="CD63" s="184"/>
      <c r="CE63" s="185" t="e">
        <f t="shared" si="47"/>
        <v>#DIV/0!</v>
      </c>
      <c r="CF63" s="183"/>
      <c r="CG63" s="184"/>
      <c r="CH63" s="185" t="e">
        <f t="shared" si="48"/>
        <v>#DIV/0!</v>
      </c>
      <c r="CI63" s="189"/>
      <c r="CJ63" s="190"/>
      <c r="CK63" s="185" t="e">
        <f t="shared" si="49"/>
        <v>#DIV/0!</v>
      </c>
      <c r="CL63" s="187">
        <f t="shared" si="50"/>
        <v>0</v>
      </c>
      <c r="CM63" s="186">
        <f t="shared" si="51"/>
        <v>0</v>
      </c>
      <c r="CN63" s="185" t="e">
        <f t="shared" si="52"/>
        <v>#DIV/0!</v>
      </c>
      <c r="CO63" s="245"/>
      <c r="CP63" s="188">
        <f t="shared" si="53"/>
        <v>4</v>
      </c>
      <c r="CQ63" s="188">
        <f t="shared" si="54"/>
        <v>4</v>
      </c>
      <c r="CR63" s="191">
        <f t="shared" si="55"/>
        <v>1</v>
      </c>
      <c r="CS63" s="279">
        <f t="shared" si="28"/>
        <v>-3</v>
      </c>
      <c r="CT63" s="245"/>
      <c r="CU63" s="188">
        <f t="shared" si="29"/>
        <v>-0.89999999999999991</v>
      </c>
      <c r="CV63" s="277"/>
      <c r="CW63" s="191">
        <f t="shared" si="30"/>
        <v>0</v>
      </c>
      <c r="CX63" s="188">
        <f t="shared" si="31"/>
        <v>-0.89999999999999991</v>
      </c>
      <c r="CY63" s="277"/>
      <c r="CZ63" s="191">
        <f t="shared" si="32"/>
        <v>0</v>
      </c>
      <c r="DA63" s="188">
        <f t="shared" si="33"/>
        <v>-0.89999999999999991</v>
      </c>
      <c r="DB63" s="277"/>
      <c r="DC63" s="191">
        <f t="shared" si="34"/>
        <v>0</v>
      </c>
      <c r="DD63" s="188">
        <f t="shared" si="35"/>
        <v>-0.30000000000000004</v>
      </c>
      <c r="DE63" s="277"/>
      <c r="DF63" s="191">
        <f t="shared" si="36"/>
        <v>0</v>
      </c>
      <c r="DG63" s="245"/>
      <c r="DH63" s="188">
        <f t="shared" si="37"/>
        <v>1</v>
      </c>
      <c r="DI63" s="188">
        <f t="shared" si="38"/>
        <v>4</v>
      </c>
      <c r="DJ63" s="191">
        <f t="shared" si="39"/>
        <v>4</v>
      </c>
      <c r="DK63" s="286">
        <f t="shared" si="40"/>
        <v>-3</v>
      </c>
      <c r="DL63" s="261">
        <v>59</v>
      </c>
      <c r="DM63" s="244">
        <f>+A63-DL63</f>
        <v>0</v>
      </c>
    </row>
    <row r="64" spans="1:117" x14ac:dyDescent="0.35">
      <c r="A64" s="263">
        <v>60</v>
      </c>
      <c r="B64" s="102" t="s">
        <v>270</v>
      </c>
      <c r="C64" s="102" t="s">
        <v>118</v>
      </c>
      <c r="D64" s="102" t="s">
        <v>119</v>
      </c>
      <c r="E64" s="102" t="s">
        <v>289</v>
      </c>
      <c r="F64" s="102" t="s">
        <v>300</v>
      </c>
      <c r="G64" s="98" t="s">
        <v>290</v>
      </c>
      <c r="H64" s="98" t="s">
        <v>301</v>
      </c>
      <c r="I64" s="98" t="s">
        <v>311</v>
      </c>
      <c r="J64" s="98" t="s">
        <v>312</v>
      </c>
      <c r="K64" s="96" t="s">
        <v>104</v>
      </c>
      <c r="L64" s="96" t="s">
        <v>105</v>
      </c>
      <c r="M64" s="98" t="s">
        <v>106</v>
      </c>
      <c r="N64" s="98" t="s">
        <v>286</v>
      </c>
      <c r="O64" s="98" t="s">
        <v>293</v>
      </c>
      <c r="P64" s="98" t="s">
        <v>313</v>
      </c>
      <c r="Q64" s="98" t="s">
        <v>129</v>
      </c>
      <c r="R64" s="301">
        <v>4</v>
      </c>
      <c r="S64" s="99" t="s">
        <v>111</v>
      </c>
      <c r="T64" s="81">
        <v>1</v>
      </c>
      <c r="U64" s="81">
        <v>1</v>
      </c>
      <c r="V64" s="25">
        <f t="shared" si="58"/>
        <v>100</v>
      </c>
      <c r="W64" s="81">
        <v>1</v>
      </c>
      <c r="X64" s="81">
        <v>0</v>
      </c>
      <c r="Y64" s="25">
        <f t="shared" si="1"/>
        <v>0</v>
      </c>
      <c r="Z64" s="81">
        <v>1</v>
      </c>
      <c r="AA64" s="81"/>
      <c r="AB64" s="25">
        <f t="shared" si="2"/>
        <v>0</v>
      </c>
      <c r="AC64" s="81">
        <v>1</v>
      </c>
      <c r="AD64" s="81"/>
      <c r="AE64" s="25">
        <f t="shared" si="3"/>
        <v>0</v>
      </c>
      <c r="AF64" s="140">
        <f t="shared" si="42"/>
        <v>4</v>
      </c>
      <c r="AG64" s="140">
        <f t="shared" si="43"/>
        <v>1</v>
      </c>
      <c r="AH64" s="138">
        <f t="shared" si="5"/>
        <v>50</v>
      </c>
      <c r="AI64" s="101">
        <v>46113</v>
      </c>
      <c r="AJ64" s="101">
        <v>46477</v>
      </c>
      <c r="AK64" s="102" t="s">
        <v>112</v>
      </c>
      <c r="AL64" s="102" t="s">
        <v>113</v>
      </c>
      <c r="AM64" s="103" t="s">
        <v>114</v>
      </c>
      <c r="AN64" s="324"/>
      <c r="AO64" s="324"/>
      <c r="AP64" s="324"/>
      <c r="AQ64" s="326"/>
      <c r="AR64" s="102" t="s">
        <v>130</v>
      </c>
      <c r="AS64" s="102"/>
      <c r="AT64" s="152" t="s">
        <v>314</v>
      </c>
      <c r="AU64" s="166" t="s">
        <v>2264</v>
      </c>
      <c r="AV64" s="247" t="s">
        <v>2234</v>
      </c>
      <c r="AW64" s="136" t="s">
        <v>2250</v>
      </c>
      <c r="AX64" s="136" t="s">
        <v>2354</v>
      </c>
      <c r="AY64" s="136" t="s">
        <v>2308</v>
      </c>
      <c r="BA64" s="272"/>
      <c r="BB64" s="273"/>
      <c r="BC64" s="209" t="e">
        <f t="shared" si="7"/>
        <v>#DIV/0!</v>
      </c>
      <c r="BD64" s="272"/>
      <c r="BE64" s="273"/>
      <c r="BF64" s="209" t="e">
        <f t="shared" si="8"/>
        <v>#DIV/0!</v>
      </c>
      <c r="BG64" s="272">
        <v>1</v>
      </c>
      <c r="BH64" s="273">
        <v>1</v>
      </c>
      <c r="BI64" s="209">
        <f t="shared" si="9"/>
        <v>1</v>
      </c>
      <c r="BJ64" s="210">
        <f t="shared" si="10"/>
        <v>1</v>
      </c>
      <c r="BK64" s="211">
        <f t="shared" si="11"/>
        <v>1</v>
      </c>
      <c r="BL64" s="209">
        <f t="shared" si="12"/>
        <v>1</v>
      </c>
      <c r="BM64" s="272">
        <v>1</v>
      </c>
      <c r="BN64" s="273">
        <v>1</v>
      </c>
      <c r="BO64" s="209">
        <f t="shared" si="44"/>
        <v>1</v>
      </c>
      <c r="BP64" s="272"/>
      <c r="BQ64" s="273"/>
      <c r="BR64" s="209" t="e">
        <f t="shared" si="45"/>
        <v>#DIV/0!</v>
      </c>
      <c r="BS64" s="272"/>
      <c r="BT64" s="272"/>
      <c r="BU64" s="209" t="e">
        <f t="shared" si="46"/>
        <v>#DIV/0!</v>
      </c>
      <c r="BV64" s="210">
        <f t="shared" si="16"/>
        <v>1</v>
      </c>
      <c r="BW64" s="210">
        <f t="shared" si="17"/>
        <v>1</v>
      </c>
      <c r="BX64" s="209">
        <f t="shared" si="18"/>
        <v>1</v>
      </c>
      <c r="BY64" s="209">
        <f t="shared" si="19"/>
        <v>0.5</v>
      </c>
      <c r="BZ64" s="209">
        <f t="shared" si="20"/>
        <v>-0.5</v>
      </c>
      <c r="CA64" s="212"/>
      <c r="CB64" s="245"/>
      <c r="CC64" s="183"/>
      <c r="CD64" s="184"/>
      <c r="CE64" s="185" t="e">
        <f t="shared" si="47"/>
        <v>#DIV/0!</v>
      </c>
      <c r="CF64" s="183">
        <v>1</v>
      </c>
      <c r="CG64" s="184">
        <v>1</v>
      </c>
      <c r="CH64" s="185">
        <f t="shared" si="48"/>
        <v>1</v>
      </c>
      <c r="CI64" s="189"/>
      <c r="CJ64" s="190"/>
      <c r="CK64" s="185" t="e">
        <f t="shared" si="49"/>
        <v>#DIV/0!</v>
      </c>
      <c r="CL64" s="187">
        <f t="shared" si="50"/>
        <v>1</v>
      </c>
      <c r="CM64" s="186">
        <f t="shared" si="51"/>
        <v>1</v>
      </c>
      <c r="CN64" s="185">
        <f t="shared" si="52"/>
        <v>1</v>
      </c>
      <c r="CO64" s="245"/>
      <c r="CP64" s="188">
        <f t="shared" si="53"/>
        <v>3</v>
      </c>
      <c r="CQ64" s="188">
        <f t="shared" si="54"/>
        <v>3</v>
      </c>
      <c r="CR64" s="191">
        <f t="shared" si="55"/>
        <v>1</v>
      </c>
      <c r="CS64" s="279">
        <f t="shared" si="28"/>
        <v>1</v>
      </c>
      <c r="CT64" s="245"/>
      <c r="CU64" s="188">
        <f t="shared" si="29"/>
        <v>0.3</v>
      </c>
      <c r="CV64" s="277"/>
      <c r="CW64" s="191">
        <f t="shared" si="30"/>
        <v>0</v>
      </c>
      <c r="CX64" s="188">
        <f t="shared" si="31"/>
        <v>0.3</v>
      </c>
      <c r="CY64" s="277"/>
      <c r="CZ64" s="191">
        <f t="shared" si="32"/>
        <v>0</v>
      </c>
      <c r="DA64" s="188">
        <f t="shared" si="33"/>
        <v>0.3</v>
      </c>
      <c r="DB64" s="277"/>
      <c r="DC64" s="191">
        <f t="shared" si="34"/>
        <v>0</v>
      </c>
      <c r="DD64" s="188">
        <f t="shared" si="35"/>
        <v>0.1</v>
      </c>
      <c r="DE64" s="277"/>
      <c r="DF64" s="191">
        <f t="shared" si="36"/>
        <v>0</v>
      </c>
      <c r="DG64" s="245"/>
      <c r="DH64" s="188">
        <f t="shared" si="37"/>
        <v>4</v>
      </c>
      <c r="DI64" s="188">
        <f t="shared" si="38"/>
        <v>3</v>
      </c>
      <c r="DJ64" s="191">
        <f t="shared" si="39"/>
        <v>0.75</v>
      </c>
      <c r="DK64" s="286">
        <f t="shared" si="40"/>
        <v>1</v>
      </c>
      <c r="DL64" s="261">
        <v>60</v>
      </c>
      <c r="DM64" s="244">
        <f>+A64-DL64</f>
        <v>0</v>
      </c>
    </row>
    <row r="65" spans="1:117" x14ac:dyDescent="0.35">
      <c r="A65" s="263">
        <v>61</v>
      </c>
      <c r="B65" s="102" t="s">
        <v>270</v>
      </c>
      <c r="C65" s="102" t="s">
        <v>97</v>
      </c>
      <c r="D65" s="102" t="s">
        <v>98</v>
      </c>
      <c r="E65" s="102" t="s">
        <v>315</v>
      </c>
      <c r="F65" s="102" t="s">
        <v>316</v>
      </c>
      <c r="G65" s="98" t="s">
        <v>317</v>
      </c>
      <c r="H65" s="98" t="s">
        <v>301</v>
      </c>
      <c r="I65" s="98" t="s">
        <v>318</v>
      </c>
      <c r="J65" s="98" t="s">
        <v>318</v>
      </c>
      <c r="K65" s="96" t="s">
        <v>104</v>
      </c>
      <c r="L65" s="96" t="s">
        <v>105</v>
      </c>
      <c r="M65" s="98" t="s">
        <v>106</v>
      </c>
      <c r="N65" s="98" t="s">
        <v>319</v>
      </c>
      <c r="O65" s="98" t="s">
        <v>108</v>
      </c>
      <c r="P65" s="98" t="s">
        <v>320</v>
      </c>
      <c r="Q65" s="98" t="s">
        <v>110</v>
      </c>
      <c r="R65" s="301">
        <v>29</v>
      </c>
      <c r="S65" s="99" t="s">
        <v>111</v>
      </c>
      <c r="T65" s="81">
        <v>5</v>
      </c>
      <c r="U65" s="81">
        <v>0</v>
      </c>
      <c r="V65" s="25">
        <f t="shared" si="58"/>
        <v>0</v>
      </c>
      <c r="W65" s="81">
        <v>10</v>
      </c>
      <c r="X65" s="81">
        <v>0</v>
      </c>
      <c r="Y65" s="25">
        <f t="shared" si="1"/>
        <v>0</v>
      </c>
      <c r="Z65" s="81">
        <v>10</v>
      </c>
      <c r="AA65" s="81"/>
      <c r="AB65" s="25">
        <f t="shared" si="2"/>
        <v>0</v>
      </c>
      <c r="AC65" s="81">
        <v>4</v>
      </c>
      <c r="AD65" s="81"/>
      <c r="AE65" s="25">
        <f t="shared" si="3"/>
        <v>0</v>
      </c>
      <c r="AF65" s="140">
        <f t="shared" si="42"/>
        <v>29</v>
      </c>
      <c r="AG65" s="140">
        <f t="shared" si="43"/>
        <v>0</v>
      </c>
      <c r="AH65" s="138">
        <f t="shared" si="5"/>
        <v>0</v>
      </c>
      <c r="AI65" s="101">
        <v>46113</v>
      </c>
      <c r="AJ65" s="101">
        <v>46477</v>
      </c>
      <c r="AK65" s="102" t="s">
        <v>112</v>
      </c>
      <c r="AL65" s="102" t="s">
        <v>113</v>
      </c>
      <c r="AM65" s="103" t="s">
        <v>114</v>
      </c>
      <c r="AN65" s="104">
        <v>100000000</v>
      </c>
      <c r="AO65" s="104">
        <v>100000000</v>
      </c>
      <c r="AP65" s="104">
        <v>100000000</v>
      </c>
      <c r="AQ65" s="326">
        <v>0</v>
      </c>
      <c r="AR65" s="102" t="s">
        <v>130</v>
      </c>
      <c r="AS65" s="102" t="s">
        <v>112</v>
      </c>
      <c r="AT65" s="152" t="s">
        <v>298</v>
      </c>
      <c r="AU65" s="166" t="s">
        <v>2264</v>
      </c>
      <c r="AV65" s="247" t="s">
        <v>2234</v>
      </c>
      <c r="AW65" s="136" t="s">
        <v>2249</v>
      </c>
      <c r="AX65" s="136" t="s">
        <v>2353</v>
      </c>
      <c r="AY65" s="136" t="s">
        <v>2308</v>
      </c>
      <c r="BA65" s="272"/>
      <c r="BB65" s="273"/>
      <c r="BC65" s="209" t="e">
        <f t="shared" si="7"/>
        <v>#DIV/0!</v>
      </c>
      <c r="BD65" s="272"/>
      <c r="BE65" s="273"/>
      <c r="BF65" s="209" t="e">
        <f t="shared" si="8"/>
        <v>#DIV/0!</v>
      </c>
      <c r="BG65" s="272"/>
      <c r="BH65" s="273"/>
      <c r="BI65" s="209" t="e">
        <f t="shared" si="9"/>
        <v>#DIV/0!</v>
      </c>
      <c r="BJ65" s="210">
        <f t="shared" si="10"/>
        <v>0</v>
      </c>
      <c r="BK65" s="211">
        <f t="shared" si="11"/>
        <v>0</v>
      </c>
      <c r="BL65" s="209" t="e">
        <f t="shared" si="12"/>
        <v>#DIV/0!</v>
      </c>
      <c r="BM65" s="272">
        <v>10</v>
      </c>
      <c r="BN65" s="273"/>
      <c r="BO65" s="209">
        <f t="shared" si="44"/>
        <v>0</v>
      </c>
      <c r="BP65" s="272">
        <v>9</v>
      </c>
      <c r="BQ65" s="273">
        <v>9</v>
      </c>
      <c r="BR65" s="209">
        <f t="shared" si="45"/>
        <v>1</v>
      </c>
      <c r="BS65" s="272">
        <v>10</v>
      </c>
      <c r="BT65" s="272">
        <v>5</v>
      </c>
      <c r="BU65" s="209">
        <f t="shared" si="46"/>
        <v>0.5</v>
      </c>
      <c r="BV65" s="210">
        <f t="shared" si="16"/>
        <v>29</v>
      </c>
      <c r="BW65" s="210">
        <f t="shared" si="17"/>
        <v>14</v>
      </c>
      <c r="BX65" s="209">
        <f t="shared" si="18"/>
        <v>0.48275862068965519</v>
      </c>
      <c r="BY65" s="209">
        <f t="shared" si="19"/>
        <v>0.48275862068965519</v>
      </c>
      <c r="BZ65" s="209">
        <f t="shared" si="20"/>
        <v>-0.48275862068965519</v>
      </c>
      <c r="CA65" s="212"/>
      <c r="CB65" s="245"/>
      <c r="CC65" s="183">
        <v>10</v>
      </c>
      <c r="CD65" s="184">
        <v>4</v>
      </c>
      <c r="CE65" s="185">
        <f t="shared" si="47"/>
        <v>0.4</v>
      </c>
      <c r="CF65" s="183">
        <v>9</v>
      </c>
      <c r="CG65" s="184">
        <v>1</v>
      </c>
      <c r="CH65" s="185">
        <f t="shared" si="48"/>
        <v>0.1111111111111111</v>
      </c>
      <c r="CI65" s="189"/>
      <c r="CJ65" s="190"/>
      <c r="CK65" s="185" t="e">
        <f t="shared" si="49"/>
        <v>#DIV/0!</v>
      </c>
      <c r="CL65" s="187">
        <f t="shared" si="50"/>
        <v>19</v>
      </c>
      <c r="CM65" s="186">
        <f t="shared" si="51"/>
        <v>5</v>
      </c>
      <c r="CN65" s="185">
        <f t="shared" si="52"/>
        <v>0.26315789473684209</v>
      </c>
      <c r="CO65" s="245"/>
      <c r="CP65" s="188">
        <f t="shared" si="53"/>
        <v>48</v>
      </c>
      <c r="CQ65" s="188">
        <f t="shared" si="54"/>
        <v>19</v>
      </c>
      <c r="CR65" s="191">
        <f t="shared" si="55"/>
        <v>0.39583333333333331</v>
      </c>
      <c r="CS65" s="279">
        <f t="shared" si="28"/>
        <v>10</v>
      </c>
      <c r="CT65" s="245"/>
      <c r="CU65" s="188">
        <f t="shared" si="29"/>
        <v>3</v>
      </c>
      <c r="CV65" s="277"/>
      <c r="CW65" s="191">
        <f t="shared" si="30"/>
        <v>0</v>
      </c>
      <c r="CX65" s="188">
        <f t="shared" si="31"/>
        <v>3</v>
      </c>
      <c r="CY65" s="277"/>
      <c r="CZ65" s="191">
        <f t="shared" si="32"/>
        <v>0</v>
      </c>
      <c r="DA65" s="188">
        <f t="shared" si="33"/>
        <v>3</v>
      </c>
      <c r="DB65" s="277"/>
      <c r="DC65" s="191">
        <f t="shared" si="34"/>
        <v>0</v>
      </c>
      <c r="DD65" s="188">
        <f t="shared" si="35"/>
        <v>1</v>
      </c>
      <c r="DE65" s="277"/>
      <c r="DF65" s="191">
        <f t="shared" si="36"/>
        <v>0</v>
      </c>
      <c r="DG65" s="245"/>
      <c r="DH65" s="188">
        <f t="shared" si="37"/>
        <v>29</v>
      </c>
      <c r="DI65" s="188">
        <f t="shared" si="38"/>
        <v>19</v>
      </c>
      <c r="DJ65" s="191">
        <f t="shared" si="39"/>
        <v>0.65517241379310343</v>
      </c>
      <c r="DK65" s="286">
        <f t="shared" si="40"/>
        <v>10</v>
      </c>
      <c r="DL65" s="261">
        <v>61</v>
      </c>
      <c r="DM65" s="244">
        <f>+A65-DL65</f>
        <v>0</v>
      </c>
    </row>
    <row r="66" spans="1:117" x14ac:dyDescent="0.35">
      <c r="A66" s="263">
        <v>62</v>
      </c>
      <c r="B66" s="102" t="s">
        <v>270</v>
      </c>
      <c r="C66" s="102" t="s">
        <v>97</v>
      </c>
      <c r="D66" s="102" t="s">
        <v>98</v>
      </c>
      <c r="E66" s="102" t="s">
        <v>315</v>
      </c>
      <c r="F66" s="102" t="s">
        <v>321</v>
      </c>
      <c r="G66" s="98" t="s">
        <v>317</v>
      </c>
      <c r="H66" s="98" t="s">
        <v>301</v>
      </c>
      <c r="I66" s="98" t="s">
        <v>318</v>
      </c>
      <c r="J66" s="98" t="s">
        <v>318</v>
      </c>
      <c r="K66" s="96" t="s">
        <v>104</v>
      </c>
      <c r="L66" s="96" t="s">
        <v>105</v>
      </c>
      <c r="M66" s="98" t="s">
        <v>106</v>
      </c>
      <c r="N66" s="98" t="s">
        <v>319</v>
      </c>
      <c r="O66" s="98" t="s">
        <v>108</v>
      </c>
      <c r="P66" s="98" t="s">
        <v>322</v>
      </c>
      <c r="Q66" s="98" t="s">
        <v>110</v>
      </c>
      <c r="R66" s="301">
        <v>29</v>
      </c>
      <c r="S66" s="99" t="s">
        <v>111</v>
      </c>
      <c r="T66" s="81">
        <v>5</v>
      </c>
      <c r="U66" s="81">
        <v>0</v>
      </c>
      <c r="V66" s="25">
        <f t="shared" si="58"/>
        <v>0</v>
      </c>
      <c r="W66" s="81">
        <v>10</v>
      </c>
      <c r="X66" s="81">
        <v>0</v>
      </c>
      <c r="Y66" s="25">
        <f t="shared" si="1"/>
        <v>0</v>
      </c>
      <c r="Z66" s="81">
        <v>10</v>
      </c>
      <c r="AA66" s="81"/>
      <c r="AB66" s="25">
        <f t="shared" si="2"/>
        <v>0</v>
      </c>
      <c r="AC66" s="81">
        <v>4</v>
      </c>
      <c r="AD66" s="81"/>
      <c r="AE66" s="25">
        <f t="shared" si="3"/>
        <v>0</v>
      </c>
      <c r="AF66" s="140">
        <f t="shared" si="42"/>
        <v>29</v>
      </c>
      <c r="AG66" s="140">
        <f t="shared" si="43"/>
        <v>0</v>
      </c>
      <c r="AH66" s="138">
        <f t="shared" si="5"/>
        <v>0</v>
      </c>
      <c r="AI66" s="101">
        <v>46113</v>
      </c>
      <c r="AJ66" s="101">
        <v>46477</v>
      </c>
      <c r="AK66" s="102" t="s">
        <v>112</v>
      </c>
      <c r="AL66" s="102" t="s">
        <v>113</v>
      </c>
      <c r="AM66" s="103" t="s">
        <v>114</v>
      </c>
      <c r="AN66" s="104">
        <v>110000000</v>
      </c>
      <c r="AO66" s="104">
        <v>110000000</v>
      </c>
      <c r="AP66" s="104">
        <v>110000000</v>
      </c>
      <c r="AQ66" s="326">
        <v>0</v>
      </c>
      <c r="AR66" s="102" t="s">
        <v>130</v>
      </c>
      <c r="AS66" s="102" t="s">
        <v>112</v>
      </c>
      <c r="AT66" s="152" t="s">
        <v>298</v>
      </c>
      <c r="AU66" s="166" t="s">
        <v>2264</v>
      </c>
      <c r="AV66" s="247" t="s">
        <v>2234</v>
      </c>
      <c r="AW66" s="136" t="s">
        <v>2249</v>
      </c>
      <c r="AX66" s="136" t="s">
        <v>2353</v>
      </c>
      <c r="AY66" s="136" t="s">
        <v>2308</v>
      </c>
      <c r="BA66" s="272"/>
      <c r="BB66" s="273"/>
      <c r="BC66" s="209" t="e">
        <f t="shared" si="7"/>
        <v>#DIV/0!</v>
      </c>
      <c r="BD66" s="272"/>
      <c r="BE66" s="273"/>
      <c r="BF66" s="209" t="e">
        <f t="shared" si="8"/>
        <v>#DIV/0!</v>
      </c>
      <c r="BG66" s="272"/>
      <c r="BH66" s="273"/>
      <c r="BI66" s="209" t="e">
        <f t="shared" si="9"/>
        <v>#DIV/0!</v>
      </c>
      <c r="BJ66" s="210">
        <f t="shared" si="10"/>
        <v>0</v>
      </c>
      <c r="BK66" s="211">
        <f t="shared" si="11"/>
        <v>0</v>
      </c>
      <c r="BL66" s="209" t="e">
        <f t="shared" si="12"/>
        <v>#DIV/0!</v>
      </c>
      <c r="BM66" s="272">
        <v>10</v>
      </c>
      <c r="BN66" s="273">
        <v>1</v>
      </c>
      <c r="BO66" s="209">
        <f t="shared" si="44"/>
        <v>0.1</v>
      </c>
      <c r="BP66" s="272">
        <v>9</v>
      </c>
      <c r="BQ66" s="273">
        <v>3</v>
      </c>
      <c r="BR66" s="209">
        <f t="shared" si="45"/>
        <v>0.33333333333333331</v>
      </c>
      <c r="BS66" s="272">
        <v>10</v>
      </c>
      <c r="BT66" s="272">
        <v>2</v>
      </c>
      <c r="BU66" s="209">
        <f t="shared" si="46"/>
        <v>0.2</v>
      </c>
      <c r="BV66" s="210">
        <f t="shared" si="16"/>
        <v>29</v>
      </c>
      <c r="BW66" s="210">
        <f t="shared" si="17"/>
        <v>6</v>
      </c>
      <c r="BX66" s="209">
        <f t="shared" si="18"/>
        <v>0.20689655172413793</v>
      </c>
      <c r="BY66" s="209">
        <f t="shared" si="19"/>
        <v>0.20689655172413793</v>
      </c>
      <c r="BZ66" s="209">
        <f t="shared" si="20"/>
        <v>-0.20689655172413793</v>
      </c>
      <c r="CA66" s="212"/>
      <c r="CB66" s="245"/>
      <c r="CC66" s="183">
        <v>10</v>
      </c>
      <c r="CD66" s="184">
        <v>3</v>
      </c>
      <c r="CE66" s="185">
        <f t="shared" si="47"/>
        <v>0.3</v>
      </c>
      <c r="CF66" s="183">
        <v>9</v>
      </c>
      <c r="CG66" s="184">
        <v>1</v>
      </c>
      <c r="CH66" s="185">
        <f t="shared" si="48"/>
        <v>0.1111111111111111</v>
      </c>
      <c r="CI66" s="189"/>
      <c r="CJ66" s="190"/>
      <c r="CK66" s="185" t="e">
        <f t="shared" si="49"/>
        <v>#DIV/0!</v>
      </c>
      <c r="CL66" s="187">
        <f t="shared" si="50"/>
        <v>19</v>
      </c>
      <c r="CM66" s="186">
        <f t="shared" si="51"/>
        <v>4</v>
      </c>
      <c r="CN66" s="185">
        <f t="shared" si="52"/>
        <v>0.21052631578947367</v>
      </c>
      <c r="CO66" s="245"/>
      <c r="CP66" s="188">
        <f t="shared" si="53"/>
        <v>48</v>
      </c>
      <c r="CQ66" s="188">
        <f t="shared" si="54"/>
        <v>10</v>
      </c>
      <c r="CR66" s="191">
        <f t="shared" si="55"/>
        <v>0.20833333333333334</v>
      </c>
      <c r="CS66" s="279">
        <f t="shared" si="28"/>
        <v>19</v>
      </c>
      <c r="CT66" s="245"/>
      <c r="CU66" s="188">
        <f t="shared" si="29"/>
        <v>5.7</v>
      </c>
      <c r="CV66" s="277"/>
      <c r="CW66" s="191">
        <f t="shared" si="30"/>
        <v>0</v>
      </c>
      <c r="CX66" s="188">
        <f t="shared" si="31"/>
        <v>5.7</v>
      </c>
      <c r="CY66" s="277"/>
      <c r="CZ66" s="191">
        <f t="shared" si="32"/>
        <v>0</v>
      </c>
      <c r="DA66" s="188">
        <f t="shared" si="33"/>
        <v>5.7</v>
      </c>
      <c r="DB66" s="277"/>
      <c r="DC66" s="191">
        <f t="shared" si="34"/>
        <v>0</v>
      </c>
      <c r="DD66" s="188">
        <f t="shared" si="35"/>
        <v>1.9000000000000001</v>
      </c>
      <c r="DE66" s="277"/>
      <c r="DF66" s="191">
        <f t="shared" si="36"/>
        <v>0</v>
      </c>
      <c r="DG66" s="245"/>
      <c r="DH66" s="188">
        <f t="shared" si="37"/>
        <v>29</v>
      </c>
      <c r="DI66" s="188">
        <f t="shared" si="38"/>
        <v>10</v>
      </c>
      <c r="DJ66" s="191">
        <f t="shared" si="39"/>
        <v>0.34482758620689657</v>
      </c>
      <c r="DK66" s="286">
        <f t="shared" si="40"/>
        <v>19</v>
      </c>
      <c r="DL66" s="261">
        <v>62</v>
      </c>
      <c r="DM66" s="244">
        <f>+A66-DL66</f>
        <v>0</v>
      </c>
    </row>
    <row r="67" spans="1:117" ht="37.5" x14ac:dyDescent="0.35">
      <c r="A67" s="263">
        <v>63</v>
      </c>
      <c r="B67" s="102" t="s">
        <v>270</v>
      </c>
      <c r="C67" s="102" t="s">
        <v>195</v>
      </c>
      <c r="D67" s="102" t="s">
        <v>196</v>
      </c>
      <c r="E67" s="102" t="s">
        <v>278</v>
      </c>
      <c r="F67" s="102" t="s">
        <v>321</v>
      </c>
      <c r="G67" s="98" t="s">
        <v>317</v>
      </c>
      <c r="H67" s="98" t="s">
        <v>323</v>
      </c>
      <c r="I67" s="98" t="s">
        <v>324</v>
      </c>
      <c r="J67" s="98" t="s">
        <v>324</v>
      </c>
      <c r="K67" s="96" t="s">
        <v>104</v>
      </c>
      <c r="L67" s="96" t="s">
        <v>105</v>
      </c>
      <c r="M67" s="98" t="s">
        <v>106</v>
      </c>
      <c r="N67" s="98" t="s">
        <v>325</v>
      </c>
      <c r="O67" s="98" t="s">
        <v>108</v>
      </c>
      <c r="P67" s="241" t="s">
        <v>326</v>
      </c>
      <c r="Q67" s="98" t="s">
        <v>110</v>
      </c>
      <c r="R67" s="301">
        <v>4</v>
      </c>
      <c r="S67" s="99" t="s">
        <v>111</v>
      </c>
      <c r="T67" s="81">
        <v>1</v>
      </c>
      <c r="U67" s="81">
        <v>0</v>
      </c>
      <c r="V67" s="25">
        <v>0</v>
      </c>
      <c r="W67" s="81">
        <v>1</v>
      </c>
      <c r="X67" s="81">
        <v>0</v>
      </c>
      <c r="Y67" s="25">
        <f t="shared" si="1"/>
        <v>0</v>
      </c>
      <c r="Z67" s="81">
        <v>1</v>
      </c>
      <c r="AA67" s="81"/>
      <c r="AB67" s="25">
        <f t="shared" si="2"/>
        <v>0</v>
      </c>
      <c r="AC67" s="81">
        <v>1</v>
      </c>
      <c r="AD67" s="81"/>
      <c r="AE67" s="25">
        <f t="shared" si="3"/>
        <v>0</v>
      </c>
      <c r="AF67" s="140">
        <f t="shared" si="42"/>
        <v>4</v>
      </c>
      <c r="AG67" s="140">
        <f t="shared" si="43"/>
        <v>0</v>
      </c>
      <c r="AH67" s="138">
        <f t="shared" si="5"/>
        <v>0</v>
      </c>
      <c r="AI67" s="101">
        <v>46113</v>
      </c>
      <c r="AJ67" s="101">
        <v>46477</v>
      </c>
      <c r="AK67" s="102" t="s">
        <v>112</v>
      </c>
      <c r="AL67" s="102" t="s">
        <v>113</v>
      </c>
      <c r="AM67" s="103" t="s">
        <v>114</v>
      </c>
      <c r="AN67" s="104">
        <v>80000000</v>
      </c>
      <c r="AO67" s="104">
        <v>80000000</v>
      </c>
      <c r="AP67" s="104">
        <v>80000000</v>
      </c>
      <c r="AQ67" s="326">
        <v>0</v>
      </c>
      <c r="AR67" s="102" t="s">
        <v>130</v>
      </c>
      <c r="AS67" s="102" t="s">
        <v>112</v>
      </c>
      <c r="AT67" s="152" t="s">
        <v>309</v>
      </c>
      <c r="AU67" s="166" t="s">
        <v>2264</v>
      </c>
      <c r="AV67" s="247" t="s">
        <v>2234</v>
      </c>
      <c r="BA67" s="272"/>
      <c r="BB67" s="273"/>
      <c r="BC67" s="209" t="e">
        <f t="shared" si="7"/>
        <v>#DIV/0!</v>
      </c>
      <c r="BD67" s="272"/>
      <c r="BE67" s="273"/>
      <c r="BF67" s="209" t="e">
        <f t="shared" si="8"/>
        <v>#DIV/0!</v>
      </c>
      <c r="BG67" s="272"/>
      <c r="BH67" s="273"/>
      <c r="BI67" s="209" t="e">
        <f t="shared" si="9"/>
        <v>#DIV/0!</v>
      </c>
      <c r="BJ67" s="210">
        <f t="shared" si="10"/>
        <v>0</v>
      </c>
      <c r="BK67" s="211">
        <f t="shared" si="11"/>
        <v>0</v>
      </c>
      <c r="BL67" s="209" t="e">
        <f t="shared" si="12"/>
        <v>#DIV/0!</v>
      </c>
      <c r="BM67" s="272"/>
      <c r="BN67" s="273"/>
      <c r="BO67" s="209" t="e">
        <f t="shared" si="44"/>
        <v>#DIV/0!</v>
      </c>
      <c r="BP67" s="272"/>
      <c r="BQ67" s="273"/>
      <c r="BR67" s="209" t="e">
        <f t="shared" si="45"/>
        <v>#DIV/0!</v>
      </c>
      <c r="BS67" s="272"/>
      <c r="BT67" s="272"/>
      <c r="BU67" s="209" t="e">
        <f t="shared" si="46"/>
        <v>#DIV/0!</v>
      </c>
      <c r="BV67" s="210">
        <f t="shared" si="16"/>
        <v>0</v>
      </c>
      <c r="BW67" s="210">
        <f t="shared" si="17"/>
        <v>0</v>
      </c>
      <c r="BX67" s="209" t="e">
        <f t="shared" si="18"/>
        <v>#DIV/0!</v>
      </c>
      <c r="BY67" s="209">
        <f t="shared" si="19"/>
        <v>0</v>
      </c>
      <c r="BZ67" s="209">
        <f t="shared" si="20"/>
        <v>0</v>
      </c>
      <c r="CA67" s="212"/>
      <c r="CB67" s="245"/>
      <c r="CC67" s="183"/>
      <c r="CD67" s="184"/>
      <c r="CE67" s="185" t="e">
        <f t="shared" si="47"/>
        <v>#DIV/0!</v>
      </c>
      <c r="CF67" s="183"/>
      <c r="CG67" s="184"/>
      <c r="CH67" s="185" t="e">
        <f t="shared" si="48"/>
        <v>#DIV/0!</v>
      </c>
      <c r="CI67" s="189"/>
      <c r="CJ67" s="190"/>
      <c r="CK67" s="185" t="e">
        <f t="shared" si="49"/>
        <v>#DIV/0!</v>
      </c>
      <c r="CL67" s="187">
        <f t="shared" si="50"/>
        <v>0</v>
      </c>
      <c r="CM67" s="186">
        <f t="shared" si="51"/>
        <v>0</v>
      </c>
      <c r="CN67" s="185" t="e">
        <f t="shared" si="52"/>
        <v>#DIV/0!</v>
      </c>
      <c r="CO67" s="245"/>
      <c r="CP67" s="188">
        <f t="shared" si="53"/>
        <v>0</v>
      </c>
      <c r="CQ67" s="188">
        <f t="shared" si="54"/>
        <v>0</v>
      </c>
      <c r="CR67" s="191" t="e">
        <f t="shared" si="55"/>
        <v>#DIV/0!</v>
      </c>
      <c r="CS67" s="279">
        <f t="shared" si="28"/>
        <v>4</v>
      </c>
      <c r="CT67" s="245"/>
      <c r="CU67" s="188">
        <f t="shared" si="29"/>
        <v>1.2</v>
      </c>
      <c r="CV67" s="277"/>
      <c r="CW67" s="191">
        <f t="shared" si="30"/>
        <v>0</v>
      </c>
      <c r="CX67" s="188">
        <f t="shared" si="31"/>
        <v>1.2</v>
      </c>
      <c r="CY67" s="277"/>
      <c r="CZ67" s="191">
        <f t="shared" si="32"/>
        <v>0</v>
      </c>
      <c r="DA67" s="188">
        <f t="shared" si="33"/>
        <v>1.2</v>
      </c>
      <c r="DB67" s="277"/>
      <c r="DC67" s="191">
        <f t="shared" si="34"/>
        <v>0</v>
      </c>
      <c r="DD67" s="188">
        <f t="shared" si="35"/>
        <v>0.4</v>
      </c>
      <c r="DE67" s="277"/>
      <c r="DF67" s="191">
        <f t="shared" si="36"/>
        <v>0</v>
      </c>
      <c r="DG67" s="245"/>
      <c r="DH67" s="188">
        <f t="shared" si="37"/>
        <v>4</v>
      </c>
      <c r="DI67" s="188">
        <f t="shared" si="38"/>
        <v>0</v>
      </c>
      <c r="DJ67" s="191">
        <f t="shared" si="39"/>
        <v>0</v>
      </c>
      <c r="DK67" s="286">
        <f t="shared" si="40"/>
        <v>4</v>
      </c>
      <c r="DL67" s="261">
        <v>63</v>
      </c>
      <c r="DM67" s="244">
        <f>+A67-DL67</f>
        <v>0</v>
      </c>
    </row>
    <row r="68" spans="1:117" x14ac:dyDescent="0.35">
      <c r="A68" s="263">
        <v>64</v>
      </c>
      <c r="B68" s="102" t="s">
        <v>270</v>
      </c>
      <c r="C68" s="102" t="s">
        <v>195</v>
      </c>
      <c r="D68" s="102" t="s">
        <v>196</v>
      </c>
      <c r="E68" s="102" t="s">
        <v>278</v>
      </c>
      <c r="F68" s="102" t="s">
        <v>321</v>
      </c>
      <c r="G68" s="98" t="s">
        <v>317</v>
      </c>
      <c r="H68" s="98" t="s">
        <v>323</v>
      </c>
      <c r="I68" s="98" t="s">
        <v>312</v>
      </c>
      <c r="J68" s="98" t="s">
        <v>312</v>
      </c>
      <c r="K68" s="96" t="s">
        <v>104</v>
      </c>
      <c r="L68" s="96" t="s">
        <v>105</v>
      </c>
      <c r="M68" s="98" t="s">
        <v>106</v>
      </c>
      <c r="N68" s="98" t="s">
        <v>325</v>
      </c>
      <c r="O68" s="98" t="s">
        <v>108</v>
      </c>
      <c r="P68" s="98" t="s">
        <v>327</v>
      </c>
      <c r="Q68" s="98" t="s">
        <v>110</v>
      </c>
      <c r="R68" s="301">
        <v>4</v>
      </c>
      <c r="S68" s="99" t="s">
        <v>111</v>
      </c>
      <c r="T68" s="81">
        <v>1</v>
      </c>
      <c r="U68" s="81">
        <v>0</v>
      </c>
      <c r="V68" s="25">
        <v>0</v>
      </c>
      <c r="W68" s="81">
        <v>1</v>
      </c>
      <c r="X68" s="81">
        <v>0</v>
      </c>
      <c r="Y68" s="25">
        <f t="shared" si="1"/>
        <v>0</v>
      </c>
      <c r="Z68" s="81">
        <v>1</v>
      </c>
      <c r="AA68" s="81"/>
      <c r="AB68" s="25">
        <f t="shared" si="2"/>
        <v>0</v>
      </c>
      <c r="AC68" s="81">
        <v>1</v>
      </c>
      <c r="AD68" s="81"/>
      <c r="AE68" s="25">
        <f t="shared" si="3"/>
        <v>0</v>
      </c>
      <c r="AF68" s="140">
        <f t="shared" si="42"/>
        <v>4</v>
      </c>
      <c r="AG68" s="140">
        <f t="shared" si="43"/>
        <v>0</v>
      </c>
      <c r="AH68" s="138">
        <f t="shared" si="5"/>
        <v>0</v>
      </c>
      <c r="AI68" s="101">
        <v>46113</v>
      </c>
      <c r="AJ68" s="101">
        <v>46477</v>
      </c>
      <c r="AK68" s="102" t="s">
        <v>112</v>
      </c>
      <c r="AL68" s="102" t="s">
        <v>113</v>
      </c>
      <c r="AM68" s="103" t="s">
        <v>114</v>
      </c>
      <c r="AN68" s="104">
        <v>80000000</v>
      </c>
      <c r="AO68" s="104">
        <v>80000000</v>
      </c>
      <c r="AP68" s="104">
        <v>80000000</v>
      </c>
      <c r="AQ68" s="326">
        <v>0</v>
      </c>
      <c r="AR68" s="102" t="s">
        <v>115</v>
      </c>
      <c r="AS68" s="102" t="s">
        <v>112</v>
      </c>
      <c r="AT68" s="152" t="s">
        <v>2227</v>
      </c>
      <c r="AU68" s="166" t="s">
        <v>2264</v>
      </c>
      <c r="AV68" s="247" t="s">
        <v>2234</v>
      </c>
      <c r="AW68" s="136" t="s">
        <v>2250</v>
      </c>
      <c r="AX68" s="136" t="s">
        <v>2354</v>
      </c>
      <c r="AY68" s="136" t="s">
        <v>2308</v>
      </c>
      <c r="BA68" s="272"/>
      <c r="BB68" s="273"/>
      <c r="BC68" s="209" t="e">
        <f t="shared" si="7"/>
        <v>#DIV/0!</v>
      </c>
      <c r="BD68" s="272"/>
      <c r="BE68" s="273"/>
      <c r="BF68" s="209" t="e">
        <f t="shared" si="8"/>
        <v>#DIV/0!</v>
      </c>
      <c r="BG68" s="272"/>
      <c r="BH68" s="273"/>
      <c r="BI68" s="209" t="e">
        <f t="shared" si="9"/>
        <v>#DIV/0!</v>
      </c>
      <c r="BJ68" s="210">
        <f t="shared" si="10"/>
        <v>0</v>
      </c>
      <c r="BK68" s="211">
        <f t="shared" si="11"/>
        <v>0</v>
      </c>
      <c r="BL68" s="209" t="e">
        <f t="shared" si="12"/>
        <v>#DIV/0!</v>
      </c>
      <c r="BM68" s="272"/>
      <c r="BN68" s="273"/>
      <c r="BO68" s="209" t="e">
        <f t="shared" si="44"/>
        <v>#DIV/0!</v>
      </c>
      <c r="BP68" s="272"/>
      <c r="BQ68" s="273"/>
      <c r="BR68" s="209" t="e">
        <f t="shared" si="45"/>
        <v>#DIV/0!</v>
      </c>
      <c r="BS68" s="272"/>
      <c r="BT68" s="272"/>
      <c r="BU68" s="209" t="e">
        <f t="shared" si="46"/>
        <v>#DIV/0!</v>
      </c>
      <c r="BV68" s="210">
        <f t="shared" si="16"/>
        <v>0</v>
      </c>
      <c r="BW68" s="210">
        <f t="shared" si="17"/>
        <v>0</v>
      </c>
      <c r="BX68" s="209" t="e">
        <f t="shared" si="18"/>
        <v>#DIV/0!</v>
      </c>
      <c r="BY68" s="209">
        <f t="shared" si="19"/>
        <v>0</v>
      </c>
      <c r="BZ68" s="209">
        <f t="shared" si="20"/>
        <v>0</v>
      </c>
      <c r="CA68" s="212"/>
      <c r="CB68" s="245"/>
      <c r="CC68" s="183"/>
      <c r="CD68" s="184"/>
      <c r="CE68" s="185" t="e">
        <f t="shared" si="47"/>
        <v>#DIV/0!</v>
      </c>
      <c r="CF68" s="183"/>
      <c r="CG68" s="184"/>
      <c r="CH68" s="185" t="e">
        <f t="shared" si="48"/>
        <v>#DIV/0!</v>
      </c>
      <c r="CI68" s="189"/>
      <c r="CJ68" s="190"/>
      <c r="CK68" s="185" t="e">
        <f t="shared" si="49"/>
        <v>#DIV/0!</v>
      </c>
      <c r="CL68" s="187">
        <f t="shared" si="50"/>
        <v>0</v>
      </c>
      <c r="CM68" s="186">
        <f t="shared" si="51"/>
        <v>0</v>
      </c>
      <c r="CN68" s="185" t="e">
        <f t="shared" si="52"/>
        <v>#DIV/0!</v>
      </c>
      <c r="CO68" s="245"/>
      <c r="CP68" s="188">
        <f t="shared" si="53"/>
        <v>0</v>
      </c>
      <c r="CQ68" s="188">
        <f t="shared" si="54"/>
        <v>0</v>
      </c>
      <c r="CR68" s="191" t="e">
        <f t="shared" si="55"/>
        <v>#DIV/0!</v>
      </c>
      <c r="CS68" s="279">
        <f t="shared" si="28"/>
        <v>4</v>
      </c>
      <c r="CT68" s="245"/>
      <c r="CU68" s="188">
        <f t="shared" si="29"/>
        <v>1.2</v>
      </c>
      <c r="CV68" s="277"/>
      <c r="CW68" s="191">
        <f t="shared" si="30"/>
        <v>0</v>
      </c>
      <c r="CX68" s="188">
        <f t="shared" si="31"/>
        <v>1.2</v>
      </c>
      <c r="CY68" s="277"/>
      <c r="CZ68" s="191">
        <f t="shared" si="32"/>
        <v>0</v>
      </c>
      <c r="DA68" s="188">
        <f t="shared" si="33"/>
        <v>1.2</v>
      </c>
      <c r="DB68" s="277"/>
      <c r="DC68" s="191">
        <f t="shared" si="34"/>
        <v>0</v>
      </c>
      <c r="DD68" s="188">
        <f t="shared" si="35"/>
        <v>0.4</v>
      </c>
      <c r="DE68" s="277"/>
      <c r="DF68" s="191">
        <f t="shared" si="36"/>
        <v>0</v>
      </c>
      <c r="DG68" s="245"/>
      <c r="DH68" s="188">
        <f t="shared" si="37"/>
        <v>4</v>
      </c>
      <c r="DI68" s="188">
        <f t="shared" si="38"/>
        <v>0</v>
      </c>
      <c r="DJ68" s="191">
        <f t="shared" si="39"/>
        <v>0</v>
      </c>
      <c r="DK68" s="286">
        <f t="shared" si="40"/>
        <v>4</v>
      </c>
      <c r="DL68" s="261">
        <v>64</v>
      </c>
      <c r="DM68" s="244">
        <f>+A68-DL68</f>
        <v>0</v>
      </c>
    </row>
    <row r="69" spans="1:117" x14ac:dyDescent="0.35">
      <c r="A69" s="263">
        <v>65</v>
      </c>
      <c r="B69" s="102" t="s">
        <v>270</v>
      </c>
      <c r="C69" s="102" t="s">
        <v>133</v>
      </c>
      <c r="D69" s="102" t="s">
        <v>119</v>
      </c>
      <c r="E69" s="102" t="s">
        <v>212</v>
      </c>
      <c r="F69" s="102" t="s">
        <v>321</v>
      </c>
      <c r="G69" s="98" t="s">
        <v>317</v>
      </c>
      <c r="H69" s="98" t="s">
        <v>323</v>
      </c>
      <c r="I69" s="98" t="s">
        <v>324</v>
      </c>
      <c r="J69" s="98" t="s">
        <v>324</v>
      </c>
      <c r="K69" s="96" t="s">
        <v>104</v>
      </c>
      <c r="L69" s="96" t="s">
        <v>105</v>
      </c>
      <c r="M69" s="98" t="s">
        <v>106</v>
      </c>
      <c r="N69" s="98" t="s">
        <v>325</v>
      </c>
      <c r="O69" s="98" t="s">
        <v>127</v>
      </c>
      <c r="P69" s="258" t="s">
        <v>328</v>
      </c>
      <c r="Q69" s="98" t="s">
        <v>129</v>
      </c>
      <c r="R69" s="301">
        <v>2</v>
      </c>
      <c r="S69" s="99" t="s">
        <v>111</v>
      </c>
      <c r="T69" s="81">
        <v>0</v>
      </c>
      <c r="U69" s="81">
        <v>0</v>
      </c>
      <c r="V69" s="25" t="e">
        <f t="shared" ref="V69:V117" si="59">U69/T69*100</f>
        <v>#DIV/0!</v>
      </c>
      <c r="W69" s="81">
        <v>0</v>
      </c>
      <c r="X69" s="81">
        <v>0</v>
      </c>
      <c r="Y69" s="25" t="e">
        <f t="shared" si="1"/>
        <v>#DIV/0!</v>
      </c>
      <c r="Z69" s="81">
        <v>1</v>
      </c>
      <c r="AA69" s="81"/>
      <c r="AB69" s="25">
        <f t="shared" si="2"/>
        <v>0</v>
      </c>
      <c r="AC69" s="81">
        <v>1</v>
      </c>
      <c r="AD69" s="81"/>
      <c r="AE69" s="25">
        <f t="shared" si="3"/>
        <v>0</v>
      </c>
      <c r="AF69" s="140">
        <f t="shared" si="42"/>
        <v>2</v>
      </c>
      <c r="AG69" s="140">
        <f t="shared" si="43"/>
        <v>0</v>
      </c>
      <c r="AH69" s="138" t="e">
        <f t="shared" si="5"/>
        <v>#DIV/0!</v>
      </c>
      <c r="AI69" s="101">
        <v>46113</v>
      </c>
      <c r="AJ69" s="101">
        <v>46477</v>
      </c>
      <c r="AK69" s="102" t="s">
        <v>112</v>
      </c>
      <c r="AL69" s="102" t="s">
        <v>113</v>
      </c>
      <c r="AM69" s="103" t="s">
        <v>114</v>
      </c>
      <c r="AN69" s="104">
        <v>100274232</v>
      </c>
      <c r="AO69" s="104">
        <v>100274232</v>
      </c>
      <c r="AP69" s="104">
        <v>100274232</v>
      </c>
      <c r="AQ69" s="326">
        <v>0</v>
      </c>
      <c r="AR69" s="102" t="s">
        <v>329</v>
      </c>
      <c r="AS69" s="102" t="s">
        <v>112</v>
      </c>
      <c r="AT69" s="152" t="s">
        <v>330</v>
      </c>
      <c r="AU69" s="166" t="s">
        <v>2264</v>
      </c>
      <c r="AV69" s="247" t="s">
        <v>2234</v>
      </c>
      <c r="AW69" s="136" t="s">
        <v>2248</v>
      </c>
      <c r="AX69" s="136" t="s">
        <v>2386</v>
      </c>
      <c r="AY69" s="136" t="s">
        <v>2308</v>
      </c>
      <c r="BA69" s="272"/>
      <c r="BB69" s="273"/>
      <c r="BC69" s="209" t="e">
        <f t="shared" si="7"/>
        <v>#DIV/0!</v>
      </c>
      <c r="BD69" s="272"/>
      <c r="BE69" s="273"/>
      <c r="BF69" s="209" t="e">
        <f t="shared" si="8"/>
        <v>#DIV/0!</v>
      </c>
      <c r="BG69" s="272"/>
      <c r="BH69" s="273"/>
      <c r="BI69" s="209" t="e">
        <f t="shared" si="9"/>
        <v>#DIV/0!</v>
      </c>
      <c r="BJ69" s="210">
        <f t="shared" si="10"/>
        <v>0</v>
      </c>
      <c r="BK69" s="211">
        <f t="shared" si="11"/>
        <v>0</v>
      </c>
      <c r="BL69" s="209" t="e">
        <f t="shared" si="12"/>
        <v>#DIV/0!</v>
      </c>
      <c r="BM69" s="272"/>
      <c r="BN69" s="273"/>
      <c r="BO69" s="209" t="e">
        <f t="shared" si="44"/>
        <v>#DIV/0!</v>
      </c>
      <c r="BP69" s="272"/>
      <c r="BQ69" s="273"/>
      <c r="BR69" s="209" t="e">
        <f t="shared" si="45"/>
        <v>#DIV/0!</v>
      </c>
      <c r="BS69" s="272"/>
      <c r="BT69" s="272"/>
      <c r="BU69" s="209" t="e">
        <f t="shared" si="46"/>
        <v>#DIV/0!</v>
      </c>
      <c r="BV69" s="210">
        <f t="shared" si="16"/>
        <v>0</v>
      </c>
      <c r="BW69" s="210">
        <f t="shared" si="17"/>
        <v>0</v>
      </c>
      <c r="BX69" s="209" t="e">
        <f t="shared" si="18"/>
        <v>#DIV/0!</v>
      </c>
      <c r="BY69" s="209">
        <f t="shared" si="19"/>
        <v>0</v>
      </c>
      <c r="BZ69" s="209">
        <f t="shared" si="20"/>
        <v>0</v>
      </c>
      <c r="CA69" s="212"/>
      <c r="CB69" s="245"/>
      <c r="CC69" s="183"/>
      <c r="CD69" s="184"/>
      <c r="CE69" s="185" t="e">
        <f t="shared" si="47"/>
        <v>#DIV/0!</v>
      </c>
      <c r="CF69" s="183"/>
      <c r="CG69" s="184"/>
      <c r="CH69" s="185" t="e">
        <f t="shared" si="48"/>
        <v>#DIV/0!</v>
      </c>
      <c r="CI69" s="189"/>
      <c r="CJ69" s="190"/>
      <c r="CK69" s="185" t="e">
        <f t="shared" si="49"/>
        <v>#DIV/0!</v>
      </c>
      <c r="CL69" s="187">
        <f t="shared" si="50"/>
        <v>0</v>
      </c>
      <c r="CM69" s="186">
        <f t="shared" si="51"/>
        <v>0</v>
      </c>
      <c r="CN69" s="185" t="e">
        <f t="shared" si="52"/>
        <v>#DIV/0!</v>
      </c>
      <c r="CO69" s="245"/>
      <c r="CP69" s="188">
        <f t="shared" si="53"/>
        <v>0</v>
      </c>
      <c r="CQ69" s="188">
        <f t="shared" si="54"/>
        <v>0</v>
      </c>
      <c r="CR69" s="191" t="e">
        <f t="shared" si="55"/>
        <v>#DIV/0!</v>
      </c>
      <c r="CS69" s="279">
        <f t="shared" si="28"/>
        <v>2</v>
      </c>
      <c r="CT69" s="245"/>
      <c r="CU69" s="188">
        <f t="shared" si="29"/>
        <v>0.6</v>
      </c>
      <c r="CV69" s="277"/>
      <c r="CW69" s="191">
        <f t="shared" si="30"/>
        <v>0</v>
      </c>
      <c r="CX69" s="188">
        <f t="shared" si="31"/>
        <v>0.6</v>
      </c>
      <c r="CY69" s="277"/>
      <c r="CZ69" s="191">
        <f t="shared" si="32"/>
        <v>0</v>
      </c>
      <c r="DA69" s="188">
        <f t="shared" si="33"/>
        <v>0.6</v>
      </c>
      <c r="DB69" s="277"/>
      <c r="DC69" s="191">
        <f t="shared" si="34"/>
        <v>0</v>
      </c>
      <c r="DD69" s="188">
        <f t="shared" si="35"/>
        <v>0.2</v>
      </c>
      <c r="DE69" s="277"/>
      <c r="DF69" s="191">
        <f t="shared" si="36"/>
        <v>0</v>
      </c>
      <c r="DG69" s="245"/>
      <c r="DH69" s="188">
        <f t="shared" si="37"/>
        <v>2</v>
      </c>
      <c r="DI69" s="188">
        <f t="shared" si="38"/>
        <v>0</v>
      </c>
      <c r="DJ69" s="191">
        <f t="shared" si="39"/>
        <v>0</v>
      </c>
      <c r="DK69" s="286">
        <f t="shared" si="40"/>
        <v>2</v>
      </c>
      <c r="DL69" s="261">
        <v>65</v>
      </c>
      <c r="DM69" s="244">
        <f>+A69-DL69</f>
        <v>0</v>
      </c>
    </row>
    <row r="70" spans="1:117" x14ac:dyDescent="0.35">
      <c r="A70" s="263">
        <v>66</v>
      </c>
      <c r="B70" s="102" t="s">
        <v>270</v>
      </c>
      <c r="C70" s="102" t="s">
        <v>133</v>
      </c>
      <c r="D70" s="102" t="s">
        <v>119</v>
      </c>
      <c r="E70" s="102" t="s">
        <v>212</v>
      </c>
      <c r="F70" s="102" t="s">
        <v>321</v>
      </c>
      <c r="G70" s="98" t="s">
        <v>317</v>
      </c>
      <c r="H70" s="98" t="s">
        <v>323</v>
      </c>
      <c r="I70" s="98" t="s">
        <v>254</v>
      </c>
      <c r="J70" s="98" t="s">
        <v>254</v>
      </c>
      <c r="K70" s="96" t="s">
        <v>104</v>
      </c>
      <c r="L70" s="96" t="s">
        <v>105</v>
      </c>
      <c r="M70" s="98" t="s">
        <v>106</v>
      </c>
      <c r="N70" s="98" t="s">
        <v>325</v>
      </c>
      <c r="O70" s="98" t="s">
        <v>127</v>
      </c>
      <c r="P70" s="258" t="s">
        <v>331</v>
      </c>
      <c r="Q70" s="98" t="s">
        <v>129</v>
      </c>
      <c r="R70" s="301">
        <v>1</v>
      </c>
      <c r="S70" s="99" t="s">
        <v>111</v>
      </c>
      <c r="T70" s="81">
        <v>0</v>
      </c>
      <c r="U70" s="81">
        <v>0</v>
      </c>
      <c r="V70" s="25" t="e">
        <f t="shared" si="59"/>
        <v>#DIV/0!</v>
      </c>
      <c r="W70" s="81">
        <v>0</v>
      </c>
      <c r="X70" s="81">
        <v>0</v>
      </c>
      <c r="Y70" s="25" t="e">
        <f t="shared" si="1"/>
        <v>#DIV/0!</v>
      </c>
      <c r="Z70" s="81">
        <v>1</v>
      </c>
      <c r="AA70" s="81"/>
      <c r="AB70" s="25">
        <f t="shared" si="2"/>
        <v>0</v>
      </c>
      <c r="AC70" s="81">
        <v>1</v>
      </c>
      <c r="AD70" s="81"/>
      <c r="AE70" s="25">
        <f t="shared" si="3"/>
        <v>0</v>
      </c>
      <c r="AF70" s="140">
        <f t="shared" si="42"/>
        <v>1</v>
      </c>
      <c r="AG70" s="140">
        <f t="shared" si="43"/>
        <v>0</v>
      </c>
      <c r="AH70" s="138" t="e">
        <f t="shared" si="5"/>
        <v>#DIV/0!</v>
      </c>
      <c r="AI70" s="101">
        <v>46113</v>
      </c>
      <c r="AJ70" s="101">
        <v>46477</v>
      </c>
      <c r="AK70" s="102" t="s">
        <v>112</v>
      </c>
      <c r="AL70" s="102" t="s">
        <v>113</v>
      </c>
      <c r="AM70" s="103" t="s">
        <v>114</v>
      </c>
      <c r="AN70" s="104">
        <v>60000000</v>
      </c>
      <c r="AO70" s="104">
        <v>60000000</v>
      </c>
      <c r="AP70" s="104">
        <v>60000000</v>
      </c>
      <c r="AQ70" s="326">
        <v>0</v>
      </c>
      <c r="AR70" s="102" t="s">
        <v>332</v>
      </c>
      <c r="AS70" s="102" t="s">
        <v>112</v>
      </c>
      <c r="AT70" s="152" t="s">
        <v>330</v>
      </c>
      <c r="AU70" s="166" t="s">
        <v>2264</v>
      </c>
      <c r="AV70" s="247" t="s">
        <v>2234</v>
      </c>
      <c r="AW70" s="136" t="s">
        <v>2248</v>
      </c>
      <c r="AX70" s="136" t="s">
        <v>2386</v>
      </c>
      <c r="AY70" s="136" t="s">
        <v>2308</v>
      </c>
      <c r="BA70" s="272"/>
      <c r="BB70" s="273"/>
      <c r="BC70" s="209" t="e">
        <f t="shared" ref="BC70:BC133" si="60">+BB70/BA70</f>
        <v>#DIV/0!</v>
      </c>
      <c r="BD70" s="272"/>
      <c r="BE70" s="273"/>
      <c r="BF70" s="209" t="e">
        <f t="shared" ref="BF70:BF133" si="61">+BE70/BD70</f>
        <v>#DIV/0!</v>
      </c>
      <c r="BG70" s="272"/>
      <c r="BH70" s="273"/>
      <c r="BI70" s="209" t="e">
        <f t="shared" ref="BI70:BI133" si="62">+BH70/BG70</f>
        <v>#DIV/0!</v>
      </c>
      <c r="BJ70" s="210">
        <f t="shared" ref="BJ70:BJ133" si="63">+BA70+BD70+BG70</f>
        <v>0</v>
      </c>
      <c r="BK70" s="211">
        <f t="shared" ref="BK70:BK133" si="64">+BB70+BE70+BH70</f>
        <v>0</v>
      </c>
      <c r="BL70" s="209" t="e">
        <f t="shared" ref="BL70:BL133" si="65">+BK70/BJ70</f>
        <v>#DIV/0!</v>
      </c>
      <c r="BM70" s="272"/>
      <c r="BN70" s="273"/>
      <c r="BO70" s="209" t="e">
        <f t="shared" si="44"/>
        <v>#DIV/0!</v>
      </c>
      <c r="BP70" s="272"/>
      <c r="BQ70" s="273"/>
      <c r="BR70" s="209" t="e">
        <f t="shared" si="45"/>
        <v>#DIV/0!</v>
      </c>
      <c r="BS70" s="272"/>
      <c r="BT70" s="272"/>
      <c r="BU70" s="209" t="e">
        <f t="shared" si="46"/>
        <v>#DIV/0!</v>
      </c>
      <c r="BV70" s="210">
        <f t="shared" ref="BV70:BV133" si="66">+BM70+BP70+BS70</f>
        <v>0</v>
      </c>
      <c r="BW70" s="210">
        <f t="shared" ref="BW70:BW133" si="67">+BN70+BQ70+BT70</f>
        <v>0</v>
      </c>
      <c r="BX70" s="209" t="e">
        <f t="shared" ref="BX70:BX133" si="68">+BW70/BV70</f>
        <v>#DIV/0!</v>
      </c>
      <c r="BY70" s="209">
        <f t="shared" ref="BY70:BY133" si="69">+(BK70+BW70)/R70</f>
        <v>0</v>
      </c>
      <c r="BZ70" s="209">
        <f t="shared" ref="BZ70:BZ133" si="70">+$BZ$2-BY70</f>
        <v>0</v>
      </c>
      <c r="CA70" s="212"/>
      <c r="CB70" s="245"/>
      <c r="CC70" s="183"/>
      <c r="CD70" s="184"/>
      <c r="CE70" s="185" t="e">
        <f t="shared" si="47"/>
        <v>#DIV/0!</v>
      </c>
      <c r="CF70" s="183"/>
      <c r="CG70" s="184"/>
      <c r="CH70" s="185" t="e">
        <f t="shared" si="48"/>
        <v>#DIV/0!</v>
      </c>
      <c r="CI70" s="189"/>
      <c r="CJ70" s="190"/>
      <c r="CK70" s="185" t="e">
        <f t="shared" si="49"/>
        <v>#DIV/0!</v>
      </c>
      <c r="CL70" s="187">
        <f t="shared" si="50"/>
        <v>0</v>
      </c>
      <c r="CM70" s="186">
        <f t="shared" si="51"/>
        <v>0</v>
      </c>
      <c r="CN70" s="185" t="e">
        <f t="shared" si="52"/>
        <v>#DIV/0!</v>
      </c>
      <c r="CO70" s="245"/>
      <c r="CP70" s="188">
        <f t="shared" si="53"/>
        <v>0</v>
      </c>
      <c r="CQ70" s="188">
        <f t="shared" si="54"/>
        <v>0</v>
      </c>
      <c r="CR70" s="191" t="e">
        <f t="shared" si="55"/>
        <v>#DIV/0!</v>
      </c>
      <c r="CS70" s="279">
        <f t="shared" ref="CS70:CS133" si="71">+R70-CQ70</f>
        <v>1</v>
      </c>
      <c r="CT70" s="245"/>
      <c r="CU70" s="188">
        <f t="shared" ref="CU70:CU133" si="72">+CS70*$CU$3</f>
        <v>0.3</v>
      </c>
      <c r="CV70" s="277"/>
      <c r="CW70" s="191">
        <f t="shared" ref="CW70:CW133" si="73">+CV70/CU70</f>
        <v>0</v>
      </c>
      <c r="CX70" s="188">
        <f t="shared" ref="CX70:CX133" si="74">+CS70*$CX$3</f>
        <v>0.3</v>
      </c>
      <c r="CY70" s="277"/>
      <c r="CZ70" s="191">
        <f t="shared" ref="CZ70:CZ133" si="75">+CY70/CX70</f>
        <v>0</v>
      </c>
      <c r="DA70" s="188">
        <f t="shared" ref="DA70:DA133" si="76">+CS70*$DA$3</f>
        <v>0.3</v>
      </c>
      <c r="DB70" s="277"/>
      <c r="DC70" s="191">
        <f t="shared" ref="DC70:DC133" si="77">+DB70/DA70</f>
        <v>0</v>
      </c>
      <c r="DD70" s="188">
        <f t="shared" ref="DD70:DD133" si="78">+CS70*$DD$3</f>
        <v>0.1</v>
      </c>
      <c r="DE70" s="277"/>
      <c r="DF70" s="191">
        <f t="shared" ref="DF70:DF133" si="79">+DE70/DD70</f>
        <v>0</v>
      </c>
      <c r="DG70" s="245"/>
      <c r="DH70" s="188">
        <f t="shared" ref="DH70:DH133" si="80">R70</f>
        <v>1</v>
      </c>
      <c r="DI70" s="188">
        <f t="shared" ref="DI70:DI133" si="81">+CQ70+CV70+CY70+DB70+DE70</f>
        <v>0</v>
      </c>
      <c r="DJ70" s="191">
        <f t="shared" ref="DJ70:DJ133" si="82">+DI70/DH70</f>
        <v>0</v>
      </c>
      <c r="DK70" s="286">
        <f t="shared" ref="DK70:DK133" si="83">+DH70-DI70</f>
        <v>1</v>
      </c>
      <c r="DL70" s="261">
        <v>66</v>
      </c>
      <c r="DM70" s="244">
        <f>+A70-DL70</f>
        <v>0</v>
      </c>
    </row>
    <row r="71" spans="1:117" x14ac:dyDescent="0.35">
      <c r="A71" s="263">
        <v>67</v>
      </c>
      <c r="B71" s="102" t="s">
        <v>270</v>
      </c>
      <c r="C71" s="102" t="s">
        <v>118</v>
      </c>
      <c r="D71" s="102" t="s">
        <v>119</v>
      </c>
      <c r="E71" s="102" t="s">
        <v>315</v>
      </c>
      <c r="F71" s="102" t="s">
        <v>321</v>
      </c>
      <c r="G71" s="98" t="s">
        <v>317</v>
      </c>
      <c r="H71" s="98" t="s">
        <v>323</v>
      </c>
      <c r="I71" s="98" t="s">
        <v>254</v>
      </c>
      <c r="J71" s="98" t="s">
        <v>254</v>
      </c>
      <c r="K71" s="96" t="s">
        <v>104</v>
      </c>
      <c r="L71" s="96" t="s">
        <v>105</v>
      </c>
      <c r="M71" s="98" t="s">
        <v>106</v>
      </c>
      <c r="N71" s="98" t="s">
        <v>325</v>
      </c>
      <c r="O71" s="98" t="s">
        <v>127</v>
      </c>
      <c r="P71" s="98" t="s">
        <v>333</v>
      </c>
      <c r="Q71" s="98" t="s">
        <v>129</v>
      </c>
      <c r="R71" s="301">
        <v>29</v>
      </c>
      <c r="S71" s="99" t="s">
        <v>111</v>
      </c>
      <c r="T71" s="81">
        <v>5</v>
      </c>
      <c r="U71" s="81">
        <v>0</v>
      </c>
      <c r="V71" s="25">
        <f t="shared" si="59"/>
        <v>0</v>
      </c>
      <c r="W71" s="81">
        <v>10</v>
      </c>
      <c r="X71" s="81">
        <v>4</v>
      </c>
      <c r="Y71" s="25">
        <f t="shared" si="1"/>
        <v>40</v>
      </c>
      <c r="Z71" s="81">
        <v>10</v>
      </c>
      <c r="AA71" s="81"/>
      <c r="AB71" s="25">
        <f t="shared" si="2"/>
        <v>0</v>
      </c>
      <c r="AC71" s="81">
        <v>4</v>
      </c>
      <c r="AD71" s="81"/>
      <c r="AE71" s="25">
        <f t="shared" si="3"/>
        <v>0</v>
      </c>
      <c r="AF71" s="140">
        <f t="shared" si="42"/>
        <v>29</v>
      </c>
      <c r="AG71" s="140">
        <f t="shared" si="43"/>
        <v>4</v>
      </c>
      <c r="AH71" s="138">
        <f t="shared" si="5"/>
        <v>26.666666666666668</v>
      </c>
      <c r="AI71" s="101">
        <v>46113</v>
      </c>
      <c r="AJ71" s="101">
        <v>46477</v>
      </c>
      <c r="AK71" s="102" t="s">
        <v>112</v>
      </c>
      <c r="AL71" s="102" t="s">
        <v>113</v>
      </c>
      <c r="AM71" s="103" t="s">
        <v>114</v>
      </c>
      <c r="AN71" s="324"/>
      <c r="AO71" s="324"/>
      <c r="AP71" s="324"/>
      <c r="AQ71" s="326"/>
      <c r="AR71" s="102" t="s">
        <v>207</v>
      </c>
      <c r="AS71" s="102" t="s">
        <v>112</v>
      </c>
      <c r="AT71" s="152" t="s">
        <v>330</v>
      </c>
      <c r="AU71" s="166" t="s">
        <v>2264</v>
      </c>
      <c r="AV71" s="247" t="s">
        <v>2234</v>
      </c>
      <c r="AW71" s="136" t="s">
        <v>2248</v>
      </c>
      <c r="AX71" s="136" t="s">
        <v>2386</v>
      </c>
      <c r="AY71" s="136" t="s">
        <v>2308</v>
      </c>
      <c r="BA71" s="272"/>
      <c r="BB71" s="273"/>
      <c r="BC71" s="209" t="e">
        <f t="shared" si="60"/>
        <v>#DIV/0!</v>
      </c>
      <c r="BD71" s="272"/>
      <c r="BE71" s="273"/>
      <c r="BF71" s="209" t="e">
        <f t="shared" si="61"/>
        <v>#DIV/0!</v>
      </c>
      <c r="BG71" s="272"/>
      <c r="BH71" s="273"/>
      <c r="BI71" s="209" t="e">
        <f t="shared" si="62"/>
        <v>#DIV/0!</v>
      </c>
      <c r="BJ71" s="210">
        <f t="shared" si="63"/>
        <v>0</v>
      </c>
      <c r="BK71" s="211">
        <f t="shared" si="64"/>
        <v>0</v>
      </c>
      <c r="BL71" s="209" t="e">
        <f t="shared" si="65"/>
        <v>#DIV/0!</v>
      </c>
      <c r="BM71" s="272"/>
      <c r="BN71" s="273"/>
      <c r="BO71" s="209" t="e">
        <f t="shared" si="44"/>
        <v>#DIV/0!</v>
      </c>
      <c r="BP71" s="272"/>
      <c r="BQ71" s="273"/>
      <c r="BR71" s="209" t="e">
        <f t="shared" si="45"/>
        <v>#DIV/0!</v>
      </c>
      <c r="BS71" s="272"/>
      <c r="BT71" s="272"/>
      <c r="BU71" s="209" t="e">
        <f t="shared" si="46"/>
        <v>#DIV/0!</v>
      </c>
      <c r="BV71" s="210">
        <f t="shared" si="66"/>
        <v>0</v>
      </c>
      <c r="BW71" s="210">
        <f t="shared" si="67"/>
        <v>0</v>
      </c>
      <c r="BX71" s="209" t="e">
        <f t="shared" si="68"/>
        <v>#DIV/0!</v>
      </c>
      <c r="BY71" s="209">
        <f t="shared" si="69"/>
        <v>0</v>
      </c>
      <c r="BZ71" s="209">
        <f t="shared" si="70"/>
        <v>0</v>
      </c>
      <c r="CA71" s="212"/>
      <c r="CB71" s="245"/>
      <c r="CC71" s="183"/>
      <c r="CD71" s="184"/>
      <c r="CE71" s="185" t="e">
        <f t="shared" si="47"/>
        <v>#DIV/0!</v>
      </c>
      <c r="CF71" s="183"/>
      <c r="CG71" s="184"/>
      <c r="CH71" s="185" t="e">
        <f t="shared" si="48"/>
        <v>#DIV/0!</v>
      </c>
      <c r="CI71" s="189"/>
      <c r="CJ71" s="190"/>
      <c r="CK71" s="185" t="e">
        <f t="shared" si="49"/>
        <v>#DIV/0!</v>
      </c>
      <c r="CL71" s="187">
        <f t="shared" si="50"/>
        <v>0</v>
      </c>
      <c r="CM71" s="186">
        <f t="shared" si="51"/>
        <v>0</v>
      </c>
      <c r="CN71" s="185" t="e">
        <f t="shared" si="52"/>
        <v>#DIV/0!</v>
      </c>
      <c r="CO71" s="245"/>
      <c r="CP71" s="188">
        <f t="shared" si="53"/>
        <v>0</v>
      </c>
      <c r="CQ71" s="188">
        <f t="shared" si="54"/>
        <v>0</v>
      </c>
      <c r="CR71" s="191" t="e">
        <f t="shared" si="55"/>
        <v>#DIV/0!</v>
      </c>
      <c r="CS71" s="279">
        <f t="shared" si="71"/>
        <v>29</v>
      </c>
      <c r="CT71" s="245"/>
      <c r="CU71" s="188">
        <f t="shared" si="72"/>
        <v>8.6999999999999993</v>
      </c>
      <c r="CV71" s="277"/>
      <c r="CW71" s="191">
        <f t="shared" si="73"/>
        <v>0</v>
      </c>
      <c r="CX71" s="188">
        <f t="shared" si="74"/>
        <v>8.6999999999999993</v>
      </c>
      <c r="CY71" s="277"/>
      <c r="CZ71" s="191">
        <f t="shared" si="75"/>
        <v>0</v>
      </c>
      <c r="DA71" s="188">
        <f t="shared" si="76"/>
        <v>8.6999999999999993</v>
      </c>
      <c r="DB71" s="277"/>
      <c r="DC71" s="191">
        <f t="shared" si="77"/>
        <v>0</v>
      </c>
      <c r="DD71" s="188">
        <f t="shared" si="78"/>
        <v>2.9000000000000004</v>
      </c>
      <c r="DE71" s="277"/>
      <c r="DF71" s="191">
        <f t="shared" si="79"/>
        <v>0</v>
      </c>
      <c r="DG71" s="245"/>
      <c r="DH71" s="188">
        <f t="shared" si="80"/>
        <v>29</v>
      </c>
      <c r="DI71" s="188">
        <f t="shared" si="81"/>
        <v>0</v>
      </c>
      <c r="DJ71" s="191">
        <f t="shared" si="82"/>
        <v>0</v>
      </c>
      <c r="DK71" s="286">
        <f t="shared" si="83"/>
        <v>29</v>
      </c>
      <c r="DL71" s="261">
        <v>67</v>
      </c>
      <c r="DM71" s="244">
        <f>+A71-DL71</f>
        <v>0</v>
      </c>
    </row>
    <row r="72" spans="1:117" x14ac:dyDescent="0.35">
      <c r="A72" s="263">
        <v>68</v>
      </c>
      <c r="B72" s="102" t="s">
        <v>270</v>
      </c>
      <c r="C72" s="102" t="s">
        <v>97</v>
      </c>
      <c r="D72" s="102" t="s">
        <v>98</v>
      </c>
      <c r="E72" s="102" t="s">
        <v>315</v>
      </c>
      <c r="F72" s="102" t="s">
        <v>316</v>
      </c>
      <c r="G72" s="98" t="s">
        <v>317</v>
      </c>
      <c r="H72" s="98" t="s">
        <v>323</v>
      </c>
      <c r="I72" s="98" t="s">
        <v>318</v>
      </c>
      <c r="J72" s="98" t="s">
        <v>318</v>
      </c>
      <c r="K72" s="96" t="s">
        <v>104</v>
      </c>
      <c r="L72" s="96" t="s">
        <v>105</v>
      </c>
      <c r="M72" s="98" t="s">
        <v>106</v>
      </c>
      <c r="N72" s="98" t="s">
        <v>319</v>
      </c>
      <c r="O72" s="98" t="s">
        <v>108</v>
      </c>
      <c r="P72" s="98" t="s">
        <v>334</v>
      </c>
      <c r="Q72" s="98" t="s">
        <v>110</v>
      </c>
      <c r="R72" s="301">
        <v>29</v>
      </c>
      <c r="S72" s="99" t="s">
        <v>111</v>
      </c>
      <c r="T72" s="81">
        <v>4</v>
      </c>
      <c r="U72" s="81">
        <v>0</v>
      </c>
      <c r="V72" s="25">
        <f t="shared" si="59"/>
        <v>0</v>
      </c>
      <c r="W72" s="81">
        <v>10</v>
      </c>
      <c r="X72" s="81">
        <v>0</v>
      </c>
      <c r="Y72" s="25">
        <f t="shared" si="1"/>
        <v>0</v>
      </c>
      <c r="Z72" s="81">
        <v>10</v>
      </c>
      <c r="AA72" s="81"/>
      <c r="AB72" s="25">
        <f t="shared" si="2"/>
        <v>0</v>
      </c>
      <c r="AC72" s="81">
        <v>5</v>
      </c>
      <c r="AD72" s="81"/>
      <c r="AE72" s="25">
        <f t="shared" si="3"/>
        <v>0</v>
      </c>
      <c r="AF72" s="140">
        <f t="shared" si="42"/>
        <v>29</v>
      </c>
      <c r="AG72" s="140">
        <f t="shared" si="43"/>
        <v>0</v>
      </c>
      <c r="AH72" s="138">
        <f t="shared" si="5"/>
        <v>0</v>
      </c>
      <c r="AI72" s="101">
        <v>46113</v>
      </c>
      <c r="AJ72" s="101">
        <v>46477</v>
      </c>
      <c r="AK72" s="102" t="s">
        <v>112</v>
      </c>
      <c r="AL72" s="102" t="s">
        <v>113</v>
      </c>
      <c r="AM72" s="103" t="s">
        <v>114</v>
      </c>
      <c r="AN72" s="104">
        <v>100000000</v>
      </c>
      <c r="AO72" s="104">
        <v>100000000</v>
      </c>
      <c r="AP72" s="104">
        <v>100000000</v>
      </c>
      <c r="AQ72" s="326">
        <v>0</v>
      </c>
      <c r="AR72" s="102" t="s">
        <v>207</v>
      </c>
      <c r="AS72" s="102" t="s">
        <v>112</v>
      </c>
      <c r="AT72" s="152" t="s">
        <v>330</v>
      </c>
      <c r="AU72" s="166" t="s">
        <v>2264</v>
      </c>
      <c r="AV72" s="247" t="s">
        <v>2234</v>
      </c>
      <c r="AW72" s="136" t="s">
        <v>2248</v>
      </c>
      <c r="AX72" s="136" t="s">
        <v>2386</v>
      </c>
      <c r="AY72" s="136" t="s">
        <v>2308</v>
      </c>
      <c r="BA72" s="272"/>
      <c r="BB72" s="273"/>
      <c r="BC72" s="209" t="e">
        <f t="shared" si="60"/>
        <v>#DIV/0!</v>
      </c>
      <c r="BD72" s="272"/>
      <c r="BE72" s="273"/>
      <c r="BF72" s="209" t="e">
        <f t="shared" si="61"/>
        <v>#DIV/0!</v>
      </c>
      <c r="BG72" s="272"/>
      <c r="BH72" s="273"/>
      <c r="BI72" s="209" t="e">
        <f t="shared" si="62"/>
        <v>#DIV/0!</v>
      </c>
      <c r="BJ72" s="210">
        <f t="shared" si="63"/>
        <v>0</v>
      </c>
      <c r="BK72" s="211">
        <f t="shared" si="64"/>
        <v>0</v>
      </c>
      <c r="BL72" s="209" t="e">
        <f t="shared" si="65"/>
        <v>#DIV/0!</v>
      </c>
      <c r="BM72" s="272"/>
      <c r="BN72" s="273"/>
      <c r="BO72" s="209" t="e">
        <f t="shared" si="44"/>
        <v>#DIV/0!</v>
      </c>
      <c r="BP72" s="272"/>
      <c r="BQ72" s="273"/>
      <c r="BR72" s="209" t="e">
        <f t="shared" si="45"/>
        <v>#DIV/0!</v>
      </c>
      <c r="BS72" s="272"/>
      <c r="BT72" s="272"/>
      <c r="BU72" s="209" t="e">
        <f t="shared" si="46"/>
        <v>#DIV/0!</v>
      </c>
      <c r="BV72" s="210">
        <f t="shared" si="66"/>
        <v>0</v>
      </c>
      <c r="BW72" s="210">
        <f t="shared" si="67"/>
        <v>0</v>
      </c>
      <c r="BX72" s="209" t="e">
        <f t="shared" si="68"/>
        <v>#DIV/0!</v>
      </c>
      <c r="BY72" s="209">
        <f t="shared" si="69"/>
        <v>0</v>
      </c>
      <c r="BZ72" s="209">
        <f t="shared" si="70"/>
        <v>0</v>
      </c>
      <c r="CA72" s="212"/>
      <c r="CB72" s="245"/>
      <c r="CC72" s="183"/>
      <c r="CD72" s="184"/>
      <c r="CE72" s="185" t="e">
        <f t="shared" si="47"/>
        <v>#DIV/0!</v>
      </c>
      <c r="CF72" s="183"/>
      <c r="CG72" s="184"/>
      <c r="CH72" s="185" t="e">
        <f t="shared" si="48"/>
        <v>#DIV/0!</v>
      </c>
      <c r="CI72" s="189"/>
      <c r="CJ72" s="190"/>
      <c r="CK72" s="185" t="e">
        <f t="shared" si="49"/>
        <v>#DIV/0!</v>
      </c>
      <c r="CL72" s="187">
        <f t="shared" si="50"/>
        <v>0</v>
      </c>
      <c r="CM72" s="186">
        <f t="shared" si="51"/>
        <v>0</v>
      </c>
      <c r="CN72" s="185" t="e">
        <f t="shared" si="52"/>
        <v>#DIV/0!</v>
      </c>
      <c r="CO72" s="245"/>
      <c r="CP72" s="188">
        <f t="shared" si="53"/>
        <v>0</v>
      </c>
      <c r="CQ72" s="188">
        <f t="shared" si="54"/>
        <v>0</v>
      </c>
      <c r="CR72" s="191" t="e">
        <f t="shared" si="55"/>
        <v>#DIV/0!</v>
      </c>
      <c r="CS72" s="279">
        <f t="shared" si="71"/>
        <v>29</v>
      </c>
      <c r="CT72" s="245"/>
      <c r="CU72" s="188">
        <f t="shared" si="72"/>
        <v>8.6999999999999993</v>
      </c>
      <c r="CV72" s="277"/>
      <c r="CW72" s="191">
        <f t="shared" si="73"/>
        <v>0</v>
      </c>
      <c r="CX72" s="188">
        <f t="shared" si="74"/>
        <v>8.6999999999999993</v>
      </c>
      <c r="CY72" s="277"/>
      <c r="CZ72" s="191">
        <f t="shared" si="75"/>
        <v>0</v>
      </c>
      <c r="DA72" s="188">
        <f t="shared" si="76"/>
        <v>8.6999999999999993</v>
      </c>
      <c r="DB72" s="277"/>
      <c r="DC72" s="191">
        <f t="shared" si="77"/>
        <v>0</v>
      </c>
      <c r="DD72" s="188">
        <f t="shared" si="78"/>
        <v>2.9000000000000004</v>
      </c>
      <c r="DE72" s="277"/>
      <c r="DF72" s="191">
        <f t="shared" si="79"/>
        <v>0</v>
      </c>
      <c r="DG72" s="245"/>
      <c r="DH72" s="188">
        <f t="shared" si="80"/>
        <v>29</v>
      </c>
      <c r="DI72" s="188">
        <f t="shared" si="81"/>
        <v>0</v>
      </c>
      <c r="DJ72" s="191">
        <f t="shared" si="82"/>
        <v>0</v>
      </c>
      <c r="DK72" s="286">
        <f t="shared" si="83"/>
        <v>29</v>
      </c>
      <c r="DL72" s="261">
        <v>68</v>
      </c>
      <c r="DM72" s="244">
        <f>+A72-DL72</f>
        <v>0</v>
      </c>
    </row>
    <row r="73" spans="1:117" x14ac:dyDescent="0.35">
      <c r="A73" s="263">
        <v>69</v>
      </c>
      <c r="B73" s="102" t="s">
        <v>270</v>
      </c>
      <c r="C73" s="102" t="s">
        <v>97</v>
      </c>
      <c r="D73" s="102" t="s">
        <v>98</v>
      </c>
      <c r="E73" s="102" t="s">
        <v>315</v>
      </c>
      <c r="F73" s="102" t="s">
        <v>316</v>
      </c>
      <c r="G73" s="98" t="s">
        <v>317</v>
      </c>
      <c r="H73" s="98" t="s">
        <v>323</v>
      </c>
      <c r="I73" s="98" t="s">
        <v>335</v>
      </c>
      <c r="J73" s="98" t="s">
        <v>335</v>
      </c>
      <c r="K73" s="96" t="s">
        <v>104</v>
      </c>
      <c r="L73" s="96" t="s">
        <v>105</v>
      </c>
      <c r="M73" s="98" t="s">
        <v>106</v>
      </c>
      <c r="N73" s="98" t="s">
        <v>319</v>
      </c>
      <c r="O73" s="98" t="s">
        <v>108</v>
      </c>
      <c r="P73" s="98" t="s">
        <v>336</v>
      </c>
      <c r="Q73" s="98" t="s">
        <v>110</v>
      </c>
      <c r="R73" s="301">
        <v>29</v>
      </c>
      <c r="S73" s="99" t="s">
        <v>111</v>
      </c>
      <c r="T73" s="81">
        <v>0</v>
      </c>
      <c r="U73" s="81">
        <v>0</v>
      </c>
      <c r="V73" s="25" t="e">
        <f t="shared" si="59"/>
        <v>#DIV/0!</v>
      </c>
      <c r="W73" s="81">
        <v>0</v>
      </c>
      <c r="X73" s="81">
        <v>0</v>
      </c>
      <c r="Y73" s="25" t="e">
        <f t="shared" si="1"/>
        <v>#DIV/0!</v>
      </c>
      <c r="Z73" s="81">
        <v>14</v>
      </c>
      <c r="AA73" s="81"/>
      <c r="AB73" s="25">
        <f t="shared" si="2"/>
        <v>0</v>
      </c>
      <c r="AC73" s="81">
        <v>15</v>
      </c>
      <c r="AD73" s="81"/>
      <c r="AE73" s="25">
        <f t="shared" si="3"/>
        <v>0</v>
      </c>
      <c r="AF73" s="140">
        <f t="shared" si="42"/>
        <v>29</v>
      </c>
      <c r="AG73" s="140">
        <f t="shared" si="43"/>
        <v>0</v>
      </c>
      <c r="AH73" s="138" t="e">
        <f t="shared" si="5"/>
        <v>#DIV/0!</v>
      </c>
      <c r="AI73" s="101">
        <v>46113</v>
      </c>
      <c r="AJ73" s="101">
        <v>46477</v>
      </c>
      <c r="AK73" s="102" t="s">
        <v>112</v>
      </c>
      <c r="AL73" s="102" t="s">
        <v>113</v>
      </c>
      <c r="AM73" s="103" t="s">
        <v>114</v>
      </c>
      <c r="AN73" s="104">
        <v>100000000</v>
      </c>
      <c r="AO73" s="104">
        <v>100000000</v>
      </c>
      <c r="AP73" s="104">
        <v>100000000</v>
      </c>
      <c r="AQ73" s="326">
        <v>0</v>
      </c>
      <c r="AR73" s="102" t="s">
        <v>159</v>
      </c>
      <c r="AS73" s="102" t="s">
        <v>112</v>
      </c>
      <c r="AT73" s="152" t="s">
        <v>330</v>
      </c>
      <c r="AU73" s="166" t="s">
        <v>2264</v>
      </c>
      <c r="AV73" s="247" t="s">
        <v>2234</v>
      </c>
      <c r="AW73" s="136" t="s">
        <v>2248</v>
      </c>
      <c r="AX73" s="136" t="s">
        <v>2386</v>
      </c>
      <c r="AY73" s="136" t="s">
        <v>2308</v>
      </c>
      <c r="BA73" s="272"/>
      <c r="BB73" s="273"/>
      <c r="BC73" s="209" t="e">
        <f t="shared" si="60"/>
        <v>#DIV/0!</v>
      </c>
      <c r="BD73" s="272"/>
      <c r="BE73" s="273"/>
      <c r="BF73" s="209" t="e">
        <f t="shared" si="61"/>
        <v>#DIV/0!</v>
      </c>
      <c r="BG73" s="272"/>
      <c r="BH73" s="273"/>
      <c r="BI73" s="209" t="e">
        <f t="shared" si="62"/>
        <v>#DIV/0!</v>
      </c>
      <c r="BJ73" s="210">
        <f t="shared" si="63"/>
        <v>0</v>
      </c>
      <c r="BK73" s="211">
        <f t="shared" si="64"/>
        <v>0</v>
      </c>
      <c r="BL73" s="209" t="e">
        <f t="shared" si="65"/>
        <v>#DIV/0!</v>
      </c>
      <c r="BM73" s="272">
        <v>10</v>
      </c>
      <c r="BN73" s="273"/>
      <c r="BO73" s="209">
        <f t="shared" si="44"/>
        <v>0</v>
      </c>
      <c r="BP73" s="272">
        <v>10</v>
      </c>
      <c r="BQ73" s="273">
        <v>7</v>
      </c>
      <c r="BR73" s="209">
        <f t="shared" si="45"/>
        <v>0.7</v>
      </c>
      <c r="BS73" s="272">
        <v>9</v>
      </c>
      <c r="BT73" s="272">
        <v>3</v>
      </c>
      <c r="BU73" s="209">
        <f t="shared" si="46"/>
        <v>0.33333333333333331</v>
      </c>
      <c r="BV73" s="210">
        <f t="shared" si="66"/>
        <v>29</v>
      </c>
      <c r="BW73" s="210">
        <f t="shared" si="67"/>
        <v>10</v>
      </c>
      <c r="BX73" s="209">
        <f t="shared" si="68"/>
        <v>0.34482758620689657</v>
      </c>
      <c r="BY73" s="209">
        <f t="shared" si="69"/>
        <v>0.34482758620689657</v>
      </c>
      <c r="BZ73" s="209">
        <f t="shared" si="70"/>
        <v>-0.34482758620689657</v>
      </c>
      <c r="CA73" s="212"/>
      <c r="CB73" s="245"/>
      <c r="CC73" s="183">
        <v>10</v>
      </c>
      <c r="CD73" s="184">
        <v>4</v>
      </c>
      <c r="CE73" s="185">
        <f t="shared" si="47"/>
        <v>0.4</v>
      </c>
      <c r="CF73" s="183">
        <v>9</v>
      </c>
      <c r="CG73" s="184"/>
      <c r="CH73" s="185">
        <f t="shared" si="48"/>
        <v>0</v>
      </c>
      <c r="CI73" s="189"/>
      <c r="CJ73" s="190"/>
      <c r="CK73" s="185" t="e">
        <f t="shared" si="49"/>
        <v>#DIV/0!</v>
      </c>
      <c r="CL73" s="187">
        <f t="shared" si="50"/>
        <v>19</v>
      </c>
      <c r="CM73" s="186">
        <f t="shared" si="51"/>
        <v>4</v>
      </c>
      <c r="CN73" s="185">
        <f t="shared" si="52"/>
        <v>0.21052631578947367</v>
      </c>
      <c r="CO73" s="245"/>
      <c r="CP73" s="188">
        <f t="shared" si="53"/>
        <v>48</v>
      </c>
      <c r="CQ73" s="188">
        <f t="shared" si="54"/>
        <v>14</v>
      </c>
      <c r="CR73" s="191">
        <f t="shared" si="55"/>
        <v>0.29166666666666669</v>
      </c>
      <c r="CS73" s="279">
        <f t="shared" si="71"/>
        <v>15</v>
      </c>
      <c r="CT73" s="245"/>
      <c r="CU73" s="188">
        <f t="shared" si="72"/>
        <v>4.5</v>
      </c>
      <c r="CV73" s="277"/>
      <c r="CW73" s="191">
        <f t="shared" si="73"/>
        <v>0</v>
      </c>
      <c r="CX73" s="188">
        <f t="shared" si="74"/>
        <v>4.5</v>
      </c>
      <c r="CY73" s="277"/>
      <c r="CZ73" s="191">
        <f t="shared" si="75"/>
        <v>0</v>
      </c>
      <c r="DA73" s="188">
        <f t="shared" si="76"/>
        <v>4.5</v>
      </c>
      <c r="DB73" s="277"/>
      <c r="DC73" s="191">
        <f t="shared" si="77"/>
        <v>0</v>
      </c>
      <c r="DD73" s="188">
        <f t="shared" si="78"/>
        <v>1.5</v>
      </c>
      <c r="DE73" s="277"/>
      <c r="DF73" s="191">
        <f t="shared" si="79"/>
        <v>0</v>
      </c>
      <c r="DG73" s="245"/>
      <c r="DH73" s="188">
        <f t="shared" si="80"/>
        <v>29</v>
      </c>
      <c r="DI73" s="188">
        <f t="shared" si="81"/>
        <v>14</v>
      </c>
      <c r="DJ73" s="191">
        <f t="shared" si="82"/>
        <v>0.48275862068965519</v>
      </c>
      <c r="DK73" s="286">
        <f t="shared" si="83"/>
        <v>15</v>
      </c>
      <c r="DL73" s="261">
        <v>69</v>
      </c>
      <c r="DM73" s="244">
        <f>+A73-DL73</f>
        <v>0</v>
      </c>
    </row>
    <row r="74" spans="1:117" x14ac:dyDescent="0.35">
      <c r="A74" s="263">
        <v>70</v>
      </c>
      <c r="B74" s="102" t="s">
        <v>270</v>
      </c>
      <c r="C74" s="102" t="s">
        <v>133</v>
      </c>
      <c r="D74" s="102" t="s">
        <v>119</v>
      </c>
      <c r="E74" s="102" t="s">
        <v>212</v>
      </c>
      <c r="F74" s="102" t="s">
        <v>321</v>
      </c>
      <c r="G74" s="98" t="s">
        <v>317</v>
      </c>
      <c r="H74" s="98" t="s">
        <v>323</v>
      </c>
      <c r="I74" s="98" t="s">
        <v>337</v>
      </c>
      <c r="J74" s="98" t="s">
        <v>337</v>
      </c>
      <c r="K74" s="96" t="s">
        <v>104</v>
      </c>
      <c r="L74" s="96" t="s">
        <v>105</v>
      </c>
      <c r="M74" s="98" t="s">
        <v>106</v>
      </c>
      <c r="N74" s="98" t="s">
        <v>325</v>
      </c>
      <c r="O74" s="98" t="s">
        <v>127</v>
      </c>
      <c r="P74" s="258" t="s">
        <v>338</v>
      </c>
      <c r="Q74" s="98" t="s">
        <v>129</v>
      </c>
      <c r="R74" s="301">
        <v>2</v>
      </c>
      <c r="S74" s="99" t="s">
        <v>111</v>
      </c>
      <c r="T74" s="81">
        <v>0</v>
      </c>
      <c r="U74" s="81">
        <v>0</v>
      </c>
      <c r="V74" s="25" t="e">
        <f t="shared" si="59"/>
        <v>#DIV/0!</v>
      </c>
      <c r="W74" s="81">
        <v>0</v>
      </c>
      <c r="X74" s="81">
        <v>0</v>
      </c>
      <c r="Y74" s="25" t="e">
        <f t="shared" si="1"/>
        <v>#DIV/0!</v>
      </c>
      <c r="Z74" s="81">
        <v>1</v>
      </c>
      <c r="AA74" s="81"/>
      <c r="AB74" s="25">
        <f t="shared" si="2"/>
        <v>0</v>
      </c>
      <c r="AC74" s="81">
        <v>1</v>
      </c>
      <c r="AD74" s="81"/>
      <c r="AE74" s="25">
        <f t="shared" si="3"/>
        <v>0</v>
      </c>
      <c r="AF74" s="140">
        <f t="shared" si="42"/>
        <v>2</v>
      </c>
      <c r="AG74" s="140">
        <f t="shared" si="43"/>
        <v>0</v>
      </c>
      <c r="AH74" s="138" t="e">
        <f t="shared" si="5"/>
        <v>#DIV/0!</v>
      </c>
      <c r="AI74" s="101">
        <v>46113</v>
      </c>
      <c r="AJ74" s="101">
        <v>46477</v>
      </c>
      <c r="AK74" s="102" t="s">
        <v>112</v>
      </c>
      <c r="AL74" s="102" t="s">
        <v>113</v>
      </c>
      <c r="AM74" s="103" t="s">
        <v>114</v>
      </c>
      <c r="AN74" s="104">
        <v>50000000</v>
      </c>
      <c r="AO74" s="104">
        <v>50000000</v>
      </c>
      <c r="AP74" s="104">
        <v>50000000</v>
      </c>
      <c r="AQ74" s="326">
        <v>0</v>
      </c>
      <c r="AR74" s="102" t="s">
        <v>159</v>
      </c>
      <c r="AS74" s="102" t="s">
        <v>112</v>
      </c>
      <c r="AT74" s="152" t="s">
        <v>330</v>
      </c>
      <c r="AU74" s="166" t="s">
        <v>2264</v>
      </c>
      <c r="AV74" s="247" t="s">
        <v>2234</v>
      </c>
      <c r="AW74" s="136" t="s">
        <v>2248</v>
      </c>
      <c r="AX74" s="136" t="s">
        <v>2386</v>
      </c>
      <c r="AY74" s="136" t="s">
        <v>2308</v>
      </c>
      <c r="BA74" s="272"/>
      <c r="BB74" s="273"/>
      <c r="BC74" s="209" t="e">
        <f t="shared" si="60"/>
        <v>#DIV/0!</v>
      </c>
      <c r="BD74" s="272"/>
      <c r="BE74" s="273"/>
      <c r="BF74" s="209" t="e">
        <f t="shared" si="61"/>
        <v>#DIV/0!</v>
      </c>
      <c r="BG74" s="272"/>
      <c r="BH74" s="273"/>
      <c r="BI74" s="209" t="e">
        <f t="shared" si="62"/>
        <v>#DIV/0!</v>
      </c>
      <c r="BJ74" s="210">
        <f t="shared" si="63"/>
        <v>0</v>
      </c>
      <c r="BK74" s="211">
        <f t="shared" si="64"/>
        <v>0</v>
      </c>
      <c r="BL74" s="209" t="e">
        <f t="shared" si="65"/>
        <v>#DIV/0!</v>
      </c>
      <c r="BM74" s="272"/>
      <c r="BN74" s="273"/>
      <c r="BO74" s="209" t="e">
        <f t="shared" si="44"/>
        <v>#DIV/0!</v>
      </c>
      <c r="BP74" s="272"/>
      <c r="BQ74" s="273"/>
      <c r="BR74" s="209" t="e">
        <f t="shared" si="45"/>
        <v>#DIV/0!</v>
      </c>
      <c r="BS74" s="272"/>
      <c r="BT74" s="272"/>
      <c r="BU74" s="209" t="e">
        <f t="shared" si="46"/>
        <v>#DIV/0!</v>
      </c>
      <c r="BV74" s="210">
        <f t="shared" si="66"/>
        <v>0</v>
      </c>
      <c r="BW74" s="210">
        <f t="shared" si="67"/>
        <v>0</v>
      </c>
      <c r="BX74" s="209" t="e">
        <f t="shared" si="68"/>
        <v>#DIV/0!</v>
      </c>
      <c r="BY74" s="209">
        <f t="shared" si="69"/>
        <v>0</v>
      </c>
      <c r="BZ74" s="209">
        <f t="shared" si="70"/>
        <v>0</v>
      </c>
      <c r="CA74" s="212"/>
      <c r="CB74" s="245"/>
      <c r="CC74" s="183"/>
      <c r="CD74" s="184"/>
      <c r="CE74" s="185" t="e">
        <f t="shared" si="47"/>
        <v>#DIV/0!</v>
      </c>
      <c r="CF74" s="183"/>
      <c r="CG74" s="184"/>
      <c r="CH74" s="185" t="e">
        <f t="shared" si="48"/>
        <v>#DIV/0!</v>
      </c>
      <c r="CI74" s="189"/>
      <c r="CJ74" s="190"/>
      <c r="CK74" s="185" t="e">
        <f t="shared" si="49"/>
        <v>#DIV/0!</v>
      </c>
      <c r="CL74" s="187">
        <f t="shared" si="50"/>
        <v>0</v>
      </c>
      <c r="CM74" s="186">
        <f t="shared" si="51"/>
        <v>0</v>
      </c>
      <c r="CN74" s="185" t="e">
        <f t="shared" si="52"/>
        <v>#DIV/0!</v>
      </c>
      <c r="CO74" s="245"/>
      <c r="CP74" s="188">
        <f t="shared" si="53"/>
        <v>0</v>
      </c>
      <c r="CQ74" s="188">
        <f t="shared" si="54"/>
        <v>0</v>
      </c>
      <c r="CR74" s="191" t="e">
        <f t="shared" si="55"/>
        <v>#DIV/0!</v>
      </c>
      <c r="CS74" s="279">
        <f t="shared" si="71"/>
        <v>2</v>
      </c>
      <c r="CT74" s="245"/>
      <c r="CU74" s="188">
        <f t="shared" si="72"/>
        <v>0.6</v>
      </c>
      <c r="CV74" s="277"/>
      <c r="CW74" s="191">
        <f t="shared" si="73"/>
        <v>0</v>
      </c>
      <c r="CX74" s="188">
        <f t="shared" si="74"/>
        <v>0.6</v>
      </c>
      <c r="CY74" s="277"/>
      <c r="CZ74" s="191">
        <f t="shared" si="75"/>
        <v>0</v>
      </c>
      <c r="DA74" s="188">
        <f t="shared" si="76"/>
        <v>0.6</v>
      </c>
      <c r="DB74" s="277"/>
      <c r="DC74" s="191">
        <f t="shared" si="77"/>
        <v>0</v>
      </c>
      <c r="DD74" s="188">
        <f t="shared" si="78"/>
        <v>0.2</v>
      </c>
      <c r="DE74" s="277"/>
      <c r="DF74" s="191">
        <f t="shared" si="79"/>
        <v>0</v>
      </c>
      <c r="DG74" s="245"/>
      <c r="DH74" s="188">
        <f t="shared" si="80"/>
        <v>2</v>
      </c>
      <c r="DI74" s="188">
        <f t="shared" si="81"/>
        <v>0</v>
      </c>
      <c r="DJ74" s="191">
        <f t="shared" si="82"/>
        <v>0</v>
      </c>
      <c r="DK74" s="286">
        <f t="shared" si="83"/>
        <v>2</v>
      </c>
      <c r="DL74" s="261">
        <v>70</v>
      </c>
      <c r="DM74" s="244">
        <f>+A74-DL74</f>
        <v>0</v>
      </c>
    </row>
    <row r="75" spans="1:117" x14ac:dyDescent="0.35">
      <c r="A75" s="263">
        <v>71</v>
      </c>
      <c r="B75" s="102" t="s">
        <v>132</v>
      </c>
      <c r="C75" s="102" t="s">
        <v>118</v>
      </c>
      <c r="D75" s="102" t="s">
        <v>119</v>
      </c>
      <c r="E75" s="102" t="s">
        <v>155</v>
      </c>
      <c r="F75" s="102" t="s">
        <v>160</v>
      </c>
      <c r="G75" s="98" t="s">
        <v>144</v>
      </c>
      <c r="H75" s="98" t="s">
        <v>339</v>
      </c>
      <c r="I75" s="98" t="s">
        <v>340</v>
      </c>
      <c r="J75" s="98" t="s">
        <v>340</v>
      </c>
      <c r="K75" s="96" t="s">
        <v>104</v>
      </c>
      <c r="L75" s="96" t="s">
        <v>105</v>
      </c>
      <c r="M75" s="98" t="s">
        <v>106</v>
      </c>
      <c r="N75" s="98" t="s">
        <v>341</v>
      </c>
      <c r="O75" s="98" t="s">
        <v>127</v>
      </c>
      <c r="P75" s="258" t="s">
        <v>342</v>
      </c>
      <c r="Q75" s="98" t="s">
        <v>129</v>
      </c>
      <c r="R75" s="301">
        <v>30</v>
      </c>
      <c r="S75" s="99" t="s">
        <v>158</v>
      </c>
      <c r="T75" s="81">
        <v>0</v>
      </c>
      <c r="U75" s="81">
        <v>0</v>
      </c>
      <c r="V75" s="25" t="e">
        <f t="shared" si="59"/>
        <v>#DIV/0!</v>
      </c>
      <c r="W75" s="81">
        <v>30</v>
      </c>
      <c r="X75" s="81">
        <v>0</v>
      </c>
      <c r="Y75" s="25">
        <f t="shared" si="1"/>
        <v>0</v>
      </c>
      <c r="Z75" s="81">
        <v>0</v>
      </c>
      <c r="AA75" s="81"/>
      <c r="AB75" s="25" t="e">
        <f t="shared" si="2"/>
        <v>#DIV/0!</v>
      </c>
      <c r="AC75" s="81">
        <v>0</v>
      </c>
      <c r="AD75" s="81"/>
      <c r="AE75" s="25" t="e">
        <f t="shared" si="3"/>
        <v>#DIV/0!</v>
      </c>
      <c r="AF75" s="140">
        <f t="shared" si="42"/>
        <v>30</v>
      </c>
      <c r="AG75" s="140">
        <f t="shared" si="43"/>
        <v>0</v>
      </c>
      <c r="AH75" s="138">
        <f t="shared" si="5"/>
        <v>0</v>
      </c>
      <c r="AI75" s="101">
        <v>46054</v>
      </c>
      <c r="AJ75" s="101">
        <v>46477</v>
      </c>
      <c r="AK75" s="102" t="s">
        <v>112</v>
      </c>
      <c r="AL75" s="102" t="s">
        <v>113</v>
      </c>
      <c r="AM75" s="103" t="s">
        <v>114</v>
      </c>
      <c r="AN75" s="104">
        <v>30000000</v>
      </c>
      <c r="AO75" s="104">
        <v>30000000</v>
      </c>
      <c r="AP75" s="104">
        <v>30000000</v>
      </c>
      <c r="AQ75" s="326">
        <v>0</v>
      </c>
      <c r="AR75" s="322"/>
      <c r="AS75" s="102" t="s">
        <v>112</v>
      </c>
      <c r="AT75" s="152" t="s">
        <v>2220</v>
      </c>
      <c r="AU75" s="166" t="s">
        <v>2264</v>
      </c>
      <c r="AV75" s="247" t="s">
        <v>2234</v>
      </c>
      <c r="AW75" s="136" t="s">
        <v>2242</v>
      </c>
      <c r="AX75" s="136" t="s">
        <v>2358</v>
      </c>
      <c r="AY75" s="136" t="s">
        <v>2376</v>
      </c>
      <c r="BA75" s="272"/>
      <c r="BB75" s="273"/>
      <c r="BC75" s="209" t="e">
        <f t="shared" si="60"/>
        <v>#DIV/0!</v>
      </c>
      <c r="BD75" s="272"/>
      <c r="BE75" s="273"/>
      <c r="BF75" s="209" t="e">
        <f t="shared" si="61"/>
        <v>#DIV/0!</v>
      </c>
      <c r="BG75" s="272"/>
      <c r="BH75" s="273"/>
      <c r="BI75" s="209" t="e">
        <f t="shared" si="62"/>
        <v>#DIV/0!</v>
      </c>
      <c r="BJ75" s="210">
        <f t="shared" si="63"/>
        <v>0</v>
      </c>
      <c r="BK75" s="211">
        <f t="shared" si="64"/>
        <v>0</v>
      </c>
      <c r="BL75" s="209" t="e">
        <f t="shared" si="65"/>
        <v>#DIV/0!</v>
      </c>
      <c r="BM75" s="272"/>
      <c r="BN75" s="273"/>
      <c r="BO75" s="209" t="e">
        <f t="shared" si="44"/>
        <v>#DIV/0!</v>
      </c>
      <c r="BP75" s="272"/>
      <c r="BQ75" s="273"/>
      <c r="BR75" s="209" t="e">
        <f t="shared" si="45"/>
        <v>#DIV/0!</v>
      </c>
      <c r="BS75" s="272"/>
      <c r="BT75" s="272"/>
      <c r="BU75" s="209" t="e">
        <f t="shared" si="46"/>
        <v>#DIV/0!</v>
      </c>
      <c r="BV75" s="210">
        <f t="shared" si="66"/>
        <v>0</v>
      </c>
      <c r="BW75" s="210">
        <f t="shared" si="67"/>
        <v>0</v>
      </c>
      <c r="BX75" s="209" t="e">
        <f t="shared" si="68"/>
        <v>#DIV/0!</v>
      </c>
      <c r="BY75" s="209">
        <f t="shared" si="69"/>
        <v>0</v>
      </c>
      <c r="BZ75" s="209">
        <f t="shared" si="70"/>
        <v>0</v>
      </c>
      <c r="CA75" s="212"/>
      <c r="CB75" s="245"/>
      <c r="CC75" s="183"/>
      <c r="CD75" s="184"/>
      <c r="CE75" s="185" t="e">
        <f t="shared" si="47"/>
        <v>#DIV/0!</v>
      </c>
      <c r="CF75" s="183"/>
      <c r="CG75" s="184"/>
      <c r="CH75" s="185" t="e">
        <f t="shared" si="48"/>
        <v>#DIV/0!</v>
      </c>
      <c r="CI75" s="189"/>
      <c r="CJ75" s="190"/>
      <c r="CK75" s="185" t="e">
        <f t="shared" si="49"/>
        <v>#DIV/0!</v>
      </c>
      <c r="CL75" s="187">
        <f t="shared" si="50"/>
        <v>0</v>
      </c>
      <c r="CM75" s="186">
        <f t="shared" si="51"/>
        <v>0</v>
      </c>
      <c r="CN75" s="185" t="e">
        <f t="shared" si="52"/>
        <v>#DIV/0!</v>
      </c>
      <c r="CO75" s="245"/>
      <c r="CP75" s="188">
        <f t="shared" si="53"/>
        <v>0</v>
      </c>
      <c r="CQ75" s="188">
        <f t="shared" si="54"/>
        <v>0</v>
      </c>
      <c r="CR75" s="191" t="e">
        <f t="shared" si="55"/>
        <v>#DIV/0!</v>
      </c>
      <c r="CS75" s="279">
        <f t="shared" si="71"/>
        <v>30</v>
      </c>
      <c r="CT75" s="245"/>
      <c r="CU75" s="188">
        <f t="shared" si="72"/>
        <v>9</v>
      </c>
      <c r="CV75" s="277"/>
      <c r="CW75" s="191">
        <f t="shared" si="73"/>
        <v>0</v>
      </c>
      <c r="CX75" s="188">
        <f t="shared" si="74"/>
        <v>9</v>
      </c>
      <c r="CY75" s="277"/>
      <c r="CZ75" s="191">
        <f t="shared" si="75"/>
        <v>0</v>
      </c>
      <c r="DA75" s="188">
        <f t="shared" si="76"/>
        <v>9</v>
      </c>
      <c r="DB75" s="277"/>
      <c r="DC75" s="191">
        <f t="shared" si="77"/>
        <v>0</v>
      </c>
      <c r="DD75" s="188">
        <f t="shared" si="78"/>
        <v>3</v>
      </c>
      <c r="DE75" s="277"/>
      <c r="DF75" s="191">
        <f t="shared" si="79"/>
        <v>0</v>
      </c>
      <c r="DG75" s="245"/>
      <c r="DH75" s="188">
        <f t="shared" si="80"/>
        <v>30</v>
      </c>
      <c r="DI75" s="188">
        <f t="shared" si="81"/>
        <v>0</v>
      </c>
      <c r="DJ75" s="191">
        <f t="shared" si="82"/>
        <v>0</v>
      </c>
      <c r="DK75" s="286">
        <f t="shared" si="83"/>
        <v>30</v>
      </c>
      <c r="DL75" s="261">
        <v>71</v>
      </c>
      <c r="DM75" s="244">
        <f>+A75-DL75</f>
        <v>0</v>
      </c>
    </row>
    <row r="76" spans="1:117" x14ac:dyDescent="0.35">
      <c r="A76" s="263">
        <v>72</v>
      </c>
      <c r="B76" s="102" t="s">
        <v>132</v>
      </c>
      <c r="C76" s="102" t="s">
        <v>118</v>
      </c>
      <c r="D76" s="102" t="s">
        <v>119</v>
      </c>
      <c r="E76" s="102" t="s">
        <v>155</v>
      </c>
      <c r="F76" s="102" t="s">
        <v>343</v>
      </c>
      <c r="G76" s="98" t="s">
        <v>344</v>
      </c>
      <c r="H76" s="98" t="s">
        <v>345</v>
      </c>
      <c r="I76" s="98" t="s">
        <v>346</v>
      </c>
      <c r="J76" s="98" t="s">
        <v>346</v>
      </c>
      <c r="K76" s="96" t="s">
        <v>104</v>
      </c>
      <c r="L76" s="96" t="s">
        <v>105</v>
      </c>
      <c r="M76" s="98" t="s">
        <v>106</v>
      </c>
      <c r="N76" s="98" t="s">
        <v>341</v>
      </c>
      <c r="O76" s="98" t="s">
        <v>127</v>
      </c>
      <c r="P76" s="98" t="s">
        <v>347</v>
      </c>
      <c r="Q76" s="98" t="s">
        <v>129</v>
      </c>
      <c r="R76" s="301">
        <v>12</v>
      </c>
      <c r="S76" s="99" t="s">
        <v>111</v>
      </c>
      <c r="T76" s="81">
        <v>3</v>
      </c>
      <c r="U76" s="81">
        <v>0</v>
      </c>
      <c r="V76" s="25">
        <f t="shared" si="59"/>
        <v>0</v>
      </c>
      <c r="W76" s="81">
        <v>3</v>
      </c>
      <c r="X76" s="81"/>
      <c r="Y76" s="25">
        <f t="shared" si="1"/>
        <v>0</v>
      </c>
      <c r="Z76" s="81">
        <v>3</v>
      </c>
      <c r="AA76" s="81"/>
      <c r="AB76" s="25">
        <f t="shared" si="2"/>
        <v>0</v>
      </c>
      <c r="AC76" s="81">
        <v>3</v>
      </c>
      <c r="AD76" s="81"/>
      <c r="AE76" s="25">
        <f t="shared" si="3"/>
        <v>0</v>
      </c>
      <c r="AF76" s="140">
        <f t="shared" si="42"/>
        <v>12</v>
      </c>
      <c r="AG76" s="140">
        <f t="shared" si="43"/>
        <v>0</v>
      </c>
      <c r="AH76" s="138">
        <f t="shared" si="5"/>
        <v>0</v>
      </c>
      <c r="AI76" s="101">
        <v>46113</v>
      </c>
      <c r="AJ76" s="101">
        <v>46477</v>
      </c>
      <c r="AK76" s="102" t="s">
        <v>112</v>
      </c>
      <c r="AL76" s="102" t="s">
        <v>113</v>
      </c>
      <c r="AM76" s="103" t="s">
        <v>114</v>
      </c>
      <c r="AN76" s="324"/>
      <c r="AO76" s="324"/>
      <c r="AP76" s="324"/>
      <c r="AQ76" s="326"/>
      <c r="AR76" s="102" t="s">
        <v>329</v>
      </c>
      <c r="AS76" s="102" t="s">
        <v>112</v>
      </c>
      <c r="AT76" s="152" t="s">
        <v>2226</v>
      </c>
      <c r="AU76" s="166" t="s">
        <v>2264</v>
      </c>
      <c r="AV76" s="247" t="s">
        <v>2234</v>
      </c>
      <c r="AW76" s="136" t="s">
        <v>2242</v>
      </c>
      <c r="AX76" s="136" t="s">
        <v>2358</v>
      </c>
      <c r="AY76" s="136" t="s">
        <v>2376</v>
      </c>
      <c r="BA76" s="272"/>
      <c r="BB76" s="273"/>
      <c r="BC76" s="209" t="e">
        <f t="shared" si="60"/>
        <v>#DIV/0!</v>
      </c>
      <c r="BD76" s="272"/>
      <c r="BE76" s="273"/>
      <c r="BF76" s="209" t="e">
        <f t="shared" si="61"/>
        <v>#DIV/0!</v>
      </c>
      <c r="BG76" s="272"/>
      <c r="BH76" s="273"/>
      <c r="BI76" s="209" t="e">
        <f t="shared" si="62"/>
        <v>#DIV/0!</v>
      </c>
      <c r="BJ76" s="210">
        <f t="shared" si="63"/>
        <v>0</v>
      </c>
      <c r="BK76" s="211">
        <f t="shared" si="64"/>
        <v>0</v>
      </c>
      <c r="BL76" s="209" t="e">
        <f t="shared" si="65"/>
        <v>#DIV/0!</v>
      </c>
      <c r="BM76" s="272"/>
      <c r="BN76" s="273"/>
      <c r="BO76" s="209" t="e">
        <f t="shared" si="44"/>
        <v>#DIV/0!</v>
      </c>
      <c r="BP76" s="272"/>
      <c r="BQ76" s="273"/>
      <c r="BR76" s="209" t="e">
        <f t="shared" si="45"/>
        <v>#DIV/0!</v>
      </c>
      <c r="BS76" s="272"/>
      <c r="BT76" s="272"/>
      <c r="BU76" s="209" t="e">
        <f t="shared" si="46"/>
        <v>#DIV/0!</v>
      </c>
      <c r="BV76" s="210">
        <f t="shared" si="66"/>
        <v>0</v>
      </c>
      <c r="BW76" s="210">
        <f t="shared" si="67"/>
        <v>0</v>
      </c>
      <c r="BX76" s="209" t="e">
        <f t="shared" si="68"/>
        <v>#DIV/0!</v>
      </c>
      <c r="BY76" s="209">
        <f t="shared" si="69"/>
        <v>0</v>
      </c>
      <c r="BZ76" s="209">
        <f t="shared" si="70"/>
        <v>0</v>
      </c>
      <c r="CA76" s="212"/>
      <c r="CB76" s="245"/>
      <c r="CC76" s="183"/>
      <c r="CD76" s="184"/>
      <c r="CE76" s="185" t="e">
        <f t="shared" si="47"/>
        <v>#DIV/0!</v>
      </c>
      <c r="CF76" s="183"/>
      <c r="CG76" s="184"/>
      <c r="CH76" s="185" t="e">
        <f t="shared" si="48"/>
        <v>#DIV/0!</v>
      </c>
      <c r="CI76" s="189"/>
      <c r="CJ76" s="190"/>
      <c r="CK76" s="185" t="e">
        <f t="shared" si="49"/>
        <v>#DIV/0!</v>
      </c>
      <c r="CL76" s="187">
        <f t="shared" si="50"/>
        <v>0</v>
      </c>
      <c r="CM76" s="186">
        <f t="shared" si="51"/>
        <v>0</v>
      </c>
      <c r="CN76" s="185" t="e">
        <f t="shared" si="52"/>
        <v>#DIV/0!</v>
      </c>
      <c r="CO76" s="245"/>
      <c r="CP76" s="188">
        <f t="shared" si="53"/>
        <v>0</v>
      </c>
      <c r="CQ76" s="188">
        <f t="shared" si="54"/>
        <v>0</v>
      </c>
      <c r="CR76" s="191" t="e">
        <f t="shared" si="55"/>
        <v>#DIV/0!</v>
      </c>
      <c r="CS76" s="279">
        <f t="shared" si="71"/>
        <v>12</v>
      </c>
      <c r="CT76" s="245"/>
      <c r="CU76" s="188">
        <f t="shared" si="72"/>
        <v>3.5999999999999996</v>
      </c>
      <c r="CV76" s="277"/>
      <c r="CW76" s="191">
        <f t="shared" si="73"/>
        <v>0</v>
      </c>
      <c r="CX76" s="188">
        <f t="shared" si="74"/>
        <v>3.5999999999999996</v>
      </c>
      <c r="CY76" s="277"/>
      <c r="CZ76" s="191">
        <f t="shared" si="75"/>
        <v>0</v>
      </c>
      <c r="DA76" s="188">
        <f t="shared" si="76"/>
        <v>3.5999999999999996</v>
      </c>
      <c r="DB76" s="277"/>
      <c r="DC76" s="191">
        <f t="shared" si="77"/>
        <v>0</v>
      </c>
      <c r="DD76" s="188">
        <f t="shared" si="78"/>
        <v>1.2000000000000002</v>
      </c>
      <c r="DE76" s="277"/>
      <c r="DF76" s="191">
        <f t="shared" si="79"/>
        <v>0</v>
      </c>
      <c r="DG76" s="245"/>
      <c r="DH76" s="188">
        <f t="shared" si="80"/>
        <v>12</v>
      </c>
      <c r="DI76" s="188">
        <f t="shared" si="81"/>
        <v>0</v>
      </c>
      <c r="DJ76" s="191">
        <f t="shared" si="82"/>
        <v>0</v>
      </c>
      <c r="DK76" s="286">
        <f t="shared" si="83"/>
        <v>12</v>
      </c>
      <c r="DL76" s="261">
        <v>72</v>
      </c>
      <c r="DM76" s="244">
        <f>+A76-DL76</f>
        <v>0</v>
      </c>
    </row>
    <row r="77" spans="1:117" x14ac:dyDescent="0.35">
      <c r="A77" s="263">
        <v>73</v>
      </c>
      <c r="B77" s="102" t="s">
        <v>132</v>
      </c>
      <c r="C77" s="102" t="s">
        <v>118</v>
      </c>
      <c r="D77" s="102" t="s">
        <v>119</v>
      </c>
      <c r="E77" s="102" t="s">
        <v>155</v>
      </c>
      <c r="F77" s="102" t="s">
        <v>348</v>
      </c>
      <c r="G77" s="98" t="s">
        <v>344</v>
      </c>
      <c r="H77" s="98" t="s">
        <v>345</v>
      </c>
      <c r="I77" s="98" t="s">
        <v>340</v>
      </c>
      <c r="J77" s="98" t="s">
        <v>340</v>
      </c>
      <c r="K77" s="96" t="s">
        <v>104</v>
      </c>
      <c r="L77" s="96" t="s">
        <v>105</v>
      </c>
      <c r="M77" s="98" t="s">
        <v>106</v>
      </c>
      <c r="N77" s="98" t="s">
        <v>341</v>
      </c>
      <c r="O77" s="98" t="s">
        <v>127</v>
      </c>
      <c r="P77" s="98" t="s">
        <v>349</v>
      </c>
      <c r="Q77" s="98" t="s">
        <v>129</v>
      </c>
      <c r="R77" s="301">
        <v>4</v>
      </c>
      <c r="S77" s="99" t="s">
        <v>111</v>
      </c>
      <c r="T77" s="81">
        <v>1</v>
      </c>
      <c r="U77" s="81">
        <v>0</v>
      </c>
      <c r="V77" s="25">
        <f t="shared" si="59"/>
        <v>0</v>
      </c>
      <c r="W77" s="81">
        <v>1</v>
      </c>
      <c r="X77" s="81">
        <v>2</v>
      </c>
      <c r="Y77" s="25">
        <f t="shared" si="1"/>
        <v>200</v>
      </c>
      <c r="Z77" s="81">
        <v>1</v>
      </c>
      <c r="AA77" s="81"/>
      <c r="AB77" s="25">
        <f t="shared" si="2"/>
        <v>0</v>
      </c>
      <c r="AC77" s="81">
        <v>1</v>
      </c>
      <c r="AD77" s="81"/>
      <c r="AE77" s="25">
        <f t="shared" si="3"/>
        <v>0</v>
      </c>
      <c r="AF77" s="140">
        <f t="shared" si="42"/>
        <v>4</v>
      </c>
      <c r="AG77" s="140">
        <f t="shared" si="43"/>
        <v>2</v>
      </c>
      <c r="AH77" s="138">
        <f t="shared" si="5"/>
        <v>100</v>
      </c>
      <c r="AI77" s="101">
        <v>46113</v>
      </c>
      <c r="AJ77" s="101">
        <v>46477</v>
      </c>
      <c r="AK77" s="102" t="s">
        <v>112</v>
      </c>
      <c r="AL77" s="102" t="s">
        <v>113</v>
      </c>
      <c r="AM77" s="103" t="s">
        <v>114</v>
      </c>
      <c r="AN77" s="324"/>
      <c r="AO77" s="324"/>
      <c r="AP77" s="324"/>
      <c r="AQ77" s="326"/>
      <c r="AR77" s="102" t="s">
        <v>329</v>
      </c>
      <c r="AS77" s="102" t="s">
        <v>112</v>
      </c>
      <c r="AT77" s="152" t="s">
        <v>2226</v>
      </c>
      <c r="AU77" s="166" t="s">
        <v>2264</v>
      </c>
      <c r="AV77" s="247" t="s">
        <v>2234</v>
      </c>
      <c r="AW77" s="136" t="s">
        <v>2242</v>
      </c>
      <c r="AX77" s="136" t="s">
        <v>2358</v>
      </c>
      <c r="AY77" s="136" t="s">
        <v>2376</v>
      </c>
      <c r="BA77" s="272"/>
      <c r="BB77" s="273"/>
      <c r="BC77" s="209" t="e">
        <f t="shared" si="60"/>
        <v>#DIV/0!</v>
      </c>
      <c r="BD77" s="272"/>
      <c r="BE77" s="273"/>
      <c r="BF77" s="209" t="e">
        <f t="shared" si="61"/>
        <v>#DIV/0!</v>
      </c>
      <c r="BG77" s="272"/>
      <c r="BH77" s="273"/>
      <c r="BI77" s="209" t="e">
        <f t="shared" si="62"/>
        <v>#DIV/0!</v>
      </c>
      <c r="BJ77" s="210">
        <f t="shared" si="63"/>
        <v>0</v>
      </c>
      <c r="BK77" s="211">
        <f t="shared" si="64"/>
        <v>0</v>
      </c>
      <c r="BL77" s="209" t="e">
        <f t="shared" si="65"/>
        <v>#DIV/0!</v>
      </c>
      <c r="BM77" s="272"/>
      <c r="BN77" s="273"/>
      <c r="BO77" s="209" t="e">
        <f t="shared" si="44"/>
        <v>#DIV/0!</v>
      </c>
      <c r="BP77" s="272"/>
      <c r="BQ77" s="273"/>
      <c r="BR77" s="209" t="e">
        <f t="shared" si="45"/>
        <v>#DIV/0!</v>
      </c>
      <c r="BS77" s="272"/>
      <c r="BT77" s="272"/>
      <c r="BU77" s="209" t="e">
        <f t="shared" si="46"/>
        <v>#DIV/0!</v>
      </c>
      <c r="BV77" s="210">
        <f t="shared" si="66"/>
        <v>0</v>
      </c>
      <c r="BW77" s="210">
        <f t="shared" si="67"/>
        <v>0</v>
      </c>
      <c r="BX77" s="209" t="e">
        <f t="shared" si="68"/>
        <v>#DIV/0!</v>
      </c>
      <c r="BY77" s="209">
        <f t="shared" si="69"/>
        <v>0</v>
      </c>
      <c r="BZ77" s="209">
        <f t="shared" si="70"/>
        <v>0</v>
      </c>
      <c r="CA77" s="212"/>
      <c r="CB77" s="245"/>
      <c r="CC77" s="183"/>
      <c r="CD77" s="184"/>
      <c r="CE77" s="185" t="e">
        <f t="shared" si="47"/>
        <v>#DIV/0!</v>
      </c>
      <c r="CF77" s="183"/>
      <c r="CG77" s="184"/>
      <c r="CH77" s="185" t="e">
        <f t="shared" si="48"/>
        <v>#DIV/0!</v>
      </c>
      <c r="CI77" s="189"/>
      <c r="CJ77" s="190"/>
      <c r="CK77" s="185" t="e">
        <f t="shared" si="49"/>
        <v>#DIV/0!</v>
      </c>
      <c r="CL77" s="187">
        <f t="shared" si="50"/>
        <v>0</v>
      </c>
      <c r="CM77" s="186">
        <f t="shared" si="51"/>
        <v>0</v>
      </c>
      <c r="CN77" s="185" t="e">
        <f t="shared" si="52"/>
        <v>#DIV/0!</v>
      </c>
      <c r="CO77" s="245"/>
      <c r="CP77" s="188">
        <f t="shared" si="53"/>
        <v>0</v>
      </c>
      <c r="CQ77" s="188">
        <f t="shared" si="54"/>
        <v>0</v>
      </c>
      <c r="CR77" s="191" t="e">
        <f t="shared" si="55"/>
        <v>#DIV/0!</v>
      </c>
      <c r="CS77" s="279">
        <f t="shared" si="71"/>
        <v>4</v>
      </c>
      <c r="CT77" s="245"/>
      <c r="CU77" s="188">
        <f t="shared" si="72"/>
        <v>1.2</v>
      </c>
      <c r="CV77" s="277"/>
      <c r="CW77" s="191">
        <f t="shared" si="73"/>
        <v>0</v>
      </c>
      <c r="CX77" s="188">
        <f t="shared" si="74"/>
        <v>1.2</v>
      </c>
      <c r="CY77" s="277"/>
      <c r="CZ77" s="191">
        <f t="shared" si="75"/>
        <v>0</v>
      </c>
      <c r="DA77" s="188">
        <f t="shared" si="76"/>
        <v>1.2</v>
      </c>
      <c r="DB77" s="277"/>
      <c r="DC77" s="191">
        <f t="shared" si="77"/>
        <v>0</v>
      </c>
      <c r="DD77" s="188">
        <f t="shared" si="78"/>
        <v>0.4</v>
      </c>
      <c r="DE77" s="277"/>
      <c r="DF77" s="191">
        <f t="shared" si="79"/>
        <v>0</v>
      </c>
      <c r="DG77" s="245"/>
      <c r="DH77" s="188">
        <f t="shared" si="80"/>
        <v>4</v>
      </c>
      <c r="DI77" s="188">
        <f t="shared" si="81"/>
        <v>0</v>
      </c>
      <c r="DJ77" s="191">
        <f t="shared" si="82"/>
        <v>0</v>
      </c>
      <c r="DK77" s="286">
        <f t="shared" si="83"/>
        <v>4</v>
      </c>
      <c r="DL77" s="261">
        <v>73</v>
      </c>
      <c r="DM77" s="244">
        <f>+A77-DL77</f>
        <v>0</v>
      </c>
    </row>
    <row r="78" spans="1:117" x14ac:dyDescent="0.35">
      <c r="A78" s="263">
        <v>74</v>
      </c>
      <c r="B78" s="102" t="s">
        <v>132</v>
      </c>
      <c r="C78" s="102" t="s">
        <v>118</v>
      </c>
      <c r="D78" s="102" t="s">
        <v>119</v>
      </c>
      <c r="E78" s="102" t="s">
        <v>120</v>
      </c>
      <c r="F78" s="102" t="s">
        <v>350</v>
      </c>
      <c r="G78" s="98" t="s">
        <v>344</v>
      </c>
      <c r="H78" s="98" t="s">
        <v>345</v>
      </c>
      <c r="I78" s="98" t="s">
        <v>340</v>
      </c>
      <c r="J78" s="98" t="s">
        <v>340</v>
      </c>
      <c r="K78" s="96" t="s">
        <v>104</v>
      </c>
      <c r="L78" s="96" t="s">
        <v>105</v>
      </c>
      <c r="M78" s="98" t="s">
        <v>106</v>
      </c>
      <c r="N78" s="98" t="s">
        <v>341</v>
      </c>
      <c r="O78" s="98" t="s">
        <v>127</v>
      </c>
      <c r="P78" s="258" t="s">
        <v>351</v>
      </c>
      <c r="Q78" s="98" t="s">
        <v>129</v>
      </c>
      <c r="R78" s="301">
        <v>100</v>
      </c>
      <c r="S78" s="99" t="s">
        <v>158</v>
      </c>
      <c r="T78" s="81">
        <v>0</v>
      </c>
      <c r="U78" s="81">
        <v>0</v>
      </c>
      <c r="V78" s="25" t="e">
        <f t="shared" si="59"/>
        <v>#DIV/0!</v>
      </c>
      <c r="W78" s="81">
        <v>0</v>
      </c>
      <c r="X78" s="81">
        <v>0</v>
      </c>
      <c r="Y78" s="25" t="e">
        <f t="shared" si="1"/>
        <v>#DIV/0!</v>
      </c>
      <c r="Z78" s="81">
        <v>0</v>
      </c>
      <c r="AA78" s="81"/>
      <c r="AB78" s="25" t="e">
        <f t="shared" si="2"/>
        <v>#DIV/0!</v>
      </c>
      <c r="AC78" s="81">
        <v>100</v>
      </c>
      <c r="AD78" s="81"/>
      <c r="AE78" s="25">
        <f t="shared" si="3"/>
        <v>0</v>
      </c>
      <c r="AF78" s="140">
        <f t="shared" si="42"/>
        <v>100</v>
      </c>
      <c r="AG78" s="140">
        <f t="shared" si="43"/>
        <v>0</v>
      </c>
      <c r="AH78" s="138" t="e">
        <f t="shared" si="5"/>
        <v>#DIV/0!</v>
      </c>
      <c r="AI78" s="101">
        <v>46113</v>
      </c>
      <c r="AJ78" s="101">
        <v>46477</v>
      </c>
      <c r="AK78" s="102" t="s">
        <v>112</v>
      </c>
      <c r="AL78" s="102" t="s">
        <v>113</v>
      </c>
      <c r="AM78" s="103" t="s">
        <v>114</v>
      </c>
      <c r="AN78" s="104">
        <v>30000000</v>
      </c>
      <c r="AO78" s="104">
        <v>30000000</v>
      </c>
      <c r="AP78" s="104">
        <v>30000000</v>
      </c>
      <c r="AQ78" s="326">
        <v>0</v>
      </c>
      <c r="AR78" s="102" t="s">
        <v>159</v>
      </c>
      <c r="AS78" s="102" t="s">
        <v>112</v>
      </c>
      <c r="AT78" s="152" t="s">
        <v>2226</v>
      </c>
      <c r="AU78" s="166" t="s">
        <v>2264</v>
      </c>
      <c r="AV78" s="247" t="s">
        <v>2234</v>
      </c>
      <c r="AW78" s="136" t="s">
        <v>2242</v>
      </c>
      <c r="AX78" s="136" t="s">
        <v>2358</v>
      </c>
      <c r="AY78" s="136" t="s">
        <v>2376</v>
      </c>
      <c r="BA78" s="272"/>
      <c r="BB78" s="273"/>
      <c r="BC78" s="209" t="e">
        <f t="shared" si="60"/>
        <v>#DIV/0!</v>
      </c>
      <c r="BD78" s="272"/>
      <c r="BE78" s="273"/>
      <c r="BF78" s="209" t="e">
        <f t="shared" si="61"/>
        <v>#DIV/0!</v>
      </c>
      <c r="BG78" s="272"/>
      <c r="BH78" s="273"/>
      <c r="BI78" s="209" t="e">
        <f t="shared" si="62"/>
        <v>#DIV/0!</v>
      </c>
      <c r="BJ78" s="210">
        <f t="shared" si="63"/>
        <v>0</v>
      </c>
      <c r="BK78" s="211">
        <f t="shared" si="64"/>
        <v>0</v>
      </c>
      <c r="BL78" s="209" t="e">
        <f t="shared" si="65"/>
        <v>#DIV/0!</v>
      </c>
      <c r="BM78" s="272"/>
      <c r="BN78" s="273"/>
      <c r="BO78" s="209" t="e">
        <f t="shared" si="44"/>
        <v>#DIV/0!</v>
      </c>
      <c r="BP78" s="272"/>
      <c r="BQ78" s="273"/>
      <c r="BR78" s="209" t="e">
        <f t="shared" si="45"/>
        <v>#DIV/0!</v>
      </c>
      <c r="BS78" s="272"/>
      <c r="BT78" s="272"/>
      <c r="BU78" s="209" t="e">
        <f t="shared" si="46"/>
        <v>#DIV/0!</v>
      </c>
      <c r="BV78" s="210">
        <f t="shared" si="66"/>
        <v>0</v>
      </c>
      <c r="BW78" s="210">
        <f t="shared" si="67"/>
        <v>0</v>
      </c>
      <c r="BX78" s="209" t="e">
        <f t="shared" si="68"/>
        <v>#DIV/0!</v>
      </c>
      <c r="BY78" s="209">
        <f t="shared" si="69"/>
        <v>0</v>
      </c>
      <c r="BZ78" s="209">
        <f t="shared" si="70"/>
        <v>0</v>
      </c>
      <c r="CA78" s="212"/>
      <c r="CB78" s="245"/>
      <c r="CC78" s="183"/>
      <c r="CD78" s="184"/>
      <c r="CE78" s="185" t="e">
        <f t="shared" si="47"/>
        <v>#DIV/0!</v>
      </c>
      <c r="CF78" s="183"/>
      <c r="CG78" s="184"/>
      <c r="CH78" s="185" t="e">
        <f t="shared" si="48"/>
        <v>#DIV/0!</v>
      </c>
      <c r="CI78" s="189"/>
      <c r="CJ78" s="190"/>
      <c r="CK78" s="185" t="e">
        <f t="shared" si="49"/>
        <v>#DIV/0!</v>
      </c>
      <c r="CL78" s="187">
        <f t="shared" si="50"/>
        <v>0</v>
      </c>
      <c r="CM78" s="186">
        <f t="shared" si="51"/>
        <v>0</v>
      </c>
      <c r="CN78" s="185" t="e">
        <f t="shared" si="52"/>
        <v>#DIV/0!</v>
      </c>
      <c r="CO78" s="245"/>
      <c r="CP78" s="188">
        <f t="shared" si="53"/>
        <v>0</v>
      </c>
      <c r="CQ78" s="188">
        <f t="shared" si="54"/>
        <v>0</v>
      </c>
      <c r="CR78" s="191" t="e">
        <f t="shared" si="55"/>
        <v>#DIV/0!</v>
      </c>
      <c r="CS78" s="279">
        <f t="shared" si="71"/>
        <v>100</v>
      </c>
      <c r="CT78" s="245"/>
      <c r="CU78" s="188">
        <f t="shared" si="72"/>
        <v>30</v>
      </c>
      <c r="CV78" s="277"/>
      <c r="CW78" s="191">
        <f t="shared" si="73"/>
        <v>0</v>
      </c>
      <c r="CX78" s="188">
        <f t="shared" si="74"/>
        <v>30</v>
      </c>
      <c r="CY78" s="277"/>
      <c r="CZ78" s="191">
        <f t="shared" si="75"/>
        <v>0</v>
      </c>
      <c r="DA78" s="188">
        <f t="shared" si="76"/>
        <v>30</v>
      </c>
      <c r="DB78" s="277"/>
      <c r="DC78" s="191">
        <f t="shared" si="77"/>
        <v>0</v>
      </c>
      <c r="DD78" s="188">
        <f t="shared" si="78"/>
        <v>10</v>
      </c>
      <c r="DE78" s="277"/>
      <c r="DF78" s="191">
        <f t="shared" si="79"/>
        <v>0</v>
      </c>
      <c r="DG78" s="245"/>
      <c r="DH78" s="188">
        <f t="shared" si="80"/>
        <v>100</v>
      </c>
      <c r="DI78" s="188">
        <f t="shared" si="81"/>
        <v>0</v>
      </c>
      <c r="DJ78" s="191">
        <f t="shared" si="82"/>
        <v>0</v>
      </c>
      <c r="DK78" s="286">
        <f t="shared" si="83"/>
        <v>100</v>
      </c>
      <c r="DL78" s="261">
        <v>74</v>
      </c>
      <c r="DM78" s="244">
        <f>+A78-DL78</f>
        <v>0</v>
      </c>
    </row>
    <row r="79" spans="1:117" x14ac:dyDescent="0.35">
      <c r="A79" s="263">
        <v>75</v>
      </c>
      <c r="B79" s="102" t="s">
        <v>132</v>
      </c>
      <c r="C79" s="102" t="s">
        <v>118</v>
      </c>
      <c r="D79" s="102" t="s">
        <v>119</v>
      </c>
      <c r="E79" s="102" t="s">
        <v>120</v>
      </c>
      <c r="F79" s="102" t="s">
        <v>350</v>
      </c>
      <c r="G79" s="98" t="s">
        <v>344</v>
      </c>
      <c r="H79" s="98" t="s">
        <v>345</v>
      </c>
      <c r="I79" s="98" t="s">
        <v>340</v>
      </c>
      <c r="J79" s="98" t="s">
        <v>340</v>
      </c>
      <c r="K79" s="96" t="s">
        <v>104</v>
      </c>
      <c r="L79" s="96" t="s">
        <v>105</v>
      </c>
      <c r="M79" s="98" t="s">
        <v>106</v>
      </c>
      <c r="N79" s="98" t="s">
        <v>341</v>
      </c>
      <c r="O79" s="98" t="s">
        <v>127</v>
      </c>
      <c r="P79" s="258" t="s">
        <v>352</v>
      </c>
      <c r="Q79" s="98" t="s">
        <v>129</v>
      </c>
      <c r="R79" s="301">
        <v>2</v>
      </c>
      <c r="S79" s="99" t="s">
        <v>111</v>
      </c>
      <c r="T79" s="81">
        <v>0</v>
      </c>
      <c r="U79" s="81">
        <v>0</v>
      </c>
      <c r="V79" s="25" t="e">
        <f t="shared" si="59"/>
        <v>#DIV/0!</v>
      </c>
      <c r="W79" s="81">
        <v>0</v>
      </c>
      <c r="X79" s="81">
        <v>1</v>
      </c>
      <c r="Y79" s="25" t="e">
        <f t="shared" si="1"/>
        <v>#DIV/0!</v>
      </c>
      <c r="Z79" s="81">
        <v>0</v>
      </c>
      <c r="AA79" s="81"/>
      <c r="AB79" s="25" t="e">
        <f t="shared" si="2"/>
        <v>#DIV/0!</v>
      </c>
      <c r="AC79" s="81">
        <v>2</v>
      </c>
      <c r="AD79" s="81"/>
      <c r="AE79" s="25">
        <f t="shared" si="3"/>
        <v>0</v>
      </c>
      <c r="AF79" s="140">
        <f t="shared" si="42"/>
        <v>2</v>
      </c>
      <c r="AG79" s="140">
        <f t="shared" si="43"/>
        <v>1</v>
      </c>
      <c r="AH79" s="138" t="e">
        <f t="shared" si="5"/>
        <v>#DIV/0!</v>
      </c>
      <c r="AI79" s="101">
        <v>46113</v>
      </c>
      <c r="AJ79" s="101">
        <v>46477</v>
      </c>
      <c r="AK79" s="102" t="s">
        <v>112</v>
      </c>
      <c r="AL79" s="102" t="s">
        <v>113</v>
      </c>
      <c r="AM79" s="103" t="s">
        <v>114</v>
      </c>
      <c r="AN79" s="104">
        <v>40000000</v>
      </c>
      <c r="AO79" s="104">
        <v>40000000</v>
      </c>
      <c r="AP79" s="104">
        <v>40000000</v>
      </c>
      <c r="AQ79" s="326">
        <v>0</v>
      </c>
      <c r="AR79" s="322"/>
      <c r="AS79" s="102" t="s">
        <v>112</v>
      </c>
      <c r="AT79" s="152" t="s">
        <v>2226</v>
      </c>
      <c r="AU79" s="166" t="s">
        <v>2264</v>
      </c>
      <c r="AV79" s="247" t="s">
        <v>2234</v>
      </c>
      <c r="AW79" s="136" t="s">
        <v>2242</v>
      </c>
      <c r="AX79" s="136" t="s">
        <v>2358</v>
      </c>
      <c r="AY79" s="136" t="s">
        <v>2376</v>
      </c>
      <c r="BA79" s="272"/>
      <c r="BB79" s="273"/>
      <c r="BC79" s="209" t="e">
        <f t="shared" si="60"/>
        <v>#DIV/0!</v>
      </c>
      <c r="BD79" s="272"/>
      <c r="BE79" s="273"/>
      <c r="BF79" s="209" t="e">
        <f t="shared" si="61"/>
        <v>#DIV/0!</v>
      </c>
      <c r="BG79" s="272"/>
      <c r="BH79" s="273"/>
      <c r="BI79" s="209" t="e">
        <f t="shared" si="62"/>
        <v>#DIV/0!</v>
      </c>
      <c r="BJ79" s="210">
        <f t="shared" si="63"/>
        <v>0</v>
      </c>
      <c r="BK79" s="211">
        <f t="shared" si="64"/>
        <v>0</v>
      </c>
      <c r="BL79" s="209" t="e">
        <f t="shared" si="65"/>
        <v>#DIV/0!</v>
      </c>
      <c r="BM79" s="272"/>
      <c r="BN79" s="273"/>
      <c r="BO79" s="209" t="e">
        <f t="shared" si="44"/>
        <v>#DIV/0!</v>
      </c>
      <c r="BP79" s="272"/>
      <c r="BQ79" s="273"/>
      <c r="BR79" s="209" t="e">
        <f t="shared" si="45"/>
        <v>#DIV/0!</v>
      </c>
      <c r="BS79" s="272"/>
      <c r="BT79" s="272"/>
      <c r="BU79" s="209" t="e">
        <f t="shared" si="46"/>
        <v>#DIV/0!</v>
      </c>
      <c r="BV79" s="210">
        <f t="shared" si="66"/>
        <v>0</v>
      </c>
      <c r="BW79" s="210">
        <f t="shared" si="67"/>
        <v>0</v>
      </c>
      <c r="BX79" s="209" t="e">
        <f t="shared" si="68"/>
        <v>#DIV/0!</v>
      </c>
      <c r="BY79" s="209">
        <f t="shared" si="69"/>
        <v>0</v>
      </c>
      <c r="BZ79" s="209">
        <f t="shared" si="70"/>
        <v>0</v>
      </c>
      <c r="CA79" s="212"/>
      <c r="CB79" s="245"/>
      <c r="CC79" s="183"/>
      <c r="CD79" s="184"/>
      <c r="CE79" s="185" t="e">
        <f t="shared" si="47"/>
        <v>#DIV/0!</v>
      </c>
      <c r="CF79" s="183"/>
      <c r="CG79" s="184"/>
      <c r="CH79" s="185" t="e">
        <f t="shared" si="48"/>
        <v>#DIV/0!</v>
      </c>
      <c r="CI79" s="189"/>
      <c r="CJ79" s="190"/>
      <c r="CK79" s="185" t="e">
        <f t="shared" si="49"/>
        <v>#DIV/0!</v>
      </c>
      <c r="CL79" s="187">
        <f t="shared" si="50"/>
        <v>0</v>
      </c>
      <c r="CM79" s="186">
        <f t="shared" si="51"/>
        <v>0</v>
      </c>
      <c r="CN79" s="185" t="e">
        <f t="shared" si="52"/>
        <v>#DIV/0!</v>
      </c>
      <c r="CO79" s="245"/>
      <c r="CP79" s="188">
        <f t="shared" si="53"/>
        <v>0</v>
      </c>
      <c r="CQ79" s="188">
        <f t="shared" si="54"/>
        <v>0</v>
      </c>
      <c r="CR79" s="191" t="e">
        <f t="shared" si="55"/>
        <v>#DIV/0!</v>
      </c>
      <c r="CS79" s="279">
        <f t="shared" si="71"/>
        <v>2</v>
      </c>
      <c r="CT79" s="245"/>
      <c r="CU79" s="188">
        <f t="shared" si="72"/>
        <v>0.6</v>
      </c>
      <c r="CV79" s="277"/>
      <c r="CW79" s="191">
        <f t="shared" si="73"/>
        <v>0</v>
      </c>
      <c r="CX79" s="188">
        <f t="shared" si="74"/>
        <v>0.6</v>
      </c>
      <c r="CY79" s="277"/>
      <c r="CZ79" s="191">
        <f t="shared" si="75"/>
        <v>0</v>
      </c>
      <c r="DA79" s="188">
        <f t="shared" si="76"/>
        <v>0.6</v>
      </c>
      <c r="DB79" s="277"/>
      <c r="DC79" s="191">
        <f t="shared" si="77"/>
        <v>0</v>
      </c>
      <c r="DD79" s="188">
        <f t="shared" si="78"/>
        <v>0.2</v>
      </c>
      <c r="DE79" s="277"/>
      <c r="DF79" s="191">
        <f t="shared" si="79"/>
        <v>0</v>
      </c>
      <c r="DG79" s="245"/>
      <c r="DH79" s="188">
        <f t="shared" si="80"/>
        <v>2</v>
      </c>
      <c r="DI79" s="188">
        <f t="shared" si="81"/>
        <v>0</v>
      </c>
      <c r="DJ79" s="191">
        <f t="shared" si="82"/>
        <v>0</v>
      </c>
      <c r="DK79" s="286">
        <f t="shared" si="83"/>
        <v>2</v>
      </c>
      <c r="DL79" s="261">
        <v>75</v>
      </c>
      <c r="DM79" s="244">
        <f>+A79-DL79</f>
        <v>0</v>
      </c>
    </row>
    <row r="80" spans="1:117" x14ac:dyDescent="0.35">
      <c r="A80" s="263">
        <v>76</v>
      </c>
      <c r="B80" s="102" t="s">
        <v>132</v>
      </c>
      <c r="C80" s="102" t="s">
        <v>133</v>
      </c>
      <c r="D80" s="102" t="s">
        <v>119</v>
      </c>
      <c r="E80" s="102" t="s">
        <v>212</v>
      </c>
      <c r="F80" s="102" t="s">
        <v>354</v>
      </c>
      <c r="G80" s="98" t="s">
        <v>355</v>
      </c>
      <c r="H80" s="98" t="s">
        <v>356</v>
      </c>
      <c r="I80" s="98" t="s">
        <v>340</v>
      </c>
      <c r="J80" s="98" t="s">
        <v>340</v>
      </c>
      <c r="K80" s="96" t="s">
        <v>104</v>
      </c>
      <c r="L80" s="96" t="s">
        <v>105</v>
      </c>
      <c r="M80" s="98" t="s">
        <v>106</v>
      </c>
      <c r="N80" s="98" t="s">
        <v>341</v>
      </c>
      <c r="O80" s="98" t="s">
        <v>127</v>
      </c>
      <c r="P80" s="98" t="s">
        <v>357</v>
      </c>
      <c r="Q80" s="98" t="s">
        <v>129</v>
      </c>
      <c r="R80" s="301">
        <v>1</v>
      </c>
      <c r="S80" s="99" t="s">
        <v>111</v>
      </c>
      <c r="T80" s="81">
        <v>0</v>
      </c>
      <c r="U80" s="81">
        <v>0</v>
      </c>
      <c r="V80" s="25" t="e">
        <f t="shared" si="59"/>
        <v>#DIV/0!</v>
      </c>
      <c r="W80" s="81">
        <v>1</v>
      </c>
      <c r="X80" s="81">
        <v>0.5</v>
      </c>
      <c r="Y80" s="25">
        <f t="shared" si="1"/>
        <v>50</v>
      </c>
      <c r="Z80" s="81">
        <v>0</v>
      </c>
      <c r="AA80" s="81"/>
      <c r="AB80" s="25" t="e">
        <f t="shared" si="2"/>
        <v>#DIV/0!</v>
      </c>
      <c r="AC80" s="81">
        <v>0</v>
      </c>
      <c r="AD80" s="81"/>
      <c r="AE80" s="25" t="e">
        <f t="shared" si="3"/>
        <v>#DIV/0!</v>
      </c>
      <c r="AF80" s="140">
        <f t="shared" si="42"/>
        <v>1</v>
      </c>
      <c r="AG80" s="140">
        <f t="shared" si="43"/>
        <v>0.5</v>
      </c>
      <c r="AH80" s="138">
        <f t="shared" si="5"/>
        <v>50</v>
      </c>
      <c r="AI80" s="101">
        <v>46054</v>
      </c>
      <c r="AJ80" s="101">
        <v>46477</v>
      </c>
      <c r="AK80" s="102" t="s">
        <v>112</v>
      </c>
      <c r="AL80" s="102" t="s">
        <v>113</v>
      </c>
      <c r="AM80" s="103" t="s">
        <v>114</v>
      </c>
      <c r="AN80" s="104">
        <v>50000000</v>
      </c>
      <c r="AO80" s="104">
        <v>50000000</v>
      </c>
      <c r="AP80" s="104">
        <v>50000000</v>
      </c>
      <c r="AQ80" s="105">
        <f>AO80</f>
        <v>50000000</v>
      </c>
      <c r="AR80" s="102" t="s">
        <v>159</v>
      </c>
      <c r="AS80" s="102" t="s">
        <v>112</v>
      </c>
      <c r="AT80" s="152" t="s">
        <v>2226</v>
      </c>
      <c r="AU80" s="166" t="s">
        <v>2264</v>
      </c>
      <c r="AV80" s="247" t="s">
        <v>2234</v>
      </c>
      <c r="AW80" s="136" t="s">
        <v>2242</v>
      </c>
      <c r="AX80" s="136" t="s">
        <v>2358</v>
      </c>
      <c r="AY80" s="136" t="s">
        <v>2376</v>
      </c>
      <c r="BA80" s="272"/>
      <c r="BB80" s="273"/>
      <c r="BC80" s="209" t="e">
        <f t="shared" si="60"/>
        <v>#DIV/0!</v>
      </c>
      <c r="BD80" s="272"/>
      <c r="BE80" s="273"/>
      <c r="BF80" s="209" t="e">
        <f t="shared" si="61"/>
        <v>#DIV/0!</v>
      </c>
      <c r="BG80" s="272"/>
      <c r="BH80" s="273"/>
      <c r="BI80" s="209" t="e">
        <f t="shared" si="62"/>
        <v>#DIV/0!</v>
      </c>
      <c r="BJ80" s="210">
        <f t="shared" si="63"/>
        <v>0</v>
      </c>
      <c r="BK80" s="211">
        <f t="shared" si="64"/>
        <v>0</v>
      </c>
      <c r="BL80" s="209" t="e">
        <f t="shared" si="65"/>
        <v>#DIV/0!</v>
      </c>
      <c r="BM80" s="272"/>
      <c r="BN80" s="273"/>
      <c r="BO80" s="209" t="e">
        <f t="shared" si="44"/>
        <v>#DIV/0!</v>
      </c>
      <c r="BP80" s="272"/>
      <c r="BQ80" s="273"/>
      <c r="BR80" s="209" t="e">
        <f t="shared" si="45"/>
        <v>#DIV/0!</v>
      </c>
      <c r="BS80" s="272"/>
      <c r="BT80" s="272"/>
      <c r="BU80" s="209" t="e">
        <f t="shared" si="46"/>
        <v>#DIV/0!</v>
      </c>
      <c r="BV80" s="210">
        <f t="shared" si="66"/>
        <v>0</v>
      </c>
      <c r="BW80" s="210">
        <f t="shared" si="67"/>
        <v>0</v>
      </c>
      <c r="BX80" s="209" t="e">
        <f t="shared" si="68"/>
        <v>#DIV/0!</v>
      </c>
      <c r="BY80" s="209">
        <f t="shared" si="69"/>
        <v>0</v>
      </c>
      <c r="BZ80" s="209">
        <f t="shared" si="70"/>
        <v>0</v>
      </c>
      <c r="CA80" s="212"/>
      <c r="CB80" s="245"/>
      <c r="CC80" s="183"/>
      <c r="CD80" s="184"/>
      <c r="CE80" s="185" t="e">
        <f t="shared" si="47"/>
        <v>#DIV/0!</v>
      </c>
      <c r="CF80" s="183"/>
      <c r="CG80" s="184"/>
      <c r="CH80" s="185" t="e">
        <f t="shared" si="48"/>
        <v>#DIV/0!</v>
      </c>
      <c r="CI80" s="189"/>
      <c r="CJ80" s="190"/>
      <c r="CK80" s="185" t="e">
        <f t="shared" si="49"/>
        <v>#DIV/0!</v>
      </c>
      <c r="CL80" s="187">
        <f t="shared" si="50"/>
        <v>0</v>
      </c>
      <c r="CM80" s="186">
        <f t="shared" si="51"/>
        <v>0</v>
      </c>
      <c r="CN80" s="185" t="e">
        <f t="shared" si="52"/>
        <v>#DIV/0!</v>
      </c>
      <c r="CO80" s="245"/>
      <c r="CP80" s="188">
        <f t="shared" si="53"/>
        <v>0</v>
      </c>
      <c r="CQ80" s="188">
        <f t="shared" si="54"/>
        <v>0</v>
      </c>
      <c r="CR80" s="191" t="e">
        <f t="shared" si="55"/>
        <v>#DIV/0!</v>
      </c>
      <c r="CS80" s="279">
        <f t="shared" si="71"/>
        <v>1</v>
      </c>
      <c r="CT80" s="245"/>
      <c r="CU80" s="188">
        <f t="shared" si="72"/>
        <v>0.3</v>
      </c>
      <c r="CV80" s="277"/>
      <c r="CW80" s="191">
        <f t="shared" si="73"/>
        <v>0</v>
      </c>
      <c r="CX80" s="188">
        <f t="shared" si="74"/>
        <v>0.3</v>
      </c>
      <c r="CY80" s="277"/>
      <c r="CZ80" s="191">
        <f t="shared" si="75"/>
        <v>0</v>
      </c>
      <c r="DA80" s="188">
        <f t="shared" si="76"/>
        <v>0.3</v>
      </c>
      <c r="DB80" s="277"/>
      <c r="DC80" s="191">
        <f t="shared" si="77"/>
        <v>0</v>
      </c>
      <c r="DD80" s="188">
        <f t="shared" si="78"/>
        <v>0.1</v>
      </c>
      <c r="DE80" s="277"/>
      <c r="DF80" s="191">
        <f t="shared" si="79"/>
        <v>0</v>
      </c>
      <c r="DG80" s="245"/>
      <c r="DH80" s="188">
        <f t="shared" si="80"/>
        <v>1</v>
      </c>
      <c r="DI80" s="188">
        <f t="shared" si="81"/>
        <v>0</v>
      </c>
      <c r="DJ80" s="191">
        <f t="shared" si="82"/>
        <v>0</v>
      </c>
      <c r="DK80" s="286">
        <f t="shared" si="83"/>
        <v>1</v>
      </c>
      <c r="DL80" s="261">
        <v>76</v>
      </c>
      <c r="DM80" s="244">
        <f>+A80-DL80</f>
        <v>0</v>
      </c>
    </row>
    <row r="81" spans="1:117" x14ac:dyDescent="0.35">
      <c r="A81" s="263">
        <v>77</v>
      </c>
      <c r="B81" s="102" t="s">
        <v>132</v>
      </c>
      <c r="C81" s="102" t="s">
        <v>133</v>
      </c>
      <c r="D81" s="102" t="s">
        <v>119</v>
      </c>
      <c r="E81" s="102" t="s">
        <v>155</v>
      </c>
      <c r="F81" s="102" t="s">
        <v>343</v>
      </c>
      <c r="G81" s="98" t="s">
        <v>344</v>
      </c>
      <c r="H81" s="98" t="s">
        <v>345</v>
      </c>
      <c r="I81" s="98" t="s">
        <v>340</v>
      </c>
      <c r="J81" s="98" t="s">
        <v>340</v>
      </c>
      <c r="K81" s="96" t="s">
        <v>104</v>
      </c>
      <c r="L81" s="96" t="s">
        <v>105</v>
      </c>
      <c r="M81" s="98" t="s">
        <v>106</v>
      </c>
      <c r="N81" s="98" t="s">
        <v>341</v>
      </c>
      <c r="O81" s="98" t="s">
        <v>127</v>
      </c>
      <c r="P81" s="258" t="s">
        <v>358</v>
      </c>
      <c r="Q81" s="98" t="s">
        <v>129</v>
      </c>
      <c r="R81" s="301">
        <v>1</v>
      </c>
      <c r="S81" s="99" t="s">
        <v>158</v>
      </c>
      <c r="T81" s="81">
        <v>0</v>
      </c>
      <c r="U81" s="81">
        <v>0</v>
      </c>
      <c r="V81" s="25" t="e">
        <f t="shared" si="59"/>
        <v>#DIV/0!</v>
      </c>
      <c r="W81" s="81">
        <v>1</v>
      </c>
      <c r="X81" s="81">
        <v>0.5</v>
      </c>
      <c r="Y81" s="25">
        <f t="shared" si="1"/>
        <v>50</v>
      </c>
      <c r="Z81" s="81">
        <v>0</v>
      </c>
      <c r="AA81" s="81"/>
      <c r="AB81" s="25" t="e">
        <f t="shared" si="2"/>
        <v>#DIV/0!</v>
      </c>
      <c r="AC81" s="81">
        <v>0</v>
      </c>
      <c r="AD81" s="81"/>
      <c r="AE81" s="25" t="e">
        <f t="shared" si="3"/>
        <v>#DIV/0!</v>
      </c>
      <c r="AF81" s="140">
        <f t="shared" si="42"/>
        <v>1</v>
      </c>
      <c r="AG81" s="140">
        <f t="shared" si="43"/>
        <v>0.5</v>
      </c>
      <c r="AH81" s="138">
        <f t="shared" si="5"/>
        <v>50</v>
      </c>
      <c r="AI81" s="101">
        <v>46054</v>
      </c>
      <c r="AJ81" s="101">
        <v>46477</v>
      </c>
      <c r="AK81" s="102" t="s">
        <v>112</v>
      </c>
      <c r="AL81" s="102" t="s">
        <v>113</v>
      </c>
      <c r="AM81" s="103" t="s">
        <v>114</v>
      </c>
      <c r="AN81" s="104">
        <v>10000000</v>
      </c>
      <c r="AO81" s="104">
        <v>10000000</v>
      </c>
      <c r="AP81" s="104">
        <v>10000000</v>
      </c>
      <c r="AQ81" s="105">
        <f>AO81</f>
        <v>10000000</v>
      </c>
      <c r="AR81" s="102" t="s">
        <v>159</v>
      </c>
      <c r="AS81" s="102" t="s">
        <v>112</v>
      </c>
      <c r="AT81" s="152" t="s">
        <v>2226</v>
      </c>
      <c r="AU81" s="166" t="s">
        <v>2264</v>
      </c>
      <c r="AV81" s="247" t="s">
        <v>2234</v>
      </c>
      <c r="AW81" s="136" t="s">
        <v>2242</v>
      </c>
      <c r="AX81" s="136" t="s">
        <v>2358</v>
      </c>
      <c r="AY81" s="136" t="s">
        <v>2376</v>
      </c>
      <c r="BA81" s="272"/>
      <c r="BB81" s="273"/>
      <c r="BC81" s="209" t="e">
        <f t="shared" si="60"/>
        <v>#DIV/0!</v>
      </c>
      <c r="BD81" s="272"/>
      <c r="BE81" s="273"/>
      <c r="BF81" s="209" t="e">
        <f t="shared" si="61"/>
        <v>#DIV/0!</v>
      </c>
      <c r="BG81" s="272"/>
      <c r="BH81" s="273"/>
      <c r="BI81" s="209" t="e">
        <f t="shared" si="62"/>
        <v>#DIV/0!</v>
      </c>
      <c r="BJ81" s="210">
        <f t="shared" si="63"/>
        <v>0</v>
      </c>
      <c r="BK81" s="211">
        <f t="shared" si="64"/>
        <v>0</v>
      </c>
      <c r="BL81" s="209" t="e">
        <f t="shared" si="65"/>
        <v>#DIV/0!</v>
      </c>
      <c r="BM81" s="272"/>
      <c r="BN81" s="273"/>
      <c r="BO81" s="209" t="e">
        <f t="shared" si="44"/>
        <v>#DIV/0!</v>
      </c>
      <c r="BP81" s="272"/>
      <c r="BQ81" s="273"/>
      <c r="BR81" s="209" t="e">
        <f t="shared" si="45"/>
        <v>#DIV/0!</v>
      </c>
      <c r="BS81" s="272"/>
      <c r="BT81" s="272"/>
      <c r="BU81" s="209" t="e">
        <f t="shared" si="46"/>
        <v>#DIV/0!</v>
      </c>
      <c r="BV81" s="210">
        <f t="shared" si="66"/>
        <v>0</v>
      </c>
      <c r="BW81" s="210">
        <f t="shared" si="67"/>
        <v>0</v>
      </c>
      <c r="BX81" s="209" t="e">
        <f t="shared" si="68"/>
        <v>#DIV/0!</v>
      </c>
      <c r="BY81" s="209">
        <f t="shared" si="69"/>
        <v>0</v>
      </c>
      <c r="BZ81" s="209">
        <f t="shared" si="70"/>
        <v>0</v>
      </c>
      <c r="CA81" s="212"/>
      <c r="CB81" s="245"/>
      <c r="CC81" s="183"/>
      <c r="CD81" s="184"/>
      <c r="CE81" s="185" t="e">
        <f t="shared" si="47"/>
        <v>#DIV/0!</v>
      </c>
      <c r="CF81" s="183"/>
      <c r="CG81" s="184"/>
      <c r="CH81" s="185" t="e">
        <f t="shared" si="48"/>
        <v>#DIV/0!</v>
      </c>
      <c r="CI81" s="189"/>
      <c r="CJ81" s="190"/>
      <c r="CK81" s="185" t="e">
        <f t="shared" si="49"/>
        <v>#DIV/0!</v>
      </c>
      <c r="CL81" s="187">
        <f t="shared" si="50"/>
        <v>0</v>
      </c>
      <c r="CM81" s="186">
        <f t="shared" si="51"/>
        <v>0</v>
      </c>
      <c r="CN81" s="185" t="e">
        <f t="shared" si="52"/>
        <v>#DIV/0!</v>
      </c>
      <c r="CO81" s="245"/>
      <c r="CP81" s="188">
        <f t="shared" si="53"/>
        <v>0</v>
      </c>
      <c r="CQ81" s="188">
        <f t="shared" si="54"/>
        <v>0</v>
      </c>
      <c r="CR81" s="191" t="e">
        <f t="shared" si="55"/>
        <v>#DIV/0!</v>
      </c>
      <c r="CS81" s="279">
        <f t="shared" si="71"/>
        <v>1</v>
      </c>
      <c r="CT81" s="245"/>
      <c r="CU81" s="188">
        <f t="shared" si="72"/>
        <v>0.3</v>
      </c>
      <c r="CV81" s="277"/>
      <c r="CW81" s="191">
        <f t="shared" si="73"/>
        <v>0</v>
      </c>
      <c r="CX81" s="188">
        <f t="shared" si="74"/>
        <v>0.3</v>
      </c>
      <c r="CY81" s="277"/>
      <c r="CZ81" s="191">
        <f t="shared" si="75"/>
        <v>0</v>
      </c>
      <c r="DA81" s="188">
        <f t="shared" si="76"/>
        <v>0.3</v>
      </c>
      <c r="DB81" s="277"/>
      <c r="DC81" s="191">
        <f t="shared" si="77"/>
        <v>0</v>
      </c>
      <c r="DD81" s="188">
        <f t="shared" si="78"/>
        <v>0.1</v>
      </c>
      <c r="DE81" s="277"/>
      <c r="DF81" s="191">
        <f t="shared" si="79"/>
        <v>0</v>
      </c>
      <c r="DG81" s="245"/>
      <c r="DH81" s="188">
        <f t="shared" si="80"/>
        <v>1</v>
      </c>
      <c r="DI81" s="188">
        <f t="shared" si="81"/>
        <v>0</v>
      </c>
      <c r="DJ81" s="191">
        <f t="shared" si="82"/>
        <v>0</v>
      </c>
      <c r="DK81" s="286">
        <f t="shared" si="83"/>
        <v>1</v>
      </c>
      <c r="DL81" s="261">
        <v>77</v>
      </c>
      <c r="DM81" s="244">
        <f>+A81-DL81</f>
        <v>0</v>
      </c>
    </row>
    <row r="82" spans="1:117" x14ac:dyDescent="0.35">
      <c r="A82" s="263">
        <v>78</v>
      </c>
      <c r="B82" s="102" t="s">
        <v>132</v>
      </c>
      <c r="C82" s="102" t="s">
        <v>133</v>
      </c>
      <c r="D82" s="102" t="s">
        <v>119</v>
      </c>
      <c r="E82" s="102" t="s">
        <v>212</v>
      </c>
      <c r="F82" s="102" t="s">
        <v>354</v>
      </c>
      <c r="G82" s="98" t="s">
        <v>359</v>
      </c>
      <c r="H82" s="98" t="s">
        <v>345</v>
      </c>
      <c r="I82" s="98" t="s">
        <v>340</v>
      </c>
      <c r="J82" s="98" t="s">
        <v>340</v>
      </c>
      <c r="K82" s="96" t="s">
        <v>104</v>
      </c>
      <c r="L82" s="96" t="s">
        <v>105</v>
      </c>
      <c r="M82" s="98" t="s">
        <v>106</v>
      </c>
      <c r="N82" s="98" t="s">
        <v>341</v>
      </c>
      <c r="O82" s="98" t="s">
        <v>127</v>
      </c>
      <c r="P82" s="98" t="s">
        <v>360</v>
      </c>
      <c r="Q82" s="98" t="s">
        <v>129</v>
      </c>
      <c r="R82" s="301">
        <v>1</v>
      </c>
      <c r="S82" s="99" t="s">
        <v>111</v>
      </c>
      <c r="T82" s="81">
        <v>0</v>
      </c>
      <c r="U82" s="81">
        <v>0</v>
      </c>
      <c r="V82" s="25" t="e">
        <f t="shared" si="59"/>
        <v>#DIV/0!</v>
      </c>
      <c r="W82" s="81">
        <v>0</v>
      </c>
      <c r="X82" s="81">
        <v>0</v>
      </c>
      <c r="Y82" s="25" t="e">
        <f t="shared" si="1"/>
        <v>#DIV/0!</v>
      </c>
      <c r="Z82" s="81">
        <v>0</v>
      </c>
      <c r="AA82" s="81"/>
      <c r="AB82" s="25" t="e">
        <f t="shared" si="2"/>
        <v>#DIV/0!</v>
      </c>
      <c r="AC82" s="81">
        <v>1</v>
      </c>
      <c r="AD82" s="81"/>
      <c r="AE82" s="25">
        <f t="shared" si="3"/>
        <v>0</v>
      </c>
      <c r="AF82" s="140">
        <f t="shared" si="42"/>
        <v>1</v>
      </c>
      <c r="AG82" s="140">
        <f t="shared" si="43"/>
        <v>0</v>
      </c>
      <c r="AH82" s="138" t="e">
        <f t="shared" si="5"/>
        <v>#DIV/0!</v>
      </c>
      <c r="AI82" s="101">
        <v>46113</v>
      </c>
      <c r="AJ82" s="101">
        <v>46477</v>
      </c>
      <c r="AK82" s="102" t="s">
        <v>112</v>
      </c>
      <c r="AL82" s="102" t="s">
        <v>113</v>
      </c>
      <c r="AM82" s="103" t="s">
        <v>114</v>
      </c>
      <c r="AN82" s="324"/>
      <c r="AO82" s="324"/>
      <c r="AP82" s="324"/>
      <c r="AQ82" s="326"/>
      <c r="AR82" s="102" t="s">
        <v>159</v>
      </c>
      <c r="AS82" s="102" t="s">
        <v>112</v>
      </c>
      <c r="AT82" s="152" t="s">
        <v>2226</v>
      </c>
      <c r="AU82" s="166" t="s">
        <v>2264</v>
      </c>
      <c r="AV82" s="247" t="s">
        <v>2234</v>
      </c>
      <c r="AW82" s="136" t="s">
        <v>2242</v>
      </c>
      <c r="AX82" s="136" t="s">
        <v>2358</v>
      </c>
      <c r="AY82" s="136" t="s">
        <v>2376</v>
      </c>
      <c r="BA82" s="272"/>
      <c r="BB82" s="273"/>
      <c r="BC82" s="209" t="e">
        <f t="shared" si="60"/>
        <v>#DIV/0!</v>
      </c>
      <c r="BD82" s="272"/>
      <c r="BE82" s="273"/>
      <c r="BF82" s="209" t="e">
        <f t="shared" si="61"/>
        <v>#DIV/0!</v>
      </c>
      <c r="BG82" s="272"/>
      <c r="BH82" s="273"/>
      <c r="BI82" s="209" t="e">
        <f t="shared" si="62"/>
        <v>#DIV/0!</v>
      </c>
      <c r="BJ82" s="210">
        <f t="shared" si="63"/>
        <v>0</v>
      </c>
      <c r="BK82" s="211">
        <f t="shared" si="64"/>
        <v>0</v>
      </c>
      <c r="BL82" s="209" t="e">
        <f t="shared" si="65"/>
        <v>#DIV/0!</v>
      </c>
      <c r="BM82" s="272"/>
      <c r="BN82" s="273"/>
      <c r="BO82" s="209" t="e">
        <f t="shared" si="44"/>
        <v>#DIV/0!</v>
      </c>
      <c r="BP82" s="272"/>
      <c r="BQ82" s="273"/>
      <c r="BR82" s="209" t="e">
        <f t="shared" si="45"/>
        <v>#DIV/0!</v>
      </c>
      <c r="BS82" s="272"/>
      <c r="BT82" s="272"/>
      <c r="BU82" s="209" t="e">
        <f t="shared" si="46"/>
        <v>#DIV/0!</v>
      </c>
      <c r="BV82" s="210">
        <f t="shared" si="66"/>
        <v>0</v>
      </c>
      <c r="BW82" s="210">
        <f t="shared" si="67"/>
        <v>0</v>
      </c>
      <c r="BX82" s="209" t="e">
        <f t="shared" si="68"/>
        <v>#DIV/0!</v>
      </c>
      <c r="BY82" s="209">
        <f t="shared" si="69"/>
        <v>0</v>
      </c>
      <c r="BZ82" s="209">
        <f t="shared" si="70"/>
        <v>0</v>
      </c>
      <c r="CA82" s="212"/>
      <c r="CB82" s="245"/>
      <c r="CC82" s="183"/>
      <c r="CD82" s="184"/>
      <c r="CE82" s="185" t="e">
        <f t="shared" si="47"/>
        <v>#DIV/0!</v>
      </c>
      <c r="CF82" s="183"/>
      <c r="CG82" s="184"/>
      <c r="CH82" s="185" t="e">
        <f t="shared" si="48"/>
        <v>#DIV/0!</v>
      </c>
      <c r="CI82" s="189"/>
      <c r="CJ82" s="190"/>
      <c r="CK82" s="185" t="e">
        <f t="shared" si="49"/>
        <v>#DIV/0!</v>
      </c>
      <c r="CL82" s="187">
        <f t="shared" si="50"/>
        <v>0</v>
      </c>
      <c r="CM82" s="186">
        <f t="shared" si="51"/>
        <v>0</v>
      </c>
      <c r="CN82" s="185" t="e">
        <f t="shared" si="52"/>
        <v>#DIV/0!</v>
      </c>
      <c r="CO82" s="245"/>
      <c r="CP82" s="188">
        <f t="shared" si="53"/>
        <v>0</v>
      </c>
      <c r="CQ82" s="188">
        <f t="shared" si="54"/>
        <v>0</v>
      </c>
      <c r="CR82" s="191" t="e">
        <f t="shared" si="55"/>
        <v>#DIV/0!</v>
      </c>
      <c r="CS82" s="279">
        <f t="shared" si="71"/>
        <v>1</v>
      </c>
      <c r="CT82" s="245"/>
      <c r="CU82" s="188">
        <f t="shared" si="72"/>
        <v>0.3</v>
      </c>
      <c r="CV82" s="277"/>
      <c r="CW82" s="191">
        <f t="shared" si="73"/>
        <v>0</v>
      </c>
      <c r="CX82" s="188">
        <f t="shared" si="74"/>
        <v>0.3</v>
      </c>
      <c r="CY82" s="277"/>
      <c r="CZ82" s="191">
        <f t="shared" si="75"/>
        <v>0</v>
      </c>
      <c r="DA82" s="188">
        <f t="shared" si="76"/>
        <v>0.3</v>
      </c>
      <c r="DB82" s="277"/>
      <c r="DC82" s="191">
        <f t="shared" si="77"/>
        <v>0</v>
      </c>
      <c r="DD82" s="188">
        <f t="shared" si="78"/>
        <v>0.1</v>
      </c>
      <c r="DE82" s="277"/>
      <c r="DF82" s="191">
        <f t="shared" si="79"/>
        <v>0</v>
      </c>
      <c r="DG82" s="245"/>
      <c r="DH82" s="188">
        <f t="shared" si="80"/>
        <v>1</v>
      </c>
      <c r="DI82" s="188">
        <f t="shared" si="81"/>
        <v>0</v>
      </c>
      <c r="DJ82" s="191">
        <f t="shared" si="82"/>
        <v>0</v>
      </c>
      <c r="DK82" s="286">
        <f t="shared" si="83"/>
        <v>1</v>
      </c>
      <c r="DL82" s="261">
        <v>78</v>
      </c>
      <c r="DM82" s="244">
        <f>+A82-DL82</f>
        <v>0</v>
      </c>
    </row>
    <row r="83" spans="1:117" x14ac:dyDescent="0.35">
      <c r="A83" s="263">
        <v>79</v>
      </c>
      <c r="B83" s="102" t="s">
        <v>132</v>
      </c>
      <c r="C83" s="102" t="s">
        <v>118</v>
      </c>
      <c r="D83" s="102" t="s">
        <v>119</v>
      </c>
      <c r="E83" s="102" t="s">
        <v>155</v>
      </c>
      <c r="F83" s="102" t="s">
        <v>343</v>
      </c>
      <c r="G83" s="98" t="s">
        <v>361</v>
      </c>
      <c r="H83" s="98" t="s">
        <v>362</v>
      </c>
      <c r="I83" s="98" t="s">
        <v>340</v>
      </c>
      <c r="J83" s="98" t="s">
        <v>340</v>
      </c>
      <c r="K83" s="96" t="s">
        <v>104</v>
      </c>
      <c r="L83" s="96" t="s">
        <v>105</v>
      </c>
      <c r="M83" s="98" t="s">
        <v>106</v>
      </c>
      <c r="N83" s="98" t="s">
        <v>341</v>
      </c>
      <c r="O83" s="98" t="s">
        <v>127</v>
      </c>
      <c r="P83" s="98" t="s">
        <v>363</v>
      </c>
      <c r="Q83" s="98" t="s">
        <v>129</v>
      </c>
      <c r="R83" s="301">
        <v>1</v>
      </c>
      <c r="S83" s="99" t="s">
        <v>111</v>
      </c>
      <c r="T83" s="81">
        <v>0</v>
      </c>
      <c r="U83" s="81">
        <v>0</v>
      </c>
      <c r="V83" s="25" t="e">
        <f t="shared" si="59"/>
        <v>#DIV/0!</v>
      </c>
      <c r="W83" s="81">
        <v>0</v>
      </c>
      <c r="X83" s="81">
        <v>1</v>
      </c>
      <c r="Y83" s="25" t="e">
        <f t="shared" si="1"/>
        <v>#DIV/0!</v>
      </c>
      <c r="Z83" s="81">
        <v>0</v>
      </c>
      <c r="AA83" s="81"/>
      <c r="AB83" s="25" t="e">
        <f t="shared" si="2"/>
        <v>#DIV/0!</v>
      </c>
      <c r="AC83" s="81">
        <v>1</v>
      </c>
      <c r="AD83" s="81"/>
      <c r="AE83" s="25">
        <f t="shared" si="3"/>
        <v>0</v>
      </c>
      <c r="AF83" s="140">
        <f t="shared" si="42"/>
        <v>1</v>
      </c>
      <c r="AG83" s="140">
        <f t="shared" si="43"/>
        <v>1</v>
      </c>
      <c r="AH83" s="138" t="e">
        <f t="shared" si="5"/>
        <v>#DIV/0!</v>
      </c>
      <c r="AI83" s="101">
        <v>46113</v>
      </c>
      <c r="AJ83" s="101">
        <v>46477</v>
      </c>
      <c r="AK83" s="102" t="s">
        <v>112</v>
      </c>
      <c r="AL83" s="102" t="s">
        <v>113</v>
      </c>
      <c r="AM83" s="103" t="s">
        <v>114</v>
      </c>
      <c r="AN83" s="324"/>
      <c r="AO83" s="324"/>
      <c r="AP83" s="324"/>
      <c r="AQ83" s="326"/>
      <c r="AR83" s="102" t="s">
        <v>159</v>
      </c>
      <c r="AS83" s="102" t="s">
        <v>112</v>
      </c>
      <c r="AT83" s="152" t="s">
        <v>2226</v>
      </c>
      <c r="AU83" s="166" t="s">
        <v>2264</v>
      </c>
      <c r="AV83" s="247" t="s">
        <v>2234</v>
      </c>
      <c r="AW83" s="136" t="s">
        <v>2242</v>
      </c>
      <c r="AX83" s="136" t="s">
        <v>2358</v>
      </c>
      <c r="AY83" s="136" t="s">
        <v>2376</v>
      </c>
      <c r="BA83" s="272"/>
      <c r="BB83" s="273"/>
      <c r="BC83" s="209" t="e">
        <f t="shared" si="60"/>
        <v>#DIV/0!</v>
      </c>
      <c r="BD83" s="272"/>
      <c r="BE83" s="273"/>
      <c r="BF83" s="209" t="e">
        <f t="shared" si="61"/>
        <v>#DIV/0!</v>
      </c>
      <c r="BG83" s="272"/>
      <c r="BH83" s="273"/>
      <c r="BI83" s="209" t="e">
        <f t="shared" si="62"/>
        <v>#DIV/0!</v>
      </c>
      <c r="BJ83" s="210">
        <f t="shared" si="63"/>
        <v>0</v>
      </c>
      <c r="BK83" s="211">
        <f t="shared" si="64"/>
        <v>0</v>
      </c>
      <c r="BL83" s="209" t="e">
        <f t="shared" si="65"/>
        <v>#DIV/0!</v>
      </c>
      <c r="BM83" s="272"/>
      <c r="BN83" s="273"/>
      <c r="BO83" s="209" t="e">
        <f t="shared" si="44"/>
        <v>#DIV/0!</v>
      </c>
      <c r="BP83" s="272"/>
      <c r="BQ83" s="273"/>
      <c r="BR83" s="209" t="e">
        <f t="shared" si="45"/>
        <v>#DIV/0!</v>
      </c>
      <c r="BS83" s="272"/>
      <c r="BT83" s="272"/>
      <c r="BU83" s="209" t="e">
        <f t="shared" si="46"/>
        <v>#DIV/0!</v>
      </c>
      <c r="BV83" s="210">
        <f t="shared" si="66"/>
        <v>0</v>
      </c>
      <c r="BW83" s="210">
        <f t="shared" si="67"/>
        <v>0</v>
      </c>
      <c r="BX83" s="209" t="e">
        <f t="shared" si="68"/>
        <v>#DIV/0!</v>
      </c>
      <c r="BY83" s="209">
        <f t="shared" si="69"/>
        <v>0</v>
      </c>
      <c r="BZ83" s="209">
        <f t="shared" si="70"/>
        <v>0</v>
      </c>
      <c r="CA83" s="212"/>
      <c r="CB83" s="245"/>
      <c r="CC83" s="183"/>
      <c r="CD83" s="184"/>
      <c r="CE83" s="185" t="e">
        <f t="shared" si="47"/>
        <v>#DIV/0!</v>
      </c>
      <c r="CF83" s="183"/>
      <c r="CG83" s="184"/>
      <c r="CH83" s="185" t="e">
        <f t="shared" si="48"/>
        <v>#DIV/0!</v>
      </c>
      <c r="CI83" s="189"/>
      <c r="CJ83" s="190"/>
      <c r="CK83" s="185" t="e">
        <f t="shared" si="49"/>
        <v>#DIV/0!</v>
      </c>
      <c r="CL83" s="187">
        <f t="shared" si="50"/>
        <v>0</v>
      </c>
      <c r="CM83" s="186">
        <f t="shared" si="51"/>
        <v>0</v>
      </c>
      <c r="CN83" s="185" t="e">
        <f t="shared" si="52"/>
        <v>#DIV/0!</v>
      </c>
      <c r="CO83" s="245"/>
      <c r="CP83" s="188">
        <f t="shared" si="53"/>
        <v>0</v>
      </c>
      <c r="CQ83" s="188">
        <f t="shared" si="54"/>
        <v>0</v>
      </c>
      <c r="CR83" s="191" t="e">
        <f t="shared" si="55"/>
        <v>#DIV/0!</v>
      </c>
      <c r="CS83" s="279">
        <f t="shared" si="71"/>
        <v>1</v>
      </c>
      <c r="CT83" s="245"/>
      <c r="CU83" s="188">
        <f t="shared" si="72"/>
        <v>0.3</v>
      </c>
      <c r="CV83" s="277"/>
      <c r="CW83" s="191">
        <f t="shared" si="73"/>
        <v>0</v>
      </c>
      <c r="CX83" s="188">
        <f t="shared" si="74"/>
        <v>0.3</v>
      </c>
      <c r="CY83" s="277"/>
      <c r="CZ83" s="191">
        <f t="shared" si="75"/>
        <v>0</v>
      </c>
      <c r="DA83" s="188">
        <f t="shared" si="76"/>
        <v>0.3</v>
      </c>
      <c r="DB83" s="277"/>
      <c r="DC83" s="191">
        <f t="shared" si="77"/>
        <v>0</v>
      </c>
      <c r="DD83" s="188">
        <f t="shared" si="78"/>
        <v>0.1</v>
      </c>
      <c r="DE83" s="277"/>
      <c r="DF83" s="191">
        <f t="shared" si="79"/>
        <v>0</v>
      </c>
      <c r="DG83" s="245"/>
      <c r="DH83" s="188">
        <f t="shared" si="80"/>
        <v>1</v>
      </c>
      <c r="DI83" s="188">
        <f t="shared" si="81"/>
        <v>0</v>
      </c>
      <c r="DJ83" s="191">
        <f t="shared" si="82"/>
        <v>0</v>
      </c>
      <c r="DK83" s="286">
        <f t="shared" si="83"/>
        <v>1</v>
      </c>
      <c r="DL83" s="261">
        <v>79</v>
      </c>
      <c r="DM83" s="244">
        <f>+A83-DL83</f>
        <v>0</v>
      </c>
    </row>
    <row r="84" spans="1:117" x14ac:dyDescent="0.35">
      <c r="A84" s="263">
        <v>80</v>
      </c>
      <c r="B84" s="102" t="s">
        <v>132</v>
      </c>
      <c r="C84" s="102" t="s">
        <v>97</v>
      </c>
      <c r="D84" s="102" t="s">
        <v>98</v>
      </c>
      <c r="E84" s="102" t="s">
        <v>99</v>
      </c>
      <c r="F84" s="102" t="s">
        <v>343</v>
      </c>
      <c r="G84" s="98" t="s">
        <v>364</v>
      </c>
      <c r="H84" s="98" t="s">
        <v>365</v>
      </c>
      <c r="I84" s="98" t="s">
        <v>340</v>
      </c>
      <c r="J84" s="98" t="s">
        <v>340</v>
      </c>
      <c r="K84" s="96" t="s">
        <v>104</v>
      </c>
      <c r="L84" s="96" t="s">
        <v>105</v>
      </c>
      <c r="M84" s="98" t="s">
        <v>106</v>
      </c>
      <c r="N84" s="98" t="s">
        <v>341</v>
      </c>
      <c r="O84" s="98" t="s">
        <v>108</v>
      </c>
      <c r="P84" s="98" t="s">
        <v>366</v>
      </c>
      <c r="Q84" s="98" t="s">
        <v>110</v>
      </c>
      <c r="R84" s="301">
        <v>100</v>
      </c>
      <c r="S84" s="99" t="s">
        <v>158</v>
      </c>
      <c r="T84" s="81">
        <v>25</v>
      </c>
      <c r="U84" s="81">
        <v>0</v>
      </c>
      <c r="V84" s="25">
        <f t="shared" si="59"/>
        <v>0</v>
      </c>
      <c r="W84" s="81">
        <v>25</v>
      </c>
      <c r="X84" s="81">
        <v>0</v>
      </c>
      <c r="Y84" s="25">
        <f t="shared" si="1"/>
        <v>0</v>
      </c>
      <c r="Z84" s="81">
        <v>25</v>
      </c>
      <c r="AA84" s="81"/>
      <c r="AB84" s="25">
        <f t="shared" si="2"/>
        <v>0</v>
      </c>
      <c r="AC84" s="81">
        <v>25</v>
      </c>
      <c r="AD84" s="81"/>
      <c r="AE84" s="25">
        <f t="shared" si="3"/>
        <v>0</v>
      </c>
      <c r="AF84" s="140">
        <f t="shared" si="42"/>
        <v>100</v>
      </c>
      <c r="AG84" s="140">
        <f t="shared" si="43"/>
        <v>0</v>
      </c>
      <c r="AH84" s="138">
        <f t="shared" si="5"/>
        <v>0</v>
      </c>
      <c r="AI84" s="101">
        <v>46113</v>
      </c>
      <c r="AJ84" s="101">
        <v>46477</v>
      </c>
      <c r="AK84" s="102" t="s">
        <v>112</v>
      </c>
      <c r="AL84" s="102" t="s">
        <v>113</v>
      </c>
      <c r="AM84" s="103" t="s">
        <v>114</v>
      </c>
      <c r="AN84" s="324"/>
      <c r="AO84" s="324"/>
      <c r="AP84" s="324"/>
      <c r="AQ84" s="326"/>
      <c r="AR84" s="102" t="s">
        <v>159</v>
      </c>
      <c r="AS84" s="102" t="s">
        <v>112</v>
      </c>
      <c r="AT84" s="152" t="s">
        <v>2226</v>
      </c>
      <c r="AU84" s="166" t="s">
        <v>2264</v>
      </c>
      <c r="AV84" s="247" t="s">
        <v>2234</v>
      </c>
      <c r="AW84" s="136" t="s">
        <v>2242</v>
      </c>
      <c r="AX84" s="136" t="s">
        <v>2358</v>
      </c>
      <c r="AY84" s="136" t="s">
        <v>2376</v>
      </c>
      <c r="BA84" s="272"/>
      <c r="BB84" s="273"/>
      <c r="BC84" s="209" t="e">
        <f t="shared" si="60"/>
        <v>#DIV/0!</v>
      </c>
      <c r="BD84" s="272"/>
      <c r="BE84" s="273"/>
      <c r="BF84" s="209" t="e">
        <f t="shared" si="61"/>
        <v>#DIV/0!</v>
      </c>
      <c r="BG84" s="272"/>
      <c r="BH84" s="273"/>
      <c r="BI84" s="209" t="e">
        <f t="shared" si="62"/>
        <v>#DIV/0!</v>
      </c>
      <c r="BJ84" s="210">
        <f t="shared" si="63"/>
        <v>0</v>
      </c>
      <c r="BK84" s="211">
        <f t="shared" si="64"/>
        <v>0</v>
      </c>
      <c r="BL84" s="209" t="e">
        <f t="shared" si="65"/>
        <v>#DIV/0!</v>
      </c>
      <c r="BM84" s="272"/>
      <c r="BN84" s="273"/>
      <c r="BO84" s="209" t="e">
        <f t="shared" si="44"/>
        <v>#DIV/0!</v>
      </c>
      <c r="BP84" s="272"/>
      <c r="BQ84" s="273"/>
      <c r="BR84" s="209" t="e">
        <f t="shared" si="45"/>
        <v>#DIV/0!</v>
      </c>
      <c r="BS84" s="272"/>
      <c r="BT84" s="272"/>
      <c r="BU84" s="209" t="e">
        <f t="shared" si="46"/>
        <v>#DIV/0!</v>
      </c>
      <c r="BV84" s="210">
        <f t="shared" si="66"/>
        <v>0</v>
      </c>
      <c r="BW84" s="210">
        <f t="shared" si="67"/>
        <v>0</v>
      </c>
      <c r="BX84" s="209" t="e">
        <f t="shared" si="68"/>
        <v>#DIV/0!</v>
      </c>
      <c r="BY84" s="209">
        <f t="shared" si="69"/>
        <v>0</v>
      </c>
      <c r="BZ84" s="209">
        <f t="shared" si="70"/>
        <v>0</v>
      </c>
      <c r="CA84" s="212"/>
      <c r="CB84" s="245"/>
      <c r="CC84" s="183"/>
      <c r="CD84" s="184"/>
      <c r="CE84" s="185" t="e">
        <f t="shared" si="47"/>
        <v>#DIV/0!</v>
      </c>
      <c r="CF84" s="183"/>
      <c r="CG84" s="184"/>
      <c r="CH84" s="185" t="e">
        <f t="shared" si="48"/>
        <v>#DIV/0!</v>
      </c>
      <c r="CI84" s="189"/>
      <c r="CJ84" s="190"/>
      <c r="CK84" s="185" t="e">
        <f t="shared" si="49"/>
        <v>#DIV/0!</v>
      </c>
      <c r="CL84" s="187">
        <f t="shared" si="50"/>
        <v>0</v>
      </c>
      <c r="CM84" s="186">
        <f t="shared" si="51"/>
        <v>0</v>
      </c>
      <c r="CN84" s="185" t="e">
        <f t="shared" si="52"/>
        <v>#DIV/0!</v>
      </c>
      <c r="CO84" s="245"/>
      <c r="CP84" s="188">
        <f t="shared" si="53"/>
        <v>0</v>
      </c>
      <c r="CQ84" s="188">
        <f t="shared" si="54"/>
        <v>0</v>
      </c>
      <c r="CR84" s="191" t="e">
        <f t="shared" si="55"/>
        <v>#DIV/0!</v>
      </c>
      <c r="CS84" s="279">
        <f t="shared" si="71"/>
        <v>100</v>
      </c>
      <c r="CT84" s="245"/>
      <c r="CU84" s="188">
        <f t="shared" si="72"/>
        <v>30</v>
      </c>
      <c r="CV84" s="277"/>
      <c r="CW84" s="191">
        <f t="shared" si="73"/>
        <v>0</v>
      </c>
      <c r="CX84" s="188">
        <f t="shared" si="74"/>
        <v>30</v>
      </c>
      <c r="CY84" s="277"/>
      <c r="CZ84" s="191">
        <f t="shared" si="75"/>
        <v>0</v>
      </c>
      <c r="DA84" s="188">
        <f t="shared" si="76"/>
        <v>30</v>
      </c>
      <c r="DB84" s="277"/>
      <c r="DC84" s="191">
        <f t="shared" si="77"/>
        <v>0</v>
      </c>
      <c r="DD84" s="188">
        <f t="shared" si="78"/>
        <v>10</v>
      </c>
      <c r="DE84" s="277"/>
      <c r="DF84" s="191">
        <f t="shared" si="79"/>
        <v>0</v>
      </c>
      <c r="DG84" s="245"/>
      <c r="DH84" s="188">
        <f t="shared" si="80"/>
        <v>100</v>
      </c>
      <c r="DI84" s="188">
        <f t="shared" si="81"/>
        <v>0</v>
      </c>
      <c r="DJ84" s="191">
        <f t="shared" si="82"/>
        <v>0</v>
      </c>
      <c r="DK84" s="286">
        <f t="shared" si="83"/>
        <v>100</v>
      </c>
      <c r="DL84" s="261">
        <v>80</v>
      </c>
      <c r="DM84" s="244">
        <f>+A84-DL84</f>
        <v>0</v>
      </c>
    </row>
    <row r="85" spans="1:117" x14ac:dyDescent="0.35">
      <c r="A85" s="263">
        <v>81</v>
      </c>
      <c r="B85" s="102" t="s">
        <v>132</v>
      </c>
      <c r="C85" s="102" t="s">
        <v>97</v>
      </c>
      <c r="D85" s="102" t="s">
        <v>98</v>
      </c>
      <c r="E85" s="102" t="s">
        <v>99</v>
      </c>
      <c r="F85" s="102" t="s">
        <v>343</v>
      </c>
      <c r="G85" s="98" t="s">
        <v>364</v>
      </c>
      <c r="H85" s="98" t="s">
        <v>365</v>
      </c>
      <c r="I85" s="98" t="s">
        <v>340</v>
      </c>
      <c r="J85" s="98" t="s">
        <v>340</v>
      </c>
      <c r="K85" s="96" t="s">
        <v>104</v>
      </c>
      <c r="L85" s="96" t="s">
        <v>105</v>
      </c>
      <c r="M85" s="98" t="s">
        <v>106</v>
      </c>
      <c r="N85" s="98" t="s">
        <v>341</v>
      </c>
      <c r="O85" s="98" t="s">
        <v>108</v>
      </c>
      <c r="P85" s="98" t="s">
        <v>367</v>
      </c>
      <c r="Q85" s="98" t="s">
        <v>110</v>
      </c>
      <c r="R85" s="301">
        <v>29</v>
      </c>
      <c r="S85" s="99" t="s">
        <v>111</v>
      </c>
      <c r="T85" s="81">
        <v>6</v>
      </c>
      <c r="U85" s="81">
        <v>0</v>
      </c>
      <c r="V85" s="25">
        <f t="shared" si="59"/>
        <v>0</v>
      </c>
      <c r="W85" s="81">
        <v>8</v>
      </c>
      <c r="X85" s="81">
        <v>12</v>
      </c>
      <c r="Y85" s="25">
        <f t="shared" si="1"/>
        <v>150</v>
      </c>
      <c r="Z85" s="81">
        <v>9</v>
      </c>
      <c r="AA85" s="81"/>
      <c r="AB85" s="25">
        <f t="shared" si="2"/>
        <v>0</v>
      </c>
      <c r="AC85" s="81">
        <v>6</v>
      </c>
      <c r="AD85" s="81"/>
      <c r="AE85" s="25">
        <f t="shared" si="3"/>
        <v>0</v>
      </c>
      <c r="AF85" s="140">
        <f t="shared" si="42"/>
        <v>29</v>
      </c>
      <c r="AG85" s="140">
        <f t="shared" si="43"/>
        <v>12</v>
      </c>
      <c r="AH85" s="138">
        <f t="shared" si="5"/>
        <v>85.714285714285708</v>
      </c>
      <c r="AI85" s="101">
        <v>46113</v>
      </c>
      <c r="AJ85" s="101">
        <v>46477</v>
      </c>
      <c r="AK85" s="102" t="s">
        <v>112</v>
      </c>
      <c r="AL85" s="102" t="s">
        <v>113</v>
      </c>
      <c r="AM85" s="103" t="s">
        <v>114</v>
      </c>
      <c r="AN85" s="324"/>
      <c r="AO85" s="324"/>
      <c r="AP85" s="324"/>
      <c r="AQ85" s="326"/>
      <c r="AR85" s="102" t="s">
        <v>159</v>
      </c>
      <c r="AS85" s="102" t="s">
        <v>112</v>
      </c>
      <c r="AT85" s="152" t="s">
        <v>2226</v>
      </c>
      <c r="AU85" s="166" t="s">
        <v>2264</v>
      </c>
      <c r="AV85" s="247" t="s">
        <v>2234</v>
      </c>
      <c r="AW85" s="136" t="s">
        <v>2242</v>
      </c>
      <c r="AX85" s="136" t="s">
        <v>2358</v>
      </c>
      <c r="AY85" s="136" t="s">
        <v>2376</v>
      </c>
      <c r="BA85" s="272"/>
      <c r="BB85" s="273"/>
      <c r="BC85" s="209" t="e">
        <f t="shared" si="60"/>
        <v>#DIV/0!</v>
      </c>
      <c r="BD85" s="272"/>
      <c r="BE85" s="273"/>
      <c r="BF85" s="209" t="e">
        <f t="shared" si="61"/>
        <v>#DIV/0!</v>
      </c>
      <c r="BG85" s="272"/>
      <c r="BH85" s="273"/>
      <c r="BI85" s="209" t="e">
        <f t="shared" si="62"/>
        <v>#DIV/0!</v>
      </c>
      <c r="BJ85" s="210">
        <f t="shared" si="63"/>
        <v>0</v>
      </c>
      <c r="BK85" s="211">
        <f t="shared" si="64"/>
        <v>0</v>
      </c>
      <c r="BL85" s="209" t="e">
        <f t="shared" si="65"/>
        <v>#DIV/0!</v>
      </c>
      <c r="BM85" s="272"/>
      <c r="BN85" s="273"/>
      <c r="BO85" s="209" t="e">
        <f t="shared" si="44"/>
        <v>#DIV/0!</v>
      </c>
      <c r="BP85" s="272"/>
      <c r="BQ85" s="273"/>
      <c r="BR85" s="209" t="e">
        <f t="shared" si="45"/>
        <v>#DIV/0!</v>
      </c>
      <c r="BS85" s="272"/>
      <c r="BT85" s="272"/>
      <c r="BU85" s="209" t="e">
        <f t="shared" si="46"/>
        <v>#DIV/0!</v>
      </c>
      <c r="BV85" s="210">
        <f t="shared" si="66"/>
        <v>0</v>
      </c>
      <c r="BW85" s="210">
        <f t="shared" si="67"/>
        <v>0</v>
      </c>
      <c r="BX85" s="209" t="e">
        <f t="shared" si="68"/>
        <v>#DIV/0!</v>
      </c>
      <c r="BY85" s="209">
        <f t="shared" si="69"/>
        <v>0</v>
      </c>
      <c r="BZ85" s="209">
        <f t="shared" si="70"/>
        <v>0</v>
      </c>
      <c r="CA85" s="212"/>
      <c r="CB85" s="245"/>
      <c r="CC85" s="183"/>
      <c r="CD85" s="184"/>
      <c r="CE85" s="185" t="e">
        <f t="shared" si="47"/>
        <v>#DIV/0!</v>
      </c>
      <c r="CF85" s="183"/>
      <c r="CG85" s="184"/>
      <c r="CH85" s="185" t="e">
        <f t="shared" si="48"/>
        <v>#DIV/0!</v>
      </c>
      <c r="CI85" s="189"/>
      <c r="CJ85" s="190"/>
      <c r="CK85" s="185" t="e">
        <f t="shared" si="49"/>
        <v>#DIV/0!</v>
      </c>
      <c r="CL85" s="187">
        <f t="shared" si="50"/>
        <v>0</v>
      </c>
      <c r="CM85" s="186">
        <f t="shared" si="51"/>
        <v>0</v>
      </c>
      <c r="CN85" s="185" t="e">
        <f t="shared" si="52"/>
        <v>#DIV/0!</v>
      </c>
      <c r="CO85" s="245"/>
      <c r="CP85" s="188">
        <f t="shared" si="53"/>
        <v>0</v>
      </c>
      <c r="CQ85" s="188">
        <f t="shared" si="54"/>
        <v>0</v>
      </c>
      <c r="CR85" s="191" t="e">
        <f t="shared" si="55"/>
        <v>#DIV/0!</v>
      </c>
      <c r="CS85" s="279">
        <f t="shared" si="71"/>
        <v>29</v>
      </c>
      <c r="CT85" s="245"/>
      <c r="CU85" s="188">
        <f t="shared" si="72"/>
        <v>8.6999999999999993</v>
      </c>
      <c r="CV85" s="277"/>
      <c r="CW85" s="191">
        <f t="shared" si="73"/>
        <v>0</v>
      </c>
      <c r="CX85" s="188">
        <f t="shared" si="74"/>
        <v>8.6999999999999993</v>
      </c>
      <c r="CY85" s="277"/>
      <c r="CZ85" s="191">
        <f t="shared" si="75"/>
        <v>0</v>
      </c>
      <c r="DA85" s="188">
        <f t="shared" si="76"/>
        <v>8.6999999999999993</v>
      </c>
      <c r="DB85" s="277"/>
      <c r="DC85" s="191">
        <f t="shared" si="77"/>
        <v>0</v>
      </c>
      <c r="DD85" s="188">
        <f t="shared" si="78"/>
        <v>2.9000000000000004</v>
      </c>
      <c r="DE85" s="277"/>
      <c r="DF85" s="191">
        <f t="shared" si="79"/>
        <v>0</v>
      </c>
      <c r="DG85" s="245"/>
      <c r="DH85" s="188">
        <f t="shared" si="80"/>
        <v>29</v>
      </c>
      <c r="DI85" s="188">
        <f t="shared" si="81"/>
        <v>0</v>
      </c>
      <c r="DJ85" s="191">
        <f t="shared" si="82"/>
        <v>0</v>
      </c>
      <c r="DK85" s="286">
        <f t="shared" si="83"/>
        <v>29</v>
      </c>
      <c r="DL85" s="261">
        <v>81</v>
      </c>
      <c r="DM85" s="244">
        <f>+A85-DL85</f>
        <v>0</v>
      </c>
    </row>
    <row r="86" spans="1:117" x14ac:dyDescent="0.35">
      <c r="A86" s="263">
        <v>82</v>
      </c>
      <c r="B86" s="102" t="s">
        <v>132</v>
      </c>
      <c r="C86" s="102" t="s">
        <v>97</v>
      </c>
      <c r="D86" s="102" t="s">
        <v>98</v>
      </c>
      <c r="E86" s="102" t="s">
        <v>99</v>
      </c>
      <c r="F86" s="102" t="s">
        <v>343</v>
      </c>
      <c r="G86" s="98" t="s">
        <v>364</v>
      </c>
      <c r="H86" s="98" t="s">
        <v>365</v>
      </c>
      <c r="I86" s="98" t="s">
        <v>340</v>
      </c>
      <c r="J86" s="98" t="s">
        <v>340</v>
      </c>
      <c r="K86" s="96" t="s">
        <v>104</v>
      </c>
      <c r="L86" s="96" t="s">
        <v>105</v>
      </c>
      <c r="M86" s="98" t="s">
        <v>106</v>
      </c>
      <c r="N86" s="98" t="s">
        <v>341</v>
      </c>
      <c r="O86" s="98" t="s">
        <v>108</v>
      </c>
      <c r="P86" s="98" t="s">
        <v>368</v>
      </c>
      <c r="Q86" s="98" t="s">
        <v>110</v>
      </c>
      <c r="R86" s="301">
        <v>29</v>
      </c>
      <c r="S86" s="99" t="s">
        <v>111</v>
      </c>
      <c r="T86" s="81">
        <v>7</v>
      </c>
      <c r="U86" s="81">
        <v>0</v>
      </c>
      <c r="V86" s="25">
        <f t="shared" si="59"/>
        <v>0</v>
      </c>
      <c r="W86" s="81">
        <v>7</v>
      </c>
      <c r="X86" s="81">
        <v>18</v>
      </c>
      <c r="Y86" s="25">
        <f t="shared" si="1"/>
        <v>257.14285714285717</v>
      </c>
      <c r="Z86" s="81">
        <v>8</v>
      </c>
      <c r="AA86" s="81"/>
      <c r="AB86" s="25">
        <f t="shared" si="2"/>
        <v>0</v>
      </c>
      <c r="AC86" s="81">
        <v>7</v>
      </c>
      <c r="AD86" s="81"/>
      <c r="AE86" s="25">
        <f t="shared" si="3"/>
        <v>0</v>
      </c>
      <c r="AF86" s="140">
        <f t="shared" si="42"/>
        <v>29</v>
      </c>
      <c r="AG86" s="140">
        <f t="shared" si="43"/>
        <v>18</v>
      </c>
      <c r="AH86" s="138">
        <f t="shared" si="5"/>
        <v>128.57142857142858</v>
      </c>
      <c r="AI86" s="101">
        <v>46113</v>
      </c>
      <c r="AJ86" s="101">
        <v>46477</v>
      </c>
      <c r="AK86" s="102" t="s">
        <v>112</v>
      </c>
      <c r="AL86" s="102" t="s">
        <v>113</v>
      </c>
      <c r="AM86" s="103" t="s">
        <v>114</v>
      </c>
      <c r="AN86" s="324"/>
      <c r="AO86" s="324"/>
      <c r="AP86" s="324"/>
      <c r="AQ86" s="326"/>
      <c r="AR86" s="102" t="s">
        <v>159</v>
      </c>
      <c r="AS86" s="102" t="s">
        <v>112</v>
      </c>
      <c r="AT86" s="152" t="s">
        <v>2226</v>
      </c>
      <c r="AU86" s="166" t="s">
        <v>2264</v>
      </c>
      <c r="AV86" s="247" t="s">
        <v>2234</v>
      </c>
      <c r="AW86" s="136" t="s">
        <v>2242</v>
      </c>
      <c r="AX86" s="136" t="s">
        <v>2358</v>
      </c>
      <c r="AY86" s="136" t="s">
        <v>2376</v>
      </c>
      <c r="BA86" s="272"/>
      <c r="BB86" s="273"/>
      <c r="BC86" s="209" t="e">
        <f t="shared" si="60"/>
        <v>#DIV/0!</v>
      </c>
      <c r="BD86" s="272"/>
      <c r="BE86" s="273"/>
      <c r="BF86" s="209" t="e">
        <f t="shared" si="61"/>
        <v>#DIV/0!</v>
      </c>
      <c r="BG86" s="272"/>
      <c r="BH86" s="273"/>
      <c r="BI86" s="209" t="e">
        <f t="shared" si="62"/>
        <v>#DIV/0!</v>
      </c>
      <c r="BJ86" s="210">
        <f t="shared" si="63"/>
        <v>0</v>
      </c>
      <c r="BK86" s="211">
        <f t="shared" si="64"/>
        <v>0</v>
      </c>
      <c r="BL86" s="209" t="e">
        <f t="shared" si="65"/>
        <v>#DIV/0!</v>
      </c>
      <c r="BM86" s="272"/>
      <c r="BN86" s="273"/>
      <c r="BO86" s="209" t="e">
        <f t="shared" si="44"/>
        <v>#DIV/0!</v>
      </c>
      <c r="BP86" s="272"/>
      <c r="BQ86" s="273"/>
      <c r="BR86" s="209" t="e">
        <f t="shared" si="45"/>
        <v>#DIV/0!</v>
      </c>
      <c r="BS86" s="272"/>
      <c r="BT86" s="272"/>
      <c r="BU86" s="209" t="e">
        <f t="shared" si="46"/>
        <v>#DIV/0!</v>
      </c>
      <c r="BV86" s="210">
        <f t="shared" si="66"/>
        <v>0</v>
      </c>
      <c r="BW86" s="210">
        <f t="shared" si="67"/>
        <v>0</v>
      </c>
      <c r="BX86" s="209" t="e">
        <f t="shared" si="68"/>
        <v>#DIV/0!</v>
      </c>
      <c r="BY86" s="209">
        <f t="shared" si="69"/>
        <v>0</v>
      </c>
      <c r="BZ86" s="209">
        <f t="shared" si="70"/>
        <v>0</v>
      </c>
      <c r="CA86" s="212"/>
      <c r="CB86" s="245"/>
      <c r="CC86" s="183"/>
      <c r="CD86" s="184"/>
      <c r="CE86" s="185" t="e">
        <f t="shared" si="47"/>
        <v>#DIV/0!</v>
      </c>
      <c r="CF86" s="183"/>
      <c r="CG86" s="184"/>
      <c r="CH86" s="185" t="e">
        <f t="shared" si="48"/>
        <v>#DIV/0!</v>
      </c>
      <c r="CI86" s="189"/>
      <c r="CJ86" s="190"/>
      <c r="CK86" s="185" t="e">
        <f t="shared" si="49"/>
        <v>#DIV/0!</v>
      </c>
      <c r="CL86" s="187">
        <f t="shared" si="50"/>
        <v>0</v>
      </c>
      <c r="CM86" s="186">
        <f t="shared" si="51"/>
        <v>0</v>
      </c>
      <c r="CN86" s="185" t="e">
        <f t="shared" si="52"/>
        <v>#DIV/0!</v>
      </c>
      <c r="CO86" s="245"/>
      <c r="CP86" s="188">
        <f t="shared" si="53"/>
        <v>0</v>
      </c>
      <c r="CQ86" s="188">
        <f t="shared" si="54"/>
        <v>0</v>
      </c>
      <c r="CR86" s="191" t="e">
        <f t="shared" si="55"/>
        <v>#DIV/0!</v>
      </c>
      <c r="CS86" s="279">
        <f t="shared" si="71"/>
        <v>29</v>
      </c>
      <c r="CT86" s="245"/>
      <c r="CU86" s="188">
        <f t="shared" si="72"/>
        <v>8.6999999999999993</v>
      </c>
      <c r="CV86" s="277"/>
      <c r="CW86" s="191">
        <f t="shared" si="73"/>
        <v>0</v>
      </c>
      <c r="CX86" s="188">
        <f t="shared" si="74"/>
        <v>8.6999999999999993</v>
      </c>
      <c r="CY86" s="277"/>
      <c r="CZ86" s="191">
        <f t="shared" si="75"/>
        <v>0</v>
      </c>
      <c r="DA86" s="188">
        <f t="shared" si="76"/>
        <v>8.6999999999999993</v>
      </c>
      <c r="DB86" s="277"/>
      <c r="DC86" s="191">
        <f t="shared" si="77"/>
        <v>0</v>
      </c>
      <c r="DD86" s="188">
        <f t="shared" si="78"/>
        <v>2.9000000000000004</v>
      </c>
      <c r="DE86" s="277"/>
      <c r="DF86" s="191">
        <f t="shared" si="79"/>
        <v>0</v>
      </c>
      <c r="DG86" s="245"/>
      <c r="DH86" s="188">
        <f t="shared" si="80"/>
        <v>29</v>
      </c>
      <c r="DI86" s="188">
        <f t="shared" si="81"/>
        <v>0</v>
      </c>
      <c r="DJ86" s="191">
        <f t="shared" si="82"/>
        <v>0</v>
      </c>
      <c r="DK86" s="286">
        <f t="shared" si="83"/>
        <v>29</v>
      </c>
      <c r="DL86" s="261">
        <v>82</v>
      </c>
      <c r="DM86" s="244">
        <f>+A86-DL86</f>
        <v>0</v>
      </c>
    </row>
    <row r="87" spans="1:117" x14ac:dyDescent="0.35">
      <c r="A87" s="263">
        <v>83</v>
      </c>
      <c r="B87" s="102" t="s">
        <v>132</v>
      </c>
      <c r="C87" s="102" t="s">
        <v>97</v>
      </c>
      <c r="D87" s="102" t="s">
        <v>98</v>
      </c>
      <c r="E87" s="102" t="s">
        <v>99</v>
      </c>
      <c r="F87" s="102" t="s">
        <v>343</v>
      </c>
      <c r="G87" s="98" t="s">
        <v>364</v>
      </c>
      <c r="H87" s="98" t="s">
        <v>365</v>
      </c>
      <c r="I87" s="98" t="s">
        <v>340</v>
      </c>
      <c r="J87" s="98" t="s">
        <v>340</v>
      </c>
      <c r="K87" s="96" t="s">
        <v>104</v>
      </c>
      <c r="L87" s="96" t="s">
        <v>105</v>
      </c>
      <c r="M87" s="98" t="s">
        <v>106</v>
      </c>
      <c r="N87" s="98" t="s">
        <v>341</v>
      </c>
      <c r="O87" s="98" t="s">
        <v>108</v>
      </c>
      <c r="P87" s="98" t="s">
        <v>369</v>
      </c>
      <c r="Q87" s="98" t="s">
        <v>110</v>
      </c>
      <c r="R87" s="301">
        <v>29</v>
      </c>
      <c r="S87" s="99" t="s">
        <v>111</v>
      </c>
      <c r="T87" s="81">
        <v>7</v>
      </c>
      <c r="U87" s="81">
        <v>0</v>
      </c>
      <c r="V87" s="25">
        <f t="shared" si="59"/>
        <v>0</v>
      </c>
      <c r="W87" s="81">
        <v>7</v>
      </c>
      <c r="X87" s="81">
        <v>5</v>
      </c>
      <c r="Y87" s="25">
        <f t="shared" si="1"/>
        <v>71.428571428571431</v>
      </c>
      <c r="Z87" s="81">
        <v>8</v>
      </c>
      <c r="AA87" s="81"/>
      <c r="AB87" s="25">
        <f t="shared" si="2"/>
        <v>0</v>
      </c>
      <c r="AC87" s="81">
        <v>7</v>
      </c>
      <c r="AD87" s="81"/>
      <c r="AE87" s="25">
        <f t="shared" si="3"/>
        <v>0</v>
      </c>
      <c r="AF87" s="140">
        <f t="shared" si="42"/>
        <v>29</v>
      </c>
      <c r="AG87" s="140">
        <f t="shared" si="43"/>
        <v>5</v>
      </c>
      <c r="AH87" s="138">
        <f t="shared" si="5"/>
        <v>35.714285714285715</v>
      </c>
      <c r="AI87" s="101">
        <v>46054</v>
      </c>
      <c r="AJ87" s="101">
        <v>46477</v>
      </c>
      <c r="AK87" s="102" t="s">
        <v>112</v>
      </c>
      <c r="AL87" s="102" t="s">
        <v>113</v>
      </c>
      <c r="AM87" s="103" t="s">
        <v>114</v>
      </c>
      <c r="AN87" s="104">
        <v>110000000</v>
      </c>
      <c r="AO87" s="104">
        <v>110000000</v>
      </c>
      <c r="AP87" s="104">
        <v>110000000</v>
      </c>
      <c r="AQ87" s="326">
        <v>0</v>
      </c>
      <c r="AR87" s="102" t="s">
        <v>207</v>
      </c>
      <c r="AS87" s="102" t="s">
        <v>112</v>
      </c>
      <c r="AT87" s="152" t="s">
        <v>2226</v>
      </c>
      <c r="AU87" s="166" t="s">
        <v>2264</v>
      </c>
      <c r="AV87" s="247" t="s">
        <v>2234</v>
      </c>
      <c r="AW87" s="136" t="s">
        <v>2242</v>
      </c>
      <c r="AX87" s="136" t="s">
        <v>2358</v>
      </c>
      <c r="AY87" s="136" t="s">
        <v>2376</v>
      </c>
      <c r="BA87" s="272"/>
      <c r="BB87" s="273"/>
      <c r="BC87" s="209" t="e">
        <f t="shared" si="60"/>
        <v>#DIV/0!</v>
      </c>
      <c r="BD87" s="272"/>
      <c r="BE87" s="273"/>
      <c r="BF87" s="209" t="e">
        <f t="shared" si="61"/>
        <v>#DIV/0!</v>
      </c>
      <c r="BG87" s="272"/>
      <c r="BH87" s="273"/>
      <c r="BI87" s="209" t="e">
        <f t="shared" si="62"/>
        <v>#DIV/0!</v>
      </c>
      <c r="BJ87" s="210">
        <f t="shared" si="63"/>
        <v>0</v>
      </c>
      <c r="BK87" s="211">
        <f t="shared" si="64"/>
        <v>0</v>
      </c>
      <c r="BL87" s="209" t="e">
        <f t="shared" si="65"/>
        <v>#DIV/0!</v>
      </c>
      <c r="BM87" s="272"/>
      <c r="BN87" s="273"/>
      <c r="BO87" s="209" t="e">
        <f t="shared" si="44"/>
        <v>#DIV/0!</v>
      </c>
      <c r="BP87" s="272"/>
      <c r="BQ87" s="273"/>
      <c r="BR87" s="209" t="e">
        <f t="shared" si="45"/>
        <v>#DIV/0!</v>
      </c>
      <c r="BS87" s="272"/>
      <c r="BT87" s="272"/>
      <c r="BU87" s="209" t="e">
        <f t="shared" si="46"/>
        <v>#DIV/0!</v>
      </c>
      <c r="BV87" s="210">
        <f t="shared" si="66"/>
        <v>0</v>
      </c>
      <c r="BW87" s="210">
        <f t="shared" si="67"/>
        <v>0</v>
      </c>
      <c r="BX87" s="209" t="e">
        <f t="shared" si="68"/>
        <v>#DIV/0!</v>
      </c>
      <c r="BY87" s="209">
        <f t="shared" si="69"/>
        <v>0</v>
      </c>
      <c r="BZ87" s="209">
        <f t="shared" si="70"/>
        <v>0</v>
      </c>
      <c r="CA87" s="212"/>
      <c r="CB87" s="245"/>
      <c r="CC87" s="183"/>
      <c r="CD87" s="184"/>
      <c r="CE87" s="185" t="e">
        <f t="shared" si="47"/>
        <v>#DIV/0!</v>
      </c>
      <c r="CF87" s="183"/>
      <c r="CG87" s="184"/>
      <c r="CH87" s="185" t="e">
        <f t="shared" si="48"/>
        <v>#DIV/0!</v>
      </c>
      <c r="CI87" s="189"/>
      <c r="CJ87" s="190"/>
      <c r="CK87" s="185" t="e">
        <f t="shared" si="49"/>
        <v>#DIV/0!</v>
      </c>
      <c r="CL87" s="187">
        <f t="shared" si="50"/>
        <v>0</v>
      </c>
      <c r="CM87" s="186">
        <f t="shared" si="51"/>
        <v>0</v>
      </c>
      <c r="CN87" s="185" t="e">
        <f t="shared" si="52"/>
        <v>#DIV/0!</v>
      </c>
      <c r="CO87" s="245"/>
      <c r="CP87" s="188">
        <f t="shared" si="53"/>
        <v>0</v>
      </c>
      <c r="CQ87" s="188">
        <f t="shared" si="54"/>
        <v>0</v>
      </c>
      <c r="CR87" s="191" t="e">
        <f t="shared" si="55"/>
        <v>#DIV/0!</v>
      </c>
      <c r="CS87" s="279">
        <f t="shared" si="71"/>
        <v>29</v>
      </c>
      <c r="CT87" s="245"/>
      <c r="CU87" s="188">
        <f t="shared" si="72"/>
        <v>8.6999999999999993</v>
      </c>
      <c r="CV87" s="277"/>
      <c r="CW87" s="191">
        <f t="shared" si="73"/>
        <v>0</v>
      </c>
      <c r="CX87" s="188">
        <f t="shared" si="74"/>
        <v>8.6999999999999993</v>
      </c>
      <c r="CY87" s="277"/>
      <c r="CZ87" s="191">
        <f t="shared" si="75"/>
        <v>0</v>
      </c>
      <c r="DA87" s="188">
        <f t="shared" si="76"/>
        <v>8.6999999999999993</v>
      </c>
      <c r="DB87" s="277"/>
      <c r="DC87" s="191">
        <f t="shared" si="77"/>
        <v>0</v>
      </c>
      <c r="DD87" s="188">
        <f t="shared" si="78"/>
        <v>2.9000000000000004</v>
      </c>
      <c r="DE87" s="277"/>
      <c r="DF87" s="191">
        <f t="shared" si="79"/>
        <v>0</v>
      </c>
      <c r="DG87" s="245"/>
      <c r="DH87" s="188">
        <f t="shared" si="80"/>
        <v>29</v>
      </c>
      <c r="DI87" s="188">
        <f t="shared" si="81"/>
        <v>0</v>
      </c>
      <c r="DJ87" s="191">
        <f t="shared" si="82"/>
        <v>0</v>
      </c>
      <c r="DK87" s="286">
        <f t="shared" si="83"/>
        <v>29</v>
      </c>
      <c r="DL87" s="261">
        <v>83</v>
      </c>
      <c r="DM87" s="244">
        <f>+A87-DL87</f>
        <v>0</v>
      </c>
    </row>
    <row r="88" spans="1:117" x14ac:dyDescent="0.35">
      <c r="A88" s="263">
        <v>84</v>
      </c>
      <c r="B88" s="102" t="s">
        <v>132</v>
      </c>
      <c r="C88" s="102" t="s">
        <v>97</v>
      </c>
      <c r="D88" s="102" t="s">
        <v>98</v>
      </c>
      <c r="E88" s="102" t="s">
        <v>99</v>
      </c>
      <c r="F88" s="102" t="s">
        <v>370</v>
      </c>
      <c r="G88" s="98" t="s">
        <v>359</v>
      </c>
      <c r="H88" s="98" t="s">
        <v>371</v>
      </c>
      <c r="I88" s="98" t="s">
        <v>340</v>
      </c>
      <c r="J88" s="98" t="s">
        <v>340</v>
      </c>
      <c r="K88" s="96" t="s">
        <v>104</v>
      </c>
      <c r="L88" s="96" t="s">
        <v>105</v>
      </c>
      <c r="M88" s="98" t="s">
        <v>106</v>
      </c>
      <c r="N88" s="98" t="s">
        <v>341</v>
      </c>
      <c r="O88" s="98" t="s">
        <v>108</v>
      </c>
      <c r="P88" s="98" t="s">
        <v>372</v>
      </c>
      <c r="Q88" s="98" t="s">
        <v>110</v>
      </c>
      <c r="R88" s="301">
        <v>29</v>
      </c>
      <c r="S88" s="99" t="s">
        <v>111</v>
      </c>
      <c r="T88" s="81">
        <v>0</v>
      </c>
      <c r="U88" s="81">
        <v>0</v>
      </c>
      <c r="V88" s="25" t="e">
        <f t="shared" si="59"/>
        <v>#DIV/0!</v>
      </c>
      <c r="W88" s="81">
        <v>0</v>
      </c>
      <c r="X88" s="81">
        <v>0</v>
      </c>
      <c r="Y88" s="25" t="e">
        <f t="shared" si="1"/>
        <v>#DIV/0!</v>
      </c>
      <c r="Z88" s="81">
        <v>29</v>
      </c>
      <c r="AA88" s="81"/>
      <c r="AB88" s="25">
        <f t="shared" si="2"/>
        <v>0</v>
      </c>
      <c r="AC88" s="81">
        <v>0</v>
      </c>
      <c r="AD88" s="81"/>
      <c r="AE88" s="25" t="e">
        <f t="shared" si="3"/>
        <v>#DIV/0!</v>
      </c>
      <c r="AF88" s="140">
        <f t="shared" ref="AF88:AF151" si="84">R88</f>
        <v>29</v>
      </c>
      <c r="AG88" s="140">
        <f t="shared" ref="AG88:AG151" si="85">U88+X88+AA88+AD88</f>
        <v>0</v>
      </c>
      <c r="AH88" s="138" t="e">
        <f t="shared" si="5"/>
        <v>#DIV/0!</v>
      </c>
      <c r="AI88" s="101">
        <v>46113</v>
      </c>
      <c r="AJ88" s="101">
        <v>46477</v>
      </c>
      <c r="AK88" s="102" t="s">
        <v>112</v>
      </c>
      <c r="AL88" s="102" t="s">
        <v>113</v>
      </c>
      <c r="AM88" s="103" t="s">
        <v>114</v>
      </c>
      <c r="AN88" s="104">
        <v>60000000</v>
      </c>
      <c r="AO88" s="104">
        <v>60000000</v>
      </c>
      <c r="AP88" s="104">
        <v>60000000</v>
      </c>
      <c r="AQ88" s="326">
        <v>0</v>
      </c>
      <c r="AR88" s="322"/>
      <c r="AS88" s="102" t="s">
        <v>112</v>
      </c>
      <c r="AT88" s="152" t="s">
        <v>2226</v>
      </c>
      <c r="AU88" s="166" t="s">
        <v>2264</v>
      </c>
      <c r="AV88" s="247" t="s">
        <v>2234</v>
      </c>
      <c r="AW88" s="136" t="s">
        <v>2242</v>
      </c>
      <c r="AX88" s="136" t="s">
        <v>2358</v>
      </c>
      <c r="AY88" s="136" t="s">
        <v>2376</v>
      </c>
      <c r="BA88" s="272"/>
      <c r="BB88" s="273"/>
      <c r="BC88" s="209" t="e">
        <f t="shared" si="60"/>
        <v>#DIV/0!</v>
      </c>
      <c r="BD88" s="272"/>
      <c r="BE88" s="273"/>
      <c r="BF88" s="209" t="e">
        <f t="shared" si="61"/>
        <v>#DIV/0!</v>
      </c>
      <c r="BG88" s="272"/>
      <c r="BH88" s="273"/>
      <c r="BI88" s="209" t="e">
        <f t="shared" si="62"/>
        <v>#DIV/0!</v>
      </c>
      <c r="BJ88" s="210">
        <f t="shared" si="63"/>
        <v>0</v>
      </c>
      <c r="BK88" s="211">
        <f t="shared" si="64"/>
        <v>0</v>
      </c>
      <c r="BL88" s="209" t="e">
        <f t="shared" si="65"/>
        <v>#DIV/0!</v>
      </c>
      <c r="BM88" s="272"/>
      <c r="BN88" s="273"/>
      <c r="BO88" s="209" t="e">
        <f t="shared" ref="BO88:BO151" si="86">+BN88/BM88</f>
        <v>#DIV/0!</v>
      </c>
      <c r="BP88" s="272"/>
      <c r="BQ88" s="273"/>
      <c r="BR88" s="209" t="e">
        <f t="shared" ref="BR88:BR151" si="87">+BQ88/BP88</f>
        <v>#DIV/0!</v>
      </c>
      <c r="BS88" s="272"/>
      <c r="BT88" s="272"/>
      <c r="BU88" s="209" t="e">
        <f t="shared" ref="BU88:BU151" si="88">+BT88/BS88</f>
        <v>#DIV/0!</v>
      </c>
      <c r="BV88" s="210">
        <f t="shared" si="66"/>
        <v>0</v>
      </c>
      <c r="BW88" s="210">
        <f t="shared" si="67"/>
        <v>0</v>
      </c>
      <c r="BX88" s="209" t="e">
        <f t="shared" si="68"/>
        <v>#DIV/0!</v>
      </c>
      <c r="BY88" s="209">
        <f t="shared" si="69"/>
        <v>0</v>
      </c>
      <c r="BZ88" s="209">
        <f t="shared" si="70"/>
        <v>0</v>
      </c>
      <c r="CA88" s="212"/>
      <c r="CB88" s="245"/>
      <c r="CC88" s="183"/>
      <c r="CD88" s="184"/>
      <c r="CE88" s="185" t="e">
        <f t="shared" ref="CE88:CE151" si="89">+CD88/CC88</f>
        <v>#DIV/0!</v>
      </c>
      <c r="CF88" s="183"/>
      <c r="CG88" s="184"/>
      <c r="CH88" s="185" t="e">
        <f t="shared" ref="CH88:CH151" si="90">+CG88/CF88</f>
        <v>#DIV/0!</v>
      </c>
      <c r="CI88" s="189"/>
      <c r="CJ88" s="190"/>
      <c r="CK88" s="185" t="e">
        <f t="shared" ref="CK88:CK151" si="91">+CJ88/CI88</f>
        <v>#DIV/0!</v>
      </c>
      <c r="CL88" s="187">
        <f t="shared" ref="CL88:CL151" si="92">+CC88+CF88+CI88</f>
        <v>0</v>
      </c>
      <c r="CM88" s="186">
        <f t="shared" ref="CM88:CM151" si="93">+CD88+CG88+CJ88</f>
        <v>0</v>
      </c>
      <c r="CN88" s="185" t="e">
        <f t="shared" ref="CN88:CN151" si="94">+CM88/CL88</f>
        <v>#DIV/0!</v>
      </c>
      <c r="CO88" s="245"/>
      <c r="CP88" s="188">
        <f t="shared" ref="CP88:CP151" si="95">+BJ88+BV88+CL88</f>
        <v>0</v>
      </c>
      <c r="CQ88" s="188">
        <f t="shared" ref="CQ88:CQ151" si="96">+BK88+BW88+CM88</f>
        <v>0</v>
      </c>
      <c r="CR88" s="191" t="e">
        <f t="shared" ref="CR88:CR151" si="97">+CQ88/CP88</f>
        <v>#DIV/0!</v>
      </c>
      <c r="CS88" s="279">
        <f t="shared" si="71"/>
        <v>29</v>
      </c>
      <c r="CT88" s="245"/>
      <c r="CU88" s="188">
        <f t="shared" si="72"/>
        <v>8.6999999999999993</v>
      </c>
      <c r="CV88" s="277"/>
      <c r="CW88" s="191">
        <f t="shared" si="73"/>
        <v>0</v>
      </c>
      <c r="CX88" s="188">
        <f t="shared" si="74"/>
        <v>8.6999999999999993</v>
      </c>
      <c r="CY88" s="277"/>
      <c r="CZ88" s="191">
        <f t="shared" si="75"/>
        <v>0</v>
      </c>
      <c r="DA88" s="188">
        <f t="shared" si="76"/>
        <v>8.6999999999999993</v>
      </c>
      <c r="DB88" s="277"/>
      <c r="DC88" s="191">
        <f t="shared" si="77"/>
        <v>0</v>
      </c>
      <c r="DD88" s="188">
        <f t="shared" si="78"/>
        <v>2.9000000000000004</v>
      </c>
      <c r="DE88" s="277"/>
      <c r="DF88" s="191">
        <f t="shared" si="79"/>
        <v>0</v>
      </c>
      <c r="DG88" s="245"/>
      <c r="DH88" s="188">
        <f t="shared" si="80"/>
        <v>29</v>
      </c>
      <c r="DI88" s="188">
        <f t="shared" si="81"/>
        <v>0</v>
      </c>
      <c r="DJ88" s="191">
        <f t="shared" si="82"/>
        <v>0</v>
      </c>
      <c r="DK88" s="286">
        <f t="shared" si="83"/>
        <v>29</v>
      </c>
      <c r="DL88" s="261">
        <v>84</v>
      </c>
      <c r="DM88" s="244">
        <f>+A88-DL88</f>
        <v>0</v>
      </c>
    </row>
    <row r="89" spans="1:117" x14ac:dyDescent="0.35">
      <c r="A89" s="263">
        <v>85</v>
      </c>
      <c r="B89" s="102" t="s">
        <v>132</v>
      </c>
      <c r="C89" s="102" t="s">
        <v>118</v>
      </c>
      <c r="D89" s="102" t="s">
        <v>119</v>
      </c>
      <c r="E89" s="102" t="s">
        <v>155</v>
      </c>
      <c r="F89" s="102" t="s">
        <v>373</v>
      </c>
      <c r="G89" s="98" t="s">
        <v>344</v>
      </c>
      <c r="H89" s="98" t="s">
        <v>345</v>
      </c>
      <c r="I89" s="98" t="s">
        <v>374</v>
      </c>
      <c r="J89" s="98" t="s">
        <v>374</v>
      </c>
      <c r="K89" s="96" t="s">
        <v>104</v>
      </c>
      <c r="L89" s="96" t="s">
        <v>105</v>
      </c>
      <c r="M89" s="98" t="s">
        <v>106</v>
      </c>
      <c r="N89" s="98" t="s">
        <v>341</v>
      </c>
      <c r="O89" s="98" t="s">
        <v>127</v>
      </c>
      <c r="P89" s="98" t="s">
        <v>375</v>
      </c>
      <c r="Q89" s="98" t="s">
        <v>129</v>
      </c>
      <c r="R89" s="301">
        <v>12</v>
      </c>
      <c r="S89" s="99" t="s">
        <v>111</v>
      </c>
      <c r="T89" s="81">
        <v>3</v>
      </c>
      <c r="U89" s="81">
        <v>0</v>
      </c>
      <c r="V89" s="25">
        <f t="shared" si="59"/>
        <v>0</v>
      </c>
      <c r="W89" s="81">
        <v>3</v>
      </c>
      <c r="X89" s="81">
        <v>3</v>
      </c>
      <c r="Y89" s="25">
        <f t="shared" si="1"/>
        <v>100</v>
      </c>
      <c r="Z89" s="81">
        <v>3</v>
      </c>
      <c r="AA89" s="81"/>
      <c r="AB89" s="25">
        <f t="shared" si="2"/>
        <v>0</v>
      </c>
      <c r="AC89" s="81">
        <v>3</v>
      </c>
      <c r="AD89" s="81"/>
      <c r="AE89" s="25">
        <f t="shared" si="3"/>
        <v>0</v>
      </c>
      <c r="AF89" s="140">
        <f t="shared" si="84"/>
        <v>12</v>
      </c>
      <c r="AG89" s="140">
        <f t="shared" si="85"/>
        <v>3</v>
      </c>
      <c r="AH89" s="138">
        <f t="shared" si="5"/>
        <v>50</v>
      </c>
      <c r="AI89" s="101">
        <v>46113</v>
      </c>
      <c r="AJ89" s="101">
        <v>46477</v>
      </c>
      <c r="AK89" s="102" t="s">
        <v>112</v>
      </c>
      <c r="AL89" s="102" t="s">
        <v>113</v>
      </c>
      <c r="AM89" s="103" t="s">
        <v>114</v>
      </c>
      <c r="AN89" s="324"/>
      <c r="AO89" s="324"/>
      <c r="AP89" s="324"/>
      <c r="AQ89" s="326"/>
      <c r="AR89" s="322"/>
      <c r="AS89" s="102" t="s">
        <v>112</v>
      </c>
      <c r="AT89" s="152" t="s">
        <v>353</v>
      </c>
      <c r="AU89" s="166" t="s">
        <v>2264</v>
      </c>
      <c r="AV89" s="247" t="s">
        <v>2234</v>
      </c>
      <c r="AW89" s="136" t="s">
        <v>2242</v>
      </c>
      <c r="AX89" s="136" t="s">
        <v>2358</v>
      </c>
      <c r="AY89" s="136" t="s">
        <v>2376</v>
      </c>
      <c r="BA89" s="272"/>
      <c r="BB89" s="273"/>
      <c r="BC89" s="209" t="e">
        <f t="shared" si="60"/>
        <v>#DIV/0!</v>
      </c>
      <c r="BD89" s="272"/>
      <c r="BE89" s="273"/>
      <c r="BF89" s="209" t="e">
        <f t="shared" si="61"/>
        <v>#DIV/0!</v>
      </c>
      <c r="BG89" s="272"/>
      <c r="BH89" s="273"/>
      <c r="BI89" s="209" t="e">
        <f t="shared" si="62"/>
        <v>#DIV/0!</v>
      </c>
      <c r="BJ89" s="210">
        <f t="shared" si="63"/>
        <v>0</v>
      </c>
      <c r="BK89" s="211">
        <f t="shared" si="64"/>
        <v>0</v>
      </c>
      <c r="BL89" s="209" t="e">
        <f t="shared" si="65"/>
        <v>#DIV/0!</v>
      </c>
      <c r="BM89" s="272"/>
      <c r="BN89" s="273"/>
      <c r="BO89" s="209" t="e">
        <f t="shared" si="86"/>
        <v>#DIV/0!</v>
      </c>
      <c r="BP89" s="272"/>
      <c r="BQ89" s="273"/>
      <c r="BR89" s="209" t="e">
        <f t="shared" si="87"/>
        <v>#DIV/0!</v>
      </c>
      <c r="BS89" s="272"/>
      <c r="BT89" s="272"/>
      <c r="BU89" s="209" t="e">
        <f t="shared" si="88"/>
        <v>#DIV/0!</v>
      </c>
      <c r="BV89" s="210">
        <f t="shared" si="66"/>
        <v>0</v>
      </c>
      <c r="BW89" s="210">
        <f t="shared" si="67"/>
        <v>0</v>
      </c>
      <c r="BX89" s="209" t="e">
        <f t="shared" si="68"/>
        <v>#DIV/0!</v>
      </c>
      <c r="BY89" s="209">
        <f t="shared" si="69"/>
        <v>0</v>
      </c>
      <c r="BZ89" s="209">
        <f t="shared" si="70"/>
        <v>0</v>
      </c>
      <c r="CA89" s="212"/>
      <c r="CB89" s="245"/>
      <c r="CC89" s="183"/>
      <c r="CD89" s="184"/>
      <c r="CE89" s="185" t="e">
        <f t="shared" si="89"/>
        <v>#DIV/0!</v>
      </c>
      <c r="CF89" s="183"/>
      <c r="CG89" s="184"/>
      <c r="CH89" s="185" t="e">
        <f t="shared" si="90"/>
        <v>#DIV/0!</v>
      </c>
      <c r="CI89" s="189"/>
      <c r="CJ89" s="190"/>
      <c r="CK89" s="185" t="e">
        <f t="shared" si="91"/>
        <v>#DIV/0!</v>
      </c>
      <c r="CL89" s="187">
        <f t="shared" si="92"/>
        <v>0</v>
      </c>
      <c r="CM89" s="186">
        <f t="shared" si="93"/>
        <v>0</v>
      </c>
      <c r="CN89" s="185" t="e">
        <f t="shared" si="94"/>
        <v>#DIV/0!</v>
      </c>
      <c r="CO89" s="245"/>
      <c r="CP89" s="188">
        <f t="shared" si="95"/>
        <v>0</v>
      </c>
      <c r="CQ89" s="188">
        <f t="shared" si="96"/>
        <v>0</v>
      </c>
      <c r="CR89" s="191" t="e">
        <f t="shared" si="97"/>
        <v>#DIV/0!</v>
      </c>
      <c r="CS89" s="279">
        <f t="shared" si="71"/>
        <v>12</v>
      </c>
      <c r="CT89" s="245"/>
      <c r="CU89" s="188">
        <f t="shared" si="72"/>
        <v>3.5999999999999996</v>
      </c>
      <c r="CV89" s="277"/>
      <c r="CW89" s="191">
        <f t="shared" si="73"/>
        <v>0</v>
      </c>
      <c r="CX89" s="188">
        <f t="shared" si="74"/>
        <v>3.5999999999999996</v>
      </c>
      <c r="CY89" s="277"/>
      <c r="CZ89" s="191">
        <f t="shared" si="75"/>
        <v>0</v>
      </c>
      <c r="DA89" s="188">
        <f t="shared" si="76"/>
        <v>3.5999999999999996</v>
      </c>
      <c r="DB89" s="277"/>
      <c r="DC89" s="191">
        <f t="shared" si="77"/>
        <v>0</v>
      </c>
      <c r="DD89" s="188">
        <f t="shared" si="78"/>
        <v>1.2000000000000002</v>
      </c>
      <c r="DE89" s="277"/>
      <c r="DF89" s="191">
        <f t="shared" si="79"/>
        <v>0</v>
      </c>
      <c r="DG89" s="245"/>
      <c r="DH89" s="188">
        <f t="shared" si="80"/>
        <v>12</v>
      </c>
      <c r="DI89" s="188">
        <f t="shared" si="81"/>
        <v>0</v>
      </c>
      <c r="DJ89" s="191">
        <f t="shared" si="82"/>
        <v>0</v>
      </c>
      <c r="DK89" s="286">
        <f t="shared" si="83"/>
        <v>12</v>
      </c>
      <c r="DL89" s="261">
        <v>85</v>
      </c>
      <c r="DM89" s="244">
        <f>+A89-DL89</f>
        <v>0</v>
      </c>
    </row>
    <row r="90" spans="1:117" x14ac:dyDescent="0.35">
      <c r="A90" s="263">
        <v>86</v>
      </c>
      <c r="B90" s="102" t="s">
        <v>132</v>
      </c>
      <c r="C90" s="102" t="s">
        <v>133</v>
      </c>
      <c r="D90" s="102" t="s">
        <v>119</v>
      </c>
      <c r="E90" s="102" t="s">
        <v>212</v>
      </c>
      <c r="F90" s="102" t="s">
        <v>354</v>
      </c>
      <c r="G90" s="98" t="s">
        <v>359</v>
      </c>
      <c r="H90" s="98" t="s">
        <v>376</v>
      </c>
      <c r="I90" s="98" t="s">
        <v>340</v>
      </c>
      <c r="J90" s="98" t="s">
        <v>340</v>
      </c>
      <c r="K90" s="96" t="s">
        <v>104</v>
      </c>
      <c r="L90" s="96" t="s">
        <v>105</v>
      </c>
      <c r="M90" s="98" t="s">
        <v>106</v>
      </c>
      <c r="N90" s="98" t="s">
        <v>341</v>
      </c>
      <c r="O90" s="98" t="s">
        <v>127</v>
      </c>
      <c r="P90" s="258" t="s">
        <v>377</v>
      </c>
      <c r="Q90" s="98" t="s">
        <v>129</v>
      </c>
      <c r="R90" s="301">
        <v>1</v>
      </c>
      <c r="S90" s="99" t="s">
        <v>111</v>
      </c>
      <c r="T90" s="81">
        <v>0</v>
      </c>
      <c r="U90" s="81">
        <v>0</v>
      </c>
      <c r="V90" s="25" t="e">
        <f t="shared" si="59"/>
        <v>#DIV/0!</v>
      </c>
      <c r="W90" s="81">
        <v>1</v>
      </c>
      <c r="X90" s="81">
        <v>0</v>
      </c>
      <c r="Y90" s="25">
        <f t="shared" si="1"/>
        <v>0</v>
      </c>
      <c r="Z90" s="81">
        <v>0</v>
      </c>
      <c r="AA90" s="81"/>
      <c r="AB90" s="25" t="e">
        <f t="shared" si="2"/>
        <v>#DIV/0!</v>
      </c>
      <c r="AC90" s="81">
        <v>1</v>
      </c>
      <c r="AD90" s="81"/>
      <c r="AE90" s="25">
        <f t="shared" si="3"/>
        <v>0</v>
      </c>
      <c r="AF90" s="140">
        <f t="shared" si="84"/>
        <v>1</v>
      </c>
      <c r="AG90" s="140">
        <f t="shared" si="85"/>
        <v>0</v>
      </c>
      <c r="AH90" s="138">
        <f t="shared" si="5"/>
        <v>0</v>
      </c>
      <c r="AI90" s="101">
        <v>46113</v>
      </c>
      <c r="AJ90" s="101">
        <v>46477</v>
      </c>
      <c r="AK90" s="102" t="s">
        <v>112</v>
      </c>
      <c r="AL90" s="102" t="s">
        <v>113</v>
      </c>
      <c r="AM90" s="103" t="s">
        <v>114</v>
      </c>
      <c r="AN90" s="104">
        <v>30000000</v>
      </c>
      <c r="AO90" s="104">
        <v>30000000</v>
      </c>
      <c r="AP90" s="104">
        <v>30000000</v>
      </c>
      <c r="AQ90" s="326">
        <v>0</v>
      </c>
      <c r="AR90" s="322"/>
      <c r="AS90" s="102" t="s">
        <v>112</v>
      </c>
      <c r="AT90" s="152" t="s">
        <v>353</v>
      </c>
      <c r="AU90" s="166" t="s">
        <v>2264</v>
      </c>
      <c r="AV90" s="247" t="s">
        <v>2234</v>
      </c>
      <c r="AW90" s="136" t="s">
        <v>2242</v>
      </c>
      <c r="AX90" s="136" t="s">
        <v>2358</v>
      </c>
      <c r="AY90" s="136" t="s">
        <v>2376</v>
      </c>
      <c r="BA90" s="272"/>
      <c r="BB90" s="273"/>
      <c r="BC90" s="209" t="e">
        <f t="shared" si="60"/>
        <v>#DIV/0!</v>
      </c>
      <c r="BD90" s="272"/>
      <c r="BE90" s="273"/>
      <c r="BF90" s="209" t="e">
        <f t="shared" si="61"/>
        <v>#DIV/0!</v>
      </c>
      <c r="BG90" s="272"/>
      <c r="BH90" s="273"/>
      <c r="BI90" s="209" t="e">
        <f t="shared" si="62"/>
        <v>#DIV/0!</v>
      </c>
      <c r="BJ90" s="210">
        <f t="shared" si="63"/>
        <v>0</v>
      </c>
      <c r="BK90" s="211">
        <f t="shared" si="64"/>
        <v>0</v>
      </c>
      <c r="BL90" s="209" t="e">
        <f t="shared" si="65"/>
        <v>#DIV/0!</v>
      </c>
      <c r="BM90" s="272"/>
      <c r="BN90" s="273"/>
      <c r="BO90" s="209" t="e">
        <f t="shared" si="86"/>
        <v>#DIV/0!</v>
      </c>
      <c r="BP90" s="272"/>
      <c r="BQ90" s="273"/>
      <c r="BR90" s="209" t="e">
        <f t="shared" si="87"/>
        <v>#DIV/0!</v>
      </c>
      <c r="BS90" s="272"/>
      <c r="BT90" s="272"/>
      <c r="BU90" s="209" t="e">
        <f t="shared" si="88"/>
        <v>#DIV/0!</v>
      </c>
      <c r="BV90" s="210">
        <f t="shared" si="66"/>
        <v>0</v>
      </c>
      <c r="BW90" s="210">
        <f t="shared" si="67"/>
        <v>0</v>
      </c>
      <c r="BX90" s="209" t="e">
        <f t="shared" si="68"/>
        <v>#DIV/0!</v>
      </c>
      <c r="BY90" s="209">
        <f t="shared" si="69"/>
        <v>0</v>
      </c>
      <c r="BZ90" s="209">
        <f t="shared" si="70"/>
        <v>0</v>
      </c>
      <c r="CA90" s="212"/>
      <c r="CB90" s="245"/>
      <c r="CC90" s="183"/>
      <c r="CD90" s="184"/>
      <c r="CE90" s="185" t="e">
        <f t="shared" si="89"/>
        <v>#DIV/0!</v>
      </c>
      <c r="CF90" s="183"/>
      <c r="CG90" s="184"/>
      <c r="CH90" s="185" t="e">
        <f t="shared" si="90"/>
        <v>#DIV/0!</v>
      </c>
      <c r="CI90" s="189"/>
      <c r="CJ90" s="190"/>
      <c r="CK90" s="185" t="e">
        <f t="shared" si="91"/>
        <v>#DIV/0!</v>
      </c>
      <c r="CL90" s="187">
        <f t="shared" si="92"/>
        <v>0</v>
      </c>
      <c r="CM90" s="186">
        <f t="shared" si="93"/>
        <v>0</v>
      </c>
      <c r="CN90" s="185" t="e">
        <f t="shared" si="94"/>
        <v>#DIV/0!</v>
      </c>
      <c r="CO90" s="245"/>
      <c r="CP90" s="188">
        <f t="shared" si="95"/>
        <v>0</v>
      </c>
      <c r="CQ90" s="188">
        <f t="shared" si="96"/>
        <v>0</v>
      </c>
      <c r="CR90" s="191" t="e">
        <f t="shared" si="97"/>
        <v>#DIV/0!</v>
      </c>
      <c r="CS90" s="279">
        <f t="shared" si="71"/>
        <v>1</v>
      </c>
      <c r="CT90" s="245"/>
      <c r="CU90" s="188">
        <f t="shared" si="72"/>
        <v>0.3</v>
      </c>
      <c r="CV90" s="277"/>
      <c r="CW90" s="191">
        <f t="shared" si="73"/>
        <v>0</v>
      </c>
      <c r="CX90" s="188">
        <f t="shared" si="74"/>
        <v>0.3</v>
      </c>
      <c r="CY90" s="277"/>
      <c r="CZ90" s="191">
        <f t="shared" si="75"/>
        <v>0</v>
      </c>
      <c r="DA90" s="188">
        <f t="shared" si="76"/>
        <v>0.3</v>
      </c>
      <c r="DB90" s="277"/>
      <c r="DC90" s="191">
        <f t="shared" si="77"/>
        <v>0</v>
      </c>
      <c r="DD90" s="188">
        <f t="shared" si="78"/>
        <v>0.1</v>
      </c>
      <c r="DE90" s="277"/>
      <c r="DF90" s="191">
        <f t="shared" si="79"/>
        <v>0</v>
      </c>
      <c r="DG90" s="245"/>
      <c r="DH90" s="188">
        <f t="shared" si="80"/>
        <v>1</v>
      </c>
      <c r="DI90" s="188">
        <f t="shared" si="81"/>
        <v>0</v>
      </c>
      <c r="DJ90" s="191">
        <f t="shared" si="82"/>
        <v>0</v>
      </c>
      <c r="DK90" s="286">
        <f t="shared" si="83"/>
        <v>1</v>
      </c>
      <c r="DL90" s="261">
        <v>86</v>
      </c>
      <c r="DM90" s="244">
        <f>+A90-DL90</f>
        <v>0</v>
      </c>
    </row>
    <row r="91" spans="1:117" x14ac:dyDescent="0.35">
      <c r="A91" s="263">
        <v>87</v>
      </c>
      <c r="B91" s="102" t="s">
        <v>270</v>
      </c>
      <c r="C91" s="102" t="s">
        <v>97</v>
      </c>
      <c r="D91" s="102" t="s">
        <v>98</v>
      </c>
      <c r="E91" s="102" t="s">
        <v>155</v>
      </c>
      <c r="F91" s="102" t="s">
        <v>378</v>
      </c>
      <c r="G91" s="98" t="s">
        <v>99</v>
      </c>
      <c r="H91" s="98" t="s">
        <v>99</v>
      </c>
      <c r="I91" s="98" t="s">
        <v>379</v>
      </c>
      <c r="J91" s="98" t="s">
        <v>379</v>
      </c>
      <c r="K91" s="96" t="s">
        <v>104</v>
      </c>
      <c r="L91" s="96" t="s">
        <v>105</v>
      </c>
      <c r="M91" s="98" t="s">
        <v>106</v>
      </c>
      <c r="N91" s="98" t="s">
        <v>380</v>
      </c>
      <c r="O91" s="98" t="s">
        <v>108</v>
      </c>
      <c r="P91" s="98" t="s">
        <v>381</v>
      </c>
      <c r="Q91" s="98" t="s">
        <v>129</v>
      </c>
      <c r="R91" s="301">
        <v>29</v>
      </c>
      <c r="S91" s="99" t="s">
        <v>111</v>
      </c>
      <c r="T91" s="81">
        <v>0</v>
      </c>
      <c r="U91" s="81">
        <v>0</v>
      </c>
      <c r="V91" s="25" t="e">
        <f t="shared" si="59"/>
        <v>#DIV/0!</v>
      </c>
      <c r="W91" s="81">
        <v>0</v>
      </c>
      <c r="X91" s="81">
        <v>1</v>
      </c>
      <c r="Y91" s="25" t="e">
        <f t="shared" si="1"/>
        <v>#DIV/0!</v>
      </c>
      <c r="Z91" s="81">
        <v>14</v>
      </c>
      <c r="AA91" s="81"/>
      <c r="AB91" s="25">
        <f t="shared" si="2"/>
        <v>0</v>
      </c>
      <c r="AC91" s="81">
        <v>15</v>
      </c>
      <c r="AD91" s="81"/>
      <c r="AE91" s="25">
        <f t="shared" si="3"/>
        <v>0</v>
      </c>
      <c r="AF91" s="140">
        <f t="shared" si="84"/>
        <v>29</v>
      </c>
      <c r="AG91" s="140">
        <f t="shared" si="85"/>
        <v>1</v>
      </c>
      <c r="AH91" s="138" t="e">
        <f t="shared" si="5"/>
        <v>#DIV/0!</v>
      </c>
      <c r="AI91" s="101">
        <v>46113</v>
      </c>
      <c r="AJ91" s="101">
        <v>46477</v>
      </c>
      <c r="AK91" s="102" t="s">
        <v>112</v>
      </c>
      <c r="AL91" s="102" t="s">
        <v>113</v>
      </c>
      <c r="AM91" s="103" t="s">
        <v>114</v>
      </c>
      <c r="AN91" s="104">
        <v>150000000</v>
      </c>
      <c r="AO91" s="104">
        <v>150000000</v>
      </c>
      <c r="AP91" s="104">
        <v>150000000</v>
      </c>
      <c r="AQ91" s="326">
        <v>0</v>
      </c>
      <c r="AR91" s="102" t="s">
        <v>191</v>
      </c>
      <c r="AS91" s="102" t="s">
        <v>112</v>
      </c>
      <c r="AT91" s="152" t="s">
        <v>382</v>
      </c>
      <c r="AU91" s="166" t="s">
        <v>2264</v>
      </c>
      <c r="AV91" s="247" t="s">
        <v>2234</v>
      </c>
      <c r="AW91" s="136" t="s">
        <v>2241</v>
      </c>
      <c r="AX91" s="136" t="s">
        <v>2357</v>
      </c>
      <c r="AY91" s="136" t="s">
        <v>2376</v>
      </c>
      <c r="BA91" s="272">
        <v>0</v>
      </c>
      <c r="BB91" s="273">
        <v>0</v>
      </c>
      <c r="BC91" s="209" t="e">
        <f t="shared" si="60"/>
        <v>#DIV/0!</v>
      </c>
      <c r="BD91" s="272">
        <v>0</v>
      </c>
      <c r="BE91" s="273">
        <v>0</v>
      </c>
      <c r="BF91" s="209" t="e">
        <f t="shared" si="61"/>
        <v>#DIV/0!</v>
      </c>
      <c r="BG91" s="272"/>
      <c r="BH91" s="273"/>
      <c r="BI91" s="209" t="e">
        <f t="shared" si="62"/>
        <v>#DIV/0!</v>
      </c>
      <c r="BJ91" s="210">
        <f t="shared" si="63"/>
        <v>0</v>
      </c>
      <c r="BK91" s="211">
        <f t="shared" si="64"/>
        <v>0</v>
      </c>
      <c r="BL91" s="209" t="e">
        <f t="shared" si="65"/>
        <v>#DIV/0!</v>
      </c>
      <c r="BM91" s="272"/>
      <c r="BN91" s="273"/>
      <c r="BO91" s="209" t="e">
        <f t="shared" si="86"/>
        <v>#DIV/0!</v>
      </c>
      <c r="BP91" s="272"/>
      <c r="BQ91" s="273"/>
      <c r="BR91" s="209" t="e">
        <f t="shared" si="87"/>
        <v>#DIV/0!</v>
      </c>
      <c r="BS91" s="272"/>
      <c r="BT91" s="272"/>
      <c r="BU91" s="209" t="e">
        <f t="shared" si="88"/>
        <v>#DIV/0!</v>
      </c>
      <c r="BV91" s="210">
        <f t="shared" si="66"/>
        <v>0</v>
      </c>
      <c r="BW91" s="210">
        <f t="shared" si="67"/>
        <v>0</v>
      </c>
      <c r="BX91" s="209" t="e">
        <f t="shared" si="68"/>
        <v>#DIV/0!</v>
      </c>
      <c r="BY91" s="209">
        <f t="shared" si="69"/>
        <v>0</v>
      </c>
      <c r="BZ91" s="209">
        <f t="shared" si="70"/>
        <v>0</v>
      </c>
      <c r="CA91" s="212"/>
      <c r="CB91" s="245"/>
      <c r="CC91" s="183"/>
      <c r="CD91" s="184"/>
      <c r="CE91" s="185" t="e">
        <f t="shared" si="89"/>
        <v>#DIV/0!</v>
      </c>
      <c r="CF91" s="183"/>
      <c r="CG91" s="184"/>
      <c r="CH91" s="185" t="e">
        <f t="shared" si="90"/>
        <v>#DIV/0!</v>
      </c>
      <c r="CI91" s="189"/>
      <c r="CJ91" s="190"/>
      <c r="CK91" s="185" t="e">
        <f t="shared" si="91"/>
        <v>#DIV/0!</v>
      </c>
      <c r="CL91" s="187">
        <f t="shared" si="92"/>
        <v>0</v>
      </c>
      <c r="CM91" s="186">
        <f t="shared" si="93"/>
        <v>0</v>
      </c>
      <c r="CN91" s="185" t="e">
        <f t="shared" si="94"/>
        <v>#DIV/0!</v>
      </c>
      <c r="CO91" s="245"/>
      <c r="CP91" s="188">
        <f t="shared" si="95"/>
        <v>0</v>
      </c>
      <c r="CQ91" s="188">
        <f t="shared" si="96"/>
        <v>0</v>
      </c>
      <c r="CR91" s="191" t="e">
        <f t="shared" si="97"/>
        <v>#DIV/0!</v>
      </c>
      <c r="CS91" s="279">
        <f t="shared" si="71"/>
        <v>29</v>
      </c>
      <c r="CT91" s="245"/>
      <c r="CU91" s="188">
        <f t="shared" si="72"/>
        <v>8.6999999999999993</v>
      </c>
      <c r="CV91" s="277"/>
      <c r="CW91" s="191">
        <f t="shared" si="73"/>
        <v>0</v>
      </c>
      <c r="CX91" s="188">
        <f t="shared" si="74"/>
        <v>8.6999999999999993</v>
      </c>
      <c r="CY91" s="277"/>
      <c r="CZ91" s="191">
        <f t="shared" si="75"/>
        <v>0</v>
      </c>
      <c r="DA91" s="188">
        <f t="shared" si="76"/>
        <v>8.6999999999999993</v>
      </c>
      <c r="DB91" s="277"/>
      <c r="DC91" s="191">
        <f t="shared" si="77"/>
        <v>0</v>
      </c>
      <c r="DD91" s="188">
        <f t="shared" si="78"/>
        <v>2.9000000000000004</v>
      </c>
      <c r="DE91" s="277"/>
      <c r="DF91" s="191">
        <f t="shared" si="79"/>
        <v>0</v>
      </c>
      <c r="DG91" s="245"/>
      <c r="DH91" s="188">
        <f t="shared" si="80"/>
        <v>29</v>
      </c>
      <c r="DI91" s="188">
        <f t="shared" si="81"/>
        <v>0</v>
      </c>
      <c r="DJ91" s="191">
        <f t="shared" si="82"/>
        <v>0</v>
      </c>
      <c r="DK91" s="286">
        <f t="shared" si="83"/>
        <v>29</v>
      </c>
      <c r="DL91" s="261">
        <v>87</v>
      </c>
      <c r="DM91" s="244">
        <f>+A91-DL91</f>
        <v>0</v>
      </c>
    </row>
    <row r="92" spans="1:117" x14ac:dyDescent="0.35">
      <c r="A92" s="263">
        <v>88</v>
      </c>
      <c r="B92" s="102" t="s">
        <v>270</v>
      </c>
      <c r="C92" s="102" t="s">
        <v>97</v>
      </c>
      <c r="D92" s="102" t="s">
        <v>98</v>
      </c>
      <c r="E92" s="102" t="s">
        <v>155</v>
      </c>
      <c r="F92" s="102" t="s">
        <v>378</v>
      </c>
      <c r="G92" s="98" t="s">
        <v>99</v>
      </c>
      <c r="H92" s="98" t="s">
        <v>99</v>
      </c>
      <c r="I92" s="98" t="s">
        <v>383</v>
      </c>
      <c r="J92" s="98" t="s">
        <v>383</v>
      </c>
      <c r="K92" s="96" t="s">
        <v>104</v>
      </c>
      <c r="L92" s="96" t="s">
        <v>105</v>
      </c>
      <c r="M92" s="98" t="s">
        <v>106</v>
      </c>
      <c r="N92" s="98" t="s">
        <v>380</v>
      </c>
      <c r="O92" s="98" t="s">
        <v>108</v>
      </c>
      <c r="P92" s="98" t="s">
        <v>384</v>
      </c>
      <c r="Q92" s="98" t="s">
        <v>110</v>
      </c>
      <c r="R92" s="301">
        <v>29</v>
      </c>
      <c r="S92" s="99" t="s">
        <v>111</v>
      </c>
      <c r="T92" s="81">
        <v>29</v>
      </c>
      <c r="U92" s="81">
        <v>0</v>
      </c>
      <c r="V92" s="25">
        <f t="shared" si="59"/>
        <v>0</v>
      </c>
      <c r="W92" s="81">
        <v>29</v>
      </c>
      <c r="X92" s="81">
        <v>0</v>
      </c>
      <c r="Y92" s="25">
        <f t="shared" si="1"/>
        <v>0</v>
      </c>
      <c r="Z92" s="81">
        <v>29</v>
      </c>
      <c r="AA92" s="81"/>
      <c r="AB92" s="25">
        <f t="shared" si="2"/>
        <v>0</v>
      </c>
      <c r="AC92" s="81">
        <v>29</v>
      </c>
      <c r="AD92" s="81"/>
      <c r="AE92" s="25">
        <f t="shared" si="3"/>
        <v>0</v>
      </c>
      <c r="AF92" s="140">
        <f t="shared" si="84"/>
        <v>29</v>
      </c>
      <c r="AG92" s="140">
        <f t="shared" si="85"/>
        <v>0</v>
      </c>
      <c r="AH92" s="138">
        <f t="shared" si="5"/>
        <v>0</v>
      </c>
      <c r="AI92" s="101">
        <v>46113</v>
      </c>
      <c r="AJ92" s="101">
        <v>46477</v>
      </c>
      <c r="AK92" s="102" t="s">
        <v>112</v>
      </c>
      <c r="AL92" s="102" t="s">
        <v>113</v>
      </c>
      <c r="AM92" s="103" t="s">
        <v>114</v>
      </c>
      <c r="AN92" s="104">
        <v>120000000</v>
      </c>
      <c r="AO92" s="104">
        <v>120000000</v>
      </c>
      <c r="AP92" s="104">
        <v>120000000</v>
      </c>
      <c r="AQ92" s="326">
        <v>0</v>
      </c>
      <c r="AR92" s="102" t="s">
        <v>385</v>
      </c>
      <c r="AS92" s="102" t="s">
        <v>112</v>
      </c>
      <c r="AT92" s="152" t="s">
        <v>382</v>
      </c>
      <c r="AU92" s="166" t="s">
        <v>2264</v>
      </c>
      <c r="AV92" s="247" t="s">
        <v>2234</v>
      </c>
      <c r="AW92" s="136" t="s">
        <v>2241</v>
      </c>
      <c r="AX92" s="136" t="s">
        <v>2357</v>
      </c>
      <c r="AY92" s="136" t="s">
        <v>2376</v>
      </c>
      <c r="BA92" s="272"/>
      <c r="BB92" s="273"/>
      <c r="BC92" s="209" t="e">
        <f t="shared" si="60"/>
        <v>#DIV/0!</v>
      </c>
      <c r="BD92" s="272"/>
      <c r="BE92" s="273"/>
      <c r="BF92" s="209" t="e">
        <f t="shared" si="61"/>
        <v>#DIV/0!</v>
      </c>
      <c r="BG92" s="272"/>
      <c r="BH92" s="273"/>
      <c r="BI92" s="209" t="e">
        <f t="shared" si="62"/>
        <v>#DIV/0!</v>
      </c>
      <c r="BJ92" s="210">
        <f t="shared" si="63"/>
        <v>0</v>
      </c>
      <c r="BK92" s="211">
        <f t="shared" si="64"/>
        <v>0</v>
      </c>
      <c r="BL92" s="209" t="e">
        <f t="shared" si="65"/>
        <v>#DIV/0!</v>
      </c>
      <c r="BM92" s="272"/>
      <c r="BN92" s="273"/>
      <c r="BO92" s="209" t="e">
        <f t="shared" si="86"/>
        <v>#DIV/0!</v>
      </c>
      <c r="BP92" s="272"/>
      <c r="BQ92" s="273"/>
      <c r="BR92" s="209" t="e">
        <f t="shared" si="87"/>
        <v>#DIV/0!</v>
      </c>
      <c r="BS92" s="272"/>
      <c r="BT92" s="272"/>
      <c r="BU92" s="209" t="e">
        <f t="shared" si="88"/>
        <v>#DIV/0!</v>
      </c>
      <c r="BV92" s="210">
        <f t="shared" si="66"/>
        <v>0</v>
      </c>
      <c r="BW92" s="210">
        <f t="shared" si="67"/>
        <v>0</v>
      </c>
      <c r="BX92" s="209" t="e">
        <f t="shared" si="68"/>
        <v>#DIV/0!</v>
      </c>
      <c r="BY92" s="209">
        <f t="shared" si="69"/>
        <v>0</v>
      </c>
      <c r="BZ92" s="209">
        <f t="shared" si="70"/>
        <v>0</v>
      </c>
      <c r="CA92" s="212"/>
      <c r="CB92" s="245"/>
      <c r="CC92" s="183"/>
      <c r="CD92" s="184"/>
      <c r="CE92" s="185" t="e">
        <f t="shared" si="89"/>
        <v>#DIV/0!</v>
      </c>
      <c r="CF92" s="183"/>
      <c r="CG92" s="184"/>
      <c r="CH92" s="185" t="e">
        <f t="shared" si="90"/>
        <v>#DIV/0!</v>
      </c>
      <c r="CI92" s="189"/>
      <c r="CJ92" s="190"/>
      <c r="CK92" s="185" t="e">
        <f t="shared" si="91"/>
        <v>#DIV/0!</v>
      </c>
      <c r="CL92" s="187">
        <f t="shared" si="92"/>
        <v>0</v>
      </c>
      <c r="CM92" s="186">
        <f t="shared" si="93"/>
        <v>0</v>
      </c>
      <c r="CN92" s="185" t="e">
        <f t="shared" si="94"/>
        <v>#DIV/0!</v>
      </c>
      <c r="CO92" s="245"/>
      <c r="CP92" s="188">
        <f t="shared" si="95"/>
        <v>0</v>
      </c>
      <c r="CQ92" s="188">
        <f t="shared" si="96"/>
        <v>0</v>
      </c>
      <c r="CR92" s="191" t="e">
        <f t="shared" si="97"/>
        <v>#DIV/0!</v>
      </c>
      <c r="CS92" s="279">
        <f t="shared" si="71"/>
        <v>29</v>
      </c>
      <c r="CT92" s="245"/>
      <c r="CU92" s="188">
        <f t="shared" si="72"/>
        <v>8.6999999999999993</v>
      </c>
      <c r="CV92" s="277"/>
      <c r="CW92" s="191">
        <f t="shared" si="73"/>
        <v>0</v>
      </c>
      <c r="CX92" s="188">
        <f t="shared" si="74"/>
        <v>8.6999999999999993</v>
      </c>
      <c r="CY92" s="277"/>
      <c r="CZ92" s="191">
        <f t="shared" si="75"/>
        <v>0</v>
      </c>
      <c r="DA92" s="188">
        <f t="shared" si="76"/>
        <v>8.6999999999999993</v>
      </c>
      <c r="DB92" s="277"/>
      <c r="DC92" s="191">
        <f t="shared" si="77"/>
        <v>0</v>
      </c>
      <c r="DD92" s="188">
        <f t="shared" si="78"/>
        <v>2.9000000000000004</v>
      </c>
      <c r="DE92" s="277"/>
      <c r="DF92" s="191">
        <f t="shared" si="79"/>
        <v>0</v>
      </c>
      <c r="DG92" s="245"/>
      <c r="DH92" s="188">
        <f t="shared" si="80"/>
        <v>29</v>
      </c>
      <c r="DI92" s="188">
        <f t="shared" si="81"/>
        <v>0</v>
      </c>
      <c r="DJ92" s="191">
        <f t="shared" si="82"/>
        <v>0</v>
      </c>
      <c r="DK92" s="286">
        <f t="shared" si="83"/>
        <v>29</v>
      </c>
      <c r="DL92" s="261">
        <v>88</v>
      </c>
      <c r="DM92" s="244">
        <f>+A92-DL92</f>
        <v>0</v>
      </c>
    </row>
    <row r="93" spans="1:117" x14ac:dyDescent="0.35">
      <c r="A93" s="263">
        <v>89</v>
      </c>
      <c r="B93" s="102" t="s">
        <v>270</v>
      </c>
      <c r="C93" s="102" t="s">
        <v>195</v>
      </c>
      <c r="D93" s="102" t="s">
        <v>196</v>
      </c>
      <c r="E93" s="102" t="s">
        <v>185</v>
      </c>
      <c r="F93" s="102" t="s">
        <v>386</v>
      </c>
      <c r="G93" s="98" t="s">
        <v>387</v>
      </c>
      <c r="H93" s="98" t="s">
        <v>388</v>
      </c>
      <c r="I93" s="98" t="s">
        <v>379</v>
      </c>
      <c r="J93" s="98" t="s">
        <v>379</v>
      </c>
      <c r="K93" s="96" t="s">
        <v>104</v>
      </c>
      <c r="L93" s="96" t="s">
        <v>105</v>
      </c>
      <c r="M93" s="98" t="s">
        <v>106</v>
      </c>
      <c r="N93" s="98" t="s">
        <v>380</v>
      </c>
      <c r="O93" s="98" t="s">
        <v>108</v>
      </c>
      <c r="P93" s="98" t="s">
        <v>389</v>
      </c>
      <c r="Q93" s="98" t="s">
        <v>110</v>
      </c>
      <c r="R93" s="301">
        <v>4</v>
      </c>
      <c r="S93" s="99" t="s">
        <v>111</v>
      </c>
      <c r="T93" s="81">
        <v>0</v>
      </c>
      <c r="U93" s="81">
        <v>0</v>
      </c>
      <c r="V93" s="25" t="e">
        <f t="shared" si="59"/>
        <v>#DIV/0!</v>
      </c>
      <c r="W93" s="81">
        <v>0</v>
      </c>
      <c r="X93" s="81">
        <v>0</v>
      </c>
      <c r="Y93" s="25" t="e">
        <f t="shared" si="1"/>
        <v>#DIV/0!</v>
      </c>
      <c r="Z93" s="81">
        <v>2</v>
      </c>
      <c r="AA93" s="81"/>
      <c r="AB93" s="25">
        <f t="shared" si="2"/>
        <v>0</v>
      </c>
      <c r="AC93" s="81">
        <v>2</v>
      </c>
      <c r="AD93" s="81"/>
      <c r="AE93" s="25">
        <f t="shared" si="3"/>
        <v>0</v>
      </c>
      <c r="AF93" s="140">
        <f t="shared" si="84"/>
        <v>4</v>
      </c>
      <c r="AG93" s="140">
        <f t="shared" si="85"/>
        <v>0</v>
      </c>
      <c r="AH93" s="138" t="e">
        <f t="shared" si="5"/>
        <v>#DIV/0!</v>
      </c>
      <c r="AI93" s="101">
        <v>46054</v>
      </c>
      <c r="AJ93" s="101">
        <v>46477</v>
      </c>
      <c r="AK93" s="102" t="s">
        <v>112</v>
      </c>
      <c r="AL93" s="102" t="s">
        <v>113</v>
      </c>
      <c r="AM93" s="103" t="s">
        <v>114</v>
      </c>
      <c r="AN93" s="104">
        <v>80000000</v>
      </c>
      <c r="AO93" s="104">
        <v>80000000</v>
      </c>
      <c r="AP93" s="104">
        <v>80000000</v>
      </c>
      <c r="AQ93" s="326">
        <v>0</v>
      </c>
      <c r="AR93" s="102" t="s">
        <v>159</v>
      </c>
      <c r="AS93" s="102" t="s">
        <v>112</v>
      </c>
      <c r="AT93" s="152" t="s">
        <v>382</v>
      </c>
      <c r="AU93" s="166" t="s">
        <v>2264</v>
      </c>
      <c r="AV93" s="247" t="s">
        <v>2234</v>
      </c>
      <c r="AW93" s="136" t="s">
        <v>2241</v>
      </c>
      <c r="AX93" s="136" t="s">
        <v>2357</v>
      </c>
      <c r="AY93" s="136" t="s">
        <v>2376</v>
      </c>
      <c r="BA93" s="272"/>
      <c r="BB93" s="273"/>
      <c r="BC93" s="209" t="e">
        <f t="shared" si="60"/>
        <v>#DIV/0!</v>
      </c>
      <c r="BD93" s="272"/>
      <c r="BE93" s="273"/>
      <c r="BF93" s="209" t="e">
        <f t="shared" si="61"/>
        <v>#DIV/0!</v>
      </c>
      <c r="BG93" s="272"/>
      <c r="BH93" s="273"/>
      <c r="BI93" s="209" t="e">
        <f t="shared" si="62"/>
        <v>#DIV/0!</v>
      </c>
      <c r="BJ93" s="210">
        <f t="shared" si="63"/>
        <v>0</v>
      </c>
      <c r="BK93" s="211">
        <f t="shared" si="64"/>
        <v>0</v>
      </c>
      <c r="BL93" s="209" t="e">
        <f t="shared" si="65"/>
        <v>#DIV/0!</v>
      </c>
      <c r="BM93" s="272"/>
      <c r="BN93" s="273"/>
      <c r="BO93" s="209" t="e">
        <f t="shared" si="86"/>
        <v>#DIV/0!</v>
      </c>
      <c r="BP93" s="272"/>
      <c r="BQ93" s="273"/>
      <c r="BR93" s="209" t="e">
        <f t="shared" si="87"/>
        <v>#DIV/0!</v>
      </c>
      <c r="BS93" s="272"/>
      <c r="BT93" s="272"/>
      <c r="BU93" s="209" t="e">
        <f t="shared" si="88"/>
        <v>#DIV/0!</v>
      </c>
      <c r="BV93" s="210">
        <f t="shared" si="66"/>
        <v>0</v>
      </c>
      <c r="BW93" s="210">
        <f t="shared" si="67"/>
        <v>0</v>
      </c>
      <c r="BX93" s="209" t="e">
        <f t="shared" si="68"/>
        <v>#DIV/0!</v>
      </c>
      <c r="BY93" s="209">
        <f t="shared" si="69"/>
        <v>0</v>
      </c>
      <c r="BZ93" s="209">
        <f t="shared" si="70"/>
        <v>0</v>
      </c>
      <c r="CA93" s="212"/>
      <c r="CB93" s="245"/>
      <c r="CC93" s="183"/>
      <c r="CD93" s="184"/>
      <c r="CE93" s="185" t="e">
        <f t="shared" si="89"/>
        <v>#DIV/0!</v>
      </c>
      <c r="CF93" s="183"/>
      <c r="CG93" s="184"/>
      <c r="CH93" s="185" t="e">
        <f t="shared" si="90"/>
        <v>#DIV/0!</v>
      </c>
      <c r="CI93" s="189"/>
      <c r="CJ93" s="190"/>
      <c r="CK93" s="185" t="e">
        <f t="shared" si="91"/>
        <v>#DIV/0!</v>
      </c>
      <c r="CL93" s="187">
        <f t="shared" si="92"/>
        <v>0</v>
      </c>
      <c r="CM93" s="186">
        <f t="shared" si="93"/>
        <v>0</v>
      </c>
      <c r="CN93" s="185" t="e">
        <f t="shared" si="94"/>
        <v>#DIV/0!</v>
      </c>
      <c r="CO93" s="245"/>
      <c r="CP93" s="188">
        <f t="shared" si="95"/>
        <v>0</v>
      </c>
      <c r="CQ93" s="188">
        <f t="shared" si="96"/>
        <v>0</v>
      </c>
      <c r="CR93" s="191" t="e">
        <f t="shared" si="97"/>
        <v>#DIV/0!</v>
      </c>
      <c r="CS93" s="279">
        <f t="shared" si="71"/>
        <v>4</v>
      </c>
      <c r="CT93" s="245"/>
      <c r="CU93" s="188">
        <f t="shared" si="72"/>
        <v>1.2</v>
      </c>
      <c r="CV93" s="277"/>
      <c r="CW93" s="191">
        <f t="shared" si="73"/>
        <v>0</v>
      </c>
      <c r="CX93" s="188">
        <f t="shared" si="74"/>
        <v>1.2</v>
      </c>
      <c r="CY93" s="277"/>
      <c r="CZ93" s="191">
        <f t="shared" si="75"/>
        <v>0</v>
      </c>
      <c r="DA93" s="188">
        <f t="shared" si="76"/>
        <v>1.2</v>
      </c>
      <c r="DB93" s="277"/>
      <c r="DC93" s="191">
        <f t="shared" si="77"/>
        <v>0</v>
      </c>
      <c r="DD93" s="188">
        <f t="shared" si="78"/>
        <v>0.4</v>
      </c>
      <c r="DE93" s="277"/>
      <c r="DF93" s="191">
        <f t="shared" si="79"/>
        <v>0</v>
      </c>
      <c r="DG93" s="245"/>
      <c r="DH93" s="188">
        <f t="shared" si="80"/>
        <v>4</v>
      </c>
      <c r="DI93" s="188">
        <f t="shared" si="81"/>
        <v>0</v>
      </c>
      <c r="DJ93" s="191">
        <f t="shared" si="82"/>
        <v>0</v>
      </c>
      <c r="DK93" s="286">
        <f t="shared" si="83"/>
        <v>4</v>
      </c>
      <c r="DL93" s="261">
        <v>89</v>
      </c>
      <c r="DM93" s="244">
        <f>+A93-DL93</f>
        <v>0</v>
      </c>
    </row>
    <row r="94" spans="1:117" x14ac:dyDescent="0.35">
      <c r="A94" s="263">
        <v>90</v>
      </c>
      <c r="B94" s="102" t="s">
        <v>270</v>
      </c>
      <c r="C94" s="102" t="s">
        <v>97</v>
      </c>
      <c r="D94" s="102" t="s">
        <v>98</v>
      </c>
      <c r="E94" s="102" t="s">
        <v>390</v>
      </c>
      <c r="F94" s="102" t="s">
        <v>391</v>
      </c>
      <c r="G94" s="98" t="s">
        <v>392</v>
      </c>
      <c r="H94" s="98" t="s">
        <v>393</v>
      </c>
      <c r="I94" s="98" t="s">
        <v>394</v>
      </c>
      <c r="J94" s="98" t="s">
        <v>394</v>
      </c>
      <c r="K94" s="96" t="s">
        <v>104</v>
      </c>
      <c r="L94" s="96" t="s">
        <v>105</v>
      </c>
      <c r="M94" s="98" t="s">
        <v>106</v>
      </c>
      <c r="N94" s="98" t="s">
        <v>380</v>
      </c>
      <c r="O94" s="98" t="s">
        <v>108</v>
      </c>
      <c r="P94" s="98" t="s">
        <v>395</v>
      </c>
      <c r="Q94" s="98" t="s">
        <v>110</v>
      </c>
      <c r="R94" s="301">
        <v>2</v>
      </c>
      <c r="S94" s="99" t="s">
        <v>111</v>
      </c>
      <c r="T94" s="81">
        <v>0</v>
      </c>
      <c r="U94" s="81">
        <v>0</v>
      </c>
      <c r="V94" s="25" t="e">
        <f t="shared" si="59"/>
        <v>#DIV/0!</v>
      </c>
      <c r="W94" s="81">
        <v>1</v>
      </c>
      <c r="X94" s="81">
        <v>1</v>
      </c>
      <c r="Y94" s="25">
        <f t="shared" si="1"/>
        <v>100</v>
      </c>
      <c r="Z94" s="81">
        <v>1</v>
      </c>
      <c r="AA94" s="81"/>
      <c r="AB94" s="25">
        <f t="shared" si="2"/>
        <v>0</v>
      </c>
      <c r="AC94" s="81">
        <v>0</v>
      </c>
      <c r="AD94" s="81"/>
      <c r="AE94" s="25" t="e">
        <f t="shared" si="3"/>
        <v>#DIV/0!</v>
      </c>
      <c r="AF94" s="140">
        <f t="shared" si="84"/>
        <v>2</v>
      </c>
      <c r="AG94" s="140">
        <f t="shared" si="85"/>
        <v>1</v>
      </c>
      <c r="AH94" s="138">
        <f t="shared" si="5"/>
        <v>100</v>
      </c>
      <c r="AI94" s="101">
        <v>46113</v>
      </c>
      <c r="AJ94" s="101">
        <v>46477</v>
      </c>
      <c r="AK94" s="102" t="s">
        <v>112</v>
      </c>
      <c r="AL94" s="102" t="s">
        <v>113</v>
      </c>
      <c r="AM94" s="103" t="s">
        <v>114</v>
      </c>
      <c r="AN94" s="324"/>
      <c r="AO94" s="324"/>
      <c r="AP94" s="324"/>
      <c r="AQ94" s="326"/>
      <c r="AR94" s="322"/>
      <c r="AS94" s="102" t="s">
        <v>112</v>
      </c>
      <c r="AT94" s="152" t="s">
        <v>382</v>
      </c>
      <c r="AU94" s="166" t="s">
        <v>2264</v>
      </c>
      <c r="AV94" s="247" t="s">
        <v>2234</v>
      </c>
      <c r="AW94" s="136" t="s">
        <v>2241</v>
      </c>
      <c r="AX94" s="136" t="s">
        <v>2357</v>
      </c>
      <c r="AY94" s="136" t="s">
        <v>2376</v>
      </c>
      <c r="BA94" s="272"/>
      <c r="BB94" s="273"/>
      <c r="BC94" s="209" t="e">
        <f t="shared" si="60"/>
        <v>#DIV/0!</v>
      </c>
      <c r="BD94" s="272"/>
      <c r="BE94" s="273"/>
      <c r="BF94" s="209" t="e">
        <f t="shared" si="61"/>
        <v>#DIV/0!</v>
      </c>
      <c r="BG94" s="272"/>
      <c r="BH94" s="273"/>
      <c r="BI94" s="209" t="e">
        <f t="shared" si="62"/>
        <v>#DIV/0!</v>
      </c>
      <c r="BJ94" s="210">
        <f t="shared" si="63"/>
        <v>0</v>
      </c>
      <c r="BK94" s="211">
        <f t="shared" si="64"/>
        <v>0</v>
      </c>
      <c r="BL94" s="209" t="e">
        <f t="shared" si="65"/>
        <v>#DIV/0!</v>
      </c>
      <c r="BM94" s="272"/>
      <c r="BN94" s="273"/>
      <c r="BO94" s="209" t="e">
        <f t="shared" si="86"/>
        <v>#DIV/0!</v>
      </c>
      <c r="BP94" s="272"/>
      <c r="BQ94" s="273"/>
      <c r="BR94" s="209" t="e">
        <f t="shared" si="87"/>
        <v>#DIV/0!</v>
      </c>
      <c r="BS94" s="272"/>
      <c r="BT94" s="272"/>
      <c r="BU94" s="209" t="e">
        <f t="shared" si="88"/>
        <v>#DIV/0!</v>
      </c>
      <c r="BV94" s="210">
        <f t="shared" si="66"/>
        <v>0</v>
      </c>
      <c r="BW94" s="210">
        <f t="shared" si="67"/>
        <v>0</v>
      </c>
      <c r="BX94" s="209" t="e">
        <f t="shared" si="68"/>
        <v>#DIV/0!</v>
      </c>
      <c r="BY94" s="209">
        <f t="shared" si="69"/>
        <v>0</v>
      </c>
      <c r="BZ94" s="209">
        <f t="shared" si="70"/>
        <v>0</v>
      </c>
      <c r="CA94" s="212"/>
      <c r="CB94" s="245"/>
      <c r="CC94" s="183"/>
      <c r="CD94" s="184"/>
      <c r="CE94" s="185" t="e">
        <f t="shared" si="89"/>
        <v>#DIV/0!</v>
      </c>
      <c r="CF94" s="183"/>
      <c r="CG94" s="184"/>
      <c r="CH94" s="185" t="e">
        <f t="shared" si="90"/>
        <v>#DIV/0!</v>
      </c>
      <c r="CI94" s="189"/>
      <c r="CJ94" s="190"/>
      <c r="CK94" s="185" t="e">
        <f t="shared" si="91"/>
        <v>#DIV/0!</v>
      </c>
      <c r="CL94" s="187">
        <f t="shared" si="92"/>
        <v>0</v>
      </c>
      <c r="CM94" s="186">
        <f t="shared" si="93"/>
        <v>0</v>
      </c>
      <c r="CN94" s="185" t="e">
        <f t="shared" si="94"/>
        <v>#DIV/0!</v>
      </c>
      <c r="CO94" s="245"/>
      <c r="CP94" s="188">
        <f t="shared" si="95"/>
        <v>0</v>
      </c>
      <c r="CQ94" s="188">
        <f t="shared" si="96"/>
        <v>0</v>
      </c>
      <c r="CR94" s="191" t="e">
        <f t="shared" si="97"/>
        <v>#DIV/0!</v>
      </c>
      <c r="CS94" s="279">
        <f t="shared" si="71"/>
        <v>2</v>
      </c>
      <c r="CT94" s="245"/>
      <c r="CU94" s="188">
        <f t="shared" si="72"/>
        <v>0.6</v>
      </c>
      <c r="CV94" s="277"/>
      <c r="CW94" s="191">
        <f t="shared" si="73"/>
        <v>0</v>
      </c>
      <c r="CX94" s="188">
        <f t="shared" si="74"/>
        <v>0.6</v>
      </c>
      <c r="CY94" s="277"/>
      <c r="CZ94" s="191">
        <f t="shared" si="75"/>
        <v>0</v>
      </c>
      <c r="DA94" s="188">
        <f t="shared" si="76"/>
        <v>0.6</v>
      </c>
      <c r="DB94" s="277"/>
      <c r="DC94" s="191">
        <f t="shared" si="77"/>
        <v>0</v>
      </c>
      <c r="DD94" s="188">
        <f t="shared" si="78"/>
        <v>0.2</v>
      </c>
      <c r="DE94" s="277"/>
      <c r="DF94" s="191">
        <f t="shared" si="79"/>
        <v>0</v>
      </c>
      <c r="DG94" s="245"/>
      <c r="DH94" s="188">
        <f t="shared" si="80"/>
        <v>2</v>
      </c>
      <c r="DI94" s="188">
        <f t="shared" si="81"/>
        <v>0</v>
      </c>
      <c r="DJ94" s="191">
        <f t="shared" si="82"/>
        <v>0</v>
      </c>
      <c r="DK94" s="286">
        <f t="shared" si="83"/>
        <v>2</v>
      </c>
      <c r="DL94" s="261">
        <v>90</v>
      </c>
      <c r="DM94" s="244">
        <f>+A94-DL94</f>
        <v>0</v>
      </c>
    </row>
    <row r="95" spans="1:117" x14ac:dyDescent="0.35">
      <c r="A95" s="263">
        <v>91</v>
      </c>
      <c r="B95" s="102" t="s">
        <v>270</v>
      </c>
      <c r="C95" s="102" t="s">
        <v>97</v>
      </c>
      <c r="D95" s="102" t="s">
        <v>98</v>
      </c>
      <c r="E95" s="102" t="s">
        <v>390</v>
      </c>
      <c r="F95" s="102" t="s">
        <v>391</v>
      </c>
      <c r="G95" s="98" t="s">
        <v>392</v>
      </c>
      <c r="H95" s="98" t="s">
        <v>393</v>
      </c>
      <c r="I95" s="98" t="s">
        <v>383</v>
      </c>
      <c r="J95" s="98" t="s">
        <v>383</v>
      </c>
      <c r="K95" s="96" t="s">
        <v>104</v>
      </c>
      <c r="L95" s="96" t="s">
        <v>105</v>
      </c>
      <c r="M95" s="98" t="s">
        <v>106</v>
      </c>
      <c r="N95" s="98" t="s">
        <v>380</v>
      </c>
      <c r="O95" s="98" t="s">
        <v>108</v>
      </c>
      <c r="P95" s="98" t="s">
        <v>396</v>
      </c>
      <c r="Q95" s="98" t="s">
        <v>110</v>
      </c>
      <c r="R95" s="301">
        <v>1</v>
      </c>
      <c r="S95" s="99" t="s">
        <v>158</v>
      </c>
      <c r="T95" s="27" t="s">
        <v>397</v>
      </c>
      <c r="U95" s="81">
        <v>0</v>
      </c>
      <c r="V95" s="25">
        <f t="shared" si="59"/>
        <v>0</v>
      </c>
      <c r="W95" s="27" t="s">
        <v>397</v>
      </c>
      <c r="X95" s="81">
        <v>1</v>
      </c>
      <c r="Y95" s="25">
        <f t="shared" si="1"/>
        <v>400</v>
      </c>
      <c r="Z95" s="27" t="s">
        <v>397</v>
      </c>
      <c r="AA95" s="81"/>
      <c r="AB95" s="25">
        <f t="shared" si="2"/>
        <v>0</v>
      </c>
      <c r="AC95" s="27" t="s">
        <v>397</v>
      </c>
      <c r="AD95" s="81"/>
      <c r="AE95" s="25">
        <f t="shared" si="3"/>
        <v>0</v>
      </c>
      <c r="AF95" s="140">
        <f t="shared" si="84"/>
        <v>1</v>
      </c>
      <c r="AG95" s="140">
        <f t="shared" si="85"/>
        <v>1</v>
      </c>
      <c r="AH95" s="138">
        <f t="shared" si="5"/>
        <v>200</v>
      </c>
      <c r="AI95" s="101">
        <v>46113</v>
      </c>
      <c r="AJ95" s="101">
        <v>46477</v>
      </c>
      <c r="AK95" s="102" t="s">
        <v>112</v>
      </c>
      <c r="AL95" s="102" t="s">
        <v>113</v>
      </c>
      <c r="AM95" s="103" t="s">
        <v>114</v>
      </c>
      <c r="AN95" s="104">
        <v>60000000</v>
      </c>
      <c r="AO95" s="104">
        <v>60000000</v>
      </c>
      <c r="AP95" s="104">
        <v>60000000</v>
      </c>
      <c r="AQ95" s="326">
        <v>0</v>
      </c>
      <c r="AR95" s="102" t="s">
        <v>115</v>
      </c>
      <c r="AS95" s="102" t="s">
        <v>112</v>
      </c>
      <c r="AT95" s="152" t="s">
        <v>382</v>
      </c>
      <c r="AU95" s="166" t="s">
        <v>2264</v>
      </c>
      <c r="AV95" s="247" t="s">
        <v>2234</v>
      </c>
      <c r="AW95" s="136" t="s">
        <v>2241</v>
      </c>
      <c r="AX95" s="136" t="s">
        <v>2357</v>
      </c>
      <c r="AY95" s="136" t="s">
        <v>2376</v>
      </c>
      <c r="BA95" s="272"/>
      <c r="BB95" s="273"/>
      <c r="BC95" s="209" t="e">
        <f t="shared" si="60"/>
        <v>#DIV/0!</v>
      </c>
      <c r="BD95" s="272"/>
      <c r="BE95" s="273"/>
      <c r="BF95" s="209" t="e">
        <f t="shared" si="61"/>
        <v>#DIV/0!</v>
      </c>
      <c r="BG95" s="272"/>
      <c r="BH95" s="273"/>
      <c r="BI95" s="209" t="e">
        <f t="shared" si="62"/>
        <v>#DIV/0!</v>
      </c>
      <c r="BJ95" s="210">
        <f t="shared" si="63"/>
        <v>0</v>
      </c>
      <c r="BK95" s="211">
        <f t="shared" si="64"/>
        <v>0</v>
      </c>
      <c r="BL95" s="209" t="e">
        <f t="shared" si="65"/>
        <v>#DIV/0!</v>
      </c>
      <c r="BM95" s="272"/>
      <c r="BN95" s="273"/>
      <c r="BO95" s="209" t="e">
        <f t="shared" si="86"/>
        <v>#DIV/0!</v>
      </c>
      <c r="BP95" s="272"/>
      <c r="BQ95" s="273"/>
      <c r="BR95" s="209" t="e">
        <f t="shared" si="87"/>
        <v>#DIV/0!</v>
      </c>
      <c r="BS95" s="272"/>
      <c r="BT95" s="272"/>
      <c r="BU95" s="209" t="e">
        <f t="shared" si="88"/>
        <v>#DIV/0!</v>
      </c>
      <c r="BV95" s="210">
        <f t="shared" si="66"/>
        <v>0</v>
      </c>
      <c r="BW95" s="210">
        <f t="shared" si="67"/>
        <v>0</v>
      </c>
      <c r="BX95" s="209" t="e">
        <f t="shared" si="68"/>
        <v>#DIV/0!</v>
      </c>
      <c r="BY95" s="209">
        <f t="shared" si="69"/>
        <v>0</v>
      </c>
      <c r="BZ95" s="209">
        <f t="shared" si="70"/>
        <v>0</v>
      </c>
      <c r="CA95" s="212"/>
      <c r="CB95" s="245"/>
      <c r="CC95" s="183"/>
      <c r="CD95" s="184"/>
      <c r="CE95" s="185" t="e">
        <f t="shared" si="89"/>
        <v>#DIV/0!</v>
      </c>
      <c r="CF95" s="183"/>
      <c r="CG95" s="184"/>
      <c r="CH95" s="185" t="e">
        <f t="shared" si="90"/>
        <v>#DIV/0!</v>
      </c>
      <c r="CI95" s="189"/>
      <c r="CJ95" s="190"/>
      <c r="CK95" s="185" t="e">
        <f t="shared" si="91"/>
        <v>#DIV/0!</v>
      </c>
      <c r="CL95" s="187">
        <f t="shared" si="92"/>
        <v>0</v>
      </c>
      <c r="CM95" s="186">
        <f t="shared" si="93"/>
        <v>0</v>
      </c>
      <c r="CN95" s="185" t="e">
        <f t="shared" si="94"/>
        <v>#DIV/0!</v>
      </c>
      <c r="CO95" s="245"/>
      <c r="CP95" s="188">
        <f t="shared" si="95"/>
        <v>0</v>
      </c>
      <c r="CQ95" s="188">
        <f t="shared" si="96"/>
        <v>0</v>
      </c>
      <c r="CR95" s="191" t="e">
        <f t="shared" si="97"/>
        <v>#DIV/0!</v>
      </c>
      <c r="CS95" s="279">
        <f t="shared" si="71"/>
        <v>1</v>
      </c>
      <c r="CT95" s="245"/>
      <c r="CU95" s="188">
        <f t="shared" si="72"/>
        <v>0.3</v>
      </c>
      <c r="CV95" s="277"/>
      <c r="CW95" s="191">
        <f t="shared" si="73"/>
        <v>0</v>
      </c>
      <c r="CX95" s="188">
        <f t="shared" si="74"/>
        <v>0.3</v>
      </c>
      <c r="CY95" s="277"/>
      <c r="CZ95" s="191">
        <f t="shared" si="75"/>
        <v>0</v>
      </c>
      <c r="DA95" s="188">
        <f t="shared" si="76"/>
        <v>0.3</v>
      </c>
      <c r="DB95" s="277"/>
      <c r="DC95" s="191">
        <f t="shared" si="77"/>
        <v>0</v>
      </c>
      <c r="DD95" s="188">
        <f t="shared" si="78"/>
        <v>0.1</v>
      </c>
      <c r="DE95" s="277"/>
      <c r="DF95" s="191">
        <f t="shared" si="79"/>
        <v>0</v>
      </c>
      <c r="DG95" s="245"/>
      <c r="DH95" s="188">
        <f t="shared" si="80"/>
        <v>1</v>
      </c>
      <c r="DI95" s="188">
        <f t="shared" si="81"/>
        <v>0</v>
      </c>
      <c r="DJ95" s="191">
        <f t="shared" si="82"/>
        <v>0</v>
      </c>
      <c r="DK95" s="286">
        <f t="shared" si="83"/>
        <v>1</v>
      </c>
      <c r="DL95" s="261">
        <v>91</v>
      </c>
      <c r="DM95" s="244">
        <f>+A95-DL95</f>
        <v>0</v>
      </c>
    </row>
    <row r="96" spans="1:117" x14ac:dyDescent="0.35">
      <c r="A96" s="263">
        <v>92</v>
      </c>
      <c r="B96" s="102" t="s">
        <v>270</v>
      </c>
      <c r="C96" s="102" t="s">
        <v>118</v>
      </c>
      <c r="D96" s="102" t="s">
        <v>119</v>
      </c>
      <c r="E96" s="102" t="s">
        <v>155</v>
      </c>
      <c r="F96" s="102" t="s">
        <v>398</v>
      </c>
      <c r="G96" s="98" t="s">
        <v>392</v>
      </c>
      <c r="H96" s="98" t="s">
        <v>393</v>
      </c>
      <c r="I96" s="98" t="s">
        <v>379</v>
      </c>
      <c r="J96" s="98" t="s">
        <v>379</v>
      </c>
      <c r="K96" s="96" t="s">
        <v>104</v>
      </c>
      <c r="L96" s="96" t="s">
        <v>105</v>
      </c>
      <c r="M96" s="98" t="s">
        <v>106</v>
      </c>
      <c r="N96" s="98" t="s">
        <v>380</v>
      </c>
      <c r="O96" s="98" t="s">
        <v>127</v>
      </c>
      <c r="P96" s="258" t="s">
        <v>399</v>
      </c>
      <c r="Q96" s="98" t="s">
        <v>129</v>
      </c>
      <c r="R96" s="301">
        <v>4</v>
      </c>
      <c r="S96" s="99" t="s">
        <v>111</v>
      </c>
      <c r="T96" s="81">
        <v>0</v>
      </c>
      <c r="U96" s="81">
        <v>0</v>
      </c>
      <c r="V96" s="25" t="e">
        <f t="shared" si="59"/>
        <v>#DIV/0!</v>
      </c>
      <c r="W96" s="81">
        <v>0</v>
      </c>
      <c r="X96" s="81">
        <v>0</v>
      </c>
      <c r="Y96" s="25" t="e">
        <f t="shared" si="1"/>
        <v>#DIV/0!</v>
      </c>
      <c r="Z96" s="81">
        <v>4</v>
      </c>
      <c r="AA96" s="81"/>
      <c r="AB96" s="25">
        <f t="shared" si="2"/>
        <v>0</v>
      </c>
      <c r="AC96" s="81">
        <v>4</v>
      </c>
      <c r="AD96" s="81"/>
      <c r="AE96" s="25">
        <f t="shared" si="3"/>
        <v>0</v>
      </c>
      <c r="AF96" s="140">
        <f t="shared" si="84"/>
        <v>4</v>
      </c>
      <c r="AG96" s="140">
        <f t="shared" si="85"/>
        <v>0</v>
      </c>
      <c r="AH96" s="138" t="e">
        <f t="shared" si="5"/>
        <v>#DIV/0!</v>
      </c>
      <c r="AI96" s="101">
        <v>46113</v>
      </c>
      <c r="AJ96" s="101">
        <v>46477</v>
      </c>
      <c r="AK96" s="102" t="s">
        <v>112</v>
      </c>
      <c r="AL96" s="102" t="s">
        <v>113</v>
      </c>
      <c r="AM96" s="103" t="s">
        <v>114</v>
      </c>
      <c r="AN96" s="104">
        <v>100000000</v>
      </c>
      <c r="AO96" s="104">
        <v>100000000</v>
      </c>
      <c r="AP96" s="104">
        <v>100000000</v>
      </c>
      <c r="AQ96" s="326">
        <v>0</v>
      </c>
      <c r="AR96" s="102" t="s">
        <v>115</v>
      </c>
      <c r="AS96" s="102" t="s">
        <v>112</v>
      </c>
      <c r="AT96" s="152" t="s">
        <v>382</v>
      </c>
      <c r="AU96" s="166" t="s">
        <v>2264</v>
      </c>
      <c r="AV96" s="247" t="s">
        <v>2234</v>
      </c>
      <c r="AW96" s="136" t="s">
        <v>2241</v>
      </c>
      <c r="AX96" s="136" t="s">
        <v>2357</v>
      </c>
      <c r="AY96" s="136" t="s">
        <v>2376</v>
      </c>
      <c r="BA96" s="272"/>
      <c r="BB96" s="273"/>
      <c r="BC96" s="209" t="e">
        <f t="shared" si="60"/>
        <v>#DIV/0!</v>
      </c>
      <c r="BD96" s="272"/>
      <c r="BE96" s="273"/>
      <c r="BF96" s="209" t="e">
        <f t="shared" si="61"/>
        <v>#DIV/0!</v>
      </c>
      <c r="BG96" s="272"/>
      <c r="BH96" s="273"/>
      <c r="BI96" s="209" t="e">
        <f t="shared" si="62"/>
        <v>#DIV/0!</v>
      </c>
      <c r="BJ96" s="210">
        <f t="shared" si="63"/>
        <v>0</v>
      </c>
      <c r="BK96" s="211">
        <f t="shared" si="64"/>
        <v>0</v>
      </c>
      <c r="BL96" s="209" t="e">
        <f t="shared" si="65"/>
        <v>#DIV/0!</v>
      </c>
      <c r="BM96" s="272"/>
      <c r="BN96" s="273"/>
      <c r="BO96" s="209" t="e">
        <f t="shared" si="86"/>
        <v>#DIV/0!</v>
      </c>
      <c r="BP96" s="272"/>
      <c r="BQ96" s="273"/>
      <c r="BR96" s="209" t="e">
        <f t="shared" si="87"/>
        <v>#DIV/0!</v>
      </c>
      <c r="BS96" s="272"/>
      <c r="BT96" s="272"/>
      <c r="BU96" s="209" t="e">
        <f t="shared" si="88"/>
        <v>#DIV/0!</v>
      </c>
      <c r="BV96" s="210">
        <f t="shared" si="66"/>
        <v>0</v>
      </c>
      <c r="BW96" s="210">
        <f t="shared" si="67"/>
        <v>0</v>
      </c>
      <c r="BX96" s="209" t="e">
        <f t="shared" si="68"/>
        <v>#DIV/0!</v>
      </c>
      <c r="BY96" s="209">
        <f t="shared" si="69"/>
        <v>0</v>
      </c>
      <c r="BZ96" s="209">
        <f t="shared" si="70"/>
        <v>0</v>
      </c>
      <c r="CA96" s="212"/>
      <c r="CB96" s="245"/>
      <c r="CC96" s="183"/>
      <c r="CD96" s="184"/>
      <c r="CE96" s="185" t="e">
        <f t="shared" si="89"/>
        <v>#DIV/0!</v>
      </c>
      <c r="CF96" s="183"/>
      <c r="CG96" s="184"/>
      <c r="CH96" s="185" t="e">
        <f t="shared" si="90"/>
        <v>#DIV/0!</v>
      </c>
      <c r="CI96" s="189"/>
      <c r="CJ96" s="190"/>
      <c r="CK96" s="185" t="e">
        <f t="shared" si="91"/>
        <v>#DIV/0!</v>
      </c>
      <c r="CL96" s="187">
        <f t="shared" si="92"/>
        <v>0</v>
      </c>
      <c r="CM96" s="186">
        <f t="shared" si="93"/>
        <v>0</v>
      </c>
      <c r="CN96" s="185" t="e">
        <f t="shared" si="94"/>
        <v>#DIV/0!</v>
      </c>
      <c r="CO96" s="245"/>
      <c r="CP96" s="188">
        <f t="shared" si="95"/>
        <v>0</v>
      </c>
      <c r="CQ96" s="188">
        <f t="shared" si="96"/>
        <v>0</v>
      </c>
      <c r="CR96" s="191" t="e">
        <f t="shared" si="97"/>
        <v>#DIV/0!</v>
      </c>
      <c r="CS96" s="279">
        <f t="shared" si="71"/>
        <v>4</v>
      </c>
      <c r="CT96" s="245"/>
      <c r="CU96" s="188">
        <f t="shared" si="72"/>
        <v>1.2</v>
      </c>
      <c r="CV96" s="277"/>
      <c r="CW96" s="191">
        <f t="shared" si="73"/>
        <v>0</v>
      </c>
      <c r="CX96" s="188">
        <f t="shared" si="74"/>
        <v>1.2</v>
      </c>
      <c r="CY96" s="277"/>
      <c r="CZ96" s="191">
        <f t="shared" si="75"/>
        <v>0</v>
      </c>
      <c r="DA96" s="188">
        <f t="shared" si="76"/>
        <v>1.2</v>
      </c>
      <c r="DB96" s="277"/>
      <c r="DC96" s="191">
        <f t="shared" si="77"/>
        <v>0</v>
      </c>
      <c r="DD96" s="188">
        <f t="shared" si="78"/>
        <v>0.4</v>
      </c>
      <c r="DE96" s="277"/>
      <c r="DF96" s="191">
        <f t="shared" si="79"/>
        <v>0</v>
      </c>
      <c r="DG96" s="245"/>
      <c r="DH96" s="188">
        <f t="shared" si="80"/>
        <v>4</v>
      </c>
      <c r="DI96" s="188">
        <f t="shared" si="81"/>
        <v>0</v>
      </c>
      <c r="DJ96" s="191">
        <f t="shared" si="82"/>
        <v>0</v>
      </c>
      <c r="DK96" s="286">
        <f t="shared" si="83"/>
        <v>4</v>
      </c>
      <c r="DL96" s="261">
        <v>92</v>
      </c>
      <c r="DM96" s="244">
        <f>+A96-DL96</f>
        <v>0</v>
      </c>
    </row>
    <row r="97" spans="1:117" x14ac:dyDescent="0.35">
      <c r="A97" s="263">
        <v>93</v>
      </c>
      <c r="B97" s="102" t="s">
        <v>270</v>
      </c>
      <c r="C97" s="102" t="s">
        <v>118</v>
      </c>
      <c r="D97" s="102" t="s">
        <v>119</v>
      </c>
      <c r="E97" s="102" t="s">
        <v>155</v>
      </c>
      <c r="F97" s="102" t="s">
        <v>398</v>
      </c>
      <c r="G97" s="98" t="s">
        <v>392</v>
      </c>
      <c r="H97" s="98" t="s">
        <v>393</v>
      </c>
      <c r="I97" s="98" t="s">
        <v>400</v>
      </c>
      <c r="J97" s="98" t="s">
        <v>400</v>
      </c>
      <c r="K97" s="96" t="s">
        <v>104</v>
      </c>
      <c r="L97" s="96" t="s">
        <v>105</v>
      </c>
      <c r="M97" s="98" t="s">
        <v>106</v>
      </c>
      <c r="N97" s="98" t="s">
        <v>380</v>
      </c>
      <c r="O97" s="98" t="s">
        <v>127</v>
      </c>
      <c r="P97" s="258" t="s">
        <v>401</v>
      </c>
      <c r="Q97" s="98" t="s">
        <v>129</v>
      </c>
      <c r="R97" s="301">
        <v>1</v>
      </c>
      <c r="S97" s="99" t="s">
        <v>111</v>
      </c>
      <c r="T97" s="81">
        <v>0</v>
      </c>
      <c r="U97" s="81">
        <v>0</v>
      </c>
      <c r="V97" s="25" t="e">
        <f t="shared" si="59"/>
        <v>#DIV/0!</v>
      </c>
      <c r="W97" s="81">
        <v>0</v>
      </c>
      <c r="X97" s="81">
        <v>0</v>
      </c>
      <c r="Y97" s="25" t="e">
        <f t="shared" si="1"/>
        <v>#DIV/0!</v>
      </c>
      <c r="Z97" s="81">
        <v>1</v>
      </c>
      <c r="AA97" s="81"/>
      <c r="AB97" s="25">
        <f t="shared" si="2"/>
        <v>0</v>
      </c>
      <c r="AC97" s="81">
        <v>1</v>
      </c>
      <c r="AD97" s="81"/>
      <c r="AE97" s="25">
        <f t="shared" si="3"/>
        <v>0</v>
      </c>
      <c r="AF97" s="140">
        <f t="shared" si="84"/>
        <v>1</v>
      </c>
      <c r="AG97" s="140">
        <f t="shared" si="85"/>
        <v>0</v>
      </c>
      <c r="AH97" s="138" t="e">
        <f t="shared" si="5"/>
        <v>#DIV/0!</v>
      </c>
      <c r="AI97" s="101">
        <v>46113</v>
      </c>
      <c r="AJ97" s="101">
        <v>46477</v>
      </c>
      <c r="AK97" s="102" t="s">
        <v>112</v>
      </c>
      <c r="AL97" s="102" t="s">
        <v>113</v>
      </c>
      <c r="AM97" s="103" t="s">
        <v>114</v>
      </c>
      <c r="AN97" s="104">
        <v>50000000</v>
      </c>
      <c r="AO97" s="104">
        <v>50000000</v>
      </c>
      <c r="AP97" s="104">
        <v>50000000</v>
      </c>
      <c r="AQ97" s="326">
        <v>0</v>
      </c>
      <c r="AR97" s="102" t="s">
        <v>207</v>
      </c>
      <c r="AS97" s="102" t="s">
        <v>112</v>
      </c>
      <c r="AT97" s="152" t="s">
        <v>382</v>
      </c>
      <c r="AU97" s="166" t="s">
        <v>2264</v>
      </c>
      <c r="AV97" s="247" t="s">
        <v>2234</v>
      </c>
      <c r="AW97" s="136" t="s">
        <v>2241</v>
      </c>
      <c r="AX97" s="136" t="s">
        <v>2357</v>
      </c>
      <c r="AY97" s="136" t="s">
        <v>2376</v>
      </c>
      <c r="BA97" s="272"/>
      <c r="BB97" s="273"/>
      <c r="BC97" s="209" t="e">
        <f t="shared" si="60"/>
        <v>#DIV/0!</v>
      </c>
      <c r="BD97" s="272"/>
      <c r="BE97" s="273"/>
      <c r="BF97" s="209" t="e">
        <f t="shared" si="61"/>
        <v>#DIV/0!</v>
      </c>
      <c r="BG97" s="272"/>
      <c r="BH97" s="273"/>
      <c r="BI97" s="209" t="e">
        <f t="shared" si="62"/>
        <v>#DIV/0!</v>
      </c>
      <c r="BJ97" s="210">
        <f t="shared" si="63"/>
        <v>0</v>
      </c>
      <c r="BK97" s="211">
        <f t="shared" si="64"/>
        <v>0</v>
      </c>
      <c r="BL97" s="209" t="e">
        <f t="shared" si="65"/>
        <v>#DIV/0!</v>
      </c>
      <c r="BM97" s="272"/>
      <c r="BN97" s="273"/>
      <c r="BO97" s="209" t="e">
        <f t="shared" si="86"/>
        <v>#DIV/0!</v>
      </c>
      <c r="BP97" s="272"/>
      <c r="BQ97" s="273"/>
      <c r="BR97" s="209" t="e">
        <f t="shared" si="87"/>
        <v>#DIV/0!</v>
      </c>
      <c r="BS97" s="272"/>
      <c r="BT97" s="272"/>
      <c r="BU97" s="209" t="e">
        <f t="shared" si="88"/>
        <v>#DIV/0!</v>
      </c>
      <c r="BV97" s="210">
        <f t="shared" si="66"/>
        <v>0</v>
      </c>
      <c r="BW97" s="210">
        <f t="shared" si="67"/>
        <v>0</v>
      </c>
      <c r="BX97" s="209" t="e">
        <f t="shared" si="68"/>
        <v>#DIV/0!</v>
      </c>
      <c r="BY97" s="209">
        <f t="shared" si="69"/>
        <v>0</v>
      </c>
      <c r="BZ97" s="209">
        <f t="shared" si="70"/>
        <v>0</v>
      </c>
      <c r="CA97" s="212"/>
      <c r="CB97" s="245"/>
      <c r="CC97" s="183"/>
      <c r="CD97" s="184"/>
      <c r="CE97" s="185" t="e">
        <f t="shared" si="89"/>
        <v>#DIV/0!</v>
      </c>
      <c r="CF97" s="183"/>
      <c r="CG97" s="184"/>
      <c r="CH97" s="185" t="e">
        <f t="shared" si="90"/>
        <v>#DIV/0!</v>
      </c>
      <c r="CI97" s="189"/>
      <c r="CJ97" s="190"/>
      <c r="CK97" s="185" t="e">
        <f t="shared" si="91"/>
        <v>#DIV/0!</v>
      </c>
      <c r="CL97" s="187">
        <f t="shared" si="92"/>
        <v>0</v>
      </c>
      <c r="CM97" s="186">
        <f t="shared" si="93"/>
        <v>0</v>
      </c>
      <c r="CN97" s="185" t="e">
        <f t="shared" si="94"/>
        <v>#DIV/0!</v>
      </c>
      <c r="CO97" s="245"/>
      <c r="CP97" s="188">
        <f t="shared" si="95"/>
        <v>0</v>
      </c>
      <c r="CQ97" s="188">
        <f t="shared" si="96"/>
        <v>0</v>
      </c>
      <c r="CR97" s="191" t="e">
        <f t="shared" si="97"/>
        <v>#DIV/0!</v>
      </c>
      <c r="CS97" s="279">
        <f t="shared" si="71"/>
        <v>1</v>
      </c>
      <c r="CT97" s="245"/>
      <c r="CU97" s="188">
        <f t="shared" si="72"/>
        <v>0.3</v>
      </c>
      <c r="CV97" s="277"/>
      <c r="CW97" s="191">
        <f t="shared" si="73"/>
        <v>0</v>
      </c>
      <c r="CX97" s="188">
        <f t="shared" si="74"/>
        <v>0.3</v>
      </c>
      <c r="CY97" s="277"/>
      <c r="CZ97" s="191">
        <f t="shared" si="75"/>
        <v>0</v>
      </c>
      <c r="DA97" s="188">
        <f t="shared" si="76"/>
        <v>0.3</v>
      </c>
      <c r="DB97" s="277"/>
      <c r="DC97" s="191">
        <f t="shared" si="77"/>
        <v>0</v>
      </c>
      <c r="DD97" s="188">
        <f t="shared" si="78"/>
        <v>0.1</v>
      </c>
      <c r="DE97" s="277"/>
      <c r="DF97" s="191">
        <f t="shared" si="79"/>
        <v>0</v>
      </c>
      <c r="DG97" s="245"/>
      <c r="DH97" s="188">
        <f t="shared" si="80"/>
        <v>1</v>
      </c>
      <c r="DI97" s="188">
        <f t="shared" si="81"/>
        <v>0</v>
      </c>
      <c r="DJ97" s="191">
        <f t="shared" si="82"/>
        <v>0</v>
      </c>
      <c r="DK97" s="286">
        <f t="shared" si="83"/>
        <v>1</v>
      </c>
      <c r="DL97" s="261">
        <v>93</v>
      </c>
      <c r="DM97" s="244">
        <f>+A97-DL97</f>
        <v>0</v>
      </c>
    </row>
    <row r="98" spans="1:117" x14ac:dyDescent="0.35">
      <c r="A98" s="263">
        <v>94</v>
      </c>
      <c r="B98" s="102" t="s">
        <v>270</v>
      </c>
      <c r="C98" s="102" t="s">
        <v>118</v>
      </c>
      <c r="D98" s="102" t="s">
        <v>119</v>
      </c>
      <c r="E98" s="102" t="s">
        <v>155</v>
      </c>
      <c r="F98" s="102" t="s">
        <v>402</v>
      </c>
      <c r="G98" s="98" t="s">
        <v>392</v>
      </c>
      <c r="H98" s="98" t="s">
        <v>393</v>
      </c>
      <c r="I98" s="98" t="s">
        <v>400</v>
      </c>
      <c r="J98" s="98" t="s">
        <v>400</v>
      </c>
      <c r="K98" s="96" t="s">
        <v>104</v>
      </c>
      <c r="L98" s="96" t="s">
        <v>105</v>
      </c>
      <c r="M98" s="98" t="s">
        <v>106</v>
      </c>
      <c r="N98" s="98" t="s">
        <v>380</v>
      </c>
      <c r="O98" s="98" t="s">
        <v>127</v>
      </c>
      <c r="P98" s="98" t="s">
        <v>403</v>
      </c>
      <c r="Q98" s="98" t="s">
        <v>129</v>
      </c>
      <c r="R98" s="301">
        <v>29</v>
      </c>
      <c r="S98" s="99" t="s">
        <v>111</v>
      </c>
      <c r="T98" s="81">
        <v>5</v>
      </c>
      <c r="U98" s="81">
        <v>0</v>
      </c>
      <c r="V98" s="25">
        <f t="shared" si="59"/>
        <v>0</v>
      </c>
      <c r="W98" s="81">
        <v>5</v>
      </c>
      <c r="X98" s="81">
        <v>2</v>
      </c>
      <c r="Y98" s="25">
        <f t="shared" si="1"/>
        <v>40</v>
      </c>
      <c r="Z98" s="81">
        <v>9</v>
      </c>
      <c r="AA98" s="81"/>
      <c r="AB98" s="25">
        <f t="shared" si="2"/>
        <v>0</v>
      </c>
      <c r="AC98" s="81">
        <v>10</v>
      </c>
      <c r="AD98" s="81"/>
      <c r="AE98" s="25">
        <f t="shared" si="3"/>
        <v>0</v>
      </c>
      <c r="AF98" s="140">
        <f t="shared" si="84"/>
        <v>29</v>
      </c>
      <c r="AG98" s="140">
        <f t="shared" si="85"/>
        <v>2</v>
      </c>
      <c r="AH98" s="138">
        <f t="shared" si="5"/>
        <v>20</v>
      </c>
      <c r="AI98" s="101">
        <v>46113</v>
      </c>
      <c r="AJ98" s="101">
        <v>46477</v>
      </c>
      <c r="AK98" s="102" t="s">
        <v>112</v>
      </c>
      <c r="AL98" s="102" t="s">
        <v>113</v>
      </c>
      <c r="AM98" s="103" t="s">
        <v>114</v>
      </c>
      <c r="AN98" s="324"/>
      <c r="AO98" s="324"/>
      <c r="AP98" s="324"/>
      <c r="AQ98" s="326"/>
      <c r="AR98" s="102" t="s">
        <v>115</v>
      </c>
      <c r="AS98" s="102" t="s">
        <v>112</v>
      </c>
      <c r="AT98" s="152" t="s">
        <v>382</v>
      </c>
      <c r="AU98" s="166" t="s">
        <v>2264</v>
      </c>
      <c r="AV98" s="247" t="s">
        <v>2234</v>
      </c>
      <c r="AW98" s="136" t="s">
        <v>2241</v>
      </c>
      <c r="AX98" s="136" t="s">
        <v>2357</v>
      </c>
      <c r="AY98" s="136" t="s">
        <v>2376</v>
      </c>
      <c r="BA98" s="272"/>
      <c r="BB98" s="273"/>
      <c r="BC98" s="209" t="e">
        <f t="shared" si="60"/>
        <v>#DIV/0!</v>
      </c>
      <c r="BD98" s="272"/>
      <c r="BE98" s="273"/>
      <c r="BF98" s="209" t="e">
        <f t="shared" si="61"/>
        <v>#DIV/0!</v>
      </c>
      <c r="BG98" s="272"/>
      <c r="BH98" s="273"/>
      <c r="BI98" s="209" t="e">
        <f t="shared" si="62"/>
        <v>#DIV/0!</v>
      </c>
      <c r="BJ98" s="210">
        <f t="shared" si="63"/>
        <v>0</v>
      </c>
      <c r="BK98" s="211">
        <f t="shared" si="64"/>
        <v>0</v>
      </c>
      <c r="BL98" s="209" t="e">
        <f t="shared" si="65"/>
        <v>#DIV/0!</v>
      </c>
      <c r="BM98" s="272"/>
      <c r="BN98" s="273"/>
      <c r="BO98" s="209" t="e">
        <f t="shared" si="86"/>
        <v>#DIV/0!</v>
      </c>
      <c r="BP98" s="272"/>
      <c r="BQ98" s="273"/>
      <c r="BR98" s="209" t="e">
        <f t="shared" si="87"/>
        <v>#DIV/0!</v>
      </c>
      <c r="BS98" s="272"/>
      <c r="BT98" s="272"/>
      <c r="BU98" s="209" t="e">
        <f t="shared" si="88"/>
        <v>#DIV/0!</v>
      </c>
      <c r="BV98" s="210">
        <f t="shared" si="66"/>
        <v>0</v>
      </c>
      <c r="BW98" s="210">
        <f t="shared" si="67"/>
        <v>0</v>
      </c>
      <c r="BX98" s="209" t="e">
        <f t="shared" si="68"/>
        <v>#DIV/0!</v>
      </c>
      <c r="BY98" s="209">
        <f t="shared" si="69"/>
        <v>0</v>
      </c>
      <c r="BZ98" s="209">
        <f t="shared" si="70"/>
        <v>0</v>
      </c>
      <c r="CA98" s="212"/>
      <c r="CB98" s="245"/>
      <c r="CC98" s="183"/>
      <c r="CD98" s="184"/>
      <c r="CE98" s="185" t="e">
        <f t="shared" si="89"/>
        <v>#DIV/0!</v>
      </c>
      <c r="CF98" s="183"/>
      <c r="CG98" s="184"/>
      <c r="CH98" s="185" t="e">
        <f t="shared" si="90"/>
        <v>#DIV/0!</v>
      </c>
      <c r="CI98" s="189"/>
      <c r="CJ98" s="190"/>
      <c r="CK98" s="185" t="e">
        <f t="shared" si="91"/>
        <v>#DIV/0!</v>
      </c>
      <c r="CL98" s="187">
        <f t="shared" si="92"/>
        <v>0</v>
      </c>
      <c r="CM98" s="186">
        <f t="shared" si="93"/>
        <v>0</v>
      </c>
      <c r="CN98" s="185" t="e">
        <f t="shared" si="94"/>
        <v>#DIV/0!</v>
      </c>
      <c r="CO98" s="245"/>
      <c r="CP98" s="188">
        <f t="shared" si="95"/>
        <v>0</v>
      </c>
      <c r="CQ98" s="188">
        <f t="shared" si="96"/>
        <v>0</v>
      </c>
      <c r="CR98" s="191" t="e">
        <f t="shared" si="97"/>
        <v>#DIV/0!</v>
      </c>
      <c r="CS98" s="279">
        <f t="shared" si="71"/>
        <v>29</v>
      </c>
      <c r="CT98" s="245"/>
      <c r="CU98" s="188">
        <f t="shared" si="72"/>
        <v>8.6999999999999993</v>
      </c>
      <c r="CV98" s="277"/>
      <c r="CW98" s="191">
        <f t="shared" si="73"/>
        <v>0</v>
      </c>
      <c r="CX98" s="188">
        <f t="shared" si="74"/>
        <v>8.6999999999999993</v>
      </c>
      <c r="CY98" s="277"/>
      <c r="CZ98" s="191">
        <f t="shared" si="75"/>
        <v>0</v>
      </c>
      <c r="DA98" s="188">
        <f t="shared" si="76"/>
        <v>8.6999999999999993</v>
      </c>
      <c r="DB98" s="277"/>
      <c r="DC98" s="191">
        <f t="shared" si="77"/>
        <v>0</v>
      </c>
      <c r="DD98" s="188">
        <f t="shared" si="78"/>
        <v>2.9000000000000004</v>
      </c>
      <c r="DE98" s="277"/>
      <c r="DF98" s="191">
        <f t="shared" si="79"/>
        <v>0</v>
      </c>
      <c r="DG98" s="245"/>
      <c r="DH98" s="188">
        <f t="shared" si="80"/>
        <v>29</v>
      </c>
      <c r="DI98" s="188">
        <f t="shared" si="81"/>
        <v>0</v>
      </c>
      <c r="DJ98" s="191">
        <f t="shared" si="82"/>
        <v>0</v>
      </c>
      <c r="DK98" s="286">
        <f t="shared" si="83"/>
        <v>29</v>
      </c>
      <c r="DL98" s="261">
        <v>94</v>
      </c>
      <c r="DM98" s="244">
        <f>+A98-DL98</f>
        <v>0</v>
      </c>
    </row>
    <row r="99" spans="1:117" x14ac:dyDescent="0.35">
      <c r="A99" s="263">
        <v>95</v>
      </c>
      <c r="B99" s="102" t="s">
        <v>270</v>
      </c>
      <c r="C99" s="102" t="s">
        <v>118</v>
      </c>
      <c r="D99" s="102" t="s">
        <v>119</v>
      </c>
      <c r="E99" s="102" t="s">
        <v>155</v>
      </c>
      <c r="F99" s="102" t="s">
        <v>404</v>
      </c>
      <c r="G99" s="98" t="s">
        <v>405</v>
      </c>
      <c r="H99" s="98" t="s">
        <v>406</v>
      </c>
      <c r="I99" s="98" t="s">
        <v>103</v>
      </c>
      <c r="J99" s="98" t="s">
        <v>103</v>
      </c>
      <c r="K99" s="96" t="s">
        <v>104</v>
      </c>
      <c r="L99" s="96" t="s">
        <v>105</v>
      </c>
      <c r="M99" s="98" t="s">
        <v>106</v>
      </c>
      <c r="N99" s="98" t="s">
        <v>380</v>
      </c>
      <c r="O99" s="98" t="s">
        <v>127</v>
      </c>
      <c r="P99" s="258" t="s">
        <v>407</v>
      </c>
      <c r="Q99" s="98" t="s">
        <v>129</v>
      </c>
      <c r="R99" s="301">
        <v>12</v>
      </c>
      <c r="S99" s="99" t="s">
        <v>158</v>
      </c>
      <c r="T99" s="81">
        <v>3</v>
      </c>
      <c r="U99" s="81">
        <v>3</v>
      </c>
      <c r="V99" s="25">
        <f t="shared" si="59"/>
        <v>100</v>
      </c>
      <c r="W99" s="81">
        <v>3</v>
      </c>
      <c r="X99" s="81">
        <v>3</v>
      </c>
      <c r="Y99" s="25">
        <f t="shared" si="1"/>
        <v>100</v>
      </c>
      <c r="Z99" s="81"/>
      <c r="AA99" s="81"/>
      <c r="AB99" s="25" t="e">
        <f t="shared" si="2"/>
        <v>#DIV/0!</v>
      </c>
      <c r="AC99" s="81"/>
      <c r="AD99" s="81"/>
      <c r="AE99" s="25" t="e">
        <f t="shared" si="3"/>
        <v>#DIV/0!</v>
      </c>
      <c r="AF99" s="140">
        <f t="shared" si="84"/>
        <v>12</v>
      </c>
      <c r="AG99" s="140">
        <f t="shared" si="85"/>
        <v>6</v>
      </c>
      <c r="AH99" s="138">
        <f t="shared" si="5"/>
        <v>100</v>
      </c>
      <c r="AI99" s="101">
        <v>46113</v>
      </c>
      <c r="AJ99" s="101">
        <v>46477</v>
      </c>
      <c r="AK99" s="102" t="s">
        <v>112</v>
      </c>
      <c r="AL99" s="102" t="s">
        <v>113</v>
      </c>
      <c r="AM99" s="103" t="s">
        <v>114</v>
      </c>
      <c r="AN99" s="104">
        <v>75000000</v>
      </c>
      <c r="AO99" s="104">
        <v>75000000</v>
      </c>
      <c r="AP99" s="104">
        <v>75000000</v>
      </c>
      <c r="AQ99" s="105">
        <f>AO99</f>
        <v>75000000</v>
      </c>
      <c r="AR99" s="102" t="s">
        <v>115</v>
      </c>
      <c r="AS99" s="102" t="s">
        <v>112</v>
      </c>
      <c r="AT99" s="152" t="s">
        <v>382</v>
      </c>
      <c r="AU99" s="166" t="s">
        <v>2264</v>
      </c>
      <c r="AV99" s="247" t="s">
        <v>2234</v>
      </c>
      <c r="AW99" s="136" t="s">
        <v>2241</v>
      </c>
      <c r="AX99" s="136" t="s">
        <v>2357</v>
      </c>
      <c r="AY99" s="136" t="s">
        <v>2376</v>
      </c>
      <c r="BA99" s="272"/>
      <c r="BB99" s="273"/>
      <c r="BC99" s="209" t="e">
        <f t="shared" si="60"/>
        <v>#DIV/0!</v>
      </c>
      <c r="BD99" s="272"/>
      <c r="BE99" s="273"/>
      <c r="BF99" s="209" t="e">
        <f t="shared" si="61"/>
        <v>#DIV/0!</v>
      </c>
      <c r="BG99" s="272"/>
      <c r="BH99" s="273"/>
      <c r="BI99" s="209" t="e">
        <f t="shared" si="62"/>
        <v>#DIV/0!</v>
      </c>
      <c r="BJ99" s="210">
        <f t="shared" si="63"/>
        <v>0</v>
      </c>
      <c r="BK99" s="211">
        <f t="shared" si="64"/>
        <v>0</v>
      </c>
      <c r="BL99" s="209" t="e">
        <f t="shared" si="65"/>
        <v>#DIV/0!</v>
      </c>
      <c r="BM99" s="272"/>
      <c r="BN99" s="273"/>
      <c r="BO99" s="209" t="e">
        <f t="shared" si="86"/>
        <v>#DIV/0!</v>
      </c>
      <c r="BP99" s="272"/>
      <c r="BQ99" s="273"/>
      <c r="BR99" s="209" t="e">
        <f t="shared" si="87"/>
        <v>#DIV/0!</v>
      </c>
      <c r="BS99" s="272"/>
      <c r="BT99" s="272"/>
      <c r="BU99" s="209" t="e">
        <f t="shared" si="88"/>
        <v>#DIV/0!</v>
      </c>
      <c r="BV99" s="210">
        <f t="shared" si="66"/>
        <v>0</v>
      </c>
      <c r="BW99" s="210">
        <f t="shared" si="67"/>
        <v>0</v>
      </c>
      <c r="BX99" s="209" t="e">
        <f t="shared" si="68"/>
        <v>#DIV/0!</v>
      </c>
      <c r="BY99" s="209">
        <f t="shared" si="69"/>
        <v>0</v>
      </c>
      <c r="BZ99" s="209">
        <f t="shared" si="70"/>
        <v>0</v>
      </c>
      <c r="CA99" s="212"/>
      <c r="CB99" s="245"/>
      <c r="CC99" s="183"/>
      <c r="CD99" s="184"/>
      <c r="CE99" s="185" t="e">
        <f t="shared" si="89"/>
        <v>#DIV/0!</v>
      </c>
      <c r="CF99" s="183"/>
      <c r="CG99" s="184"/>
      <c r="CH99" s="185" t="e">
        <f t="shared" si="90"/>
        <v>#DIV/0!</v>
      </c>
      <c r="CI99" s="189"/>
      <c r="CJ99" s="190"/>
      <c r="CK99" s="185" t="e">
        <f t="shared" si="91"/>
        <v>#DIV/0!</v>
      </c>
      <c r="CL99" s="187">
        <f t="shared" si="92"/>
        <v>0</v>
      </c>
      <c r="CM99" s="186">
        <f t="shared" si="93"/>
        <v>0</v>
      </c>
      <c r="CN99" s="185" t="e">
        <f t="shared" si="94"/>
        <v>#DIV/0!</v>
      </c>
      <c r="CO99" s="245"/>
      <c r="CP99" s="188">
        <f t="shared" si="95"/>
        <v>0</v>
      </c>
      <c r="CQ99" s="188">
        <f t="shared" si="96"/>
        <v>0</v>
      </c>
      <c r="CR99" s="191" t="e">
        <f t="shared" si="97"/>
        <v>#DIV/0!</v>
      </c>
      <c r="CS99" s="279">
        <f t="shared" si="71"/>
        <v>12</v>
      </c>
      <c r="CT99" s="245"/>
      <c r="CU99" s="188">
        <f t="shared" si="72"/>
        <v>3.5999999999999996</v>
      </c>
      <c r="CV99" s="277"/>
      <c r="CW99" s="191">
        <f t="shared" si="73"/>
        <v>0</v>
      </c>
      <c r="CX99" s="188">
        <f t="shared" si="74"/>
        <v>3.5999999999999996</v>
      </c>
      <c r="CY99" s="277"/>
      <c r="CZ99" s="191">
        <f t="shared" si="75"/>
        <v>0</v>
      </c>
      <c r="DA99" s="188">
        <f t="shared" si="76"/>
        <v>3.5999999999999996</v>
      </c>
      <c r="DB99" s="277"/>
      <c r="DC99" s="191">
        <f t="shared" si="77"/>
        <v>0</v>
      </c>
      <c r="DD99" s="188">
        <f t="shared" si="78"/>
        <v>1.2000000000000002</v>
      </c>
      <c r="DE99" s="277"/>
      <c r="DF99" s="191">
        <f t="shared" si="79"/>
        <v>0</v>
      </c>
      <c r="DG99" s="245"/>
      <c r="DH99" s="188">
        <f t="shared" si="80"/>
        <v>12</v>
      </c>
      <c r="DI99" s="188">
        <f t="shared" si="81"/>
        <v>0</v>
      </c>
      <c r="DJ99" s="191">
        <f t="shared" si="82"/>
        <v>0</v>
      </c>
      <c r="DK99" s="286">
        <f t="shared" si="83"/>
        <v>12</v>
      </c>
      <c r="DL99" s="261">
        <v>95</v>
      </c>
      <c r="DM99" s="244">
        <f>+A99-DL99</f>
        <v>0</v>
      </c>
    </row>
    <row r="100" spans="1:117" x14ac:dyDescent="0.35">
      <c r="A100" s="263">
        <v>96</v>
      </c>
      <c r="B100" s="102" t="s">
        <v>270</v>
      </c>
      <c r="C100" s="102" t="s">
        <v>118</v>
      </c>
      <c r="D100" s="102" t="s">
        <v>119</v>
      </c>
      <c r="E100" s="102" t="s">
        <v>155</v>
      </c>
      <c r="F100" s="102" t="s">
        <v>402</v>
      </c>
      <c r="G100" s="98" t="s">
        <v>405</v>
      </c>
      <c r="H100" s="98" t="s">
        <v>406</v>
      </c>
      <c r="I100" s="98" t="s">
        <v>103</v>
      </c>
      <c r="J100" s="98" t="s">
        <v>103</v>
      </c>
      <c r="K100" s="96" t="s">
        <v>104</v>
      </c>
      <c r="L100" s="96" t="s">
        <v>105</v>
      </c>
      <c r="M100" s="98" t="s">
        <v>106</v>
      </c>
      <c r="N100" s="98" t="s">
        <v>408</v>
      </c>
      <c r="O100" s="98" t="s">
        <v>127</v>
      </c>
      <c r="P100" s="98" t="s">
        <v>409</v>
      </c>
      <c r="Q100" s="98" t="s">
        <v>129</v>
      </c>
      <c r="R100" s="301">
        <v>1</v>
      </c>
      <c r="S100" s="99" t="s">
        <v>158</v>
      </c>
      <c r="T100" s="81">
        <v>0.25</v>
      </c>
      <c r="U100" s="81">
        <v>0</v>
      </c>
      <c r="V100" s="25">
        <f t="shared" si="59"/>
        <v>0</v>
      </c>
      <c r="W100" s="81">
        <v>0.25</v>
      </c>
      <c r="X100" s="81">
        <v>1</v>
      </c>
      <c r="Y100" s="25">
        <f t="shared" si="1"/>
        <v>400</v>
      </c>
      <c r="Z100" s="81">
        <v>0.25</v>
      </c>
      <c r="AA100" s="81"/>
      <c r="AB100" s="25">
        <f t="shared" si="2"/>
        <v>0</v>
      </c>
      <c r="AC100" s="81">
        <v>0.25</v>
      </c>
      <c r="AD100" s="81"/>
      <c r="AE100" s="25">
        <f t="shared" si="3"/>
        <v>0</v>
      </c>
      <c r="AF100" s="140">
        <f t="shared" si="84"/>
        <v>1</v>
      </c>
      <c r="AG100" s="140">
        <f t="shared" si="85"/>
        <v>1</v>
      </c>
      <c r="AH100" s="138">
        <f t="shared" si="5"/>
        <v>200</v>
      </c>
      <c r="AI100" s="101">
        <v>46113</v>
      </c>
      <c r="AJ100" s="101">
        <v>46477</v>
      </c>
      <c r="AK100" s="102" t="s">
        <v>112</v>
      </c>
      <c r="AL100" s="102" t="s">
        <v>113</v>
      </c>
      <c r="AM100" s="103" t="s">
        <v>114</v>
      </c>
      <c r="AN100" s="104">
        <v>67000000</v>
      </c>
      <c r="AO100" s="104">
        <v>67000000</v>
      </c>
      <c r="AP100" s="104">
        <v>67000000</v>
      </c>
      <c r="AQ100" s="326">
        <v>0</v>
      </c>
      <c r="AR100" s="102" t="s">
        <v>159</v>
      </c>
      <c r="AS100" s="102" t="s">
        <v>112</v>
      </c>
      <c r="AT100" s="152" t="s">
        <v>382</v>
      </c>
      <c r="AU100" s="166" t="s">
        <v>2264</v>
      </c>
      <c r="AV100" s="247" t="s">
        <v>2234</v>
      </c>
      <c r="AW100" s="136" t="s">
        <v>2241</v>
      </c>
      <c r="AX100" s="136" t="s">
        <v>2357</v>
      </c>
      <c r="AY100" s="136" t="s">
        <v>2376</v>
      </c>
      <c r="BA100" s="272"/>
      <c r="BB100" s="273"/>
      <c r="BC100" s="209" t="e">
        <f t="shared" si="60"/>
        <v>#DIV/0!</v>
      </c>
      <c r="BD100" s="272"/>
      <c r="BE100" s="273"/>
      <c r="BF100" s="209" t="e">
        <f t="shared" si="61"/>
        <v>#DIV/0!</v>
      </c>
      <c r="BG100" s="272"/>
      <c r="BH100" s="273"/>
      <c r="BI100" s="209" t="e">
        <f t="shared" si="62"/>
        <v>#DIV/0!</v>
      </c>
      <c r="BJ100" s="210">
        <f t="shared" si="63"/>
        <v>0</v>
      </c>
      <c r="BK100" s="211">
        <f t="shared" si="64"/>
        <v>0</v>
      </c>
      <c r="BL100" s="209" t="e">
        <f t="shared" si="65"/>
        <v>#DIV/0!</v>
      </c>
      <c r="BM100" s="272"/>
      <c r="BN100" s="273"/>
      <c r="BO100" s="209" t="e">
        <f t="shared" si="86"/>
        <v>#DIV/0!</v>
      </c>
      <c r="BP100" s="272"/>
      <c r="BQ100" s="273"/>
      <c r="BR100" s="209" t="e">
        <f t="shared" si="87"/>
        <v>#DIV/0!</v>
      </c>
      <c r="BS100" s="272"/>
      <c r="BT100" s="272"/>
      <c r="BU100" s="209" t="e">
        <f t="shared" si="88"/>
        <v>#DIV/0!</v>
      </c>
      <c r="BV100" s="210">
        <f t="shared" si="66"/>
        <v>0</v>
      </c>
      <c r="BW100" s="210">
        <f t="shared" si="67"/>
        <v>0</v>
      </c>
      <c r="BX100" s="209" t="e">
        <f t="shared" si="68"/>
        <v>#DIV/0!</v>
      </c>
      <c r="BY100" s="209">
        <f t="shared" si="69"/>
        <v>0</v>
      </c>
      <c r="BZ100" s="209">
        <f t="shared" si="70"/>
        <v>0</v>
      </c>
      <c r="CA100" s="212"/>
      <c r="CB100" s="245"/>
      <c r="CC100" s="183"/>
      <c r="CD100" s="184"/>
      <c r="CE100" s="185" t="e">
        <f t="shared" si="89"/>
        <v>#DIV/0!</v>
      </c>
      <c r="CF100" s="183"/>
      <c r="CG100" s="184"/>
      <c r="CH100" s="185" t="e">
        <f t="shared" si="90"/>
        <v>#DIV/0!</v>
      </c>
      <c r="CI100" s="189"/>
      <c r="CJ100" s="190"/>
      <c r="CK100" s="185" t="e">
        <f t="shared" si="91"/>
        <v>#DIV/0!</v>
      </c>
      <c r="CL100" s="187">
        <f t="shared" si="92"/>
        <v>0</v>
      </c>
      <c r="CM100" s="186">
        <f t="shared" si="93"/>
        <v>0</v>
      </c>
      <c r="CN100" s="185" t="e">
        <f t="shared" si="94"/>
        <v>#DIV/0!</v>
      </c>
      <c r="CO100" s="245"/>
      <c r="CP100" s="188">
        <f t="shared" si="95"/>
        <v>0</v>
      </c>
      <c r="CQ100" s="188">
        <f t="shared" si="96"/>
        <v>0</v>
      </c>
      <c r="CR100" s="191" t="e">
        <f t="shared" si="97"/>
        <v>#DIV/0!</v>
      </c>
      <c r="CS100" s="279">
        <f t="shared" si="71"/>
        <v>1</v>
      </c>
      <c r="CT100" s="245"/>
      <c r="CU100" s="188">
        <f t="shared" si="72"/>
        <v>0.3</v>
      </c>
      <c r="CV100" s="277"/>
      <c r="CW100" s="191">
        <f t="shared" si="73"/>
        <v>0</v>
      </c>
      <c r="CX100" s="188">
        <f t="shared" si="74"/>
        <v>0.3</v>
      </c>
      <c r="CY100" s="277"/>
      <c r="CZ100" s="191">
        <f t="shared" si="75"/>
        <v>0</v>
      </c>
      <c r="DA100" s="188">
        <f t="shared" si="76"/>
        <v>0.3</v>
      </c>
      <c r="DB100" s="277"/>
      <c r="DC100" s="191">
        <f t="shared" si="77"/>
        <v>0</v>
      </c>
      <c r="DD100" s="188">
        <f t="shared" si="78"/>
        <v>0.1</v>
      </c>
      <c r="DE100" s="277"/>
      <c r="DF100" s="191">
        <f t="shared" si="79"/>
        <v>0</v>
      </c>
      <c r="DG100" s="245"/>
      <c r="DH100" s="188">
        <f t="shared" si="80"/>
        <v>1</v>
      </c>
      <c r="DI100" s="188">
        <f t="shared" si="81"/>
        <v>0</v>
      </c>
      <c r="DJ100" s="191">
        <f t="shared" si="82"/>
        <v>0</v>
      </c>
      <c r="DK100" s="286">
        <f t="shared" si="83"/>
        <v>1</v>
      </c>
      <c r="DL100" s="261">
        <v>96</v>
      </c>
      <c r="DM100" s="244">
        <f>+A100-DL100</f>
        <v>0</v>
      </c>
    </row>
    <row r="101" spans="1:117" x14ac:dyDescent="0.35">
      <c r="A101" s="263">
        <v>97</v>
      </c>
      <c r="B101" s="102" t="s">
        <v>270</v>
      </c>
      <c r="C101" s="102" t="s">
        <v>118</v>
      </c>
      <c r="D101" s="102" t="s">
        <v>119</v>
      </c>
      <c r="E101" s="102" t="s">
        <v>155</v>
      </c>
      <c r="F101" s="102" t="s">
        <v>402</v>
      </c>
      <c r="G101" s="98" t="s">
        <v>405</v>
      </c>
      <c r="H101" s="98" t="s">
        <v>406</v>
      </c>
      <c r="I101" s="98" t="s">
        <v>103</v>
      </c>
      <c r="J101" s="98" t="s">
        <v>103</v>
      </c>
      <c r="K101" s="96" t="s">
        <v>104</v>
      </c>
      <c r="L101" s="96" t="s">
        <v>105</v>
      </c>
      <c r="M101" s="98" t="s">
        <v>106</v>
      </c>
      <c r="N101" s="98" t="s">
        <v>380</v>
      </c>
      <c r="O101" s="98" t="s">
        <v>127</v>
      </c>
      <c r="P101" s="98" t="s">
        <v>410</v>
      </c>
      <c r="Q101" s="98" t="s">
        <v>129</v>
      </c>
      <c r="R101" s="301">
        <v>1</v>
      </c>
      <c r="S101" s="99" t="s">
        <v>158</v>
      </c>
      <c r="T101" s="81">
        <v>0.25</v>
      </c>
      <c r="U101" s="81">
        <v>3</v>
      </c>
      <c r="V101" s="25">
        <f t="shared" si="59"/>
        <v>1200</v>
      </c>
      <c r="W101" s="81">
        <v>0.25</v>
      </c>
      <c r="X101" s="81">
        <v>3</v>
      </c>
      <c r="Y101" s="25">
        <f t="shared" si="1"/>
        <v>1200</v>
      </c>
      <c r="Z101" s="81">
        <v>1</v>
      </c>
      <c r="AA101" s="81"/>
      <c r="AB101" s="25">
        <f t="shared" si="2"/>
        <v>0</v>
      </c>
      <c r="AC101" s="81"/>
      <c r="AD101" s="81"/>
      <c r="AE101" s="25" t="e">
        <f t="shared" si="3"/>
        <v>#DIV/0!</v>
      </c>
      <c r="AF101" s="140">
        <f t="shared" si="84"/>
        <v>1</v>
      </c>
      <c r="AG101" s="140">
        <f t="shared" si="85"/>
        <v>6</v>
      </c>
      <c r="AH101" s="138">
        <f t="shared" si="5"/>
        <v>1200</v>
      </c>
      <c r="AI101" s="101">
        <v>46113</v>
      </c>
      <c r="AJ101" s="101">
        <v>46477</v>
      </c>
      <c r="AK101" s="102" t="s">
        <v>112</v>
      </c>
      <c r="AL101" s="102" t="s">
        <v>113</v>
      </c>
      <c r="AM101" s="103" t="s">
        <v>114</v>
      </c>
      <c r="AN101" s="324"/>
      <c r="AO101" s="324"/>
      <c r="AP101" s="324"/>
      <c r="AQ101" s="326"/>
      <c r="AR101" s="102" t="s">
        <v>159</v>
      </c>
      <c r="AS101" s="102" t="s">
        <v>112</v>
      </c>
      <c r="AT101" s="152" t="s">
        <v>382</v>
      </c>
      <c r="AU101" s="166" t="s">
        <v>2264</v>
      </c>
      <c r="AV101" s="247" t="s">
        <v>2234</v>
      </c>
      <c r="AW101" s="136" t="s">
        <v>2241</v>
      </c>
      <c r="AX101" s="136" t="s">
        <v>2357</v>
      </c>
      <c r="AY101" s="136" t="s">
        <v>2376</v>
      </c>
      <c r="BA101" s="272"/>
      <c r="BB101" s="273"/>
      <c r="BC101" s="209" t="e">
        <f t="shared" si="60"/>
        <v>#DIV/0!</v>
      </c>
      <c r="BD101" s="272"/>
      <c r="BE101" s="273"/>
      <c r="BF101" s="209" t="e">
        <f t="shared" si="61"/>
        <v>#DIV/0!</v>
      </c>
      <c r="BG101" s="272"/>
      <c r="BH101" s="273"/>
      <c r="BI101" s="209" t="e">
        <f t="shared" si="62"/>
        <v>#DIV/0!</v>
      </c>
      <c r="BJ101" s="210">
        <f t="shared" si="63"/>
        <v>0</v>
      </c>
      <c r="BK101" s="211">
        <f t="shared" si="64"/>
        <v>0</v>
      </c>
      <c r="BL101" s="209" t="e">
        <f t="shared" si="65"/>
        <v>#DIV/0!</v>
      </c>
      <c r="BM101" s="272"/>
      <c r="BN101" s="273"/>
      <c r="BO101" s="209" t="e">
        <f t="shared" si="86"/>
        <v>#DIV/0!</v>
      </c>
      <c r="BP101" s="272"/>
      <c r="BQ101" s="273"/>
      <c r="BR101" s="209" t="e">
        <f t="shared" si="87"/>
        <v>#DIV/0!</v>
      </c>
      <c r="BS101" s="272"/>
      <c r="BT101" s="272"/>
      <c r="BU101" s="209" t="e">
        <f t="shared" si="88"/>
        <v>#DIV/0!</v>
      </c>
      <c r="BV101" s="210">
        <f t="shared" si="66"/>
        <v>0</v>
      </c>
      <c r="BW101" s="210">
        <f t="shared" si="67"/>
        <v>0</v>
      </c>
      <c r="BX101" s="209" t="e">
        <f t="shared" si="68"/>
        <v>#DIV/0!</v>
      </c>
      <c r="BY101" s="209">
        <f t="shared" si="69"/>
        <v>0</v>
      </c>
      <c r="BZ101" s="209">
        <f t="shared" si="70"/>
        <v>0</v>
      </c>
      <c r="CA101" s="212"/>
      <c r="CB101" s="245"/>
      <c r="CC101" s="183"/>
      <c r="CD101" s="184"/>
      <c r="CE101" s="185" t="e">
        <f t="shared" si="89"/>
        <v>#DIV/0!</v>
      </c>
      <c r="CF101" s="183"/>
      <c r="CG101" s="184"/>
      <c r="CH101" s="185" t="e">
        <f t="shared" si="90"/>
        <v>#DIV/0!</v>
      </c>
      <c r="CI101" s="189"/>
      <c r="CJ101" s="190"/>
      <c r="CK101" s="185" t="e">
        <f t="shared" si="91"/>
        <v>#DIV/0!</v>
      </c>
      <c r="CL101" s="187">
        <f t="shared" si="92"/>
        <v>0</v>
      </c>
      <c r="CM101" s="186">
        <f t="shared" si="93"/>
        <v>0</v>
      </c>
      <c r="CN101" s="185" t="e">
        <f t="shared" si="94"/>
        <v>#DIV/0!</v>
      </c>
      <c r="CO101" s="245"/>
      <c r="CP101" s="188">
        <f t="shared" si="95"/>
        <v>0</v>
      </c>
      <c r="CQ101" s="188">
        <f t="shared" si="96"/>
        <v>0</v>
      </c>
      <c r="CR101" s="191" t="e">
        <f t="shared" si="97"/>
        <v>#DIV/0!</v>
      </c>
      <c r="CS101" s="279">
        <f t="shared" si="71"/>
        <v>1</v>
      </c>
      <c r="CT101" s="245"/>
      <c r="CU101" s="188">
        <f t="shared" si="72"/>
        <v>0.3</v>
      </c>
      <c r="CV101" s="277"/>
      <c r="CW101" s="191">
        <f t="shared" si="73"/>
        <v>0</v>
      </c>
      <c r="CX101" s="188">
        <f t="shared" si="74"/>
        <v>0.3</v>
      </c>
      <c r="CY101" s="277"/>
      <c r="CZ101" s="191">
        <f t="shared" si="75"/>
        <v>0</v>
      </c>
      <c r="DA101" s="188">
        <f t="shared" si="76"/>
        <v>0.3</v>
      </c>
      <c r="DB101" s="277"/>
      <c r="DC101" s="191">
        <f t="shared" si="77"/>
        <v>0</v>
      </c>
      <c r="DD101" s="188">
        <f t="shared" si="78"/>
        <v>0.1</v>
      </c>
      <c r="DE101" s="277"/>
      <c r="DF101" s="191">
        <f t="shared" si="79"/>
        <v>0</v>
      </c>
      <c r="DG101" s="245"/>
      <c r="DH101" s="188">
        <f t="shared" si="80"/>
        <v>1</v>
      </c>
      <c r="DI101" s="188">
        <f t="shared" si="81"/>
        <v>0</v>
      </c>
      <c r="DJ101" s="191">
        <f t="shared" si="82"/>
        <v>0</v>
      </c>
      <c r="DK101" s="286">
        <f t="shared" si="83"/>
        <v>1</v>
      </c>
      <c r="DL101" s="261">
        <v>97</v>
      </c>
      <c r="DM101" s="244">
        <f>+A101-DL101</f>
        <v>0</v>
      </c>
    </row>
    <row r="102" spans="1:117" x14ac:dyDescent="0.35">
      <c r="A102" s="263">
        <v>98</v>
      </c>
      <c r="B102" s="102" t="s">
        <v>270</v>
      </c>
      <c r="C102" s="102" t="s">
        <v>118</v>
      </c>
      <c r="D102" s="102" t="s">
        <v>119</v>
      </c>
      <c r="E102" s="102" t="s">
        <v>155</v>
      </c>
      <c r="F102" s="102" t="s">
        <v>402</v>
      </c>
      <c r="G102" s="98" t="s">
        <v>405</v>
      </c>
      <c r="H102" s="98" t="s">
        <v>406</v>
      </c>
      <c r="I102" s="98" t="s">
        <v>103</v>
      </c>
      <c r="J102" s="98" t="s">
        <v>103</v>
      </c>
      <c r="K102" s="96" t="s">
        <v>104</v>
      </c>
      <c r="L102" s="96" t="s">
        <v>105</v>
      </c>
      <c r="M102" s="98" t="s">
        <v>106</v>
      </c>
      <c r="N102" s="98" t="s">
        <v>380</v>
      </c>
      <c r="O102" s="98" t="s">
        <v>127</v>
      </c>
      <c r="P102" s="98" t="s">
        <v>411</v>
      </c>
      <c r="Q102" s="98" t="s">
        <v>129</v>
      </c>
      <c r="R102" s="301">
        <v>1</v>
      </c>
      <c r="S102" s="99" t="s">
        <v>158</v>
      </c>
      <c r="T102" s="81">
        <v>1</v>
      </c>
      <c r="U102" s="81">
        <v>0</v>
      </c>
      <c r="V102" s="25">
        <f t="shared" si="59"/>
        <v>0</v>
      </c>
      <c r="W102" s="81">
        <v>1</v>
      </c>
      <c r="X102" s="81">
        <v>1</v>
      </c>
      <c r="Y102" s="25">
        <f t="shared" si="1"/>
        <v>100</v>
      </c>
      <c r="Z102" s="81"/>
      <c r="AA102" s="81"/>
      <c r="AB102" s="25" t="e">
        <f t="shared" si="2"/>
        <v>#DIV/0!</v>
      </c>
      <c r="AC102" s="81"/>
      <c r="AD102" s="81"/>
      <c r="AE102" s="25" t="e">
        <f t="shared" si="3"/>
        <v>#DIV/0!</v>
      </c>
      <c r="AF102" s="140">
        <f t="shared" si="84"/>
        <v>1</v>
      </c>
      <c r="AG102" s="140">
        <f t="shared" si="85"/>
        <v>1</v>
      </c>
      <c r="AH102" s="138">
        <f t="shared" si="5"/>
        <v>50</v>
      </c>
      <c r="AI102" s="101">
        <v>46054</v>
      </c>
      <c r="AJ102" s="101">
        <v>46477</v>
      </c>
      <c r="AK102" s="102" t="s">
        <v>112</v>
      </c>
      <c r="AL102" s="102" t="s">
        <v>113</v>
      </c>
      <c r="AM102" s="103" t="s">
        <v>114</v>
      </c>
      <c r="AN102" s="104">
        <v>100000000</v>
      </c>
      <c r="AO102" s="104">
        <v>100000000</v>
      </c>
      <c r="AP102" s="104">
        <v>100000000</v>
      </c>
      <c r="AQ102" s="105">
        <f>AO102</f>
        <v>100000000</v>
      </c>
      <c r="AR102" s="102" t="s">
        <v>159</v>
      </c>
      <c r="AS102" s="102" t="s">
        <v>112</v>
      </c>
      <c r="AT102" s="152" t="s">
        <v>382</v>
      </c>
      <c r="AU102" s="166" t="s">
        <v>2264</v>
      </c>
      <c r="AV102" s="247" t="s">
        <v>2234</v>
      </c>
      <c r="AW102" s="136" t="s">
        <v>2241</v>
      </c>
      <c r="AX102" s="136" t="s">
        <v>2357</v>
      </c>
      <c r="AY102" s="136" t="s">
        <v>2376</v>
      </c>
      <c r="BA102" s="272"/>
      <c r="BB102" s="273"/>
      <c r="BC102" s="209" t="e">
        <f t="shared" si="60"/>
        <v>#DIV/0!</v>
      </c>
      <c r="BD102" s="272"/>
      <c r="BE102" s="273"/>
      <c r="BF102" s="209" t="e">
        <f t="shared" si="61"/>
        <v>#DIV/0!</v>
      </c>
      <c r="BG102" s="272"/>
      <c r="BH102" s="273"/>
      <c r="BI102" s="209" t="e">
        <f t="shared" si="62"/>
        <v>#DIV/0!</v>
      </c>
      <c r="BJ102" s="210">
        <f t="shared" si="63"/>
        <v>0</v>
      </c>
      <c r="BK102" s="211">
        <f t="shared" si="64"/>
        <v>0</v>
      </c>
      <c r="BL102" s="209" t="e">
        <f t="shared" si="65"/>
        <v>#DIV/0!</v>
      </c>
      <c r="BM102" s="272"/>
      <c r="BN102" s="273"/>
      <c r="BO102" s="209" t="e">
        <f t="shared" si="86"/>
        <v>#DIV/0!</v>
      </c>
      <c r="BP102" s="272"/>
      <c r="BQ102" s="273"/>
      <c r="BR102" s="209" t="e">
        <f t="shared" si="87"/>
        <v>#DIV/0!</v>
      </c>
      <c r="BS102" s="272"/>
      <c r="BT102" s="272"/>
      <c r="BU102" s="209" t="e">
        <f t="shared" si="88"/>
        <v>#DIV/0!</v>
      </c>
      <c r="BV102" s="210">
        <f t="shared" si="66"/>
        <v>0</v>
      </c>
      <c r="BW102" s="210">
        <f t="shared" si="67"/>
        <v>0</v>
      </c>
      <c r="BX102" s="209" t="e">
        <f t="shared" si="68"/>
        <v>#DIV/0!</v>
      </c>
      <c r="BY102" s="209">
        <f t="shared" si="69"/>
        <v>0</v>
      </c>
      <c r="BZ102" s="209">
        <f t="shared" si="70"/>
        <v>0</v>
      </c>
      <c r="CA102" s="212"/>
      <c r="CB102" s="245"/>
      <c r="CC102" s="183"/>
      <c r="CD102" s="184"/>
      <c r="CE102" s="185" t="e">
        <f t="shared" si="89"/>
        <v>#DIV/0!</v>
      </c>
      <c r="CF102" s="183"/>
      <c r="CG102" s="184"/>
      <c r="CH102" s="185" t="e">
        <f t="shared" si="90"/>
        <v>#DIV/0!</v>
      </c>
      <c r="CI102" s="189"/>
      <c r="CJ102" s="190"/>
      <c r="CK102" s="185" t="e">
        <f t="shared" si="91"/>
        <v>#DIV/0!</v>
      </c>
      <c r="CL102" s="187">
        <f t="shared" si="92"/>
        <v>0</v>
      </c>
      <c r="CM102" s="186">
        <f t="shared" si="93"/>
        <v>0</v>
      </c>
      <c r="CN102" s="185" t="e">
        <f t="shared" si="94"/>
        <v>#DIV/0!</v>
      </c>
      <c r="CO102" s="245"/>
      <c r="CP102" s="188">
        <f t="shared" si="95"/>
        <v>0</v>
      </c>
      <c r="CQ102" s="188">
        <f t="shared" si="96"/>
        <v>0</v>
      </c>
      <c r="CR102" s="191" t="e">
        <f t="shared" si="97"/>
        <v>#DIV/0!</v>
      </c>
      <c r="CS102" s="279">
        <f t="shared" si="71"/>
        <v>1</v>
      </c>
      <c r="CT102" s="245"/>
      <c r="CU102" s="188">
        <f t="shared" si="72"/>
        <v>0.3</v>
      </c>
      <c r="CV102" s="277"/>
      <c r="CW102" s="191">
        <f t="shared" si="73"/>
        <v>0</v>
      </c>
      <c r="CX102" s="188">
        <f t="shared" si="74"/>
        <v>0.3</v>
      </c>
      <c r="CY102" s="277"/>
      <c r="CZ102" s="191">
        <f t="shared" si="75"/>
        <v>0</v>
      </c>
      <c r="DA102" s="188">
        <f t="shared" si="76"/>
        <v>0.3</v>
      </c>
      <c r="DB102" s="277"/>
      <c r="DC102" s="191">
        <f t="shared" si="77"/>
        <v>0</v>
      </c>
      <c r="DD102" s="188">
        <f t="shared" si="78"/>
        <v>0.1</v>
      </c>
      <c r="DE102" s="277"/>
      <c r="DF102" s="191">
        <f t="shared" si="79"/>
        <v>0</v>
      </c>
      <c r="DG102" s="245"/>
      <c r="DH102" s="188">
        <f t="shared" si="80"/>
        <v>1</v>
      </c>
      <c r="DI102" s="188">
        <f t="shared" si="81"/>
        <v>0</v>
      </c>
      <c r="DJ102" s="191">
        <f t="shared" si="82"/>
        <v>0</v>
      </c>
      <c r="DK102" s="286">
        <f t="shared" si="83"/>
        <v>1</v>
      </c>
      <c r="DL102" s="261">
        <v>98</v>
      </c>
      <c r="DM102" s="244">
        <f>+A102-DL102</f>
        <v>0</v>
      </c>
    </row>
    <row r="103" spans="1:117" x14ac:dyDescent="0.35">
      <c r="A103" s="263">
        <v>99</v>
      </c>
      <c r="B103" s="102" t="s">
        <v>270</v>
      </c>
      <c r="C103" s="102" t="s">
        <v>118</v>
      </c>
      <c r="D103" s="102" t="s">
        <v>119</v>
      </c>
      <c r="E103" s="102" t="s">
        <v>155</v>
      </c>
      <c r="F103" s="102" t="s">
        <v>412</v>
      </c>
      <c r="G103" s="98" t="s">
        <v>405</v>
      </c>
      <c r="H103" s="98" t="s">
        <v>406</v>
      </c>
      <c r="I103" s="98" t="s">
        <v>413</v>
      </c>
      <c r="J103" s="98" t="s">
        <v>413</v>
      </c>
      <c r="K103" s="96" t="s">
        <v>104</v>
      </c>
      <c r="L103" s="96" t="s">
        <v>105</v>
      </c>
      <c r="M103" s="98" t="s">
        <v>106</v>
      </c>
      <c r="N103" s="98" t="s">
        <v>380</v>
      </c>
      <c r="O103" s="98" t="s">
        <v>127</v>
      </c>
      <c r="P103" s="258" t="s">
        <v>414</v>
      </c>
      <c r="Q103" s="98" t="s">
        <v>129</v>
      </c>
      <c r="R103" s="301">
        <v>4</v>
      </c>
      <c r="S103" s="99" t="s">
        <v>111</v>
      </c>
      <c r="T103" s="81">
        <v>0.25</v>
      </c>
      <c r="U103" s="81">
        <v>0</v>
      </c>
      <c r="V103" s="25">
        <f t="shared" si="59"/>
        <v>0</v>
      </c>
      <c r="W103" s="81">
        <v>0.25</v>
      </c>
      <c r="X103" s="81">
        <v>1</v>
      </c>
      <c r="Y103" s="25">
        <f t="shared" si="1"/>
        <v>400</v>
      </c>
      <c r="Z103" s="81">
        <v>0.25</v>
      </c>
      <c r="AA103" s="81"/>
      <c r="AB103" s="25">
        <f t="shared" si="2"/>
        <v>0</v>
      </c>
      <c r="AC103" s="81">
        <v>0.25</v>
      </c>
      <c r="AD103" s="81"/>
      <c r="AE103" s="25">
        <f t="shared" si="3"/>
        <v>0</v>
      </c>
      <c r="AF103" s="140">
        <f t="shared" si="84"/>
        <v>4</v>
      </c>
      <c r="AG103" s="140">
        <f t="shared" si="85"/>
        <v>1</v>
      </c>
      <c r="AH103" s="138">
        <f t="shared" si="5"/>
        <v>200</v>
      </c>
      <c r="AI103" s="101">
        <v>46113</v>
      </c>
      <c r="AJ103" s="101">
        <v>46477</v>
      </c>
      <c r="AK103" s="102" t="s">
        <v>112</v>
      </c>
      <c r="AL103" s="102" t="s">
        <v>113</v>
      </c>
      <c r="AM103" s="103" t="s">
        <v>114</v>
      </c>
      <c r="AN103" s="104">
        <v>32000000</v>
      </c>
      <c r="AO103" s="104">
        <v>32000000</v>
      </c>
      <c r="AP103" s="104">
        <v>32000000</v>
      </c>
      <c r="AQ103" s="326">
        <v>0</v>
      </c>
      <c r="AR103" s="322"/>
      <c r="AS103" s="102" t="s">
        <v>112</v>
      </c>
      <c r="AT103" s="152" t="s">
        <v>382</v>
      </c>
      <c r="AU103" s="166" t="s">
        <v>2264</v>
      </c>
      <c r="AV103" s="247" t="s">
        <v>2234</v>
      </c>
      <c r="AW103" s="136" t="s">
        <v>2241</v>
      </c>
      <c r="AX103" s="136" t="s">
        <v>2357</v>
      </c>
      <c r="AY103" s="136" t="s">
        <v>2376</v>
      </c>
      <c r="BA103" s="272"/>
      <c r="BB103" s="273"/>
      <c r="BC103" s="209" t="e">
        <f t="shared" si="60"/>
        <v>#DIV/0!</v>
      </c>
      <c r="BD103" s="272"/>
      <c r="BE103" s="273"/>
      <c r="BF103" s="209" t="e">
        <f t="shared" si="61"/>
        <v>#DIV/0!</v>
      </c>
      <c r="BG103" s="272"/>
      <c r="BH103" s="273"/>
      <c r="BI103" s="209" t="e">
        <f t="shared" si="62"/>
        <v>#DIV/0!</v>
      </c>
      <c r="BJ103" s="210">
        <f t="shared" si="63"/>
        <v>0</v>
      </c>
      <c r="BK103" s="211">
        <f t="shared" si="64"/>
        <v>0</v>
      </c>
      <c r="BL103" s="209" t="e">
        <f t="shared" si="65"/>
        <v>#DIV/0!</v>
      </c>
      <c r="BM103" s="272"/>
      <c r="BN103" s="273"/>
      <c r="BO103" s="209" t="e">
        <f t="shared" si="86"/>
        <v>#DIV/0!</v>
      </c>
      <c r="BP103" s="272"/>
      <c r="BQ103" s="273"/>
      <c r="BR103" s="209" t="e">
        <f t="shared" si="87"/>
        <v>#DIV/0!</v>
      </c>
      <c r="BS103" s="272"/>
      <c r="BT103" s="272"/>
      <c r="BU103" s="209" t="e">
        <f t="shared" si="88"/>
        <v>#DIV/0!</v>
      </c>
      <c r="BV103" s="210">
        <f t="shared" si="66"/>
        <v>0</v>
      </c>
      <c r="BW103" s="210">
        <f t="shared" si="67"/>
        <v>0</v>
      </c>
      <c r="BX103" s="209" t="e">
        <f t="shared" si="68"/>
        <v>#DIV/0!</v>
      </c>
      <c r="BY103" s="209">
        <f t="shared" si="69"/>
        <v>0</v>
      </c>
      <c r="BZ103" s="209">
        <f t="shared" si="70"/>
        <v>0</v>
      </c>
      <c r="CA103" s="212"/>
      <c r="CB103" s="245"/>
      <c r="CC103" s="183"/>
      <c r="CD103" s="184"/>
      <c r="CE103" s="185" t="e">
        <f t="shared" si="89"/>
        <v>#DIV/0!</v>
      </c>
      <c r="CF103" s="183"/>
      <c r="CG103" s="184"/>
      <c r="CH103" s="185" t="e">
        <f t="shared" si="90"/>
        <v>#DIV/0!</v>
      </c>
      <c r="CI103" s="189"/>
      <c r="CJ103" s="190"/>
      <c r="CK103" s="185" t="e">
        <f t="shared" si="91"/>
        <v>#DIV/0!</v>
      </c>
      <c r="CL103" s="187">
        <f t="shared" si="92"/>
        <v>0</v>
      </c>
      <c r="CM103" s="186">
        <f t="shared" si="93"/>
        <v>0</v>
      </c>
      <c r="CN103" s="185" t="e">
        <f t="shared" si="94"/>
        <v>#DIV/0!</v>
      </c>
      <c r="CO103" s="245"/>
      <c r="CP103" s="188">
        <f t="shared" si="95"/>
        <v>0</v>
      </c>
      <c r="CQ103" s="188">
        <f t="shared" si="96"/>
        <v>0</v>
      </c>
      <c r="CR103" s="191" t="e">
        <f t="shared" si="97"/>
        <v>#DIV/0!</v>
      </c>
      <c r="CS103" s="279">
        <f t="shared" si="71"/>
        <v>4</v>
      </c>
      <c r="CT103" s="245"/>
      <c r="CU103" s="188">
        <f t="shared" si="72"/>
        <v>1.2</v>
      </c>
      <c r="CV103" s="277"/>
      <c r="CW103" s="191">
        <f t="shared" si="73"/>
        <v>0</v>
      </c>
      <c r="CX103" s="188">
        <f t="shared" si="74"/>
        <v>1.2</v>
      </c>
      <c r="CY103" s="277"/>
      <c r="CZ103" s="191">
        <f t="shared" si="75"/>
        <v>0</v>
      </c>
      <c r="DA103" s="188">
        <f t="shared" si="76"/>
        <v>1.2</v>
      </c>
      <c r="DB103" s="277"/>
      <c r="DC103" s="191">
        <f t="shared" si="77"/>
        <v>0</v>
      </c>
      <c r="DD103" s="188">
        <f t="shared" si="78"/>
        <v>0.4</v>
      </c>
      <c r="DE103" s="277"/>
      <c r="DF103" s="191">
        <f t="shared" si="79"/>
        <v>0</v>
      </c>
      <c r="DG103" s="245"/>
      <c r="DH103" s="188">
        <f t="shared" si="80"/>
        <v>4</v>
      </c>
      <c r="DI103" s="188">
        <f t="shared" si="81"/>
        <v>0</v>
      </c>
      <c r="DJ103" s="191">
        <f t="shared" si="82"/>
        <v>0</v>
      </c>
      <c r="DK103" s="286">
        <f t="shared" si="83"/>
        <v>4</v>
      </c>
      <c r="DL103" s="261">
        <v>99</v>
      </c>
      <c r="DM103" s="244">
        <f>+A103-DL103</f>
        <v>0</v>
      </c>
    </row>
    <row r="104" spans="1:117" x14ac:dyDescent="0.35">
      <c r="A104" s="263">
        <v>100</v>
      </c>
      <c r="B104" s="102" t="s">
        <v>270</v>
      </c>
      <c r="C104" s="102" t="s">
        <v>118</v>
      </c>
      <c r="D104" s="102" t="s">
        <v>119</v>
      </c>
      <c r="E104" s="102" t="s">
        <v>155</v>
      </c>
      <c r="F104" s="102" t="s">
        <v>415</v>
      </c>
      <c r="G104" s="98" t="s">
        <v>405</v>
      </c>
      <c r="H104" s="98" t="s">
        <v>406</v>
      </c>
      <c r="I104" s="98" t="s">
        <v>103</v>
      </c>
      <c r="J104" s="98" t="s">
        <v>103</v>
      </c>
      <c r="K104" s="96" t="s">
        <v>104</v>
      </c>
      <c r="L104" s="96" t="s">
        <v>105</v>
      </c>
      <c r="M104" s="98" t="s">
        <v>106</v>
      </c>
      <c r="N104" s="98" t="s">
        <v>380</v>
      </c>
      <c r="O104" s="98" t="s">
        <v>127</v>
      </c>
      <c r="P104" s="98" t="s">
        <v>416</v>
      </c>
      <c r="Q104" s="98" t="s">
        <v>129</v>
      </c>
      <c r="R104" s="301">
        <v>1</v>
      </c>
      <c r="S104" s="99" t="s">
        <v>158</v>
      </c>
      <c r="T104" s="81">
        <v>0</v>
      </c>
      <c r="U104" s="81">
        <v>0</v>
      </c>
      <c r="V104" s="25" t="e">
        <f t="shared" si="59"/>
        <v>#DIV/0!</v>
      </c>
      <c r="W104" s="81">
        <v>0.25</v>
      </c>
      <c r="X104" s="81">
        <v>1</v>
      </c>
      <c r="Y104" s="25">
        <f t="shared" si="1"/>
        <v>400</v>
      </c>
      <c r="Z104" s="81">
        <v>0.25</v>
      </c>
      <c r="AA104" s="81"/>
      <c r="AB104" s="25">
        <f t="shared" si="2"/>
        <v>0</v>
      </c>
      <c r="AC104" s="81">
        <v>0.25</v>
      </c>
      <c r="AD104" s="81"/>
      <c r="AE104" s="25">
        <f t="shared" si="3"/>
        <v>0</v>
      </c>
      <c r="AF104" s="140">
        <f t="shared" si="84"/>
        <v>1</v>
      </c>
      <c r="AG104" s="140">
        <f t="shared" si="85"/>
        <v>1</v>
      </c>
      <c r="AH104" s="138">
        <f t="shared" si="5"/>
        <v>400</v>
      </c>
      <c r="AI104" s="101">
        <v>46113</v>
      </c>
      <c r="AJ104" s="101">
        <v>46477</v>
      </c>
      <c r="AK104" s="102" t="s">
        <v>112</v>
      </c>
      <c r="AL104" s="102" t="s">
        <v>113</v>
      </c>
      <c r="AM104" s="103" t="s">
        <v>114</v>
      </c>
      <c r="AN104" s="324"/>
      <c r="AO104" s="324"/>
      <c r="AP104" s="324"/>
      <c r="AQ104" s="326"/>
      <c r="AR104" s="322"/>
      <c r="AS104" s="102" t="s">
        <v>112</v>
      </c>
      <c r="AT104" s="152" t="s">
        <v>382</v>
      </c>
      <c r="AU104" s="166" t="s">
        <v>2264</v>
      </c>
      <c r="AV104" s="247" t="s">
        <v>2234</v>
      </c>
      <c r="AW104" s="136" t="s">
        <v>2241</v>
      </c>
      <c r="AX104" s="136" t="s">
        <v>2357</v>
      </c>
      <c r="AY104" s="136" t="s">
        <v>2376</v>
      </c>
      <c r="BA104" s="272"/>
      <c r="BB104" s="273"/>
      <c r="BC104" s="209" t="e">
        <f t="shared" si="60"/>
        <v>#DIV/0!</v>
      </c>
      <c r="BD104" s="272"/>
      <c r="BE104" s="273"/>
      <c r="BF104" s="209" t="e">
        <f t="shared" si="61"/>
        <v>#DIV/0!</v>
      </c>
      <c r="BG104" s="272"/>
      <c r="BH104" s="273"/>
      <c r="BI104" s="209" t="e">
        <f t="shared" si="62"/>
        <v>#DIV/0!</v>
      </c>
      <c r="BJ104" s="210">
        <f t="shared" si="63"/>
        <v>0</v>
      </c>
      <c r="BK104" s="211">
        <f t="shared" si="64"/>
        <v>0</v>
      </c>
      <c r="BL104" s="209" t="e">
        <f t="shared" si="65"/>
        <v>#DIV/0!</v>
      </c>
      <c r="BM104" s="272"/>
      <c r="BN104" s="273"/>
      <c r="BO104" s="209" t="e">
        <f t="shared" si="86"/>
        <v>#DIV/0!</v>
      </c>
      <c r="BP104" s="272"/>
      <c r="BQ104" s="273"/>
      <c r="BR104" s="209" t="e">
        <f t="shared" si="87"/>
        <v>#DIV/0!</v>
      </c>
      <c r="BS104" s="272"/>
      <c r="BT104" s="272"/>
      <c r="BU104" s="209" t="e">
        <f t="shared" si="88"/>
        <v>#DIV/0!</v>
      </c>
      <c r="BV104" s="210">
        <f t="shared" si="66"/>
        <v>0</v>
      </c>
      <c r="BW104" s="210">
        <f t="shared" si="67"/>
        <v>0</v>
      </c>
      <c r="BX104" s="209" t="e">
        <f t="shared" si="68"/>
        <v>#DIV/0!</v>
      </c>
      <c r="BY104" s="209">
        <f t="shared" si="69"/>
        <v>0</v>
      </c>
      <c r="BZ104" s="209">
        <f t="shared" si="70"/>
        <v>0</v>
      </c>
      <c r="CA104" s="212"/>
      <c r="CB104" s="245"/>
      <c r="CC104" s="183"/>
      <c r="CD104" s="184"/>
      <c r="CE104" s="185" t="e">
        <f t="shared" si="89"/>
        <v>#DIV/0!</v>
      </c>
      <c r="CF104" s="183"/>
      <c r="CG104" s="184"/>
      <c r="CH104" s="185" t="e">
        <f t="shared" si="90"/>
        <v>#DIV/0!</v>
      </c>
      <c r="CI104" s="189"/>
      <c r="CJ104" s="190"/>
      <c r="CK104" s="185" t="e">
        <f t="shared" si="91"/>
        <v>#DIV/0!</v>
      </c>
      <c r="CL104" s="187">
        <f t="shared" si="92"/>
        <v>0</v>
      </c>
      <c r="CM104" s="186">
        <f t="shared" si="93"/>
        <v>0</v>
      </c>
      <c r="CN104" s="185" t="e">
        <f t="shared" si="94"/>
        <v>#DIV/0!</v>
      </c>
      <c r="CO104" s="245"/>
      <c r="CP104" s="188">
        <f t="shared" si="95"/>
        <v>0</v>
      </c>
      <c r="CQ104" s="188">
        <f t="shared" si="96"/>
        <v>0</v>
      </c>
      <c r="CR104" s="191" t="e">
        <f t="shared" si="97"/>
        <v>#DIV/0!</v>
      </c>
      <c r="CS104" s="279">
        <f t="shared" si="71"/>
        <v>1</v>
      </c>
      <c r="CT104" s="245"/>
      <c r="CU104" s="188">
        <f t="shared" si="72"/>
        <v>0.3</v>
      </c>
      <c r="CV104" s="277"/>
      <c r="CW104" s="191">
        <f t="shared" si="73"/>
        <v>0</v>
      </c>
      <c r="CX104" s="188">
        <f t="shared" si="74"/>
        <v>0.3</v>
      </c>
      <c r="CY104" s="277"/>
      <c r="CZ104" s="191">
        <f t="shared" si="75"/>
        <v>0</v>
      </c>
      <c r="DA104" s="188">
        <f t="shared" si="76"/>
        <v>0.3</v>
      </c>
      <c r="DB104" s="277"/>
      <c r="DC104" s="191">
        <f t="shared" si="77"/>
        <v>0</v>
      </c>
      <c r="DD104" s="188">
        <f t="shared" si="78"/>
        <v>0.1</v>
      </c>
      <c r="DE104" s="277"/>
      <c r="DF104" s="191">
        <f t="shared" si="79"/>
        <v>0</v>
      </c>
      <c r="DG104" s="245"/>
      <c r="DH104" s="188">
        <f t="shared" si="80"/>
        <v>1</v>
      </c>
      <c r="DI104" s="188">
        <f t="shared" si="81"/>
        <v>0</v>
      </c>
      <c r="DJ104" s="191">
        <f t="shared" si="82"/>
        <v>0</v>
      </c>
      <c r="DK104" s="286">
        <f t="shared" si="83"/>
        <v>1</v>
      </c>
      <c r="DL104" s="261">
        <v>100</v>
      </c>
      <c r="DM104" s="244">
        <f>+A104-DL104</f>
        <v>0</v>
      </c>
    </row>
    <row r="105" spans="1:117" x14ac:dyDescent="0.35">
      <c r="A105" s="263">
        <v>101</v>
      </c>
      <c r="B105" s="102" t="s">
        <v>270</v>
      </c>
      <c r="C105" s="102" t="s">
        <v>118</v>
      </c>
      <c r="D105" s="102" t="s">
        <v>119</v>
      </c>
      <c r="E105" s="102" t="s">
        <v>155</v>
      </c>
      <c r="F105" s="102" t="s">
        <v>402</v>
      </c>
      <c r="G105" s="98" t="s">
        <v>405</v>
      </c>
      <c r="H105" s="98" t="s">
        <v>406</v>
      </c>
      <c r="I105" s="98" t="s">
        <v>103</v>
      </c>
      <c r="J105" s="98" t="s">
        <v>103</v>
      </c>
      <c r="K105" s="96" t="s">
        <v>104</v>
      </c>
      <c r="L105" s="96" t="s">
        <v>105</v>
      </c>
      <c r="M105" s="98" t="s">
        <v>106</v>
      </c>
      <c r="N105" s="98" t="s">
        <v>380</v>
      </c>
      <c r="O105" s="98" t="s">
        <v>127</v>
      </c>
      <c r="P105" s="98" t="s">
        <v>417</v>
      </c>
      <c r="Q105" s="98" t="s">
        <v>129</v>
      </c>
      <c r="R105" s="301">
        <v>29</v>
      </c>
      <c r="S105" s="99" t="s">
        <v>111</v>
      </c>
      <c r="T105" s="81">
        <v>5</v>
      </c>
      <c r="U105" s="81">
        <v>7</v>
      </c>
      <c r="V105" s="25">
        <f t="shared" si="59"/>
        <v>140</v>
      </c>
      <c r="W105" s="81">
        <v>5</v>
      </c>
      <c r="X105" s="81">
        <v>22</v>
      </c>
      <c r="Y105" s="25">
        <f t="shared" si="1"/>
        <v>440.00000000000006</v>
      </c>
      <c r="Z105" s="81">
        <v>9</v>
      </c>
      <c r="AA105" s="81"/>
      <c r="AB105" s="25">
        <f t="shared" si="2"/>
        <v>0</v>
      </c>
      <c r="AC105" s="81">
        <v>10</v>
      </c>
      <c r="AD105" s="81"/>
      <c r="AE105" s="25">
        <f t="shared" si="3"/>
        <v>0</v>
      </c>
      <c r="AF105" s="140">
        <f t="shared" si="84"/>
        <v>29</v>
      </c>
      <c r="AG105" s="140">
        <f t="shared" si="85"/>
        <v>29</v>
      </c>
      <c r="AH105" s="138">
        <f t="shared" si="5"/>
        <v>290</v>
      </c>
      <c r="AI105" s="101">
        <v>46054</v>
      </c>
      <c r="AJ105" s="101">
        <v>46477</v>
      </c>
      <c r="AK105" s="102" t="s">
        <v>112</v>
      </c>
      <c r="AL105" s="102" t="s">
        <v>113</v>
      </c>
      <c r="AM105" s="103" t="s">
        <v>114</v>
      </c>
      <c r="AN105" s="324"/>
      <c r="AO105" s="324"/>
      <c r="AP105" s="324"/>
      <c r="AQ105" s="326"/>
      <c r="AR105" s="322"/>
      <c r="AS105" s="102" t="s">
        <v>112</v>
      </c>
      <c r="AT105" s="152" t="s">
        <v>382</v>
      </c>
      <c r="AU105" s="166" t="s">
        <v>2264</v>
      </c>
      <c r="AV105" s="247" t="s">
        <v>2234</v>
      </c>
      <c r="AW105" s="136" t="s">
        <v>2241</v>
      </c>
      <c r="AX105" s="136" t="s">
        <v>2357</v>
      </c>
      <c r="AY105" s="136" t="s">
        <v>2376</v>
      </c>
      <c r="BA105" s="272"/>
      <c r="BB105" s="273"/>
      <c r="BC105" s="209" t="e">
        <f t="shared" si="60"/>
        <v>#DIV/0!</v>
      </c>
      <c r="BD105" s="272"/>
      <c r="BE105" s="273"/>
      <c r="BF105" s="209" t="e">
        <f t="shared" si="61"/>
        <v>#DIV/0!</v>
      </c>
      <c r="BG105" s="272"/>
      <c r="BH105" s="273"/>
      <c r="BI105" s="209" t="e">
        <f t="shared" si="62"/>
        <v>#DIV/0!</v>
      </c>
      <c r="BJ105" s="210">
        <f t="shared" si="63"/>
        <v>0</v>
      </c>
      <c r="BK105" s="211">
        <f t="shared" si="64"/>
        <v>0</v>
      </c>
      <c r="BL105" s="209" t="e">
        <f t="shared" si="65"/>
        <v>#DIV/0!</v>
      </c>
      <c r="BM105" s="272"/>
      <c r="BN105" s="273"/>
      <c r="BO105" s="209" t="e">
        <f t="shared" si="86"/>
        <v>#DIV/0!</v>
      </c>
      <c r="BP105" s="272"/>
      <c r="BQ105" s="273"/>
      <c r="BR105" s="209" t="e">
        <f t="shared" si="87"/>
        <v>#DIV/0!</v>
      </c>
      <c r="BS105" s="272"/>
      <c r="BT105" s="272"/>
      <c r="BU105" s="209" t="e">
        <f t="shared" si="88"/>
        <v>#DIV/0!</v>
      </c>
      <c r="BV105" s="210">
        <f t="shared" si="66"/>
        <v>0</v>
      </c>
      <c r="BW105" s="210">
        <f t="shared" si="67"/>
        <v>0</v>
      </c>
      <c r="BX105" s="209" t="e">
        <f t="shared" si="68"/>
        <v>#DIV/0!</v>
      </c>
      <c r="BY105" s="209">
        <f t="shared" si="69"/>
        <v>0</v>
      </c>
      <c r="BZ105" s="209">
        <f t="shared" si="70"/>
        <v>0</v>
      </c>
      <c r="CA105" s="212"/>
      <c r="CB105" s="245"/>
      <c r="CC105" s="183"/>
      <c r="CD105" s="184"/>
      <c r="CE105" s="185" t="e">
        <f t="shared" si="89"/>
        <v>#DIV/0!</v>
      </c>
      <c r="CF105" s="183"/>
      <c r="CG105" s="184"/>
      <c r="CH105" s="185" t="e">
        <f t="shared" si="90"/>
        <v>#DIV/0!</v>
      </c>
      <c r="CI105" s="189"/>
      <c r="CJ105" s="190"/>
      <c r="CK105" s="185" t="e">
        <f t="shared" si="91"/>
        <v>#DIV/0!</v>
      </c>
      <c r="CL105" s="187">
        <f t="shared" si="92"/>
        <v>0</v>
      </c>
      <c r="CM105" s="186">
        <f t="shared" si="93"/>
        <v>0</v>
      </c>
      <c r="CN105" s="185" t="e">
        <f t="shared" si="94"/>
        <v>#DIV/0!</v>
      </c>
      <c r="CO105" s="245"/>
      <c r="CP105" s="188">
        <f t="shared" si="95"/>
        <v>0</v>
      </c>
      <c r="CQ105" s="188">
        <f t="shared" si="96"/>
        <v>0</v>
      </c>
      <c r="CR105" s="191" t="e">
        <f t="shared" si="97"/>
        <v>#DIV/0!</v>
      </c>
      <c r="CS105" s="279">
        <f t="shared" si="71"/>
        <v>29</v>
      </c>
      <c r="CT105" s="245"/>
      <c r="CU105" s="188">
        <f t="shared" si="72"/>
        <v>8.6999999999999993</v>
      </c>
      <c r="CV105" s="277"/>
      <c r="CW105" s="191">
        <f t="shared" si="73"/>
        <v>0</v>
      </c>
      <c r="CX105" s="188">
        <f t="shared" si="74"/>
        <v>8.6999999999999993</v>
      </c>
      <c r="CY105" s="277"/>
      <c r="CZ105" s="191">
        <f t="shared" si="75"/>
        <v>0</v>
      </c>
      <c r="DA105" s="188">
        <f t="shared" si="76"/>
        <v>8.6999999999999993</v>
      </c>
      <c r="DB105" s="277"/>
      <c r="DC105" s="191">
        <f t="shared" si="77"/>
        <v>0</v>
      </c>
      <c r="DD105" s="188">
        <f t="shared" si="78"/>
        <v>2.9000000000000004</v>
      </c>
      <c r="DE105" s="277"/>
      <c r="DF105" s="191">
        <f t="shared" si="79"/>
        <v>0</v>
      </c>
      <c r="DG105" s="245"/>
      <c r="DH105" s="188">
        <f t="shared" si="80"/>
        <v>29</v>
      </c>
      <c r="DI105" s="188">
        <f t="shared" si="81"/>
        <v>0</v>
      </c>
      <c r="DJ105" s="191">
        <f t="shared" si="82"/>
        <v>0</v>
      </c>
      <c r="DK105" s="286">
        <f t="shared" si="83"/>
        <v>29</v>
      </c>
      <c r="DL105" s="261">
        <v>101</v>
      </c>
      <c r="DM105" s="244">
        <f>+A105-DL105</f>
        <v>0</v>
      </c>
    </row>
    <row r="106" spans="1:117" x14ac:dyDescent="0.35">
      <c r="A106" s="263">
        <v>102</v>
      </c>
      <c r="B106" s="102" t="s">
        <v>270</v>
      </c>
      <c r="C106" s="102" t="s">
        <v>118</v>
      </c>
      <c r="D106" s="102" t="s">
        <v>119</v>
      </c>
      <c r="E106" s="102" t="s">
        <v>155</v>
      </c>
      <c r="F106" s="102" t="s">
        <v>418</v>
      </c>
      <c r="G106" s="98" t="s">
        <v>405</v>
      </c>
      <c r="H106" s="98" t="s">
        <v>406</v>
      </c>
      <c r="I106" s="98" t="s">
        <v>103</v>
      </c>
      <c r="J106" s="98" t="s">
        <v>103</v>
      </c>
      <c r="K106" s="96" t="s">
        <v>104</v>
      </c>
      <c r="L106" s="96" t="s">
        <v>105</v>
      </c>
      <c r="M106" s="98" t="s">
        <v>106</v>
      </c>
      <c r="N106" s="98" t="s">
        <v>380</v>
      </c>
      <c r="O106" s="98" t="s">
        <v>127</v>
      </c>
      <c r="P106" s="98" t="s">
        <v>419</v>
      </c>
      <c r="Q106" s="98" t="s">
        <v>129</v>
      </c>
      <c r="R106" s="301">
        <v>4</v>
      </c>
      <c r="S106" s="99" t="s">
        <v>111</v>
      </c>
      <c r="T106" s="81">
        <v>1</v>
      </c>
      <c r="U106" s="81">
        <v>1</v>
      </c>
      <c r="V106" s="25">
        <f t="shared" si="59"/>
        <v>100</v>
      </c>
      <c r="W106" s="81">
        <v>1</v>
      </c>
      <c r="X106" s="81">
        <v>1</v>
      </c>
      <c r="Y106" s="25">
        <f t="shared" si="1"/>
        <v>100</v>
      </c>
      <c r="Z106" s="81">
        <v>1</v>
      </c>
      <c r="AA106" s="81"/>
      <c r="AB106" s="25">
        <f t="shared" si="2"/>
        <v>0</v>
      </c>
      <c r="AC106" s="81">
        <v>1</v>
      </c>
      <c r="AD106" s="81"/>
      <c r="AE106" s="25">
        <f t="shared" si="3"/>
        <v>0</v>
      </c>
      <c r="AF106" s="140">
        <f t="shared" si="84"/>
        <v>4</v>
      </c>
      <c r="AG106" s="140">
        <f t="shared" si="85"/>
        <v>2</v>
      </c>
      <c r="AH106" s="138">
        <f t="shared" si="5"/>
        <v>100</v>
      </c>
      <c r="AI106" s="101">
        <v>46113</v>
      </c>
      <c r="AJ106" s="101">
        <v>46477</v>
      </c>
      <c r="AK106" s="102" t="s">
        <v>112</v>
      </c>
      <c r="AL106" s="102" t="s">
        <v>113</v>
      </c>
      <c r="AM106" s="103" t="s">
        <v>114</v>
      </c>
      <c r="AN106" s="324"/>
      <c r="AO106" s="324"/>
      <c r="AP106" s="324"/>
      <c r="AQ106" s="326"/>
      <c r="AR106" s="322"/>
      <c r="AS106" s="102" t="s">
        <v>112</v>
      </c>
      <c r="AT106" s="152" t="s">
        <v>382</v>
      </c>
      <c r="AU106" s="166" t="s">
        <v>2264</v>
      </c>
      <c r="AV106" s="247" t="s">
        <v>2234</v>
      </c>
      <c r="AW106" s="136" t="s">
        <v>2241</v>
      </c>
      <c r="AX106" s="136" t="s">
        <v>2357</v>
      </c>
      <c r="AY106" s="136" t="s">
        <v>2376</v>
      </c>
      <c r="BA106" s="272"/>
      <c r="BB106" s="273"/>
      <c r="BC106" s="209" t="e">
        <f t="shared" si="60"/>
        <v>#DIV/0!</v>
      </c>
      <c r="BD106" s="272"/>
      <c r="BE106" s="273"/>
      <c r="BF106" s="209" t="e">
        <f t="shared" si="61"/>
        <v>#DIV/0!</v>
      </c>
      <c r="BG106" s="272"/>
      <c r="BH106" s="273"/>
      <c r="BI106" s="209" t="e">
        <f t="shared" si="62"/>
        <v>#DIV/0!</v>
      </c>
      <c r="BJ106" s="210">
        <f t="shared" si="63"/>
        <v>0</v>
      </c>
      <c r="BK106" s="211">
        <f t="shared" si="64"/>
        <v>0</v>
      </c>
      <c r="BL106" s="209" t="e">
        <f t="shared" si="65"/>
        <v>#DIV/0!</v>
      </c>
      <c r="BM106" s="272"/>
      <c r="BN106" s="273"/>
      <c r="BO106" s="209" t="e">
        <f t="shared" si="86"/>
        <v>#DIV/0!</v>
      </c>
      <c r="BP106" s="272"/>
      <c r="BQ106" s="273"/>
      <c r="BR106" s="209" t="e">
        <f t="shared" si="87"/>
        <v>#DIV/0!</v>
      </c>
      <c r="BS106" s="272"/>
      <c r="BT106" s="272"/>
      <c r="BU106" s="209" t="e">
        <f t="shared" si="88"/>
        <v>#DIV/0!</v>
      </c>
      <c r="BV106" s="210">
        <f t="shared" si="66"/>
        <v>0</v>
      </c>
      <c r="BW106" s="210">
        <f t="shared" si="67"/>
        <v>0</v>
      </c>
      <c r="BX106" s="209" t="e">
        <f t="shared" si="68"/>
        <v>#DIV/0!</v>
      </c>
      <c r="BY106" s="209">
        <f t="shared" si="69"/>
        <v>0</v>
      </c>
      <c r="BZ106" s="209">
        <f t="shared" si="70"/>
        <v>0</v>
      </c>
      <c r="CA106" s="212"/>
      <c r="CB106" s="245"/>
      <c r="CC106" s="183"/>
      <c r="CD106" s="184"/>
      <c r="CE106" s="185" t="e">
        <f t="shared" si="89"/>
        <v>#DIV/0!</v>
      </c>
      <c r="CF106" s="183"/>
      <c r="CG106" s="184"/>
      <c r="CH106" s="185" t="e">
        <f t="shared" si="90"/>
        <v>#DIV/0!</v>
      </c>
      <c r="CI106" s="189"/>
      <c r="CJ106" s="190"/>
      <c r="CK106" s="185" t="e">
        <f t="shared" si="91"/>
        <v>#DIV/0!</v>
      </c>
      <c r="CL106" s="187">
        <f t="shared" si="92"/>
        <v>0</v>
      </c>
      <c r="CM106" s="186">
        <f t="shared" si="93"/>
        <v>0</v>
      </c>
      <c r="CN106" s="185" t="e">
        <f t="shared" si="94"/>
        <v>#DIV/0!</v>
      </c>
      <c r="CO106" s="245"/>
      <c r="CP106" s="188">
        <f t="shared" si="95"/>
        <v>0</v>
      </c>
      <c r="CQ106" s="188">
        <f t="shared" si="96"/>
        <v>0</v>
      </c>
      <c r="CR106" s="191" t="e">
        <f t="shared" si="97"/>
        <v>#DIV/0!</v>
      </c>
      <c r="CS106" s="279">
        <f t="shared" si="71"/>
        <v>4</v>
      </c>
      <c r="CT106" s="245"/>
      <c r="CU106" s="188">
        <f t="shared" si="72"/>
        <v>1.2</v>
      </c>
      <c r="CV106" s="277"/>
      <c r="CW106" s="191">
        <f t="shared" si="73"/>
        <v>0</v>
      </c>
      <c r="CX106" s="188">
        <f t="shared" si="74"/>
        <v>1.2</v>
      </c>
      <c r="CY106" s="277"/>
      <c r="CZ106" s="191">
        <f t="shared" si="75"/>
        <v>0</v>
      </c>
      <c r="DA106" s="188">
        <f t="shared" si="76"/>
        <v>1.2</v>
      </c>
      <c r="DB106" s="277"/>
      <c r="DC106" s="191">
        <f t="shared" si="77"/>
        <v>0</v>
      </c>
      <c r="DD106" s="188">
        <f t="shared" si="78"/>
        <v>0.4</v>
      </c>
      <c r="DE106" s="277"/>
      <c r="DF106" s="191">
        <f t="shared" si="79"/>
        <v>0</v>
      </c>
      <c r="DG106" s="245"/>
      <c r="DH106" s="188">
        <f t="shared" si="80"/>
        <v>4</v>
      </c>
      <c r="DI106" s="188">
        <f t="shared" si="81"/>
        <v>0</v>
      </c>
      <c r="DJ106" s="191">
        <f t="shared" si="82"/>
        <v>0</v>
      </c>
      <c r="DK106" s="286">
        <f t="shared" si="83"/>
        <v>4</v>
      </c>
      <c r="DL106" s="261">
        <v>102</v>
      </c>
      <c r="DM106" s="244">
        <f>+A106-DL106</f>
        <v>0</v>
      </c>
    </row>
    <row r="107" spans="1:117" x14ac:dyDescent="0.35">
      <c r="A107" s="263">
        <v>103</v>
      </c>
      <c r="B107" s="102" t="s">
        <v>270</v>
      </c>
      <c r="C107" s="102" t="s">
        <v>118</v>
      </c>
      <c r="D107" s="102" t="s">
        <v>119</v>
      </c>
      <c r="E107" s="102" t="s">
        <v>155</v>
      </c>
      <c r="F107" s="102" t="s">
        <v>420</v>
      </c>
      <c r="G107" s="98" t="s">
        <v>405</v>
      </c>
      <c r="H107" s="98" t="s">
        <v>406</v>
      </c>
      <c r="I107" s="98" t="s">
        <v>383</v>
      </c>
      <c r="J107" s="98" t="s">
        <v>383</v>
      </c>
      <c r="K107" s="96" t="s">
        <v>104</v>
      </c>
      <c r="L107" s="96" t="s">
        <v>105</v>
      </c>
      <c r="M107" s="98" t="s">
        <v>106</v>
      </c>
      <c r="N107" s="98" t="s">
        <v>380</v>
      </c>
      <c r="O107" s="98" t="s">
        <v>127</v>
      </c>
      <c r="P107" s="98" t="s">
        <v>421</v>
      </c>
      <c r="Q107" s="98" t="s">
        <v>129</v>
      </c>
      <c r="R107" s="301">
        <v>4</v>
      </c>
      <c r="S107" s="99" t="s">
        <v>158</v>
      </c>
      <c r="T107" s="81">
        <v>1</v>
      </c>
      <c r="U107" s="81">
        <v>1</v>
      </c>
      <c r="V107" s="25">
        <f t="shared" si="59"/>
        <v>100</v>
      </c>
      <c r="W107" s="81">
        <v>1</v>
      </c>
      <c r="X107" s="81">
        <v>1</v>
      </c>
      <c r="Y107" s="25">
        <f t="shared" si="1"/>
        <v>100</v>
      </c>
      <c r="Z107" s="81">
        <v>1</v>
      </c>
      <c r="AA107" s="81"/>
      <c r="AB107" s="25">
        <f t="shared" si="2"/>
        <v>0</v>
      </c>
      <c r="AC107" s="81">
        <v>1</v>
      </c>
      <c r="AD107" s="81"/>
      <c r="AE107" s="25">
        <f t="shared" si="3"/>
        <v>0</v>
      </c>
      <c r="AF107" s="140">
        <f t="shared" si="84"/>
        <v>4</v>
      </c>
      <c r="AG107" s="140">
        <f t="shared" si="85"/>
        <v>2</v>
      </c>
      <c r="AH107" s="138">
        <f t="shared" si="5"/>
        <v>100</v>
      </c>
      <c r="AI107" s="101">
        <v>46113</v>
      </c>
      <c r="AJ107" s="101">
        <v>46477</v>
      </c>
      <c r="AK107" s="102" t="s">
        <v>112</v>
      </c>
      <c r="AL107" s="102" t="s">
        <v>113</v>
      </c>
      <c r="AM107" s="103" t="s">
        <v>114</v>
      </c>
      <c r="AN107" s="324"/>
      <c r="AO107" s="324"/>
      <c r="AP107" s="324"/>
      <c r="AQ107" s="326"/>
      <c r="AR107" s="102" t="s">
        <v>159</v>
      </c>
      <c r="AS107" s="102" t="s">
        <v>112</v>
      </c>
      <c r="AT107" s="152" t="s">
        <v>382</v>
      </c>
      <c r="AU107" s="166" t="s">
        <v>2264</v>
      </c>
      <c r="AV107" s="247" t="s">
        <v>2234</v>
      </c>
      <c r="AW107" s="136" t="s">
        <v>2241</v>
      </c>
      <c r="AX107" s="136" t="s">
        <v>2357</v>
      </c>
      <c r="AY107" s="136" t="s">
        <v>2376</v>
      </c>
      <c r="BA107" s="272"/>
      <c r="BB107" s="273"/>
      <c r="BC107" s="209" t="e">
        <f t="shared" si="60"/>
        <v>#DIV/0!</v>
      </c>
      <c r="BD107" s="272"/>
      <c r="BE107" s="273"/>
      <c r="BF107" s="209" t="e">
        <f t="shared" si="61"/>
        <v>#DIV/0!</v>
      </c>
      <c r="BG107" s="272"/>
      <c r="BH107" s="273"/>
      <c r="BI107" s="209" t="e">
        <f t="shared" si="62"/>
        <v>#DIV/0!</v>
      </c>
      <c r="BJ107" s="210">
        <f t="shared" si="63"/>
        <v>0</v>
      </c>
      <c r="BK107" s="211">
        <f t="shared" si="64"/>
        <v>0</v>
      </c>
      <c r="BL107" s="209" t="e">
        <f t="shared" si="65"/>
        <v>#DIV/0!</v>
      </c>
      <c r="BM107" s="272"/>
      <c r="BN107" s="273"/>
      <c r="BO107" s="209" t="e">
        <f t="shared" si="86"/>
        <v>#DIV/0!</v>
      </c>
      <c r="BP107" s="272"/>
      <c r="BQ107" s="273"/>
      <c r="BR107" s="209" t="e">
        <f t="shared" si="87"/>
        <v>#DIV/0!</v>
      </c>
      <c r="BS107" s="272"/>
      <c r="BT107" s="272"/>
      <c r="BU107" s="209" t="e">
        <f t="shared" si="88"/>
        <v>#DIV/0!</v>
      </c>
      <c r="BV107" s="210">
        <f t="shared" si="66"/>
        <v>0</v>
      </c>
      <c r="BW107" s="210">
        <f t="shared" si="67"/>
        <v>0</v>
      </c>
      <c r="BX107" s="209" t="e">
        <f t="shared" si="68"/>
        <v>#DIV/0!</v>
      </c>
      <c r="BY107" s="209">
        <f t="shared" si="69"/>
        <v>0</v>
      </c>
      <c r="BZ107" s="209">
        <f t="shared" si="70"/>
        <v>0</v>
      </c>
      <c r="CA107" s="212"/>
      <c r="CB107" s="245"/>
      <c r="CC107" s="183"/>
      <c r="CD107" s="184"/>
      <c r="CE107" s="185" t="e">
        <f t="shared" si="89"/>
        <v>#DIV/0!</v>
      </c>
      <c r="CF107" s="183"/>
      <c r="CG107" s="184"/>
      <c r="CH107" s="185" t="e">
        <f t="shared" si="90"/>
        <v>#DIV/0!</v>
      </c>
      <c r="CI107" s="189"/>
      <c r="CJ107" s="190"/>
      <c r="CK107" s="185" t="e">
        <f t="shared" si="91"/>
        <v>#DIV/0!</v>
      </c>
      <c r="CL107" s="187">
        <f t="shared" si="92"/>
        <v>0</v>
      </c>
      <c r="CM107" s="186">
        <f t="shared" si="93"/>
        <v>0</v>
      </c>
      <c r="CN107" s="185" t="e">
        <f t="shared" si="94"/>
        <v>#DIV/0!</v>
      </c>
      <c r="CO107" s="245"/>
      <c r="CP107" s="188">
        <f t="shared" si="95"/>
        <v>0</v>
      </c>
      <c r="CQ107" s="188">
        <f t="shared" si="96"/>
        <v>0</v>
      </c>
      <c r="CR107" s="191" t="e">
        <f t="shared" si="97"/>
        <v>#DIV/0!</v>
      </c>
      <c r="CS107" s="279">
        <f t="shared" si="71"/>
        <v>4</v>
      </c>
      <c r="CT107" s="245"/>
      <c r="CU107" s="188">
        <f t="shared" si="72"/>
        <v>1.2</v>
      </c>
      <c r="CV107" s="277"/>
      <c r="CW107" s="191">
        <f t="shared" si="73"/>
        <v>0</v>
      </c>
      <c r="CX107" s="188">
        <f t="shared" si="74"/>
        <v>1.2</v>
      </c>
      <c r="CY107" s="277"/>
      <c r="CZ107" s="191">
        <f t="shared" si="75"/>
        <v>0</v>
      </c>
      <c r="DA107" s="188">
        <f t="shared" si="76"/>
        <v>1.2</v>
      </c>
      <c r="DB107" s="277"/>
      <c r="DC107" s="191">
        <f t="shared" si="77"/>
        <v>0</v>
      </c>
      <c r="DD107" s="188">
        <f t="shared" si="78"/>
        <v>0.4</v>
      </c>
      <c r="DE107" s="277"/>
      <c r="DF107" s="191">
        <f t="shared" si="79"/>
        <v>0</v>
      </c>
      <c r="DG107" s="245"/>
      <c r="DH107" s="188">
        <f t="shared" si="80"/>
        <v>4</v>
      </c>
      <c r="DI107" s="188">
        <f t="shared" si="81"/>
        <v>0</v>
      </c>
      <c r="DJ107" s="191">
        <f t="shared" si="82"/>
        <v>0</v>
      </c>
      <c r="DK107" s="286">
        <f t="shared" si="83"/>
        <v>4</v>
      </c>
      <c r="DL107" s="261">
        <v>103</v>
      </c>
      <c r="DM107" s="244">
        <f>+A107-DL107</f>
        <v>0</v>
      </c>
    </row>
    <row r="108" spans="1:117" x14ac:dyDescent="0.35">
      <c r="A108" s="263">
        <v>104</v>
      </c>
      <c r="B108" s="102" t="s">
        <v>270</v>
      </c>
      <c r="C108" s="102" t="s">
        <v>97</v>
      </c>
      <c r="D108" s="102" t="s">
        <v>98</v>
      </c>
      <c r="E108" s="102" t="s">
        <v>120</v>
      </c>
      <c r="F108" s="102" t="s">
        <v>422</v>
      </c>
      <c r="G108" s="98" t="s">
        <v>422</v>
      </c>
      <c r="H108" s="98" t="s">
        <v>422</v>
      </c>
      <c r="I108" s="98" t="s">
        <v>423</v>
      </c>
      <c r="J108" s="98" t="s">
        <v>423</v>
      </c>
      <c r="K108" s="96" t="s">
        <v>183</v>
      </c>
      <c r="L108" s="96" t="s">
        <v>424</v>
      </c>
      <c r="M108" s="98" t="s">
        <v>106</v>
      </c>
      <c r="N108" s="98" t="s">
        <v>425</v>
      </c>
      <c r="O108" s="98" t="s">
        <v>108</v>
      </c>
      <c r="P108" s="98" t="s">
        <v>426</v>
      </c>
      <c r="Q108" s="98" t="s">
        <v>110</v>
      </c>
      <c r="R108" s="301">
        <v>29</v>
      </c>
      <c r="S108" s="99" t="s">
        <v>111</v>
      </c>
      <c r="T108" s="81">
        <v>0</v>
      </c>
      <c r="U108" s="81">
        <v>0</v>
      </c>
      <c r="V108" s="25" t="e">
        <f t="shared" si="59"/>
        <v>#DIV/0!</v>
      </c>
      <c r="W108" s="81">
        <v>10</v>
      </c>
      <c r="X108" s="81">
        <v>1</v>
      </c>
      <c r="Y108" s="25">
        <f t="shared" si="1"/>
        <v>10</v>
      </c>
      <c r="Z108" s="81">
        <v>10</v>
      </c>
      <c r="AA108" s="81"/>
      <c r="AB108" s="25">
        <f t="shared" si="2"/>
        <v>0</v>
      </c>
      <c r="AC108" s="81">
        <v>9</v>
      </c>
      <c r="AD108" s="81"/>
      <c r="AE108" s="25">
        <f t="shared" si="3"/>
        <v>0</v>
      </c>
      <c r="AF108" s="140">
        <f t="shared" si="84"/>
        <v>29</v>
      </c>
      <c r="AG108" s="140">
        <f t="shared" si="85"/>
        <v>1</v>
      </c>
      <c r="AH108" s="138">
        <f t="shared" si="5"/>
        <v>10</v>
      </c>
      <c r="AI108" s="101">
        <v>46054</v>
      </c>
      <c r="AJ108" s="101">
        <v>46477</v>
      </c>
      <c r="AK108" s="102" t="s">
        <v>112</v>
      </c>
      <c r="AL108" s="102" t="s">
        <v>113</v>
      </c>
      <c r="AM108" s="103" t="s">
        <v>114</v>
      </c>
      <c r="AN108" s="104">
        <v>100000000</v>
      </c>
      <c r="AO108" s="104">
        <v>100000000</v>
      </c>
      <c r="AP108" s="104">
        <v>100000000</v>
      </c>
      <c r="AQ108" s="326">
        <v>0</v>
      </c>
      <c r="AR108" s="102" t="s">
        <v>159</v>
      </c>
      <c r="AS108" s="102" t="s">
        <v>112</v>
      </c>
      <c r="AT108" s="152" t="s">
        <v>427</v>
      </c>
      <c r="AU108" s="166" t="s">
        <v>2264</v>
      </c>
      <c r="AV108" s="247" t="s">
        <v>2234</v>
      </c>
      <c r="AW108" s="136" t="s">
        <v>2387</v>
      </c>
      <c r="AX108" s="136" t="s">
        <v>2388</v>
      </c>
      <c r="AY108" s="136" t="s">
        <v>2308</v>
      </c>
      <c r="BA108" s="272">
        <v>0</v>
      </c>
      <c r="BB108" s="273">
        <v>0</v>
      </c>
      <c r="BC108" s="209" t="e">
        <f t="shared" si="60"/>
        <v>#DIV/0!</v>
      </c>
      <c r="BD108" s="272">
        <v>0</v>
      </c>
      <c r="BE108" s="273">
        <v>0</v>
      </c>
      <c r="BF108" s="209" t="e">
        <f t="shared" si="61"/>
        <v>#DIV/0!</v>
      </c>
      <c r="BG108" s="272">
        <v>0</v>
      </c>
      <c r="BH108" s="273">
        <v>0</v>
      </c>
      <c r="BI108" s="209" t="e">
        <f t="shared" si="62"/>
        <v>#DIV/0!</v>
      </c>
      <c r="BJ108" s="210">
        <f t="shared" si="63"/>
        <v>0</v>
      </c>
      <c r="BK108" s="211">
        <f t="shared" si="64"/>
        <v>0</v>
      </c>
      <c r="BL108" s="209" t="e">
        <f t="shared" si="65"/>
        <v>#DIV/0!</v>
      </c>
      <c r="BM108" s="272">
        <v>29</v>
      </c>
      <c r="BN108" s="273">
        <v>0</v>
      </c>
      <c r="BO108" s="209">
        <f t="shared" si="86"/>
        <v>0</v>
      </c>
      <c r="BP108" s="272">
        <v>29</v>
      </c>
      <c r="BQ108" s="273">
        <v>3</v>
      </c>
      <c r="BR108" s="209">
        <f t="shared" si="87"/>
        <v>0.10344827586206896</v>
      </c>
      <c r="BS108" s="272">
        <v>29</v>
      </c>
      <c r="BT108" s="272">
        <v>2</v>
      </c>
      <c r="BU108" s="209">
        <f t="shared" si="88"/>
        <v>6.8965517241379309E-2</v>
      </c>
      <c r="BV108" s="210">
        <f t="shared" si="66"/>
        <v>87</v>
      </c>
      <c r="BW108" s="210">
        <f t="shared" si="67"/>
        <v>5</v>
      </c>
      <c r="BX108" s="209">
        <f t="shared" si="68"/>
        <v>5.7471264367816091E-2</v>
      </c>
      <c r="BY108" s="209">
        <f t="shared" si="69"/>
        <v>0.17241379310344829</v>
      </c>
      <c r="BZ108" s="209">
        <f t="shared" si="70"/>
        <v>-0.17241379310344829</v>
      </c>
      <c r="CA108" s="212"/>
      <c r="CB108" s="245"/>
      <c r="CC108" s="183">
        <v>29</v>
      </c>
      <c r="CD108" s="184">
        <v>0</v>
      </c>
      <c r="CE108" s="185">
        <f t="shared" si="89"/>
        <v>0</v>
      </c>
      <c r="CF108" s="183">
        <v>29</v>
      </c>
      <c r="CG108" s="184">
        <v>0</v>
      </c>
      <c r="CH108" s="185">
        <f t="shared" si="90"/>
        <v>0</v>
      </c>
      <c r="CI108" s="189"/>
      <c r="CJ108" s="190"/>
      <c r="CK108" s="185" t="e">
        <f t="shared" si="91"/>
        <v>#DIV/0!</v>
      </c>
      <c r="CL108" s="187">
        <f t="shared" si="92"/>
        <v>58</v>
      </c>
      <c r="CM108" s="186">
        <f t="shared" si="93"/>
        <v>0</v>
      </c>
      <c r="CN108" s="185">
        <f t="shared" si="94"/>
        <v>0</v>
      </c>
      <c r="CO108" s="245"/>
      <c r="CP108" s="188">
        <f t="shared" si="95"/>
        <v>145</v>
      </c>
      <c r="CQ108" s="188">
        <f t="shared" si="96"/>
        <v>5</v>
      </c>
      <c r="CR108" s="191">
        <f t="shared" si="97"/>
        <v>3.4482758620689655E-2</v>
      </c>
      <c r="CS108" s="279">
        <f t="shared" si="71"/>
        <v>24</v>
      </c>
      <c r="CT108" s="245"/>
      <c r="CU108" s="188">
        <f t="shared" si="72"/>
        <v>7.1999999999999993</v>
      </c>
      <c r="CV108" s="277"/>
      <c r="CW108" s="191">
        <f t="shared" si="73"/>
        <v>0</v>
      </c>
      <c r="CX108" s="188">
        <f t="shared" si="74"/>
        <v>7.1999999999999993</v>
      </c>
      <c r="CY108" s="277"/>
      <c r="CZ108" s="191">
        <f t="shared" si="75"/>
        <v>0</v>
      </c>
      <c r="DA108" s="188">
        <f t="shared" si="76"/>
        <v>7.1999999999999993</v>
      </c>
      <c r="DB108" s="277"/>
      <c r="DC108" s="191">
        <f t="shared" si="77"/>
        <v>0</v>
      </c>
      <c r="DD108" s="188">
        <f t="shared" si="78"/>
        <v>2.4000000000000004</v>
      </c>
      <c r="DE108" s="277"/>
      <c r="DF108" s="191">
        <f t="shared" si="79"/>
        <v>0</v>
      </c>
      <c r="DG108" s="245"/>
      <c r="DH108" s="188">
        <f t="shared" si="80"/>
        <v>29</v>
      </c>
      <c r="DI108" s="188">
        <f t="shared" si="81"/>
        <v>5</v>
      </c>
      <c r="DJ108" s="191">
        <f t="shared" si="82"/>
        <v>0.17241379310344829</v>
      </c>
      <c r="DK108" s="286">
        <f t="shared" si="83"/>
        <v>24</v>
      </c>
      <c r="DL108" s="261">
        <v>104</v>
      </c>
      <c r="DM108" s="244">
        <f>+A108-DL108</f>
        <v>0</v>
      </c>
    </row>
    <row r="109" spans="1:117" x14ac:dyDescent="0.35">
      <c r="A109" s="263">
        <v>105</v>
      </c>
      <c r="B109" s="102" t="s">
        <v>270</v>
      </c>
      <c r="C109" s="102" t="s">
        <v>133</v>
      </c>
      <c r="D109" s="102" t="s">
        <v>119</v>
      </c>
      <c r="E109" s="102" t="s">
        <v>120</v>
      </c>
      <c r="F109" s="102" t="s">
        <v>428</v>
      </c>
      <c r="G109" s="98" t="s">
        <v>429</v>
      </c>
      <c r="H109" s="98" t="s">
        <v>430</v>
      </c>
      <c r="I109" s="98" t="s">
        <v>423</v>
      </c>
      <c r="J109" s="98" t="s">
        <v>423</v>
      </c>
      <c r="K109" s="96" t="s">
        <v>183</v>
      </c>
      <c r="L109" s="96" t="s">
        <v>431</v>
      </c>
      <c r="M109" s="98" t="s">
        <v>106</v>
      </c>
      <c r="N109" s="98" t="s">
        <v>425</v>
      </c>
      <c r="O109" s="98" t="s">
        <v>127</v>
      </c>
      <c r="P109" s="258" t="s">
        <v>432</v>
      </c>
      <c r="Q109" s="98" t="s">
        <v>129</v>
      </c>
      <c r="R109" s="301">
        <v>1</v>
      </c>
      <c r="S109" s="99" t="s">
        <v>111</v>
      </c>
      <c r="T109" s="81">
        <v>0</v>
      </c>
      <c r="U109" s="81">
        <v>0</v>
      </c>
      <c r="V109" s="25" t="e">
        <f t="shared" si="59"/>
        <v>#DIV/0!</v>
      </c>
      <c r="W109" s="81">
        <v>0</v>
      </c>
      <c r="X109" s="81">
        <v>0</v>
      </c>
      <c r="Y109" s="25" t="e">
        <f t="shared" si="1"/>
        <v>#DIV/0!</v>
      </c>
      <c r="Z109" s="81">
        <v>1</v>
      </c>
      <c r="AA109" s="81"/>
      <c r="AB109" s="25">
        <f t="shared" si="2"/>
        <v>0</v>
      </c>
      <c r="AC109" s="81">
        <v>0</v>
      </c>
      <c r="AD109" s="81"/>
      <c r="AE109" s="25" t="e">
        <f t="shared" si="3"/>
        <v>#DIV/0!</v>
      </c>
      <c r="AF109" s="140">
        <f t="shared" si="84"/>
        <v>1</v>
      </c>
      <c r="AG109" s="140">
        <f t="shared" si="85"/>
        <v>0</v>
      </c>
      <c r="AH109" s="138" t="e">
        <f t="shared" si="5"/>
        <v>#DIV/0!</v>
      </c>
      <c r="AI109" s="101">
        <v>46054</v>
      </c>
      <c r="AJ109" s="101">
        <v>46477</v>
      </c>
      <c r="AK109" s="102" t="s">
        <v>112</v>
      </c>
      <c r="AL109" s="102" t="s">
        <v>113</v>
      </c>
      <c r="AM109" s="103" t="s">
        <v>114</v>
      </c>
      <c r="AN109" s="104">
        <v>30000000</v>
      </c>
      <c r="AO109" s="104">
        <v>30000000</v>
      </c>
      <c r="AP109" s="104">
        <v>30000000</v>
      </c>
      <c r="AQ109" s="326">
        <v>0</v>
      </c>
      <c r="AR109" s="102" t="s">
        <v>159</v>
      </c>
      <c r="AS109" s="102" t="s">
        <v>112</v>
      </c>
      <c r="AT109" s="152" t="s">
        <v>427</v>
      </c>
      <c r="AU109" s="166" t="s">
        <v>2264</v>
      </c>
      <c r="AV109" s="247" t="s">
        <v>2234</v>
      </c>
      <c r="AW109" s="136" t="s">
        <v>2387</v>
      </c>
      <c r="AX109" s="136" t="s">
        <v>2388</v>
      </c>
      <c r="AY109" s="136" t="s">
        <v>2308</v>
      </c>
      <c r="BA109" s="272">
        <v>0</v>
      </c>
      <c r="BB109" s="273">
        <v>0</v>
      </c>
      <c r="BC109" s="209" t="e">
        <f t="shared" si="60"/>
        <v>#DIV/0!</v>
      </c>
      <c r="BD109" s="272">
        <v>0</v>
      </c>
      <c r="BE109" s="273">
        <v>0</v>
      </c>
      <c r="BF109" s="209" t="e">
        <f t="shared" si="61"/>
        <v>#DIV/0!</v>
      </c>
      <c r="BG109" s="272">
        <v>0</v>
      </c>
      <c r="BH109" s="273">
        <v>0</v>
      </c>
      <c r="BI109" s="209" t="e">
        <f t="shared" si="62"/>
        <v>#DIV/0!</v>
      </c>
      <c r="BJ109" s="210">
        <f t="shared" si="63"/>
        <v>0</v>
      </c>
      <c r="BK109" s="211">
        <f t="shared" si="64"/>
        <v>0</v>
      </c>
      <c r="BL109" s="209" t="e">
        <f t="shared" si="65"/>
        <v>#DIV/0!</v>
      </c>
      <c r="BM109" s="272"/>
      <c r="BN109" s="273"/>
      <c r="BO109" s="209" t="e">
        <f t="shared" si="86"/>
        <v>#DIV/0!</v>
      </c>
      <c r="BP109" s="272"/>
      <c r="BQ109" s="273"/>
      <c r="BR109" s="209" t="e">
        <f t="shared" si="87"/>
        <v>#DIV/0!</v>
      </c>
      <c r="BS109" s="272"/>
      <c r="BT109" s="272"/>
      <c r="BU109" s="209" t="e">
        <f t="shared" si="88"/>
        <v>#DIV/0!</v>
      </c>
      <c r="BV109" s="210">
        <f t="shared" si="66"/>
        <v>0</v>
      </c>
      <c r="BW109" s="210">
        <f t="shared" si="67"/>
        <v>0</v>
      </c>
      <c r="BX109" s="209" t="e">
        <f t="shared" si="68"/>
        <v>#DIV/0!</v>
      </c>
      <c r="BY109" s="209">
        <f t="shared" si="69"/>
        <v>0</v>
      </c>
      <c r="BZ109" s="209">
        <f t="shared" si="70"/>
        <v>0</v>
      </c>
      <c r="CA109" s="212"/>
      <c r="CB109" s="245"/>
      <c r="CC109" s="183">
        <v>0</v>
      </c>
      <c r="CD109" s="184">
        <v>0</v>
      </c>
      <c r="CE109" s="185" t="e">
        <f t="shared" si="89"/>
        <v>#DIV/0!</v>
      </c>
      <c r="CF109" s="183">
        <v>0</v>
      </c>
      <c r="CG109" s="184">
        <v>0</v>
      </c>
      <c r="CH109" s="185" t="e">
        <f t="shared" si="90"/>
        <v>#DIV/0!</v>
      </c>
      <c r="CI109" s="189"/>
      <c r="CJ109" s="190"/>
      <c r="CK109" s="185" t="e">
        <f t="shared" si="91"/>
        <v>#DIV/0!</v>
      </c>
      <c r="CL109" s="187">
        <f t="shared" si="92"/>
        <v>0</v>
      </c>
      <c r="CM109" s="186">
        <f t="shared" si="93"/>
        <v>0</v>
      </c>
      <c r="CN109" s="185" t="e">
        <f t="shared" si="94"/>
        <v>#DIV/0!</v>
      </c>
      <c r="CO109" s="245"/>
      <c r="CP109" s="188">
        <f t="shared" si="95"/>
        <v>0</v>
      </c>
      <c r="CQ109" s="188">
        <f t="shared" si="96"/>
        <v>0</v>
      </c>
      <c r="CR109" s="191" t="e">
        <f t="shared" si="97"/>
        <v>#DIV/0!</v>
      </c>
      <c r="CS109" s="279">
        <f t="shared" si="71"/>
        <v>1</v>
      </c>
      <c r="CT109" s="245"/>
      <c r="CU109" s="188">
        <f t="shared" si="72"/>
        <v>0.3</v>
      </c>
      <c r="CV109" s="277"/>
      <c r="CW109" s="191">
        <f t="shared" si="73"/>
        <v>0</v>
      </c>
      <c r="CX109" s="188">
        <f t="shared" si="74"/>
        <v>0.3</v>
      </c>
      <c r="CY109" s="277"/>
      <c r="CZ109" s="191">
        <f t="shared" si="75"/>
        <v>0</v>
      </c>
      <c r="DA109" s="188">
        <f t="shared" si="76"/>
        <v>0.3</v>
      </c>
      <c r="DB109" s="277"/>
      <c r="DC109" s="191">
        <f t="shared" si="77"/>
        <v>0</v>
      </c>
      <c r="DD109" s="188">
        <f t="shared" si="78"/>
        <v>0.1</v>
      </c>
      <c r="DE109" s="277"/>
      <c r="DF109" s="191">
        <f t="shared" si="79"/>
        <v>0</v>
      </c>
      <c r="DG109" s="245"/>
      <c r="DH109" s="188">
        <f t="shared" si="80"/>
        <v>1</v>
      </c>
      <c r="DI109" s="188">
        <f t="shared" si="81"/>
        <v>0</v>
      </c>
      <c r="DJ109" s="191">
        <f t="shared" si="82"/>
        <v>0</v>
      </c>
      <c r="DK109" s="286">
        <f t="shared" si="83"/>
        <v>1</v>
      </c>
      <c r="DL109" s="261">
        <v>105</v>
      </c>
      <c r="DM109" s="244">
        <f>+A109-DL109</f>
        <v>0</v>
      </c>
    </row>
    <row r="110" spans="1:117" x14ac:dyDescent="0.35">
      <c r="A110" s="263">
        <v>106</v>
      </c>
      <c r="B110" s="102" t="s">
        <v>270</v>
      </c>
      <c r="C110" s="102" t="s">
        <v>97</v>
      </c>
      <c r="D110" s="102" t="s">
        <v>98</v>
      </c>
      <c r="E110" s="102" t="s">
        <v>205</v>
      </c>
      <c r="F110" s="102" t="s">
        <v>422</v>
      </c>
      <c r="G110" s="98" t="s">
        <v>433</v>
      </c>
      <c r="H110" s="98" t="s">
        <v>430</v>
      </c>
      <c r="I110" s="98" t="s">
        <v>423</v>
      </c>
      <c r="J110" s="98" t="s">
        <v>423</v>
      </c>
      <c r="K110" s="96" t="s">
        <v>104</v>
      </c>
      <c r="L110" s="96" t="s">
        <v>105</v>
      </c>
      <c r="M110" s="98" t="s">
        <v>106</v>
      </c>
      <c r="N110" s="98" t="s">
        <v>425</v>
      </c>
      <c r="O110" s="98" t="s">
        <v>434</v>
      </c>
      <c r="P110" s="98" t="s">
        <v>435</v>
      </c>
      <c r="Q110" s="98" t="s">
        <v>110</v>
      </c>
      <c r="R110" s="301">
        <v>29</v>
      </c>
      <c r="S110" s="99" t="s">
        <v>111</v>
      </c>
      <c r="T110" s="81">
        <v>0</v>
      </c>
      <c r="U110" s="81">
        <v>0</v>
      </c>
      <c r="V110" s="25" t="e">
        <f t="shared" si="59"/>
        <v>#DIV/0!</v>
      </c>
      <c r="W110" s="81">
        <v>11</v>
      </c>
      <c r="X110" s="81">
        <v>0</v>
      </c>
      <c r="Y110" s="25">
        <f t="shared" si="1"/>
        <v>0</v>
      </c>
      <c r="Z110" s="81">
        <v>10</v>
      </c>
      <c r="AA110" s="81"/>
      <c r="AB110" s="25">
        <f t="shared" si="2"/>
        <v>0</v>
      </c>
      <c r="AC110" s="81">
        <v>8</v>
      </c>
      <c r="AD110" s="81"/>
      <c r="AE110" s="25">
        <f t="shared" si="3"/>
        <v>0</v>
      </c>
      <c r="AF110" s="140">
        <f t="shared" si="84"/>
        <v>29</v>
      </c>
      <c r="AG110" s="140">
        <f t="shared" si="85"/>
        <v>0</v>
      </c>
      <c r="AH110" s="138">
        <f t="shared" si="5"/>
        <v>0</v>
      </c>
      <c r="AI110" s="101">
        <v>46054</v>
      </c>
      <c r="AJ110" s="101">
        <v>46477</v>
      </c>
      <c r="AK110" s="102" t="s">
        <v>112</v>
      </c>
      <c r="AL110" s="102" t="s">
        <v>113</v>
      </c>
      <c r="AM110" s="103" t="s">
        <v>114</v>
      </c>
      <c r="AN110" s="104">
        <v>100000000</v>
      </c>
      <c r="AO110" s="104">
        <v>100000000</v>
      </c>
      <c r="AP110" s="104">
        <v>100000000</v>
      </c>
      <c r="AQ110" s="326">
        <v>0</v>
      </c>
      <c r="AR110" s="102" t="s">
        <v>159</v>
      </c>
      <c r="AS110" s="102" t="s">
        <v>112</v>
      </c>
      <c r="AT110" s="152" t="s">
        <v>427</v>
      </c>
      <c r="AU110" s="166" t="s">
        <v>2264</v>
      </c>
      <c r="AV110" s="247" t="s">
        <v>2234</v>
      </c>
      <c r="AW110" s="136" t="s">
        <v>2387</v>
      </c>
      <c r="AX110" s="136" t="s">
        <v>2388</v>
      </c>
      <c r="AY110" s="136" t="s">
        <v>2308</v>
      </c>
      <c r="BA110" s="272">
        <v>0</v>
      </c>
      <c r="BB110" s="273">
        <v>0</v>
      </c>
      <c r="BC110" s="209" t="e">
        <f t="shared" si="60"/>
        <v>#DIV/0!</v>
      </c>
      <c r="BD110" s="272">
        <v>0</v>
      </c>
      <c r="BE110" s="273">
        <v>0</v>
      </c>
      <c r="BF110" s="209" t="e">
        <f t="shared" si="61"/>
        <v>#DIV/0!</v>
      </c>
      <c r="BG110" s="272">
        <v>0</v>
      </c>
      <c r="BH110" s="273">
        <v>0</v>
      </c>
      <c r="BI110" s="209" t="e">
        <f t="shared" si="62"/>
        <v>#DIV/0!</v>
      </c>
      <c r="BJ110" s="210">
        <f t="shared" si="63"/>
        <v>0</v>
      </c>
      <c r="BK110" s="211">
        <f t="shared" si="64"/>
        <v>0</v>
      </c>
      <c r="BL110" s="209" t="e">
        <f t="shared" si="65"/>
        <v>#DIV/0!</v>
      </c>
      <c r="BM110" s="272">
        <v>29</v>
      </c>
      <c r="BN110" s="273">
        <v>0</v>
      </c>
      <c r="BO110" s="209">
        <f t="shared" si="86"/>
        <v>0</v>
      </c>
      <c r="BP110" s="272">
        <v>29</v>
      </c>
      <c r="BQ110" s="273">
        <v>2</v>
      </c>
      <c r="BR110" s="209">
        <f t="shared" si="87"/>
        <v>6.8965517241379309E-2</v>
      </c>
      <c r="BS110" s="272">
        <v>29</v>
      </c>
      <c r="BT110" s="272">
        <v>1</v>
      </c>
      <c r="BU110" s="209">
        <f t="shared" si="88"/>
        <v>3.4482758620689655E-2</v>
      </c>
      <c r="BV110" s="210">
        <f t="shared" si="66"/>
        <v>87</v>
      </c>
      <c r="BW110" s="210">
        <f t="shared" si="67"/>
        <v>3</v>
      </c>
      <c r="BX110" s="209">
        <f t="shared" si="68"/>
        <v>3.4482758620689655E-2</v>
      </c>
      <c r="BY110" s="209">
        <f t="shared" si="69"/>
        <v>0.10344827586206896</v>
      </c>
      <c r="BZ110" s="209">
        <f t="shared" si="70"/>
        <v>-0.10344827586206896</v>
      </c>
      <c r="CA110" s="212"/>
      <c r="CB110" s="245"/>
      <c r="CC110" s="183">
        <v>29</v>
      </c>
      <c r="CD110" s="184">
        <v>1</v>
      </c>
      <c r="CE110" s="185">
        <f t="shared" si="89"/>
        <v>3.4482758620689655E-2</v>
      </c>
      <c r="CF110" s="183">
        <v>29</v>
      </c>
      <c r="CG110" s="184">
        <v>0</v>
      </c>
      <c r="CH110" s="185">
        <f t="shared" si="90"/>
        <v>0</v>
      </c>
      <c r="CI110" s="189"/>
      <c r="CJ110" s="190"/>
      <c r="CK110" s="185" t="e">
        <f t="shared" si="91"/>
        <v>#DIV/0!</v>
      </c>
      <c r="CL110" s="187">
        <f t="shared" si="92"/>
        <v>58</v>
      </c>
      <c r="CM110" s="186">
        <f t="shared" si="93"/>
        <v>1</v>
      </c>
      <c r="CN110" s="185">
        <f t="shared" si="94"/>
        <v>1.7241379310344827E-2</v>
      </c>
      <c r="CO110" s="245"/>
      <c r="CP110" s="188">
        <f t="shared" si="95"/>
        <v>145</v>
      </c>
      <c r="CQ110" s="188">
        <f t="shared" si="96"/>
        <v>4</v>
      </c>
      <c r="CR110" s="191">
        <f t="shared" si="97"/>
        <v>2.7586206896551724E-2</v>
      </c>
      <c r="CS110" s="279">
        <f t="shared" si="71"/>
        <v>25</v>
      </c>
      <c r="CT110" s="245"/>
      <c r="CU110" s="188">
        <f t="shared" si="72"/>
        <v>7.5</v>
      </c>
      <c r="CV110" s="277"/>
      <c r="CW110" s="191">
        <f t="shared" si="73"/>
        <v>0</v>
      </c>
      <c r="CX110" s="188">
        <f t="shared" si="74"/>
        <v>7.5</v>
      </c>
      <c r="CY110" s="277"/>
      <c r="CZ110" s="191">
        <f t="shared" si="75"/>
        <v>0</v>
      </c>
      <c r="DA110" s="188">
        <f t="shared" si="76"/>
        <v>7.5</v>
      </c>
      <c r="DB110" s="277"/>
      <c r="DC110" s="191">
        <f t="shared" si="77"/>
        <v>0</v>
      </c>
      <c r="DD110" s="188">
        <f t="shared" si="78"/>
        <v>2.5</v>
      </c>
      <c r="DE110" s="277"/>
      <c r="DF110" s="191">
        <f t="shared" si="79"/>
        <v>0</v>
      </c>
      <c r="DG110" s="245"/>
      <c r="DH110" s="188">
        <f t="shared" si="80"/>
        <v>29</v>
      </c>
      <c r="DI110" s="188">
        <f t="shared" si="81"/>
        <v>4</v>
      </c>
      <c r="DJ110" s="191">
        <f t="shared" si="82"/>
        <v>0.13793103448275862</v>
      </c>
      <c r="DK110" s="286">
        <f t="shared" si="83"/>
        <v>25</v>
      </c>
      <c r="DL110" s="261">
        <v>106</v>
      </c>
      <c r="DM110" s="244">
        <f>+A110-DL110</f>
        <v>0</v>
      </c>
    </row>
    <row r="111" spans="1:117" x14ac:dyDescent="0.35">
      <c r="A111" s="263">
        <v>107</v>
      </c>
      <c r="B111" s="102" t="s">
        <v>270</v>
      </c>
      <c r="C111" s="102" t="s">
        <v>436</v>
      </c>
      <c r="D111" s="102" t="s">
        <v>437</v>
      </c>
      <c r="E111" s="102" t="s">
        <v>120</v>
      </c>
      <c r="F111" s="102" t="s">
        <v>438</v>
      </c>
      <c r="G111" s="98" t="s">
        <v>186</v>
      </c>
      <c r="H111" s="98" t="s">
        <v>187</v>
      </c>
      <c r="I111" s="98" t="s">
        <v>439</v>
      </c>
      <c r="J111" s="98" t="s">
        <v>439</v>
      </c>
      <c r="K111" s="96" t="s">
        <v>183</v>
      </c>
      <c r="L111" s="96" t="s">
        <v>424</v>
      </c>
      <c r="M111" s="98" t="s">
        <v>106</v>
      </c>
      <c r="N111" s="98" t="s">
        <v>425</v>
      </c>
      <c r="O111" s="98" t="s">
        <v>127</v>
      </c>
      <c r="P111" s="98" t="s">
        <v>440</v>
      </c>
      <c r="Q111" s="98" t="s">
        <v>129</v>
      </c>
      <c r="R111" s="301">
        <v>29</v>
      </c>
      <c r="S111" s="99" t="s">
        <v>111</v>
      </c>
      <c r="T111" s="81">
        <v>0</v>
      </c>
      <c r="U111" s="81">
        <v>0</v>
      </c>
      <c r="V111" s="25" t="e">
        <f t="shared" si="59"/>
        <v>#DIV/0!</v>
      </c>
      <c r="W111" s="81">
        <v>10</v>
      </c>
      <c r="X111" s="81">
        <v>10</v>
      </c>
      <c r="Y111" s="25">
        <f t="shared" si="1"/>
        <v>100</v>
      </c>
      <c r="Z111" s="81">
        <v>10</v>
      </c>
      <c r="AA111" s="81"/>
      <c r="AB111" s="25">
        <f t="shared" si="2"/>
        <v>0</v>
      </c>
      <c r="AC111" s="81">
        <v>9</v>
      </c>
      <c r="AD111" s="81"/>
      <c r="AE111" s="25">
        <f t="shared" si="3"/>
        <v>0</v>
      </c>
      <c r="AF111" s="140">
        <f t="shared" si="84"/>
        <v>29</v>
      </c>
      <c r="AG111" s="140">
        <f t="shared" si="85"/>
        <v>10</v>
      </c>
      <c r="AH111" s="138">
        <f t="shared" si="5"/>
        <v>100</v>
      </c>
      <c r="AI111" s="101">
        <v>46026</v>
      </c>
      <c r="AJ111" s="101">
        <v>46477</v>
      </c>
      <c r="AK111" s="102" t="s">
        <v>112</v>
      </c>
      <c r="AL111" s="102" t="s">
        <v>113</v>
      </c>
      <c r="AM111" s="103" t="s">
        <v>114</v>
      </c>
      <c r="AN111" s="104">
        <v>126000000</v>
      </c>
      <c r="AO111" s="104">
        <v>126000000</v>
      </c>
      <c r="AP111" s="104">
        <v>126000000</v>
      </c>
      <c r="AQ111" s="326">
        <v>0</v>
      </c>
      <c r="AR111" s="102" t="s">
        <v>159</v>
      </c>
      <c r="AS111" s="102" t="s">
        <v>112</v>
      </c>
      <c r="AT111" s="152" t="s">
        <v>427</v>
      </c>
      <c r="AU111" s="166" t="s">
        <v>2264</v>
      </c>
      <c r="AV111" s="247" t="s">
        <v>2234</v>
      </c>
      <c r="AW111" s="136" t="s">
        <v>2387</v>
      </c>
      <c r="AX111" s="136" t="s">
        <v>2388</v>
      </c>
      <c r="AY111" s="136" t="s">
        <v>2308</v>
      </c>
      <c r="BA111" s="272">
        <v>0</v>
      </c>
      <c r="BB111" s="273">
        <v>0</v>
      </c>
      <c r="BC111" s="209" t="e">
        <f t="shared" si="60"/>
        <v>#DIV/0!</v>
      </c>
      <c r="BD111" s="272">
        <v>0</v>
      </c>
      <c r="BE111" s="273">
        <v>0</v>
      </c>
      <c r="BF111" s="209" t="e">
        <f t="shared" si="61"/>
        <v>#DIV/0!</v>
      </c>
      <c r="BG111" s="272">
        <v>0</v>
      </c>
      <c r="BH111" s="273">
        <v>0</v>
      </c>
      <c r="BI111" s="209" t="e">
        <f t="shared" si="62"/>
        <v>#DIV/0!</v>
      </c>
      <c r="BJ111" s="210">
        <f t="shared" si="63"/>
        <v>0</v>
      </c>
      <c r="BK111" s="211">
        <f t="shared" si="64"/>
        <v>0</v>
      </c>
      <c r="BL111" s="209" t="e">
        <f t="shared" si="65"/>
        <v>#DIV/0!</v>
      </c>
      <c r="BM111" s="272">
        <v>0</v>
      </c>
      <c r="BN111" s="273">
        <v>0</v>
      </c>
      <c r="BO111" s="209" t="e">
        <f t="shared" si="86"/>
        <v>#DIV/0!</v>
      </c>
      <c r="BP111" s="272">
        <v>6</v>
      </c>
      <c r="BQ111" s="273">
        <v>6</v>
      </c>
      <c r="BR111" s="209">
        <f t="shared" si="87"/>
        <v>1</v>
      </c>
      <c r="BS111" s="272">
        <v>4</v>
      </c>
      <c r="BT111" s="272">
        <v>4</v>
      </c>
      <c r="BU111" s="209">
        <f t="shared" si="88"/>
        <v>1</v>
      </c>
      <c r="BV111" s="210">
        <f t="shared" si="66"/>
        <v>10</v>
      </c>
      <c r="BW111" s="210">
        <f t="shared" si="67"/>
        <v>10</v>
      </c>
      <c r="BX111" s="209">
        <f t="shared" si="68"/>
        <v>1</v>
      </c>
      <c r="BY111" s="209">
        <f t="shared" si="69"/>
        <v>0.34482758620689657</v>
      </c>
      <c r="BZ111" s="209">
        <f t="shared" si="70"/>
        <v>-0.34482758620689657</v>
      </c>
      <c r="CA111" s="212"/>
      <c r="CB111" s="245"/>
      <c r="CC111" s="183">
        <v>0</v>
      </c>
      <c r="CD111" s="184">
        <v>0</v>
      </c>
      <c r="CE111" s="185" t="e">
        <f t="shared" si="89"/>
        <v>#DIV/0!</v>
      </c>
      <c r="CF111" s="183">
        <v>0</v>
      </c>
      <c r="CG111" s="184">
        <v>0</v>
      </c>
      <c r="CH111" s="185" t="e">
        <f t="shared" si="90"/>
        <v>#DIV/0!</v>
      </c>
      <c r="CI111" s="189"/>
      <c r="CJ111" s="190"/>
      <c r="CK111" s="185" t="e">
        <f t="shared" si="91"/>
        <v>#DIV/0!</v>
      </c>
      <c r="CL111" s="187">
        <f t="shared" si="92"/>
        <v>0</v>
      </c>
      <c r="CM111" s="186">
        <f t="shared" si="93"/>
        <v>0</v>
      </c>
      <c r="CN111" s="185" t="e">
        <f t="shared" si="94"/>
        <v>#DIV/0!</v>
      </c>
      <c r="CO111" s="245"/>
      <c r="CP111" s="188">
        <f t="shared" si="95"/>
        <v>10</v>
      </c>
      <c r="CQ111" s="188">
        <f t="shared" si="96"/>
        <v>10</v>
      </c>
      <c r="CR111" s="191">
        <f t="shared" si="97"/>
        <v>1</v>
      </c>
      <c r="CS111" s="279">
        <f t="shared" si="71"/>
        <v>19</v>
      </c>
      <c r="CT111" s="245"/>
      <c r="CU111" s="188">
        <f t="shared" si="72"/>
        <v>5.7</v>
      </c>
      <c r="CV111" s="277"/>
      <c r="CW111" s="191">
        <f t="shared" si="73"/>
        <v>0</v>
      </c>
      <c r="CX111" s="188">
        <f t="shared" si="74"/>
        <v>5.7</v>
      </c>
      <c r="CY111" s="277"/>
      <c r="CZ111" s="191">
        <f t="shared" si="75"/>
        <v>0</v>
      </c>
      <c r="DA111" s="188">
        <f t="shared" si="76"/>
        <v>5.7</v>
      </c>
      <c r="DB111" s="277"/>
      <c r="DC111" s="191">
        <f t="shared" si="77"/>
        <v>0</v>
      </c>
      <c r="DD111" s="188">
        <f t="shared" si="78"/>
        <v>1.9000000000000001</v>
      </c>
      <c r="DE111" s="277"/>
      <c r="DF111" s="191">
        <f t="shared" si="79"/>
        <v>0</v>
      </c>
      <c r="DG111" s="245"/>
      <c r="DH111" s="188">
        <f t="shared" si="80"/>
        <v>29</v>
      </c>
      <c r="DI111" s="188">
        <f t="shared" si="81"/>
        <v>10</v>
      </c>
      <c r="DJ111" s="191">
        <f t="shared" si="82"/>
        <v>0.34482758620689657</v>
      </c>
      <c r="DK111" s="286">
        <f t="shared" si="83"/>
        <v>19</v>
      </c>
      <c r="DL111" s="261">
        <v>107</v>
      </c>
      <c r="DM111" s="244">
        <f>+A111-DL111</f>
        <v>0</v>
      </c>
    </row>
    <row r="112" spans="1:117" x14ac:dyDescent="0.35">
      <c r="A112" s="263">
        <v>108</v>
      </c>
      <c r="B112" s="102" t="s">
        <v>270</v>
      </c>
      <c r="C112" s="102" t="s">
        <v>133</v>
      </c>
      <c r="D112" s="102" t="s">
        <v>119</v>
      </c>
      <c r="E112" s="102" t="s">
        <v>134</v>
      </c>
      <c r="F112" s="102" t="s">
        <v>438</v>
      </c>
      <c r="G112" s="98" t="s">
        <v>429</v>
      </c>
      <c r="H112" s="98" t="s">
        <v>430</v>
      </c>
      <c r="I112" s="98" t="s">
        <v>423</v>
      </c>
      <c r="J112" s="98" t="s">
        <v>423</v>
      </c>
      <c r="K112" s="96" t="s">
        <v>183</v>
      </c>
      <c r="L112" s="96" t="s">
        <v>424</v>
      </c>
      <c r="M112" s="98" t="s">
        <v>106</v>
      </c>
      <c r="N112" s="98" t="s">
        <v>425</v>
      </c>
      <c r="O112" s="98" t="s">
        <v>127</v>
      </c>
      <c r="P112" s="258" t="s">
        <v>441</v>
      </c>
      <c r="Q112" s="98" t="s">
        <v>129</v>
      </c>
      <c r="R112" s="301">
        <v>1</v>
      </c>
      <c r="S112" s="99" t="s">
        <v>111</v>
      </c>
      <c r="T112" s="81">
        <v>0</v>
      </c>
      <c r="U112" s="81">
        <v>0</v>
      </c>
      <c r="V112" s="25" t="e">
        <f t="shared" si="59"/>
        <v>#DIV/0!</v>
      </c>
      <c r="W112" s="81">
        <v>0</v>
      </c>
      <c r="X112" s="81">
        <v>0</v>
      </c>
      <c r="Y112" s="25" t="e">
        <f t="shared" si="1"/>
        <v>#DIV/0!</v>
      </c>
      <c r="Z112" s="81">
        <v>1</v>
      </c>
      <c r="AA112" s="81"/>
      <c r="AB112" s="25">
        <f t="shared" si="2"/>
        <v>0</v>
      </c>
      <c r="AC112" s="81">
        <v>0</v>
      </c>
      <c r="AD112" s="81"/>
      <c r="AE112" s="25" t="e">
        <f t="shared" si="3"/>
        <v>#DIV/0!</v>
      </c>
      <c r="AF112" s="140">
        <f t="shared" si="84"/>
        <v>1</v>
      </c>
      <c r="AG112" s="140">
        <f t="shared" si="85"/>
        <v>0</v>
      </c>
      <c r="AH112" s="138" t="e">
        <f t="shared" si="5"/>
        <v>#DIV/0!</v>
      </c>
      <c r="AI112" s="101">
        <v>46113</v>
      </c>
      <c r="AJ112" s="101">
        <v>46477</v>
      </c>
      <c r="AK112" s="102" t="s">
        <v>112</v>
      </c>
      <c r="AL112" s="102" t="s">
        <v>113</v>
      </c>
      <c r="AM112" s="103" t="s">
        <v>114</v>
      </c>
      <c r="AN112" s="104">
        <v>18000000</v>
      </c>
      <c r="AO112" s="104">
        <v>18000000</v>
      </c>
      <c r="AP112" s="104">
        <v>18000000</v>
      </c>
      <c r="AQ112" s="326">
        <v>0</v>
      </c>
      <c r="AR112" s="102" t="s">
        <v>115</v>
      </c>
      <c r="AS112" s="102" t="s">
        <v>112</v>
      </c>
      <c r="AT112" s="152" t="s">
        <v>427</v>
      </c>
      <c r="AU112" s="166" t="s">
        <v>2264</v>
      </c>
      <c r="AV112" s="247" t="s">
        <v>2234</v>
      </c>
      <c r="AW112" s="136" t="s">
        <v>2387</v>
      </c>
      <c r="AX112" s="136" t="s">
        <v>2388</v>
      </c>
      <c r="AY112" s="136" t="s">
        <v>2308</v>
      </c>
      <c r="BA112" s="272">
        <v>0</v>
      </c>
      <c r="BB112" s="273">
        <v>0</v>
      </c>
      <c r="BC112" s="209" t="e">
        <f t="shared" si="60"/>
        <v>#DIV/0!</v>
      </c>
      <c r="BD112" s="272">
        <v>0</v>
      </c>
      <c r="BE112" s="273">
        <v>0</v>
      </c>
      <c r="BF112" s="209" t="e">
        <f t="shared" si="61"/>
        <v>#DIV/0!</v>
      </c>
      <c r="BG112" s="272">
        <v>0</v>
      </c>
      <c r="BH112" s="273">
        <v>0</v>
      </c>
      <c r="BI112" s="209" t="e">
        <f t="shared" si="62"/>
        <v>#DIV/0!</v>
      </c>
      <c r="BJ112" s="210">
        <f t="shared" si="63"/>
        <v>0</v>
      </c>
      <c r="BK112" s="211">
        <f t="shared" si="64"/>
        <v>0</v>
      </c>
      <c r="BL112" s="209" t="e">
        <f t="shared" si="65"/>
        <v>#DIV/0!</v>
      </c>
      <c r="BM112" s="272"/>
      <c r="BN112" s="273"/>
      <c r="BO112" s="209" t="e">
        <f t="shared" si="86"/>
        <v>#DIV/0!</v>
      </c>
      <c r="BP112" s="272"/>
      <c r="BQ112" s="273"/>
      <c r="BR112" s="209" t="e">
        <f t="shared" si="87"/>
        <v>#DIV/0!</v>
      </c>
      <c r="BS112" s="272"/>
      <c r="BT112" s="272"/>
      <c r="BU112" s="209" t="e">
        <f t="shared" si="88"/>
        <v>#DIV/0!</v>
      </c>
      <c r="BV112" s="210">
        <f t="shared" si="66"/>
        <v>0</v>
      </c>
      <c r="BW112" s="210">
        <f t="shared" si="67"/>
        <v>0</v>
      </c>
      <c r="BX112" s="209" t="e">
        <f t="shared" si="68"/>
        <v>#DIV/0!</v>
      </c>
      <c r="BY112" s="209">
        <f t="shared" si="69"/>
        <v>0</v>
      </c>
      <c r="BZ112" s="209">
        <f t="shared" si="70"/>
        <v>0</v>
      </c>
      <c r="CA112" s="212"/>
      <c r="CB112" s="245"/>
      <c r="CC112" s="183">
        <v>0</v>
      </c>
      <c r="CD112" s="184">
        <v>0</v>
      </c>
      <c r="CE112" s="185" t="e">
        <f t="shared" si="89"/>
        <v>#DIV/0!</v>
      </c>
      <c r="CF112" s="183">
        <v>0</v>
      </c>
      <c r="CG112" s="184">
        <v>0</v>
      </c>
      <c r="CH112" s="185" t="e">
        <f t="shared" si="90"/>
        <v>#DIV/0!</v>
      </c>
      <c r="CI112" s="189"/>
      <c r="CJ112" s="190"/>
      <c r="CK112" s="185" t="e">
        <f t="shared" si="91"/>
        <v>#DIV/0!</v>
      </c>
      <c r="CL112" s="187">
        <f t="shared" si="92"/>
        <v>0</v>
      </c>
      <c r="CM112" s="186">
        <f t="shared" si="93"/>
        <v>0</v>
      </c>
      <c r="CN112" s="185" t="e">
        <f t="shared" si="94"/>
        <v>#DIV/0!</v>
      </c>
      <c r="CO112" s="245"/>
      <c r="CP112" s="188">
        <f t="shared" si="95"/>
        <v>0</v>
      </c>
      <c r="CQ112" s="188">
        <f t="shared" si="96"/>
        <v>0</v>
      </c>
      <c r="CR112" s="191" t="e">
        <f t="shared" si="97"/>
        <v>#DIV/0!</v>
      </c>
      <c r="CS112" s="279">
        <f t="shared" si="71"/>
        <v>1</v>
      </c>
      <c r="CT112" s="245"/>
      <c r="CU112" s="188">
        <f t="shared" si="72"/>
        <v>0.3</v>
      </c>
      <c r="CV112" s="277"/>
      <c r="CW112" s="191">
        <f t="shared" si="73"/>
        <v>0</v>
      </c>
      <c r="CX112" s="188">
        <f t="shared" si="74"/>
        <v>0.3</v>
      </c>
      <c r="CY112" s="277"/>
      <c r="CZ112" s="191">
        <f t="shared" si="75"/>
        <v>0</v>
      </c>
      <c r="DA112" s="188">
        <f t="shared" si="76"/>
        <v>0.3</v>
      </c>
      <c r="DB112" s="277"/>
      <c r="DC112" s="191">
        <f t="shared" si="77"/>
        <v>0</v>
      </c>
      <c r="DD112" s="188">
        <f t="shared" si="78"/>
        <v>0.1</v>
      </c>
      <c r="DE112" s="277"/>
      <c r="DF112" s="191">
        <f t="shared" si="79"/>
        <v>0</v>
      </c>
      <c r="DG112" s="245"/>
      <c r="DH112" s="188">
        <f t="shared" si="80"/>
        <v>1</v>
      </c>
      <c r="DI112" s="188">
        <f t="shared" si="81"/>
        <v>0</v>
      </c>
      <c r="DJ112" s="191">
        <f t="shared" si="82"/>
        <v>0</v>
      </c>
      <c r="DK112" s="286">
        <f t="shared" si="83"/>
        <v>1</v>
      </c>
      <c r="DL112" s="261">
        <v>108</v>
      </c>
      <c r="DM112" s="244">
        <f>+A112-DL112</f>
        <v>0</v>
      </c>
    </row>
    <row r="113" spans="1:117" x14ac:dyDescent="0.35">
      <c r="A113" s="263">
        <v>109</v>
      </c>
      <c r="B113" s="102" t="s">
        <v>270</v>
      </c>
      <c r="C113" s="102" t="s">
        <v>118</v>
      </c>
      <c r="D113" s="102" t="s">
        <v>119</v>
      </c>
      <c r="E113" s="102" t="s">
        <v>289</v>
      </c>
      <c r="F113" s="102" t="s">
        <v>442</v>
      </c>
      <c r="G113" s="98" t="s">
        <v>433</v>
      </c>
      <c r="H113" s="98" t="s">
        <v>443</v>
      </c>
      <c r="I113" s="98" t="s">
        <v>439</v>
      </c>
      <c r="J113" s="98" t="s">
        <v>439</v>
      </c>
      <c r="K113" s="96" t="s">
        <v>104</v>
      </c>
      <c r="L113" s="96" t="s">
        <v>105</v>
      </c>
      <c r="M113" s="98" t="s">
        <v>106</v>
      </c>
      <c r="N113" s="98" t="s">
        <v>433</v>
      </c>
      <c r="O113" s="98" t="s">
        <v>127</v>
      </c>
      <c r="P113" s="258" t="s">
        <v>444</v>
      </c>
      <c r="Q113" s="98" t="s">
        <v>129</v>
      </c>
      <c r="R113" s="301">
        <v>1</v>
      </c>
      <c r="S113" s="99" t="s">
        <v>111</v>
      </c>
      <c r="T113" s="81">
        <v>0</v>
      </c>
      <c r="U113" s="81">
        <v>0</v>
      </c>
      <c r="V113" s="25" t="e">
        <f t="shared" si="59"/>
        <v>#DIV/0!</v>
      </c>
      <c r="W113" s="81">
        <v>0</v>
      </c>
      <c r="X113" s="81">
        <v>0</v>
      </c>
      <c r="Y113" s="25" t="e">
        <f t="shared" si="1"/>
        <v>#DIV/0!</v>
      </c>
      <c r="Z113" s="81">
        <v>1</v>
      </c>
      <c r="AA113" s="81"/>
      <c r="AB113" s="25">
        <f t="shared" si="2"/>
        <v>0</v>
      </c>
      <c r="AC113" s="81">
        <v>0</v>
      </c>
      <c r="AD113" s="81"/>
      <c r="AE113" s="25" t="e">
        <f t="shared" si="3"/>
        <v>#DIV/0!</v>
      </c>
      <c r="AF113" s="140">
        <f t="shared" si="84"/>
        <v>1</v>
      </c>
      <c r="AG113" s="140">
        <f t="shared" si="85"/>
        <v>0</v>
      </c>
      <c r="AH113" s="138" t="e">
        <f t="shared" si="5"/>
        <v>#DIV/0!</v>
      </c>
      <c r="AI113" s="101">
        <v>46113</v>
      </c>
      <c r="AJ113" s="101">
        <v>46477</v>
      </c>
      <c r="AK113" s="102" t="s">
        <v>112</v>
      </c>
      <c r="AL113" s="102" t="s">
        <v>113</v>
      </c>
      <c r="AM113" s="103" t="s">
        <v>114</v>
      </c>
      <c r="AN113" s="104">
        <v>18000000</v>
      </c>
      <c r="AO113" s="104">
        <v>18000000</v>
      </c>
      <c r="AP113" s="104">
        <v>18000000</v>
      </c>
      <c r="AQ113" s="326">
        <v>0</v>
      </c>
      <c r="AR113" s="102" t="s">
        <v>159</v>
      </c>
      <c r="AS113" s="102" t="s">
        <v>112</v>
      </c>
      <c r="AT113" s="152" t="s">
        <v>427</v>
      </c>
      <c r="AU113" s="166" t="s">
        <v>2264</v>
      </c>
      <c r="AV113" s="247" t="s">
        <v>2234</v>
      </c>
      <c r="AW113" s="136" t="s">
        <v>2387</v>
      </c>
      <c r="AX113" s="136" t="s">
        <v>2388</v>
      </c>
      <c r="AY113" s="136" t="s">
        <v>2308</v>
      </c>
      <c r="BA113" s="272"/>
      <c r="BB113" s="273"/>
      <c r="BC113" s="209" t="e">
        <f t="shared" si="60"/>
        <v>#DIV/0!</v>
      </c>
      <c r="BD113" s="272"/>
      <c r="BE113" s="273"/>
      <c r="BF113" s="209" t="e">
        <f t="shared" si="61"/>
        <v>#DIV/0!</v>
      </c>
      <c r="BG113" s="272"/>
      <c r="BH113" s="273"/>
      <c r="BI113" s="209" t="e">
        <f t="shared" si="62"/>
        <v>#DIV/0!</v>
      </c>
      <c r="BJ113" s="210">
        <f t="shared" si="63"/>
        <v>0</v>
      </c>
      <c r="BK113" s="211">
        <f t="shared" si="64"/>
        <v>0</v>
      </c>
      <c r="BL113" s="209" t="e">
        <f t="shared" si="65"/>
        <v>#DIV/0!</v>
      </c>
      <c r="BM113" s="272"/>
      <c r="BN113" s="273"/>
      <c r="BO113" s="209" t="e">
        <f t="shared" si="86"/>
        <v>#DIV/0!</v>
      </c>
      <c r="BP113" s="272"/>
      <c r="BQ113" s="273"/>
      <c r="BR113" s="209" t="e">
        <f t="shared" si="87"/>
        <v>#DIV/0!</v>
      </c>
      <c r="BS113" s="272"/>
      <c r="BT113" s="272"/>
      <c r="BU113" s="209" t="e">
        <f t="shared" si="88"/>
        <v>#DIV/0!</v>
      </c>
      <c r="BV113" s="210">
        <f t="shared" si="66"/>
        <v>0</v>
      </c>
      <c r="BW113" s="210">
        <f t="shared" si="67"/>
        <v>0</v>
      </c>
      <c r="BX113" s="209" t="e">
        <f t="shared" si="68"/>
        <v>#DIV/0!</v>
      </c>
      <c r="BY113" s="209">
        <f t="shared" si="69"/>
        <v>0</v>
      </c>
      <c r="BZ113" s="209">
        <f t="shared" si="70"/>
        <v>0</v>
      </c>
      <c r="CA113" s="212"/>
      <c r="CB113" s="245"/>
      <c r="CC113" s="183"/>
      <c r="CD113" s="184"/>
      <c r="CE113" s="185" t="e">
        <f t="shared" si="89"/>
        <v>#DIV/0!</v>
      </c>
      <c r="CF113" s="183"/>
      <c r="CG113" s="184"/>
      <c r="CH113" s="185" t="e">
        <f t="shared" si="90"/>
        <v>#DIV/0!</v>
      </c>
      <c r="CI113" s="189"/>
      <c r="CJ113" s="190"/>
      <c r="CK113" s="185" t="e">
        <f t="shared" si="91"/>
        <v>#DIV/0!</v>
      </c>
      <c r="CL113" s="187">
        <f t="shared" si="92"/>
        <v>0</v>
      </c>
      <c r="CM113" s="186">
        <f t="shared" si="93"/>
        <v>0</v>
      </c>
      <c r="CN113" s="185" t="e">
        <f t="shared" si="94"/>
        <v>#DIV/0!</v>
      </c>
      <c r="CO113" s="245"/>
      <c r="CP113" s="188">
        <f t="shared" si="95"/>
        <v>0</v>
      </c>
      <c r="CQ113" s="188">
        <f t="shared" si="96"/>
        <v>0</v>
      </c>
      <c r="CR113" s="191" t="e">
        <f t="shared" si="97"/>
        <v>#DIV/0!</v>
      </c>
      <c r="CS113" s="279">
        <f t="shared" si="71"/>
        <v>1</v>
      </c>
      <c r="CT113" s="245"/>
      <c r="CU113" s="188">
        <f t="shared" si="72"/>
        <v>0.3</v>
      </c>
      <c r="CV113" s="277"/>
      <c r="CW113" s="191">
        <f t="shared" si="73"/>
        <v>0</v>
      </c>
      <c r="CX113" s="188">
        <f t="shared" si="74"/>
        <v>0.3</v>
      </c>
      <c r="CY113" s="277"/>
      <c r="CZ113" s="191">
        <f t="shared" si="75"/>
        <v>0</v>
      </c>
      <c r="DA113" s="188">
        <f t="shared" si="76"/>
        <v>0.3</v>
      </c>
      <c r="DB113" s="277"/>
      <c r="DC113" s="191">
        <f t="shared" si="77"/>
        <v>0</v>
      </c>
      <c r="DD113" s="188">
        <f t="shared" si="78"/>
        <v>0.1</v>
      </c>
      <c r="DE113" s="277"/>
      <c r="DF113" s="191">
        <f t="shared" si="79"/>
        <v>0</v>
      </c>
      <c r="DG113" s="245"/>
      <c r="DH113" s="188">
        <f t="shared" si="80"/>
        <v>1</v>
      </c>
      <c r="DI113" s="188">
        <f t="shared" si="81"/>
        <v>0</v>
      </c>
      <c r="DJ113" s="191">
        <f t="shared" si="82"/>
        <v>0</v>
      </c>
      <c r="DK113" s="286">
        <f t="shared" si="83"/>
        <v>1</v>
      </c>
      <c r="DL113" s="261">
        <v>109</v>
      </c>
      <c r="DM113" s="244">
        <f>+A113-DL113</f>
        <v>0</v>
      </c>
    </row>
    <row r="114" spans="1:117" x14ac:dyDescent="0.35">
      <c r="A114" s="263">
        <v>110</v>
      </c>
      <c r="B114" s="102" t="s">
        <v>270</v>
      </c>
      <c r="C114" s="102" t="s">
        <v>133</v>
      </c>
      <c r="D114" s="102" t="s">
        <v>119</v>
      </c>
      <c r="E114" s="102" t="s">
        <v>134</v>
      </c>
      <c r="F114" s="102" t="s">
        <v>438</v>
      </c>
      <c r="G114" s="98" t="s">
        <v>429</v>
      </c>
      <c r="H114" s="98" t="s">
        <v>430</v>
      </c>
      <c r="I114" s="98" t="s">
        <v>423</v>
      </c>
      <c r="J114" s="98" t="s">
        <v>423</v>
      </c>
      <c r="K114" s="96" t="s">
        <v>183</v>
      </c>
      <c r="L114" s="96" t="s">
        <v>424</v>
      </c>
      <c r="M114" s="98" t="s">
        <v>106</v>
      </c>
      <c r="N114" s="98" t="s">
        <v>425</v>
      </c>
      <c r="O114" s="98" t="s">
        <v>127</v>
      </c>
      <c r="P114" s="258" t="s">
        <v>441</v>
      </c>
      <c r="Q114" s="98" t="s">
        <v>129</v>
      </c>
      <c r="R114" s="301">
        <v>1</v>
      </c>
      <c r="S114" s="99" t="s">
        <v>111</v>
      </c>
      <c r="T114" s="81">
        <v>0</v>
      </c>
      <c r="U114" s="81">
        <v>0</v>
      </c>
      <c r="V114" s="25" t="e">
        <f t="shared" si="59"/>
        <v>#DIV/0!</v>
      </c>
      <c r="W114" s="81">
        <v>0</v>
      </c>
      <c r="X114" s="81"/>
      <c r="Y114" s="25" t="e">
        <f t="shared" si="1"/>
        <v>#DIV/0!</v>
      </c>
      <c r="Z114" s="81">
        <v>1</v>
      </c>
      <c r="AA114" s="81"/>
      <c r="AB114" s="25">
        <f t="shared" si="2"/>
        <v>0</v>
      </c>
      <c r="AC114" s="81">
        <v>0</v>
      </c>
      <c r="AD114" s="81"/>
      <c r="AE114" s="25" t="e">
        <f t="shared" si="3"/>
        <v>#DIV/0!</v>
      </c>
      <c r="AF114" s="140">
        <f t="shared" si="84"/>
        <v>1</v>
      </c>
      <c r="AG114" s="140">
        <f t="shared" si="85"/>
        <v>0</v>
      </c>
      <c r="AH114" s="138" t="e">
        <f t="shared" si="5"/>
        <v>#DIV/0!</v>
      </c>
      <c r="AI114" s="101">
        <v>46113</v>
      </c>
      <c r="AJ114" s="101">
        <v>46477</v>
      </c>
      <c r="AK114" s="102" t="s">
        <v>112</v>
      </c>
      <c r="AL114" s="102" t="s">
        <v>113</v>
      </c>
      <c r="AM114" s="103" t="s">
        <v>114</v>
      </c>
      <c r="AN114" s="104">
        <v>20000000</v>
      </c>
      <c r="AO114" s="104">
        <v>20000000</v>
      </c>
      <c r="AP114" s="104">
        <v>20000000</v>
      </c>
      <c r="AQ114" s="326">
        <v>0</v>
      </c>
      <c r="AR114" s="102" t="s">
        <v>115</v>
      </c>
      <c r="AS114" s="102" t="s">
        <v>112</v>
      </c>
      <c r="AT114" s="152" t="s">
        <v>427</v>
      </c>
      <c r="AU114" s="166" t="s">
        <v>2264</v>
      </c>
      <c r="AV114" s="247" t="s">
        <v>2234</v>
      </c>
      <c r="AW114" s="136" t="s">
        <v>2387</v>
      </c>
      <c r="AX114" s="136" t="s">
        <v>2388</v>
      </c>
      <c r="AY114" s="136" t="s">
        <v>2308</v>
      </c>
      <c r="BA114" s="272">
        <v>0</v>
      </c>
      <c r="BB114" s="273">
        <v>0</v>
      </c>
      <c r="BC114" s="209" t="e">
        <f t="shared" si="60"/>
        <v>#DIV/0!</v>
      </c>
      <c r="BD114" s="272">
        <v>0</v>
      </c>
      <c r="BE114" s="273">
        <v>0</v>
      </c>
      <c r="BF114" s="209" t="e">
        <f t="shared" si="61"/>
        <v>#DIV/0!</v>
      </c>
      <c r="BG114" s="272">
        <v>0</v>
      </c>
      <c r="BH114" s="273">
        <v>0</v>
      </c>
      <c r="BI114" s="209" t="e">
        <f t="shared" si="62"/>
        <v>#DIV/0!</v>
      </c>
      <c r="BJ114" s="210">
        <f t="shared" si="63"/>
        <v>0</v>
      </c>
      <c r="BK114" s="211">
        <f t="shared" si="64"/>
        <v>0</v>
      </c>
      <c r="BL114" s="209" t="e">
        <f t="shared" si="65"/>
        <v>#DIV/0!</v>
      </c>
      <c r="BM114" s="272"/>
      <c r="BN114" s="273"/>
      <c r="BO114" s="209" t="e">
        <f t="shared" si="86"/>
        <v>#DIV/0!</v>
      </c>
      <c r="BP114" s="272"/>
      <c r="BQ114" s="273"/>
      <c r="BR114" s="209" t="e">
        <f t="shared" si="87"/>
        <v>#DIV/0!</v>
      </c>
      <c r="BS114" s="272"/>
      <c r="BT114" s="272"/>
      <c r="BU114" s="209" t="e">
        <f t="shared" si="88"/>
        <v>#DIV/0!</v>
      </c>
      <c r="BV114" s="210">
        <f t="shared" si="66"/>
        <v>0</v>
      </c>
      <c r="BW114" s="210">
        <f t="shared" si="67"/>
        <v>0</v>
      </c>
      <c r="BX114" s="209" t="e">
        <f t="shared" si="68"/>
        <v>#DIV/0!</v>
      </c>
      <c r="BY114" s="209">
        <f t="shared" si="69"/>
        <v>0</v>
      </c>
      <c r="BZ114" s="209">
        <f t="shared" si="70"/>
        <v>0</v>
      </c>
      <c r="CA114" s="212"/>
      <c r="CB114" s="245"/>
      <c r="CC114" s="183">
        <v>0</v>
      </c>
      <c r="CD114" s="184">
        <v>0</v>
      </c>
      <c r="CE114" s="185" t="e">
        <f t="shared" si="89"/>
        <v>#DIV/0!</v>
      </c>
      <c r="CF114" s="183">
        <v>0</v>
      </c>
      <c r="CG114" s="184">
        <v>0</v>
      </c>
      <c r="CH114" s="185" t="e">
        <f t="shared" si="90"/>
        <v>#DIV/0!</v>
      </c>
      <c r="CI114" s="189"/>
      <c r="CJ114" s="190"/>
      <c r="CK114" s="185" t="e">
        <f t="shared" si="91"/>
        <v>#DIV/0!</v>
      </c>
      <c r="CL114" s="187">
        <f t="shared" si="92"/>
        <v>0</v>
      </c>
      <c r="CM114" s="186">
        <f t="shared" si="93"/>
        <v>0</v>
      </c>
      <c r="CN114" s="185" t="e">
        <f t="shared" si="94"/>
        <v>#DIV/0!</v>
      </c>
      <c r="CO114" s="245"/>
      <c r="CP114" s="188">
        <f t="shared" si="95"/>
        <v>0</v>
      </c>
      <c r="CQ114" s="188">
        <f t="shared" si="96"/>
        <v>0</v>
      </c>
      <c r="CR114" s="191" t="e">
        <f t="shared" si="97"/>
        <v>#DIV/0!</v>
      </c>
      <c r="CS114" s="279">
        <f t="shared" si="71"/>
        <v>1</v>
      </c>
      <c r="CT114" s="245"/>
      <c r="CU114" s="188">
        <f t="shared" si="72"/>
        <v>0.3</v>
      </c>
      <c r="CV114" s="277"/>
      <c r="CW114" s="191">
        <f t="shared" si="73"/>
        <v>0</v>
      </c>
      <c r="CX114" s="188">
        <f t="shared" si="74"/>
        <v>0.3</v>
      </c>
      <c r="CY114" s="277"/>
      <c r="CZ114" s="191">
        <f t="shared" si="75"/>
        <v>0</v>
      </c>
      <c r="DA114" s="188">
        <f t="shared" si="76"/>
        <v>0.3</v>
      </c>
      <c r="DB114" s="277"/>
      <c r="DC114" s="191">
        <f t="shared" si="77"/>
        <v>0</v>
      </c>
      <c r="DD114" s="188">
        <f t="shared" si="78"/>
        <v>0.1</v>
      </c>
      <c r="DE114" s="277"/>
      <c r="DF114" s="191">
        <f t="shared" si="79"/>
        <v>0</v>
      </c>
      <c r="DG114" s="245"/>
      <c r="DH114" s="188">
        <f t="shared" si="80"/>
        <v>1</v>
      </c>
      <c r="DI114" s="188">
        <f t="shared" si="81"/>
        <v>0</v>
      </c>
      <c r="DJ114" s="191">
        <f t="shared" si="82"/>
        <v>0</v>
      </c>
      <c r="DK114" s="286">
        <f t="shared" si="83"/>
        <v>1</v>
      </c>
      <c r="DL114" s="261">
        <v>110</v>
      </c>
      <c r="DM114" s="244">
        <f>+A114-DL114</f>
        <v>0</v>
      </c>
    </row>
    <row r="115" spans="1:117" x14ac:dyDescent="0.35">
      <c r="A115" s="263">
        <v>111</v>
      </c>
      <c r="B115" s="102" t="s">
        <v>270</v>
      </c>
      <c r="C115" s="102" t="s">
        <v>97</v>
      </c>
      <c r="D115" s="102" t="s">
        <v>98</v>
      </c>
      <c r="E115" s="102" t="s">
        <v>120</v>
      </c>
      <c r="F115" s="102" t="s">
        <v>422</v>
      </c>
      <c r="G115" s="98" t="s">
        <v>429</v>
      </c>
      <c r="H115" s="98" t="s">
        <v>430</v>
      </c>
      <c r="I115" s="98" t="s">
        <v>423</v>
      </c>
      <c r="J115" s="98" t="s">
        <v>423</v>
      </c>
      <c r="K115" s="96" t="s">
        <v>183</v>
      </c>
      <c r="L115" s="96" t="s">
        <v>424</v>
      </c>
      <c r="M115" s="98" t="s">
        <v>106</v>
      </c>
      <c r="N115" s="98" t="s">
        <v>425</v>
      </c>
      <c r="O115" s="98" t="s">
        <v>108</v>
      </c>
      <c r="P115" s="98" t="s">
        <v>445</v>
      </c>
      <c r="Q115" s="98" t="s">
        <v>110</v>
      </c>
      <c r="R115" s="301">
        <v>29</v>
      </c>
      <c r="S115" s="99" t="s">
        <v>111</v>
      </c>
      <c r="T115" s="81">
        <v>0</v>
      </c>
      <c r="U115" s="81">
        <v>0</v>
      </c>
      <c r="V115" s="25" t="e">
        <f t="shared" si="59"/>
        <v>#DIV/0!</v>
      </c>
      <c r="W115" s="81">
        <v>10</v>
      </c>
      <c r="X115" s="81">
        <v>0</v>
      </c>
      <c r="Y115" s="25">
        <f t="shared" si="1"/>
        <v>0</v>
      </c>
      <c r="Z115" s="81">
        <v>10</v>
      </c>
      <c r="AA115" s="81"/>
      <c r="AB115" s="25">
        <f t="shared" si="2"/>
        <v>0</v>
      </c>
      <c r="AC115" s="81">
        <v>9</v>
      </c>
      <c r="AD115" s="81"/>
      <c r="AE115" s="25">
        <f t="shared" si="3"/>
        <v>0</v>
      </c>
      <c r="AF115" s="140">
        <f t="shared" si="84"/>
        <v>29</v>
      </c>
      <c r="AG115" s="140">
        <f t="shared" si="85"/>
        <v>0</v>
      </c>
      <c r="AH115" s="138">
        <f t="shared" si="5"/>
        <v>0</v>
      </c>
      <c r="AI115" s="101">
        <v>46054</v>
      </c>
      <c r="AJ115" s="101">
        <v>46477</v>
      </c>
      <c r="AK115" s="102" t="s">
        <v>112</v>
      </c>
      <c r="AL115" s="102" t="s">
        <v>113</v>
      </c>
      <c r="AM115" s="103" t="s">
        <v>114</v>
      </c>
      <c r="AN115" s="104">
        <v>100000000</v>
      </c>
      <c r="AO115" s="104">
        <v>100000000</v>
      </c>
      <c r="AP115" s="104">
        <v>100000000</v>
      </c>
      <c r="AQ115" s="326">
        <v>0</v>
      </c>
      <c r="AR115" s="102" t="s">
        <v>159</v>
      </c>
      <c r="AS115" s="102" t="s">
        <v>112</v>
      </c>
      <c r="AT115" s="152" t="s">
        <v>427</v>
      </c>
      <c r="AU115" s="166" t="s">
        <v>2264</v>
      </c>
      <c r="AV115" s="247" t="s">
        <v>2234</v>
      </c>
      <c r="AW115" s="136" t="s">
        <v>2387</v>
      </c>
      <c r="AX115" s="136" t="s">
        <v>2388</v>
      </c>
      <c r="AY115" s="136" t="s">
        <v>2308</v>
      </c>
      <c r="BA115" s="272">
        <v>0</v>
      </c>
      <c r="BB115" s="273">
        <v>0</v>
      </c>
      <c r="BC115" s="209" t="e">
        <f t="shared" si="60"/>
        <v>#DIV/0!</v>
      </c>
      <c r="BD115" s="272">
        <v>0</v>
      </c>
      <c r="BE115" s="273">
        <v>0</v>
      </c>
      <c r="BF115" s="209" t="e">
        <f t="shared" si="61"/>
        <v>#DIV/0!</v>
      </c>
      <c r="BG115" s="272">
        <v>0</v>
      </c>
      <c r="BH115" s="273">
        <v>0</v>
      </c>
      <c r="BI115" s="209" t="e">
        <f t="shared" si="62"/>
        <v>#DIV/0!</v>
      </c>
      <c r="BJ115" s="210">
        <f t="shared" si="63"/>
        <v>0</v>
      </c>
      <c r="BK115" s="211">
        <f t="shared" si="64"/>
        <v>0</v>
      </c>
      <c r="BL115" s="209" t="e">
        <f t="shared" si="65"/>
        <v>#DIV/0!</v>
      </c>
      <c r="BM115" s="272">
        <v>29</v>
      </c>
      <c r="BN115" s="273">
        <v>0</v>
      </c>
      <c r="BO115" s="209">
        <f t="shared" si="86"/>
        <v>0</v>
      </c>
      <c r="BP115" s="272">
        <v>29</v>
      </c>
      <c r="BQ115" s="273">
        <v>2</v>
      </c>
      <c r="BR115" s="209">
        <f t="shared" si="87"/>
        <v>6.8965517241379309E-2</v>
      </c>
      <c r="BS115" s="272">
        <v>29</v>
      </c>
      <c r="BT115" s="272">
        <v>2</v>
      </c>
      <c r="BU115" s="209">
        <f t="shared" si="88"/>
        <v>6.8965517241379309E-2</v>
      </c>
      <c r="BV115" s="210">
        <f t="shared" si="66"/>
        <v>87</v>
      </c>
      <c r="BW115" s="210">
        <f t="shared" si="67"/>
        <v>4</v>
      </c>
      <c r="BX115" s="209">
        <f t="shared" si="68"/>
        <v>4.5977011494252873E-2</v>
      </c>
      <c r="BY115" s="209">
        <f t="shared" si="69"/>
        <v>0.13793103448275862</v>
      </c>
      <c r="BZ115" s="209">
        <f t="shared" si="70"/>
        <v>-0.13793103448275862</v>
      </c>
      <c r="CA115" s="212"/>
      <c r="CB115" s="245"/>
      <c r="CC115" s="183">
        <v>29</v>
      </c>
      <c r="CD115" s="184">
        <v>1</v>
      </c>
      <c r="CE115" s="185">
        <f t="shared" si="89"/>
        <v>3.4482758620689655E-2</v>
      </c>
      <c r="CF115" s="183">
        <v>29</v>
      </c>
      <c r="CG115" s="184">
        <v>0</v>
      </c>
      <c r="CH115" s="185">
        <f t="shared" si="90"/>
        <v>0</v>
      </c>
      <c r="CI115" s="189"/>
      <c r="CJ115" s="190"/>
      <c r="CK115" s="185" t="e">
        <f t="shared" si="91"/>
        <v>#DIV/0!</v>
      </c>
      <c r="CL115" s="187">
        <f t="shared" si="92"/>
        <v>58</v>
      </c>
      <c r="CM115" s="186">
        <f t="shared" si="93"/>
        <v>1</v>
      </c>
      <c r="CN115" s="185">
        <f t="shared" si="94"/>
        <v>1.7241379310344827E-2</v>
      </c>
      <c r="CO115" s="245"/>
      <c r="CP115" s="188">
        <f t="shared" si="95"/>
        <v>145</v>
      </c>
      <c r="CQ115" s="188">
        <f t="shared" si="96"/>
        <v>5</v>
      </c>
      <c r="CR115" s="191">
        <f t="shared" si="97"/>
        <v>3.4482758620689655E-2</v>
      </c>
      <c r="CS115" s="279">
        <f t="shared" si="71"/>
        <v>24</v>
      </c>
      <c r="CT115" s="245"/>
      <c r="CU115" s="188">
        <f t="shared" si="72"/>
        <v>7.1999999999999993</v>
      </c>
      <c r="CV115" s="277"/>
      <c r="CW115" s="191">
        <f t="shared" si="73"/>
        <v>0</v>
      </c>
      <c r="CX115" s="188">
        <f t="shared" si="74"/>
        <v>7.1999999999999993</v>
      </c>
      <c r="CY115" s="277"/>
      <c r="CZ115" s="191">
        <f t="shared" si="75"/>
        <v>0</v>
      </c>
      <c r="DA115" s="188">
        <f t="shared" si="76"/>
        <v>7.1999999999999993</v>
      </c>
      <c r="DB115" s="277"/>
      <c r="DC115" s="191">
        <f t="shared" si="77"/>
        <v>0</v>
      </c>
      <c r="DD115" s="188">
        <f t="shared" si="78"/>
        <v>2.4000000000000004</v>
      </c>
      <c r="DE115" s="277"/>
      <c r="DF115" s="191">
        <f t="shared" si="79"/>
        <v>0</v>
      </c>
      <c r="DG115" s="245"/>
      <c r="DH115" s="188">
        <f t="shared" si="80"/>
        <v>29</v>
      </c>
      <c r="DI115" s="188">
        <f t="shared" si="81"/>
        <v>5</v>
      </c>
      <c r="DJ115" s="191">
        <f t="shared" si="82"/>
        <v>0.17241379310344829</v>
      </c>
      <c r="DK115" s="286">
        <f t="shared" si="83"/>
        <v>24</v>
      </c>
      <c r="DL115" s="261">
        <v>111</v>
      </c>
      <c r="DM115" s="244">
        <f>+A115-DL115</f>
        <v>0</v>
      </c>
    </row>
    <row r="116" spans="1:117" x14ac:dyDescent="0.35">
      <c r="A116" s="263">
        <v>112</v>
      </c>
      <c r="B116" s="102" t="s">
        <v>270</v>
      </c>
      <c r="C116" s="102" t="s">
        <v>97</v>
      </c>
      <c r="D116" s="102" t="s">
        <v>98</v>
      </c>
      <c r="E116" s="102" t="s">
        <v>99</v>
      </c>
      <c r="F116" s="102" t="s">
        <v>378</v>
      </c>
      <c r="G116" s="98" t="s">
        <v>272</v>
      </c>
      <c r="H116" s="98" t="s">
        <v>446</v>
      </c>
      <c r="I116" s="98" t="s">
        <v>173</v>
      </c>
      <c r="J116" s="98" t="s">
        <v>173</v>
      </c>
      <c r="K116" s="96" t="s">
        <v>104</v>
      </c>
      <c r="L116" s="96" t="s">
        <v>424</v>
      </c>
      <c r="M116" s="98" t="s">
        <v>106</v>
      </c>
      <c r="N116" s="98" t="s">
        <v>447</v>
      </c>
      <c r="O116" s="98" t="s">
        <v>108</v>
      </c>
      <c r="P116" s="98" t="s">
        <v>448</v>
      </c>
      <c r="Q116" s="98" t="s">
        <v>110</v>
      </c>
      <c r="R116" s="301">
        <v>29</v>
      </c>
      <c r="S116" s="99" t="s">
        <v>111</v>
      </c>
      <c r="T116" s="81">
        <v>0</v>
      </c>
      <c r="U116" s="81">
        <v>0</v>
      </c>
      <c r="V116" s="25" t="e">
        <f t="shared" si="59"/>
        <v>#DIV/0!</v>
      </c>
      <c r="W116" s="81">
        <v>9</v>
      </c>
      <c r="X116" s="81"/>
      <c r="Y116" s="25">
        <f t="shared" si="1"/>
        <v>0</v>
      </c>
      <c r="Z116" s="81">
        <v>10</v>
      </c>
      <c r="AA116" s="81"/>
      <c r="AB116" s="25">
        <f t="shared" si="2"/>
        <v>0</v>
      </c>
      <c r="AC116" s="81">
        <v>10</v>
      </c>
      <c r="AD116" s="81"/>
      <c r="AE116" s="25">
        <f t="shared" si="3"/>
        <v>0</v>
      </c>
      <c r="AF116" s="140">
        <f t="shared" si="84"/>
        <v>29</v>
      </c>
      <c r="AG116" s="140">
        <f t="shared" si="85"/>
        <v>0</v>
      </c>
      <c r="AH116" s="138" t="e">
        <f t="shared" si="5"/>
        <v>#DIV/0!</v>
      </c>
      <c r="AI116" s="101">
        <v>46113</v>
      </c>
      <c r="AJ116" s="101">
        <v>46477</v>
      </c>
      <c r="AK116" s="102" t="s">
        <v>112</v>
      </c>
      <c r="AL116" s="102" t="s">
        <v>113</v>
      </c>
      <c r="AM116" s="103" t="s">
        <v>114</v>
      </c>
      <c r="AN116" s="104">
        <v>200000000</v>
      </c>
      <c r="AO116" s="104">
        <v>200000000</v>
      </c>
      <c r="AP116" s="104">
        <v>200000000</v>
      </c>
      <c r="AQ116" s="326">
        <v>0</v>
      </c>
      <c r="AR116" s="102" t="s">
        <v>159</v>
      </c>
      <c r="AS116" s="102" t="s">
        <v>112</v>
      </c>
      <c r="AT116" s="152" t="s">
        <v>449</v>
      </c>
      <c r="AU116" s="166" t="s">
        <v>2264</v>
      </c>
      <c r="AV116" s="247" t="s">
        <v>2234</v>
      </c>
      <c r="AW116" s="136" t="s">
        <v>2265</v>
      </c>
      <c r="AX116" s="136" t="s">
        <v>2345</v>
      </c>
      <c r="AY116" s="136" t="s">
        <v>2308</v>
      </c>
      <c r="BA116" s="272"/>
      <c r="BB116" s="273"/>
      <c r="BC116" s="209" t="e">
        <f t="shared" si="60"/>
        <v>#DIV/0!</v>
      </c>
      <c r="BD116" s="272"/>
      <c r="BE116" s="273"/>
      <c r="BF116" s="209" t="e">
        <f t="shared" si="61"/>
        <v>#DIV/0!</v>
      </c>
      <c r="BG116" s="272"/>
      <c r="BH116" s="273"/>
      <c r="BI116" s="209" t="e">
        <f t="shared" si="62"/>
        <v>#DIV/0!</v>
      </c>
      <c r="BJ116" s="210">
        <f t="shared" si="63"/>
        <v>0</v>
      </c>
      <c r="BK116" s="211">
        <f t="shared" si="64"/>
        <v>0</v>
      </c>
      <c r="BL116" s="209" t="e">
        <f t="shared" si="65"/>
        <v>#DIV/0!</v>
      </c>
      <c r="BM116" s="272"/>
      <c r="BN116" s="273"/>
      <c r="BO116" s="209" t="e">
        <f t="shared" si="86"/>
        <v>#DIV/0!</v>
      </c>
      <c r="BP116" s="272"/>
      <c r="BQ116" s="273"/>
      <c r="BR116" s="209" t="e">
        <f t="shared" si="87"/>
        <v>#DIV/0!</v>
      </c>
      <c r="BS116" s="272"/>
      <c r="BT116" s="272"/>
      <c r="BU116" s="209" t="e">
        <f t="shared" si="88"/>
        <v>#DIV/0!</v>
      </c>
      <c r="BV116" s="210">
        <f t="shared" si="66"/>
        <v>0</v>
      </c>
      <c r="BW116" s="210">
        <f t="shared" si="67"/>
        <v>0</v>
      </c>
      <c r="BX116" s="209" t="e">
        <f t="shared" si="68"/>
        <v>#DIV/0!</v>
      </c>
      <c r="BY116" s="209">
        <f t="shared" si="69"/>
        <v>0</v>
      </c>
      <c r="BZ116" s="209">
        <f t="shared" si="70"/>
        <v>0</v>
      </c>
      <c r="CA116" s="212"/>
      <c r="CB116" s="245"/>
      <c r="CC116" s="183"/>
      <c r="CD116" s="184"/>
      <c r="CE116" s="185" t="e">
        <f t="shared" si="89"/>
        <v>#DIV/0!</v>
      </c>
      <c r="CF116" s="183"/>
      <c r="CG116" s="184"/>
      <c r="CH116" s="185" t="e">
        <f t="shared" si="90"/>
        <v>#DIV/0!</v>
      </c>
      <c r="CI116" s="189"/>
      <c r="CJ116" s="190"/>
      <c r="CK116" s="185" t="e">
        <f t="shared" si="91"/>
        <v>#DIV/0!</v>
      </c>
      <c r="CL116" s="187">
        <f t="shared" si="92"/>
        <v>0</v>
      </c>
      <c r="CM116" s="186">
        <f t="shared" si="93"/>
        <v>0</v>
      </c>
      <c r="CN116" s="185" t="e">
        <f t="shared" si="94"/>
        <v>#DIV/0!</v>
      </c>
      <c r="CO116" s="245"/>
      <c r="CP116" s="188">
        <f t="shared" si="95"/>
        <v>0</v>
      </c>
      <c r="CQ116" s="188">
        <f t="shared" si="96"/>
        <v>0</v>
      </c>
      <c r="CR116" s="191" t="e">
        <f t="shared" si="97"/>
        <v>#DIV/0!</v>
      </c>
      <c r="CS116" s="279">
        <f t="shared" si="71"/>
        <v>29</v>
      </c>
      <c r="CT116" s="245"/>
      <c r="CU116" s="188">
        <f t="shared" si="72"/>
        <v>8.6999999999999993</v>
      </c>
      <c r="CV116" s="277"/>
      <c r="CW116" s="191">
        <f t="shared" si="73"/>
        <v>0</v>
      </c>
      <c r="CX116" s="188">
        <f t="shared" si="74"/>
        <v>8.6999999999999993</v>
      </c>
      <c r="CY116" s="277"/>
      <c r="CZ116" s="191">
        <f t="shared" si="75"/>
        <v>0</v>
      </c>
      <c r="DA116" s="188">
        <f t="shared" si="76"/>
        <v>8.6999999999999993</v>
      </c>
      <c r="DB116" s="277"/>
      <c r="DC116" s="191">
        <f t="shared" si="77"/>
        <v>0</v>
      </c>
      <c r="DD116" s="188">
        <f t="shared" si="78"/>
        <v>2.9000000000000004</v>
      </c>
      <c r="DE116" s="277"/>
      <c r="DF116" s="191">
        <f t="shared" si="79"/>
        <v>0</v>
      </c>
      <c r="DG116" s="245"/>
      <c r="DH116" s="188">
        <f t="shared" si="80"/>
        <v>29</v>
      </c>
      <c r="DI116" s="188">
        <f t="shared" si="81"/>
        <v>0</v>
      </c>
      <c r="DJ116" s="191">
        <f t="shared" si="82"/>
        <v>0</v>
      </c>
      <c r="DK116" s="286">
        <f t="shared" si="83"/>
        <v>29</v>
      </c>
      <c r="DL116" s="261">
        <v>112</v>
      </c>
      <c r="DM116" s="244">
        <f>+A116-DL116</f>
        <v>0</v>
      </c>
    </row>
    <row r="117" spans="1:117" x14ac:dyDescent="0.35">
      <c r="A117" s="263">
        <v>113</v>
      </c>
      <c r="B117" s="102" t="s">
        <v>270</v>
      </c>
      <c r="C117" s="102" t="s">
        <v>97</v>
      </c>
      <c r="D117" s="102" t="s">
        <v>98</v>
      </c>
      <c r="E117" s="102" t="s">
        <v>99</v>
      </c>
      <c r="F117" s="102" t="s">
        <v>240</v>
      </c>
      <c r="G117" s="98" t="s">
        <v>450</v>
      </c>
      <c r="H117" s="98" t="s">
        <v>376</v>
      </c>
      <c r="I117" s="98" t="s">
        <v>451</v>
      </c>
      <c r="J117" s="98" t="s">
        <v>451</v>
      </c>
      <c r="K117" s="96" t="s">
        <v>104</v>
      </c>
      <c r="L117" s="96" t="s">
        <v>424</v>
      </c>
      <c r="M117" s="98" t="s">
        <v>106</v>
      </c>
      <c r="N117" s="98" t="s">
        <v>380</v>
      </c>
      <c r="O117" s="98" t="s">
        <v>108</v>
      </c>
      <c r="P117" s="98" t="s">
        <v>452</v>
      </c>
      <c r="Q117" s="98" t="s">
        <v>110</v>
      </c>
      <c r="R117" s="301">
        <v>58</v>
      </c>
      <c r="S117" s="99" t="s">
        <v>111</v>
      </c>
      <c r="T117" s="81">
        <v>0</v>
      </c>
      <c r="U117" s="81">
        <v>0</v>
      </c>
      <c r="V117" s="25" t="e">
        <f t="shared" si="59"/>
        <v>#DIV/0!</v>
      </c>
      <c r="W117" s="81">
        <v>29</v>
      </c>
      <c r="X117" s="81">
        <v>0</v>
      </c>
      <c r="Y117" s="25">
        <f t="shared" si="1"/>
        <v>0</v>
      </c>
      <c r="Z117" s="81">
        <v>29</v>
      </c>
      <c r="AA117" s="81"/>
      <c r="AB117" s="25">
        <f t="shared" si="2"/>
        <v>0</v>
      </c>
      <c r="AC117" s="81">
        <v>29</v>
      </c>
      <c r="AD117" s="81"/>
      <c r="AE117" s="25">
        <f t="shared" si="3"/>
        <v>0</v>
      </c>
      <c r="AF117" s="140">
        <f t="shared" si="84"/>
        <v>58</v>
      </c>
      <c r="AG117" s="140">
        <f t="shared" si="85"/>
        <v>0</v>
      </c>
      <c r="AH117" s="138">
        <f t="shared" si="5"/>
        <v>0</v>
      </c>
      <c r="AI117" s="101">
        <v>46113</v>
      </c>
      <c r="AJ117" s="101">
        <v>46477</v>
      </c>
      <c r="AK117" s="102" t="s">
        <v>112</v>
      </c>
      <c r="AL117" s="102" t="s">
        <v>113</v>
      </c>
      <c r="AM117" s="103" t="s">
        <v>114</v>
      </c>
      <c r="AN117" s="104">
        <v>100000000</v>
      </c>
      <c r="AO117" s="104">
        <v>100000000</v>
      </c>
      <c r="AP117" s="104">
        <v>100000000</v>
      </c>
      <c r="AQ117" s="326">
        <v>0</v>
      </c>
      <c r="AR117" s="102" t="s">
        <v>159</v>
      </c>
      <c r="AS117" s="102" t="s">
        <v>112</v>
      </c>
      <c r="AT117" s="152" t="s">
        <v>449</v>
      </c>
      <c r="AU117" s="166" t="s">
        <v>2264</v>
      </c>
      <c r="AV117" s="247" t="s">
        <v>2234</v>
      </c>
      <c r="AW117" s="136" t="s">
        <v>2265</v>
      </c>
      <c r="AX117" s="136" t="s">
        <v>2345</v>
      </c>
      <c r="AY117" s="136" t="s">
        <v>2308</v>
      </c>
      <c r="BA117" s="272"/>
      <c r="BB117" s="273"/>
      <c r="BC117" s="209" t="e">
        <f t="shared" si="60"/>
        <v>#DIV/0!</v>
      </c>
      <c r="BD117" s="272"/>
      <c r="BE117" s="273"/>
      <c r="BF117" s="209" t="e">
        <f t="shared" si="61"/>
        <v>#DIV/0!</v>
      </c>
      <c r="BG117" s="272"/>
      <c r="BH117" s="273"/>
      <c r="BI117" s="209" t="e">
        <f t="shared" si="62"/>
        <v>#DIV/0!</v>
      </c>
      <c r="BJ117" s="210">
        <f t="shared" si="63"/>
        <v>0</v>
      </c>
      <c r="BK117" s="211">
        <f t="shared" si="64"/>
        <v>0</v>
      </c>
      <c r="BL117" s="209" t="e">
        <f t="shared" si="65"/>
        <v>#DIV/0!</v>
      </c>
      <c r="BM117" s="272"/>
      <c r="BN117" s="273"/>
      <c r="BO117" s="209" t="e">
        <f t="shared" si="86"/>
        <v>#DIV/0!</v>
      </c>
      <c r="BP117" s="272"/>
      <c r="BQ117" s="273"/>
      <c r="BR117" s="209" t="e">
        <f t="shared" si="87"/>
        <v>#DIV/0!</v>
      </c>
      <c r="BS117" s="272"/>
      <c r="BT117" s="272"/>
      <c r="BU117" s="209" t="e">
        <f t="shared" si="88"/>
        <v>#DIV/0!</v>
      </c>
      <c r="BV117" s="210">
        <f t="shared" si="66"/>
        <v>0</v>
      </c>
      <c r="BW117" s="210">
        <f t="shared" si="67"/>
        <v>0</v>
      </c>
      <c r="BX117" s="209" t="e">
        <f t="shared" si="68"/>
        <v>#DIV/0!</v>
      </c>
      <c r="BY117" s="209">
        <f t="shared" si="69"/>
        <v>0</v>
      </c>
      <c r="BZ117" s="209">
        <f t="shared" si="70"/>
        <v>0</v>
      </c>
      <c r="CA117" s="212"/>
      <c r="CB117" s="245"/>
      <c r="CC117" s="183"/>
      <c r="CD117" s="184"/>
      <c r="CE117" s="185" t="e">
        <f t="shared" si="89"/>
        <v>#DIV/0!</v>
      </c>
      <c r="CF117" s="183"/>
      <c r="CG117" s="184"/>
      <c r="CH117" s="185" t="e">
        <f t="shared" si="90"/>
        <v>#DIV/0!</v>
      </c>
      <c r="CI117" s="189"/>
      <c r="CJ117" s="190"/>
      <c r="CK117" s="185" t="e">
        <f t="shared" si="91"/>
        <v>#DIV/0!</v>
      </c>
      <c r="CL117" s="187">
        <f t="shared" si="92"/>
        <v>0</v>
      </c>
      <c r="CM117" s="186">
        <f t="shared" si="93"/>
        <v>0</v>
      </c>
      <c r="CN117" s="185" t="e">
        <f t="shared" si="94"/>
        <v>#DIV/0!</v>
      </c>
      <c r="CO117" s="245"/>
      <c r="CP117" s="188">
        <f t="shared" si="95"/>
        <v>0</v>
      </c>
      <c r="CQ117" s="188">
        <f t="shared" si="96"/>
        <v>0</v>
      </c>
      <c r="CR117" s="191" t="e">
        <f t="shared" si="97"/>
        <v>#DIV/0!</v>
      </c>
      <c r="CS117" s="279">
        <f t="shared" si="71"/>
        <v>58</v>
      </c>
      <c r="CT117" s="245"/>
      <c r="CU117" s="188">
        <f t="shared" si="72"/>
        <v>17.399999999999999</v>
      </c>
      <c r="CV117" s="277"/>
      <c r="CW117" s="191">
        <f t="shared" si="73"/>
        <v>0</v>
      </c>
      <c r="CX117" s="188">
        <f t="shared" si="74"/>
        <v>17.399999999999999</v>
      </c>
      <c r="CY117" s="277"/>
      <c r="CZ117" s="191">
        <f t="shared" si="75"/>
        <v>0</v>
      </c>
      <c r="DA117" s="188">
        <f t="shared" si="76"/>
        <v>17.399999999999999</v>
      </c>
      <c r="DB117" s="277"/>
      <c r="DC117" s="191">
        <f t="shared" si="77"/>
        <v>0</v>
      </c>
      <c r="DD117" s="188">
        <f t="shared" si="78"/>
        <v>5.8000000000000007</v>
      </c>
      <c r="DE117" s="277"/>
      <c r="DF117" s="191">
        <f t="shared" si="79"/>
        <v>0</v>
      </c>
      <c r="DG117" s="245"/>
      <c r="DH117" s="188">
        <f t="shared" si="80"/>
        <v>58</v>
      </c>
      <c r="DI117" s="188">
        <f t="shared" si="81"/>
        <v>0</v>
      </c>
      <c r="DJ117" s="191">
        <f t="shared" si="82"/>
        <v>0</v>
      </c>
      <c r="DK117" s="286">
        <f t="shared" si="83"/>
        <v>58</v>
      </c>
      <c r="DL117" s="261">
        <v>113</v>
      </c>
      <c r="DM117" s="244">
        <f>+A117-DL117</f>
        <v>0</v>
      </c>
    </row>
    <row r="118" spans="1:117" x14ac:dyDescent="0.35">
      <c r="A118" s="263">
        <v>114</v>
      </c>
      <c r="B118" s="102" t="s">
        <v>270</v>
      </c>
      <c r="C118" s="102" t="s">
        <v>195</v>
      </c>
      <c r="D118" s="102" t="s">
        <v>196</v>
      </c>
      <c r="E118" s="102" t="s">
        <v>99</v>
      </c>
      <c r="F118" s="102" t="s">
        <v>453</v>
      </c>
      <c r="G118" s="98" t="s">
        <v>450</v>
      </c>
      <c r="H118" s="98" t="s">
        <v>376</v>
      </c>
      <c r="I118" s="98" t="s">
        <v>451</v>
      </c>
      <c r="J118" s="98" t="s">
        <v>451</v>
      </c>
      <c r="K118" s="96" t="s">
        <v>104</v>
      </c>
      <c r="L118" s="96" t="s">
        <v>105</v>
      </c>
      <c r="M118" s="98" t="s">
        <v>106</v>
      </c>
      <c r="N118" s="98" t="s">
        <v>380</v>
      </c>
      <c r="O118" s="98" t="s">
        <v>108</v>
      </c>
      <c r="P118" s="98" t="s">
        <v>454</v>
      </c>
      <c r="Q118" s="98" t="s">
        <v>110</v>
      </c>
      <c r="R118" s="301">
        <v>4</v>
      </c>
      <c r="S118" s="99" t="s">
        <v>111</v>
      </c>
      <c r="T118" s="81">
        <v>0</v>
      </c>
      <c r="U118" s="81">
        <v>0</v>
      </c>
      <c r="V118" s="25">
        <v>0</v>
      </c>
      <c r="W118" s="81"/>
      <c r="X118" s="81"/>
      <c r="Y118" s="25" t="e">
        <f t="shared" si="1"/>
        <v>#DIV/0!</v>
      </c>
      <c r="Z118" s="81">
        <v>1</v>
      </c>
      <c r="AA118" s="81"/>
      <c r="AB118" s="25">
        <f t="shared" si="2"/>
        <v>0</v>
      </c>
      <c r="AC118" s="81"/>
      <c r="AD118" s="81"/>
      <c r="AE118" s="25" t="e">
        <f t="shared" si="3"/>
        <v>#DIV/0!</v>
      </c>
      <c r="AF118" s="140">
        <f t="shared" si="84"/>
        <v>4</v>
      </c>
      <c r="AG118" s="140">
        <f t="shared" si="85"/>
        <v>0</v>
      </c>
      <c r="AH118" s="138" t="e">
        <f t="shared" si="5"/>
        <v>#DIV/0!</v>
      </c>
      <c r="AI118" s="101">
        <v>46113</v>
      </c>
      <c r="AJ118" s="101">
        <v>46477</v>
      </c>
      <c r="AK118" s="102" t="s">
        <v>112</v>
      </c>
      <c r="AL118" s="102" t="s">
        <v>113</v>
      </c>
      <c r="AM118" s="103" t="s">
        <v>114</v>
      </c>
      <c r="AN118" s="104">
        <v>80000000</v>
      </c>
      <c r="AO118" s="104">
        <v>80000000</v>
      </c>
      <c r="AP118" s="104">
        <v>80000000</v>
      </c>
      <c r="AQ118" s="326">
        <v>0</v>
      </c>
      <c r="AR118" s="102" t="s">
        <v>159</v>
      </c>
      <c r="AS118" s="102" t="s">
        <v>112</v>
      </c>
      <c r="AT118" s="152" t="s">
        <v>449</v>
      </c>
      <c r="AU118" s="166" t="s">
        <v>2264</v>
      </c>
      <c r="AV118" s="247" t="s">
        <v>2234</v>
      </c>
      <c r="AW118" s="136" t="s">
        <v>2265</v>
      </c>
      <c r="AX118" s="136" t="s">
        <v>2345</v>
      </c>
      <c r="AY118" s="136" t="s">
        <v>2308</v>
      </c>
      <c r="BA118" s="272"/>
      <c r="BB118" s="273"/>
      <c r="BC118" s="209" t="e">
        <f t="shared" si="60"/>
        <v>#DIV/0!</v>
      </c>
      <c r="BD118" s="272"/>
      <c r="BE118" s="273"/>
      <c r="BF118" s="209" t="e">
        <f t="shared" si="61"/>
        <v>#DIV/0!</v>
      </c>
      <c r="BG118" s="272"/>
      <c r="BH118" s="273"/>
      <c r="BI118" s="209" t="e">
        <f t="shared" si="62"/>
        <v>#DIV/0!</v>
      </c>
      <c r="BJ118" s="210">
        <f t="shared" si="63"/>
        <v>0</v>
      </c>
      <c r="BK118" s="211">
        <f t="shared" si="64"/>
        <v>0</v>
      </c>
      <c r="BL118" s="209" t="e">
        <f t="shared" si="65"/>
        <v>#DIV/0!</v>
      </c>
      <c r="BM118" s="272"/>
      <c r="BN118" s="273"/>
      <c r="BO118" s="209" t="e">
        <f t="shared" si="86"/>
        <v>#DIV/0!</v>
      </c>
      <c r="BP118" s="272"/>
      <c r="BQ118" s="273"/>
      <c r="BR118" s="209" t="e">
        <f t="shared" si="87"/>
        <v>#DIV/0!</v>
      </c>
      <c r="BS118" s="272"/>
      <c r="BT118" s="272"/>
      <c r="BU118" s="209" t="e">
        <f t="shared" si="88"/>
        <v>#DIV/0!</v>
      </c>
      <c r="BV118" s="210">
        <f t="shared" si="66"/>
        <v>0</v>
      </c>
      <c r="BW118" s="210">
        <f t="shared" si="67"/>
        <v>0</v>
      </c>
      <c r="BX118" s="209" t="e">
        <f t="shared" si="68"/>
        <v>#DIV/0!</v>
      </c>
      <c r="BY118" s="209">
        <f t="shared" si="69"/>
        <v>0</v>
      </c>
      <c r="BZ118" s="209">
        <f t="shared" si="70"/>
        <v>0</v>
      </c>
      <c r="CA118" s="212"/>
      <c r="CB118" s="245"/>
      <c r="CC118" s="183"/>
      <c r="CD118" s="184"/>
      <c r="CE118" s="185" t="e">
        <f t="shared" si="89"/>
        <v>#DIV/0!</v>
      </c>
      <c r="CF118" s="183"/>
      <c r="CG118" s="184"/>
      <c r="CH118" s="185" t="e">
        <f t="shared" si="90"/>
        <v>#DIV/0!</v>
      </c>
      <c r="CI118" s="189"/>
      <c r="CJ118" s="190"/>
      <c r="CK118" s="185" t="e">
        <f t="shared" si="91"/>
        <v>#DIV/0!</v>
      </c>
      <c r="CL118" s="187">
        <f t="shared" si="92"/>
        <v>0</v>
      </c>
      <c r="CM118" s="186">
        <f t="shared" si="93"/>
        <v>0</v>
      </c>
      <c r="CN118" s="185" t="e">
        <f t="shared" si="94"/>
        <v>#DIV/0!</v>
      </c>
      <c r="CO118" s="245"/>
      <c r="CP118" s="188">
        <f t="shared" si="95"/>
        <v>0</v>
      </c>
      <c r="CQ118" s="188">
        <f t="shared" si="96"/>
        <v>0</v>
      </c>
      <c r="CR118" s="191" t="e">
        <f t="shared" si="97"/>
        <v>#DIV/0!</v>
      </c>
      <c r="CS118" s="279">
        <f t="shared" si="71"/>
        <v>4</v>
      </c>
      <c r="CT118" s="245"/>
      <c r="CU118" s="188">
        <f t="shared" si="72"/>
        <v>1.2</v>
      </c>
      <c r="CV118" s="277"/>
      <c r="CW118" s="191">
        <f t="shared" si="73"/>
        <v>0</v>
      </c>
      <c r="CX118" s="188">
        <f t="shared" si="74"/>
        <v>1.2</v>
      </c>
      <c r="CY118" s="277"/>
      <c r="CZ118" s="191">
        <f t="shared" si="75"/>
        <v>0</v>
      </c>
      <c r="DA118" s="188">
        <f t="shared" si="76"/>
        <v>1.2</v>
      </c>
      <c r="DB118" s="277"/>
      <c r="DC118" s="191">
        <f t="shared" si="77"/>
        <v>0</v>
      </c>
      <c r="DD118" s="188">
        <f t="shared" si="78"/>
        <v>0.4</v>
      </c>
      <c r="DE118" s="277"/>
      <c r="DF118" s="191">
        <f t="shared" si="79"/>
        <v>0</v>
      </c>
      <c r="DG118" s="245"/>
      <c r="DH118" s="188">
        <f t="shared" si="80"/>
        <v>4</v>
      </c>
      <c r="DI118" s="188">
        <f t="shared" si="81"/>
        <v>0</v>
      </c>
      <c r="DJ118" s="191">
        <f t="shared" si="82"/>
        <v>0</v>
      </c>
      <c r="DK118" s="286">
        <f t="shared" si="83"/>
        <v>4</v>
      </c>
      <c r="DL118" s="261">
        <v>114</v>
      </c>
      <c r="DM118" s="244">
        <f>+A118-DL118</f>
        <v>0</v>
      </c>
    </row>
    <row r="119" spans="1:117" x14ac:dyDescent="0.35">
      <c r="A119" s="263">
        <v>115</v>
      </c>
      <c r="B119" s="102" t="s">
        <v>270</v>
      </c>
      <c r="C119" s="102" t="s">
        <v>133</v>
      </c>
      <c r="D119" s="102" t="s">
        <v>119</v>
      </c>
      <c r="E119" s="102" t="s">
        <v>134</v>
      </c>
      <c r="F119" s="102" t="s">
        <v>455</v>
      </c>
      <c r="G119" s="98" t="s">
        <v>456</v>
      </c>
      <c r="H119" s="98" t="s">
        <v>376</v>
      </c>
      <c r="I119" s="98" t="s">
        <v>281</v>
      </c>
      <c r="J119" s="98" t="s">
        <v>281</v>
      </c>
      <c r="K119" s="96" t="s">
        <v>104</v>
      </c>
      <c r="L119" s="96" t="s">
        <v>105</v>
      </c>
      <c r="M119" s="98" t="s">
        <v>106</v>
      </c>
      <c r="N119" s="98" t="s">
        <v>380</v>
      </c>
      <c r="O119" s="98" t="s">
        <v>127</v>
      </c>
      <c r="P119" s="258" t="s">
        <v>457</v>
      </c>
      <c r="Q119" s="98" t="s">
        <v>129</v>
      </c>
      <c r="R119" s="301">
        <v>1</v>
      </c>
      <c r="S119" s="99" t="s">
        <v>111</v>
      </c>
      <c r="T119" s="81">
        <v>0</v>
      </c>
      <c r="U119" s="81">
        <v>0</v>
      </c>
      <c r="V119" s="25" t="e">
        <f t="shared" ref="V119:V132" si="98">U119/T119*100</f>
        <v>#DIV/0!</v>
      </c>
      <c r="W119" s="81">
        <v>0</v>
      </c>
      <c r="X119" s="81"/>
      <c r="Y119" s="25" t="e">
        <f t="shared" si="1"/>
        <v>#DIV/0!</v>
      </c>
      <c r="Z119" s="81">
        <v>1</v>
      </c>
      <c r="AA119" s="81"/>
      <c r="AB119" s="25">
        <f t="shared" si="2"/>
        <v>0</v>
      </c>
      <c r="AC119" s="81">
        <v>0</v>
      </c>
      <c r="AD119" s="81"/>
      <c r="AE119" s="25" t="e">
        <f t="shared" si="3"/>
        <v>#DIV/0!</v>
      </c>
      <c r="AF119" s="140">
        <f t="shared" si="84"/>
        <v>1</v>
      </c>
      <c r="AG119" s="140">
        <f t="shared" si="85"/>
        <v>0</v>
      </c>
      <c r="AH119" s="138" t="e">
        <f t="shared" si="5"/>
        <v>#DIV/0!</v>
      </c>
      <c r="AI119" s="101">
        <v>46113</v>
      </c>
      <c r="AJ119" s="101">
        <v>46477</v>
      </c>
      <c r="AK119" s="102" t="s">
        <v>112</v>
      </c>
      <c r="AL119" s="102" t="s">
        <v>113</v>
      </c>
      <c r="AM119" s="103" t="s">
        <v>114</v>
      </c>
      <c r="AN119" s="104">
        <v>20000000</v>
      </c>
      <c r="AO119" s="104">
        <v>20000000</v>
      </c>
      <c r="AP119" s="104">
        <v>20000000</v>
      </c>
      <c r="AQ119" s="326">
        <v>0</v>
      </c>
      <c r="AR119" s="102" t="s">
        <v>458</v>
      </c>
      <c r="AS119" s="102" t="s">
        <v>112</v>
      </c>
      <c r="AT119" s="152" t="s">
        <v>449</v>
      </c>
      <c r="AU119" s="166" t="s">
        <v>2264</v>
      </c>
      <c r="AV119" s="247" t="s">
        <v>2234</v>
      </c>
      <c r="AW119" s="136" t="s">
        <v>2265</v>
      </c>
      <c r="AX119" s="136" t="s">
        <v>2345</v>
      </c>
      <c r="AY119" s="136" t="s">
        <v>2308</v>
      </c>
      <c r="BA119" s="272"/>
      <c r="BB119" s="273"/>
      <c r="BC119" s="209" t="e">
        <f t="shared" si="60"/>
        <v>#DIV/0!</v>
      </c>
      <c r="BD119" s="272"/>
      <c r="BE119" s="273"/>
      <c r="BF119" s="209" t="e">
        <f t="shared" si="61"/>
        <v>#DIV/0!</v>
      </c>
      <c r="BG119" s="272"/>
      <c r="BH119" s="273"/>
      <c r="BI119" s="209" t="e">
        <f t="shared" si="62"/>
        <v>#DIV/0!</v>
      </c>
      <c r="BJ119" s="210">
        <f t="shared" si="63"/>
        <v>0</v>
      </c>
      <c r="BK119" s="211">
        <f t="shared" si="64"/>
        <v>0</v>
      </c>
      <c r="BL119" s="209" t="e">
        <f t="shared" si="65"/>
        <v>#DIV/0!</v>
      </c>
      <c r="BM119" s="272"/>
      <c r="BN119" s="273"/>
      <c r="BO119" s="209" t="e">
        <f t="shared" si="86"/>
        <v>#DIV/0!</v>
      </c>
      <c r="BP119" s="272"/>
      <c r="BQ119" s="273"/>
      <c r="BR119" s="209" t="e">
        <f t="shared" si="87"/>
        <v>#DIV/0!</v>
      </c>
      <c r="BS119" s="272"/>
      <c r="BT119" s="272"/>
      <c r="BU119" s="209" t="e">
        <f t="shared" si="88"/>
        <v>#DIV/0!</v>
      </c>
      <c r="BV119" s="210">
        <f t="shared" si="66"/>
        <v>0</v>
      </c>
      <c r="BW119" s="210">
        <f t="shared" si="67"/>
        <v>0</v>
      </c>
      <c r="BX119" s="209" t="e">
        <f t="shared" si="68"/>
        <v>#DIV/0!</v>
      </c>
      <c r="BY119" s="209">
        <f t="shared" si="69"/>
        <v>0</v>
      </c>
      <c r="BZ119" s="209">
        <f t="shared" si="70"/>
        <v>0</v>
      </c>
      <c r="CA119" s="212"/>
      <c r="CB119" s="245"/>
      <c r="CC119" s="183"/>
      <c r="CD119" s="184"/>
      <c r="CE119" s="185" t="e">
        <f t="shared" si="89"/>
        <v>#DIV/0!</v>
      </c>
      <c r="CF119" s="183"/>
      <c r="CG119" s="184"/>
      <c r="CH119" s="185" t="e">
        <f t="shared" si="90"/>
        <v>#DIV/0!</v>
      </c>
      <c r="CI119" s="189"/>
      <c r="CJ119" s="190"/>
      <c r="CK119" s="185" t="e">
        <f t="shared" si="91"/>
        <v>#DIV/0!</v>
      </c>
      <c r="CL119" s="187">
        <f t="shared" si="92"/>
        <v>0</v>
      </c>
      <c r="CM119" s="186">
        <f t="shared" si="93"/>
        <v>0</v>
      </c>
      <c r="CN119" s="185" t="e">
        <f t="shared" si="94"/>
        <v>#DIV/0!</v>
      </c>
      <c r="CO119" s="245"/>
      <c r="CP119" s="188">
        <f t="shared" si="95"/>
        <v>0</v>
      </c>
      <c r="CQ119" s="188">
        <f t="shared" si="96"/>
        <v>0</v>
      </c>
      <c r="CR119" s="191" t="e">
        <f t="shared" si="97"/>
        <v>#DIV/0!</v>
      </c>
      <c r="CS119" s="279">
        <f t="shared" si="71"/>
        <v>1</v>
      </c>
      <c r="CT119" s="245"/>
      <c r="CU119" s="188">
        <f t="shared" si="72"/>
        <v>0.3</v>
      </c>
      <c r="CV119" s="277"/>
      <c r="CW119" s="191">
        <f t="shared" si="73"/>
        <v>0</v>
      </c>
      <c r="CX119" s="188">
        <f t="shared" si="74"/>
        <v>0.3</v>
      </c>
      <c r="CY119" s="277"/>
      <c r="CZ119" s="191">
        <f t="shared" si="75"/>
        <v>0</v>
      </c>
      <c r="DA119" s="188">
        <f t="shared" si="76"/>
        <v>0.3</v>
      </c>
      <c r="DB119" s="277"/>
      <c r="DC119" s="191">
        <f t="shared" si="77"/>
        <v>0</v>
      </c>
      <c r="DD119" s="188">
        <f t="shared" si="78"/>
        <v>0.1</v>
      </c>
      <c r="DE119" s="277"/>
      <c r="DF119" s="191">
        <f t="shared" si="79"/>
        <v>0</v>
      </c>
      <c r="DG119" s="245"/>
      <c r="DH119" s="188">
        <f t="shared" si="80"/>
        <v>1</v>
      </c>
      <c r="DI119" s="188">
        <f t="shared" si="81"/>
        <v>0</v>
      </c>
      <c r="DJ119" s="191">
        <f t="shared" si="82"/>
        <v>0</v>
      </c>
      <c r="DK119" s="286">
        <f t="shared" si="83"/>
        <v>1</v>
      </c>
      <c r="DL119" s="261">
        <v>115</v>
      </c>
      <c r="DM119" s="244">
        <f>+A119-DL119</f>
        <v>0</v>
      </c>
    </row>
    <row r="120" spans="1:117" x14ac:dyDescent="0.35">
      <c r="A120" s="263">
        <v>116</v>
      </c>
      <c r="B120" s="102" t="s">
        <v>270</v>
      </c>
      <c r="C120" s="102" t="s">
        <v>133</v>
      </c>
      <c r="D120" s="102" t="s">
        <v>119</v>
      </c>
      <c r="E120" s="102" t="s">
        <v>134</v>
      </c>
      <c r="F120" s="102" t="s">
        <v>459</v>
      </c>
      <c r="G120" s="98" t="s">
        <v>456</v>
      </c>
      <c r="H120" s="98" t="s">
        <v>376</v>
      </c>
      <c r="I120" s="98" t="s">
        <v>337</v>
      </c>
      <c r="J120" s="98" t="s">
        <v>337</v>
      </c>
      <c r="K120" s="96" t="s">
        <v>104</v>
      </c>
      <c r="L120" s="96" t="s">
        <v>105</v>
      </c>
      <c r="M120" s="98" t="s">
        <v>106</v>
      </c>
      <c r="N120" s="98" t="s">
        <v>380</v>
      </c>
      <c r="O120" s="98" t="s">
        <v>127</v>
      </c>
      <c r="P120" s="258" t="s">
        <v>460</v>
      </c>
      <c r="Q120" s="98" t="s">
        <v>129</v>
      </c>
      <c r="R120" s="301">
        <v>1</v>
      </c>
      <c r="S120" s="99" t="s">
        <v>111</v>
      </c>
      <c r="T120" s="81"/>
      <c r="U120" s="81"/>
      <c r="V120" s="25" t="e">
        <f t="shared" si="98"/>
        <v>#DIV/0!</v>
      </c>
      <c r="W120" s="81">
        <v>0</v>
      </c>
      <c r="X120" s="81"/>
      <c r="Y120" s="25" t="e">
        <f t="shared" si="1"/>
        <v>#DIV/0!</v>
      </c>
      <c r="Z120" s="81">
        <v>1</v>
      </c>
      <c r="AA120" s="81"/>
      <c r="AB120" s="25">
        <f t="shared" si="2"/>
        <v>0</v>
      </c>
      <c r="AC120" s="81">
        <v>0</v>
      </c>
      <c r="AD120" s="81"/>
      <c r="AE120" s="25" t="e">
        <f t="shared" si="3"/>
        <v>#DIV/0!</v>
      </c>
      <c r="AF120" s="140">
        <f t="shared" si="84"/>
        <v>1</v>
      </c>
      <c r="AG120" s="140">
        <f t="shared" si="85"/>
        <v>0</v>
      </c>
      <c r="AH120" s="138">
        <f t="shared" si="5"/>
        <v>0</v>
      </c>
      <c r="AI120" s="101">
        <v>46113</v>
      </c>
      <c r="AJ120" s="101">
        <v>46477</v>
      </c>
      <c r="AK120" s="102" t="s">
        <v>112</v>
      </c>
      <c r="AL120" s="102" t="s">
        <v>113</v>
      </c>
      <c r="AM120" s="103" t="s">
        <v>114</v>
      </c>
      <c r="AN120" s="104">
        <v>50000000</v>
      </c>
      <c r="AO120" s="104">
        <v>50000000</v>
      </c>
      <c r="AP120" s="104">
        <v>50000000</v>
      </c>
      <c r="AQ120" s="326">
        <v>0</v>
      </c>
      <c r="AR120" s="102" t="s">
        <v>461</v>
      </c>
      <c r="AS120" s="102" t="s">
        <v>112</v>
      </c>
      <c r="AT120" s="152" t="s">
        <v>449</v>
      </c>
      <c r="AU120" s="166" t="s">
        <v>2264</v>
      </c>
      <c r="AV120" s="247" t="s">
        <v>2234</v>
      </c>
      <c r="AW120" s="136" t="s">
        <v>2265</v>
      </c>
      <c r="AX120" s="136" t="s">
        <v>2345</v>
      </c>
      <c r="AY120" s="136" t="s">
        <v>2308</v>
      </c>
      <c r="BA120" s="272"/>
      <c r="BB120" s="273"/>
      <c r="BC120" s="209" t="e">
        <f t="shared" si="60"/>
        <v>#DIV/0!</v>
      </c>
      <c r="BD120" s="272"/>
      <c r="BE120" s="273"/>
      <c r="BF120" s="209" t="e">
        <f t="shared" si="61"/>
        <v>#DIV/0!</v>
      </c>
      <c r="BG120" s="272"/>
      <c r="BH120" s="273"/>
      <c r="BI120" s="209" t="e">
        <f t="shared" si="62"/>
        <v>#DIV/0!</v>
      </c>
      <c r="BJ120" s="210">
        <f t="shared" si="63"/>
        <v>0</v>
      </c>
      <c r="BK120" s="211">
        <f t="shared" si="64"/>
        <v>0</v>
      </c>
      <c r="BL120" s="209" t="e">
        <f t="shared" si="65"/>
        <v>#DIV/0!</v>
      </c>
      <c r="BM120" s="272"/>
      <c r="BN120" s="273"/>
      <c r="BO120" s="209" t="e">
        <f t="shared" si="86"/>
        <v>#DIV/0!</v>
      </c>
      <c r="BP120" s="272"/>
      <c r="BQ120" s="273"/>
      <c r="BR120" s="209" t="e">
        <f t="shared" si="87"/>
        <v>#DIV/0!</v>
      </c>
      <c r="BS120" s="272"/>
      <c r="BT120" s="272"/>
      <c r="BU120" s="209" t="e">
        <f t="shared" si="88"/>
        <v>#DIV/0!</v>
      </c>
      <c r="BV120" s="210">
        <f t="shared" si="66"/>
        <v>0</v>
      </c>
      <c r="BW120" s="210">
        <f t="shared" si="67"/>
        <v>0</v>
      </c>
      <c r="BX120" s="209" t="e">
        <f t="shared" si="68"/>
        <v>#DIV/0!</v>
      </c>
      <c r="BY120" s="209">
        <f t="shared" si="69"/>
        <v>0</v>
      </c>
      <c r="BZ120" s="209">
        <f t="shared" si="70"/>
        <v>0</v>
      </c>
      <c r="CA120" s="212"/>
      <c r="CB120" s="245"/>
      <c r="CC120" s="183"/>
      <c r="CD120" s="184"/>
      <c r="CE120" s="185" t="e">
        <f t="shared" si="89"/>
        <v>#DIV/0!</v>
      </c>
      <c r="CF120" s="183"/>
      <c r="CG120" s="184"/>
      <c r="CH120" s="185" t="e">
        <f t="shared" si="90"/>
        <v>#DIV/0!</v>
      </c>
      <c r="CI120" s="189"/>
      <c r="CJ120" s="190"/>
      <c r="CK120" s="185" t="e">
        <f t="shared" si="91"/>
        <v>#DIV/0!</v>
      </c>
      <c r="CL120" s="187">
        <f t="shared" si="92"/>
        <v>0</v>
      </c>
      <c r="CM120" s="186">
        <f t="shared" si="93"/>
        <v>0</v>
      </c>
      <c r="CN120" s="185" t="e">
        <f t="shared" si="94"/>
        <v>#DIV/0!</v>
      </c>
      <c r="CO120" s="245"/>
      <c r="CP120" s="188">
        <f t="shared" si="95"/>
        <v>0</v>
      </c>
      <c r="CQ120" s="188">
        <f t="shared" si="96"/>
        <v>0</v>
      </c>
      <c r="CR120" s="191" t="e">
        <f t="shared" si="97"/>
        <v>#DIV/0!</v>
      </c>
      <c r="CS120" s="279">
        <f t="shared" si="71"/>
        <v>1</v>
      </c>
      <c r="CT120" s="245"/>
      <c r="CU120" s="188">
        <f t="shared" si="72"/>
        <v>0.3</v>
      </c>
      <c r="CV120" s="277"/>
      <c r="CW120" s="191">
        <f t="shared" si="73"/>
        <v>0</v>
      </c>
      <c r="CX120" s="188">
        <f t="shared" si="74"/>
        <v>0.3</v>
      </c>
      <c r="CY120" s="277"/>
      <c r="CZ120" s="191">
        <f t="shared" si="75"/>
        <v>0</v>
      </c>
      <c r="DA120" s="188">
        <f t="shared" si="76"/>
        <v>0.3</v>
      </c>
      <c r="DB120" s="277"/>
      <c r="DC120" s="191">
        <f t="shared" si="77"/>
        <v>0</v>
      </c>
      <c r="DD120" s="188">
        <f t="shared" si="78"/>
        <v>0.1</v>
      </c>
      <c r="DE120" s="277"/>
      <c r="DF120" s="191">
        <f t="shared" si="79"/>
        <v>0</v>
      </c>
      <c r="DG120" s="245"/>
      <c r="DH120" s="188">
        <f t="shared" si="80"/>
        <v>1</v>
      </c>
      <c r="DI120" s="188">
        <f t="shared" si="81"/>
        <v>0</v>
      </c>
      <c r="DJ120" s="191">
        <f t="shared" si="82"/>
        <v>0</v>
      </c>
      <c r="DK120" s="286">
        <f t="shared" si="83"/>
        <v>1</v>
      </c>
      <c r="DL120" s="261">
        <v>116</v>
      </c>
      <c r="DM120" s="244">
        <f>+A120-DL120</f>
        <v>0</v>
      </c>
    </row>
    <row r="121" spans="1:117" x14ac:dyDescent="0.35">
      <c r="A121" s="263">
        <v>117</v>
      </c>
      <c r="B121" s="102" t="s">
        <v>270</v>
      </c>
      <c r="C121" s="102" t="s">
        <v>118</v>
      </c>
      <c r="D121" s="102" t="s">
        <v>119</v>
      </c>
      <c r="E121" s="102" t="s">
        <v>120</v>
      </c>
      <c r="F121" s="102" t="s">
        <v>462</v>
      </c>
      <c r="G121" s="98" t="s">
        <v>456</v>
      </c>
      <c r="H121" s="98" t="s">
        <v>376</v>
      </c>
      <c r="I121" s="98" t="s">
        <v>451</v>
      </c>
      <c r="J121" s="98" t="s">
        <v>451</v>
      </c>
      <c r="K121" s="96" t="s">
        <v>104</v>
      </c>
      <c r="L121" s="96" t="s">
        <v>105</v>
      </c>
      <c r="M121" s="98" t="s">
        <v>106</v>
      </c>
      <c r="N121" s="98" t="s">
        <v>380</v>
      </c>
      <c r="O121" s="98" t="s">
        <v>127</v>
      </c>
      <c r="P121" s="98" t="s">
        <v>463</v>
      </c>
      <c r="Q121" s="98" t="s">
        <v>129</v>
      </c>
      <c r="R121" s="301">
        <v>4</v>
      </c>
      <c r="S121" s="99" t="s">
        <v>111</v>
      </c>
      <c r="T121" s="81">
        <v>0</v>
      </c>
      <c r="U121" s="81">
        <v>0</v>
      </c>
      <c r="V121" s="25" t="e">
        <f t="shared" si="98"/>
        <v>#DIV/0!</v>
      </c>
      <c r="W121" s="81">
        <v>1</v>
      </c>
      <c r="X121" s="81"/>
      <c r="Y121" s="25">
        <f t="shared" si="1"/>
        <v>0</v>
      </c>
      <c r="Z121" s="81">
        <v>1</v>
      </c>
      <c r="AA121" s="81"/>
      <c r="AB121" s="25">
        <f t="shared" si="2"/>
        <v>0</v>
      </c>
      <c r="AC121" s="81">
        <v>2</v>
      </c>
      <c r="AD121" s="81"/>
      <c r="AE121" s="25">
        <f t="shared" si="3"/>
        <v>0</v>
      </c>
      <c r="AF121" s="140">
        <f t="shared" si="84"/>
        <v>4</v>
      </c>
      <c r="AG121" s="140">
        <f t="shared" si="85"/>
        <v>0</v>
      </c>
      <c r="AH121" s="138" t="e">
        <f t="shared" si="5"/>
        <v>#DIV/0!</v>
      </c>
      <c r="AI121" s="101">
        <v>46113</v>
      </c>
      <c r="AJ121" s="101">
        <v>46477</v>
      </c>
      <c r="AK121" s="102" t="s">
        <v>112</v>
      </c>
      <c r="AL121" s="102" t="s">
        <v>113</v>
      </c>
      <c r="AM121" s="103" t="s">
        <v>114</v>
      </c>
      <c r="AN121" s="324"/>
      <c r="AO121" s="324"/>
      <c r="AP121" s="324"/>
      <c r="AQ121" s="326"/>
      <c r="AR121" s="102" t="s">
        <v>464</v>
      </c>
      <c r="AS121" s="102" t="s">
        <v>112</v>
      </c>
      <c r="AT121" s="152" t="s">
        <v>449</v>
      </c>
      <c r="AU121" s="166" t="s">
        <v>2264</v>
      </c>
      <c r="AV121" s="247" t="s">
        <v>2234</v>
      </c>
      <c r="AW121" s="136" t="s">
        <v>2265</v>
      </c>
      <c r="AX121" s="136" t="s">
        <v>2345</v>
      </c>
      <c r="AY121" s="136" t="s">
        <v>2308</v>
      </c>
      <c r="BA121" s="272"/>
      <c r="BB121" s="273"/>
      <c r="BC121" s="209" t="e">
        <f t="shared" si="60"/>
        <v>#DIV/0!</v>
      </c>
      <c r="BD121" s="272"/>
      <c r="BE121" s="273"/>
      <c r="BF121" s="209" t="e">
        <f t="shared" si="61"/>
        <v>#DIV/0!</v>
      </c>
      <c r="BG121" s="272"/>
      <c r="BH121" s="273"/>
      <c r="BI121" s="209" t="e">
        <f t="shared" si="62"/>
        <v>#DIV/0!</v>
      </c>
      <c r="BJ121" s="210">
        <f t="shared" si="63"/>
        <v>0</v>
      </c>
      <c r="BK121" s="211">
        <f t="shared" si="64"/>
        <v>0</v>
      </c>
      <c r="BL121" s="209" t="e">
        <f t="shared" si="65"/>
        <v>#DIV/0!</v>
      </c>
      <c r="BM121" s="272"/>
      <c r="BN121" s="273"/>
      <c r="BO121" s="209" t="e">
        <f t="shared" si="86"/>
        <v>#DIV/0!</v>
      </c>
      <c r="BP121" s="272"/>
      <c r="BQ121" s="273"/>
      <c r="BR121" s="209" t="e">
        <f t="shared" si="87"/>
        <v>#DIV/0!</v>
      </c>
      <c r="BS121" s="272"/>
      <c r="BT121" s="272"/>
      <c r="BU121" s="209" t="e">
        <f t="shared" si="88"/>
        <v>#DIV/0!</v>
      </c>
      <c r="BV121" s="210">
        <f t="shared" si="66"/>
        <v>0</v>
      </c>
      <c r="BW121" s="210">
        <f t="shared" si="67"/>
        <v>0</v>
      </c>
      <c r="BX121" s="209" t="e">
        <f t="shared" si="68"/>
        <v>#DIV/0!</v>
      </c>
      <c r="BY121" s="209">
        <f t="shared" si="69"/>
        <v>0</v>
      </c>
      <c r="BZ121" s="209">
        <f t="shared" si="70"/>
        <v>0</v>
      </c>
      <c r="CA121" s="212"/>
      <c r="CB121" s="245"/>
      <c r="CC121" s="183"/>
      <c r="CD121" s="184"/>
      <c r="CE121" s="185" t="e">
        <f t="shared" si="89"/>
        <v>#DIV/0!</v>
      </c>
      <c r="CF121" s="183"/>
      <c r="CG121" s="184"/>
      <c r="CH121" s="185" t="e">
        <f t="shared" si="90"/>
        <v>#DIV/0!</v>
      </c>
      <c r="CI121" s="189"/>
      <c r="CJ121" s="190"/>
      <c r="CK121" s="185" t="e">
        <f t="shared" si="91"/>
        <v>#DIV/0!</v>
      </c>
      <c r="CL121" s="187">
        <f t="shared" si="92"/>
        <v>0</v>
      </c>
      <c r="CM121" s="186">
        <f t="shared" si="93"/>
        <v>0</v>
      </c>
      <c r="CN121" s="185" t="e">
        <f t="shared" si="94"/>
        <v>#DIV/0!</v>
      </c>
      <c r="CO121" s="245"/>
      <c r="CP121" s="188">
        <f t="shared" si="95"/>
        <v>0</v>
      </c>
      <c r="CQ121" s="188">
        <f t="shared" si="96"/>
        <v>0</v>
      </c>
      <c r="CR121" s="191" t="e">
        <f t="shared" si="97"/>
        <v>#DIV/0!</v>
      </c>
      <c r="CS121" s="279">
        <f t="shared" si="71"/>
        <v>4</v>
      </c>
      <c r="CT121" s="245"/>
      <c r="CU121" s="188">
        <f t="shared" si="72"/>
        <v>1.2</v>
      </c>
      <c r="CV121" s="277"/>
      <c r="CW121" s="191">
        <f t="shared" si="73"/>
        <v>0</v>
      </c>
      <c r="CX121" s="188">
        <f t="shared" si="74"/>
        <v>1.2</v>
      </c>
      <c r="CY121" s="277"/>
      <c r="CZ121" s="191">
        <f t="shared" si="75"/>
        <v>0</v>
      </c>
      <c r="DA121" s="188">
        <f t="shared" si="76"/>
        <v>1.2</v>
      </c>
      <c r="DB121" s="277"/>
      <c r="DC121" s="191">
        <f t="shared" si="77"/>
        <v>0</v>
      </c>
      <c r="DD121" s="188">
        <f t="shared" si="78"/>
        <v>0.4</v>
      </c>
      <c r="DE121" s="277"/>
      <c r="DF121" s="191">
        <f t="shared" si="79"/>
        <v>0</v>
      </c>
      <c r="DG121" s="245"/>
      <c r="DH121" s="188">
        <f t="shared" si="80"/>
        <v>4</v>
      </c>
      <c r="DI121" s="188">
        <f t="shared" si="81"/>
        <v>0</v>
      </c>
      <c r="DJ121" s="191">
        <f t="shared" si="82"/>
        <v>0</v>
      </c>
      <c r="DK121" s="286">
        <f t="shared" si="83"/>
        <v>4</v>
      </c>
      <c r="DL121" s="261">
        <v>117</v>
      </c>
      <c r="DM121" s="244">
        <f>+A121-DL121</f>
        <v>0</v>
      </c>
    </row>
    <row r="122" spans="1:117" ht="37.5" x14ac:dyDescent="0.35">
      <c r="A122" s="263">
        <v>118</v>
      </c>
      <c r="B122" s="102" t="s">
        <v>270</v>
      </c>
      <c r="C122" s="102" t="s">
        <v>133</v>
      </c>
      <c r="D122" s="102" t="s">
        <v>119</v>
      </c>
      <c r="E122" s="102" t="s">
        <v>465</v>
      </c>
      <c r="F122" s="102" t="s">
        <v>466</v>
      </c>
      <c r="G122" s="98" t="s">
        <v>456</v>
      </c>
      <c r="H122" s="98" t="s">
        <v>376</v>
      </c>
      <c r="I122" s="98" t="s">
        <v>467</v>
      </c>
      <c r="J122" s="98" t="s">
        <v>467</v>
      </c>
      <c r="K122" s="96" t="s">
        <v>104</v>
      </c>
      <c r="L122" s="96" t="s">
        <v>105</v>
      </c>
      <c r="M122" s="98" t="s">
        <v>106</v>
      </c>
      <c r="N122" s="98" t="s">
        <v>468</v>
      </c>
      <c r="O122" s="98" t="s">
        <v>469</v>
      </c>
      <c r="P122" s="259" t="s">
        <v>470</v>
      </c>
      <c r="Q122" s="98" t="s">
        <v>129</v>
      </c>
      <c r="R122" s="301">
        <v>1</v>
      </c>
      <c r="S122" s="99" t="s">
        <v>111</v>
      </c>
      <c r="T122" s="81">
        <v>0</v>
      </c>
      <c r="U122" s="81">
        <v>0</v>
      </c>
      <c r="V122" s="25" t="e">
        <f t="shared" si="98"/>
        <v>#DIV/0!</v>
      </c>
      <c r="W122" s="81">
        <v>0</v>
      </c>
      <c r="X122" s="81"/>
      <c r="Y122" s="25" t="e">
        <f t="shared" si="1"/>
        <v>#DIV/0!</v>
      </c>
      <c r="Z122" s="81">
        <v>1</v>
      </c>
      <c r="AA122" s="81"/>
      <c r="AB122" s="25">
        <f t="shared" si="2"/>
        <v>0</v>
      </c>
      <c r="AC122" s="81">
        <v>0</v>
      </c>
      <c r="AD122" s="81"/>
      <c r="AE122" s="25" t="e">
        <f t="shared" si="3"/>
        <v>#DIV/0!</v>
      </c>
      <c r="AF122" s="140">
        <f t="shared" si="84"/>
        <v>1</v>
      </c>
      <c r="AG122" s="140">
        <f t="shared" si="85"/>
        <v>0</v>
      </c>
      <c r="AH122" s="138" t="e">
        <f t="shared" si="5"/>
        <v>#DIV/0!</v>
      </c>
      <c r="AI122" s="101">
        <v>46113</v>
      </c>
      <c r="AJ122" s="101">
        <v>46477</v>
      </c>
      <c r="AK122" s="102" t="s">
        <v>112</v>
      </c>
      <c r="AL122" s="102" t="s">
        <v>113</v>
      </c>
      <c r="AM122" s="103" t="s">
        <v>114</v>
      </c>
      <c r="AN122" s="104">
        <v>20000000</v>
      </c>
      <c r="AO122" s="104">
        <v>20000000</v>
      </c>
      <c r="AP122" s="104">
        <v>20000000</v>
      </c>
      <c r="AQ122" s="326">
        <v>0</v>
      </c>
      <c r="AR122" s="102" t="s">
        <v>207</v>
      </c>
      <c r="AS122" s="102" t="s">
        <v>112</v>
      </c>
      <c r="AT122" s="152" t="s">
        <v>471</v>
      </c>
      <c r="AU122" s="167" t="s">
        <v>2264</v>
      </c>
      <c r="AV122" s="247" t="s">
        <v>2234</v>
      </c>
      <c r="BA122" s="272"/>
      <c r="BB122" s="273"/>
      <c r="BC122" s="209" t="e">
        <f t="shared" si="60"/>
        <v>#DIV/0!</v>
      </c>
      <c r="BD122" s="272"/>
      <c r="BE122" s="273"/>
      <c r="BF122" s="209" t="e">
        <f t="shared" si="61"/>
        <v>#DIV/0!</v>
      </c>
      <c r="BG122" s="272"/>
      <c r="BH122" s="273"/>
      <c r="BI122" s="209" t="e">
        <f t="shared" si="62"/>
        <v>#DIV/0!</v>
      </c>
      <c r="BJ122" s="210">
        <f t="shared" si="63"/>
        <v>0</v>
      </c>
      <c r="BK122" s="211">
        <f t="shared" si="64"/>
        <v>0</v>
      </c>
      <c r="BL122" s="209" t="e">
        <f t="shared" si="65"/>
        <v>#DIV/0!</v>
      </c>
      <c r="BM122" s="272"/>
      <c r="BN122" s="273"/>
      <c r="BO122" s="209" t="e">
        <f t="shared" si="86"/>
        <v>#DIV/0!</v>
      </c>
      <c r="BP122" s="272"/>
      <c r="BQ122" s="273"/>
      <c r="BR122" s="209" t="e">
        <f t="shared" si="87"/>
        <v>#DIV/0!</v>
      </c>
      <c r="BS122" s="272"/>
      <c r="BT122" s="272"/>
      <c r="BU122" s="209" t="e">
        <f t="shared" si="88"/>
        <v>#DIV/0!</v>
      </c>
      <c r="BV122" s="210">
        <f t="shared" si="66"/>
        <v>0</v>
      </c>
      <c r="BW122" s="210">
        <f t="shared" si="67"/>
        <v>0</v>
      </c>
      <c r="BX122" s="209" t="e">
        <f t="shared" si="68"/>
        <v>#DIV/0!</v>
      </c>
      <c r="BY122" s="209">
        <f t="shared" si="69"/>
        <v>0</v>
      </c>
      <c r="BZ122" s="209">
        <f t="shared" si="70"/>
        <v>0</v>
      </c>
      <c r="CA122" s="212"/>
      <c r="CB122" s="245"/>
      <c r="CC122" s="183"/>
      <c r="CD122" s="184"/>
      <c r="CE122" s="185" t="e">
        <f t="shared" si="89"/>
        <v>#DIV/0!</v>
      </c>
      <c r="CF122" s="183"/>
      <c r="CG122" s="184"/>
      <c r="CH122" s="185" t="e">
        <f t="shared" si="90"/>
        <v>#DIV/0!</v>
      </c>
      <c r="CI122" s="189"/>
      <c r="CJ122" s="190"/>
      <c r="CK122" s="185" t="e">
        <f t="shared" si="91"/>
        <v>#DIV/0!</v>
      </c>
      <c r="CL122" s="187">
        <f t="shared" si="92"/>
        <v>0</v>
      </c>
      <c r="CM122" s="186">
        <f t="shared" si="93"/>
        <v>0</v>
      </c>
      <c r="CN122" s="185" t="e">
        <f t="shared" si="94"/>
        <v>#DIV/0!</v>
      </c>
      <c r="CO122" s="245"/>
      <c r="CP122" s="188">
        <f t="shared" si="95"/>
        <v>0</v>
      </c>
      <c r="CQ122" s="188">
        <f t="shared" si="96"/>
        <v>0</v>
      </c>
      <c r="CR122" s="191" t="e">
        <f t="shared" si="97"/>
        <v>#DIV/0!</v>
      </c>
      <c r="CS122" s="279">
        <f t="shared" si="71"/>
        <v>1</v>
      </c>
      <c r="CT122" s="245"/>
      <c r="CU122" s="188">
        <f t="shared" si="72"/>
        <v>0.3</v>
      </c>
      <c r="CV122" s="277"/>
      <c r="CW122" s="191">
        <f t="shared" si="73"/>
        <v>0</v>
      </c>
      <c r="CX122" s="188">
        <f t="shared" si="74"/>
        <v>0.3</v>
      </c>
      <c r="CY122" s="277"/>
      <c r="CZ122" s="191">
        <f t="shared" si="75"/>
        <v>0</v>
      </c>
      <c r="DA122" s="188">
        <f t="shared" si="76"/>
        <v>0.3</v>
      </c>
      <c r="DB122" s="277"/>
      <c r="DC122" s="191">
        <f t="shared" si="77"/>
        <v>0</v>
      </c>
      <c r="DD122" s="188">
        <f t="shared" si="78"/>
        <v>0.1</v>
      </c>
      <c r="DE122" s="277"/>
      <c r="DF122" s="191">
        <f t="shared" si="79"/>
        <v>0</v>
      </c>
      <c r="DG122" s="245"/>
      <c r="DH122" s="188">
        <f t="shared" si="80"/>
        <v>1</v>
      </c>
      <c r="DI122" s="188">
        <f t="shared" si="81"/>
        <v>0</v>
      </c>
      <c r="DJ122" s="191">
        <f t="shared" si="82"/>
        <v>0</v>
      </c>
      <c r="DK122" s="286">
        <f t="shared" si="83"/>
        <v>1</v>
      </c>
      <c r="DL122" s="261">
        <v>118</v>
      </c>
      <c r="DM122" s="244">
        <f>+A122-DL122</f>
        <v>0</v>
      </c>
    </row>
    <row r="123" spans="1:117" x14ac:dyDescent="0.35">
      <c r="A123" s="263">
        <v>119</v>
      </c>
      <c r="B123" s="102" t="s">
        <v>270</v>
      </c>
      <c r="C123" s="102" t="s">
        <v>97</v>
      </c>
      <c r="D123" s="102" t="s">
        <v>98</v>
      </c>
      <c r="E123" s="102" t="s">
        <v>99</v>
      </c>
      <c r="F123" s="102" t="s">
        <v>240</v>
      </c>
      <c r="G123" s="98" t="s">
        <v>450</v>
      </c>
      <c r="H123" s="98" t="s">
        <v>376</v>
      </c>
      <c r="I123" s="98" t="s">
        <v>413</v>
      </c>
      <c r="J123" s="98" t="s">
        <v>472</v>
      </c>
      <c r="K123" s="96" t="s">
        <v>104</v>
      </c>
      <c r="L123" s="96" t="s">
        <v>424</v>
      </c>
      <c r="M123" s="98" t="s">
        <v>106</v>
      </c>
      <c r="N123" s="98" t="s">
        <v>380</v>
      </c>
      <c r="O123" s="98" t="s">
        <v>108</v>
      </c>
      <c r="P123" s="98" t="s">
        <v>473</v>
      </c>
      <c r="Q123" s="98" t="s">
        <v>110</v>
      </c>
      <c r="R123" s="301">
        <v>29</v>
      </c>
      <c r="S123" s="99" t="s">
        <v>111</v>
      </c>
      <c r="T123" s="81">
        <v>0</v>
      </c>
      <c r="U123" s="81">
        <v>0</v>
      </c>
      <c r="V123" s="25" t="e">
        <f t="shared" si="98"/>
        <v>#DIV/0!</v>
      </c>
      <c r="W123" s="81">
        <v>10</v>
      </c>
      <c r="X123" s="81"/>
      <c r="Y123" s="25">
        <f t="shared" si="1"/>
        <v>0</v>
      </c>
      <c r="Z123" s="81">
        <v>10</v>
      </c>
      <c r="AA123" s="81"/>
      <c r="AB123" s="25">
        <f t="shared" si="2"/>
        <v>0</v>
      </c>
      <c r="AC123" s="81">
        <v>9</v>
      </c>
      <c r="AD123" s="81"/>
      <c r="AE123" s="25">
        <f t="shared" si="3"/>
        <v>0</v>
      </c>
      <c r="AF123" s="140">
        <f t="shared" si="84"/>
        <v>29</v>
      </c>
      <c r="AG123" s="140">
        <f t="shared" si="85"/>
        <v>0</v>
      </c>
      <c r="AH123" s="138" t="e">
        <f t="shared" si="5"/>
        <v>#DIV/0!</v>
      </c>
      <c r="AI123" s="101">
        <v>46113</v>
      </c>
      <c r="AJ123" s="101">
        <v>46477</v>
      </c>
      <c r="AK123" s="102" t="s">
        <v>112</v>
      </c>
      <c r="AL123" s="102" t="s">
        <v>113</v>
      </c>
      <c r="AM123" s="103" t="s">
        <v>114</v>
      </c>
      <c r="AN123" s="104">
        <v>50000000</v>
      </c>
      <c r="AO123" s="104">
        <v>50000000</v>
      </c>
      <c r="AP123" s="104">
        <v>50000000</v>
      </c>
      <c r="AQ123" s="326">
        <v>0</v>
      </c>
      <c r="AR123" s="102" t="s">
        <v>159</v>
      </c>
      <c r="AS123" s="102" t="s">
        <v>112</v>
      </c>
      <c r="AT123" s="152" t="s">
        <v>449</v>
      </c>
      <c r="AU123" s="166" t="s">
        <v>2264</v>
      </c>
      <c r="AV123" s="247" t="s">
        <v>2234</v>
      </c>
      <c r="AW123" s="136" t="s">
        <v>2265</v>
      </c>
      <c r="AX123" s="136" t="s">
        <v>2345</v>
      </c>
      <c r="AY123" s="136" t="s">
        <v>2308</v>
      </c>
      <c r="BA123" s="272"/>
      <c r="BB123" s="273"/>
      <c r="BC123" s="209" t="e">
        <f t="shared" si="60"/>
        <v>#DIV/0!</v>
      </c>
      <c r="BD123" s="272"/>
      <c r="BE123" s="273"/>
      <c r="BF123" s="209" t="e">
        <f t="shared" si="61"/>
        <v>#DIV/0!</v>
      </c>
      <c r="BG123" s="272"/>
      <c r="BH123" s="273"/>
      <c r="BI123" s="209" t="e">
        <f t="shared" si="62"/>
        <v>#DIV/0!</v>
      </c>
      <c r="BJ123" s="210">
        <f t="shared" si="63"/>
        <v>0</v>
      </c>
      <c r="BK123" s="211">
        <f t="shared" si="64"/>
        <v>0</v>
      </c>
      <c r="BL123" s="209" t="e">
        <f t="shared" si="65"/>
        <v>#DIV/0!</v>
      </c>
      <c r="BM123" s="272"/>
      <c r="BN123" s="273"/>
      <c r="BO123" s="209" t="e">
        <f t="shared" si="86"/>
        <v>#DIV/0!</v>
      </c>
      <c r="BP123" s="272"/>
      <c r="BQ123" s="273"/>
      <c r="BR123" s="209" t="e">
        <f t="shared" si="87"/>
        <v>#DIV/0!</v>
      </c>
      <c r="BS123" s="272"/>
      <c r="BT123" s="272"/>
      <c r="BU123" s="209" t="e">
        <f t="shared" si="88"/>
        <v>#DIV/0!</v>
      </c>
      <c r="BV123" s="210">
        <f t="shared" si="66"/>
        <v>0</v>
      </c>
      <c r="BW123" s="210">
        <f t="shared" si="67"/>
        <v>0</v>
      </c>
      <c r="BX123" s="209" t="e">
        <f t="shared" si="68"/>
        <v>#DIV/0!</v>
      </c>
      <c r="BY123" s="209">
        <f t="shared" si="69"/>
        <v>0</v>
      </c>
      <c r="BZ123" s="209">
        <f t="shared" si="70"/>
        <v>0</v>
      </c>
      <c r="CA123" s="212"/>
      <c r="CB123" s="245"/>
      <c r="CC123" s="183"/>
      <c r="CD123" s="184"/>
      <c r="CE123" s="185" t="e">
        <f t="shared" si="89"/>
        <v>#DIV/0!</v>
      </c>
      <c r="CF123" s="183"/>
      <c r="CG123" s="184"/>
      <c r="CH123" s="185" t="e">
        <f t="shared" si="90"/>
        <v>#DIV/0!</v>
      </c>
      <c r="CI123" s="189"/>
      <c r="CJ123" s="190"/>
      <c r="CK123" s="185" t="e">
        <f t="shared" si="91"/>
        <v>#DIV/0!</v>
      </c>
      <c r="CL123" s="187">
        <f t="shared" si="92"/>
        <v>0</v>
      </c>
      <c r="CM123" s="186">
        <f t="shared" si="93"/>
        <v>0</v>
      </c>
      <c r="CN123" s="185" t="e">
        <f t="shared" si="94"/>
        <v>#DIV/0!</v>
      </c>
      <c r="CO123" s="245"/>
      <c r="CP123" s="188">
        <f t="shared" si="95"/>
        <v>0</v>
      </c>
      <c r="CQ123" s="188">
        <f t="shared" si="96"/>
        <v>0</v>
      </c>
      <c r="CR123" s="191" t="e">
        <f t="shared" si="97"/>
        <v>#DIV/0!</v>
      </c>
      <c r="CS123" s="279">
        <f t="shared" si="71"/>
        <v>29</v>
      </c>
      <c r="CT123" s="245"/>
      <c r="CU123" s="188">
        <f t="shared" si="72"/>
        <v>8.6999999999999993</v>
      </c>
      <c r="CV123" s="277"/>
      <c r="CW123" s="191">
        <f t="shared" si="73"/>
        <v>0</v>
      </c>
      <c r="CX123" s="188">
        <f t="shared" si="74"/>
        <v>8.6999999999999993</v>
      </c>
      <c r="CY123" s="277"/>
      <c r="CZ123" s="191">
        <f t="shared" si="75"/>
        <v>0</v>
      </c>
      <c r="DA123" s="188">
        <f t="shared" si="76"/>
        <v>8.6999999999999993</v>
      </c>
      <c r="DB123" s="277"/>
      <c r="DC123" s="191">
        <f t="shared" si="77"/>
        <v>0</v>
      </c>
      <c r="DD123" s="188">
        <f t="shared" si="78"/>
        <v>2.9000000000000004</v>
      </c>
      <c r="DE123" s="277"/>
      <c r="DF123" s="191">
        <f t="shared" si="79"/>
        <v>0</v>
      </c>
      <c r="DG123" s="245"/>
      <c r="DH123" s="188">
        <f t="shared" si="80"/>
        <v>29</v>
      </c>
      <c r="DI123" s="188">
        <f t="shared" si="81"/>
        <v>0</v>
      </c>
      <c r="DJ123" s="191">
        <f t="shared" si="82"/>
        <v>0</v>
      </c>
      <c r="DK123" s="286">
        <f t="shared" si="83"/>
        <v>29</v>
      </c>
      <c r="DL123" s="261">
        <v>119</v>
      </c>
      <c r="DM123" s="244">
        <f>+A123-DL123</f>
        <v>0</v>
      </c>
    </row>
    <row r="124" spans="1:117" x14ac:dyDescent="0.35">
      <c r="A124" s="263">
        <v>120</v>
      </c>
      <c r="B124" s="102" t="s">
        <v>270</v>
      </c>
      <c r="C124" s="102" t="s">
        <v>97</v>
      </c>
      <c r="D124" s="102" t="s">
        <v>98</v>
      </c>
      <c r="E124" s="102" t="s">
        <v>99</v>
      </c>
      <c r="F124" s="102" t="s">
        <v>422</v>
      </c>
      <c r="G124" s="98" t="s">
        <v>429</v>
      </c>
      <c r="H124" s="98" t="s">
        <v>430</v>
      </c>
      <c r="I124" s="98" t="s">
        <v>474</v>
      </c>
      <c r="J124" s="98" t="s">
        <v>474</v>
      </c>
      <c r="K124" s="96" t="s">
        <v>183</v>
      </c>
      <c r="L124" s="96" t="s">
        <v>424</v>
      </c>
      <c r="M124" s="98" t="s">
        <v>106</v>
      </c>
      <c r="N124" s="98" t="s">
        <v>107</v>
      </c>
      <c r="O124" s="98" t="s">
        <v>108</v>
      </c>
      <c r="P124" s="98" t="s">
        <v>475</v>
      </c>
      <c r="Q124" s="98" t="s">
        <v>110</v>
      </c>
      <c r="R124" s="301">
        <v>29</v>
      </c>
      <c r="S124" s="99" t="s">
        <v>111</v>
      </c>
      <c r="T124" s="81">
        <v>0</v>
      </c>
      <c r="U124" s="81">
        <v>0</v>
      </c>
      <c r="V124" s="25" t="e">
        <f t="shared" si="98"/>
        <v>#DIV/0!</v>
      </c>
      <c r="W124" s="81">
        <v>10</v>
      </c>
      <c r="X124" s="81"/>
      <c r="Y124" s="25">
        <f t="shared" si="1"/>
        <v>0</v>
      </c>
      <c r="Z124" s="81">
        <v>10</v>
      </c>
      <c r="AA124" s="81"/>
      <c r="AB124" s="25">
        <f t="shared" si="2"/>
        <v>0</v>
      </c>
      <c r="AC124" s="81">
        <v>9</v>
      </c>
      <c r="AD124" s="81"/>
      <c r="AE124" s="25">
        <f t="shared" si="3"/>
        <v>0</v>
      </c>
      <c r="AF124" s="140">
        <f t="shared" si="84"/>
        <v>29</v>
      </c>
      <c r="AG124" s="140">
        <f t="shared" si="85"/>
        <v>0</v>
      </c>
      <c r="AH124" s="138" t="e">
        <f t="shared" si="5"/>
        <v>#DIV/0!</v>
      </c>
      <c r="AI124" s="101">
        <v>46113</v>
      </c>
      <c r="AJ124" s="101">
        <v>46477</v>
      </c>
      <c r="AK124" s="102" t="s">
        <v>112</v>
      </c>
      <c r="AL124" s="102" t="s">
        <v>113</v>
      </c>
      <c r="AM124" s="103" t="s">
        <v>114</v>
      </c>
      <c r="AN124" s="104">
        <v>120000000</v>
      </c>
      <c r="AO124" s="104">
        <v>120000000</v>
      </c>
      <c r="AP124" s="104">
        <v>120000000</v>
      </c>
      <c r="AQ124" s="326">
        <v>0</v>
      </c>
      <c r="AR124" s="102" t="s">
        <v>159</v>
      </c>
      <c r="AS124" s="102" t="s">
        <v>112</v>
      </c>
      <c r="AT124" s="152" t="s">
        <v>449</v>
      </c>
      <c r="AU124" s="166" t="s">
        <v>2264</v>
      </c>
      <c r="AV124" s="247" t="s">
        <v>2234</v>
      </c>
      <c r="AW124" s="136" t="s">
        <v>2265</v>
      </c>
      <c r="AX124" s="136" t="s">
        <v>2345</v>
      </c>
      <c r="AY124" s="136" t="s">
        <v>2308</v>
      </c>
      <c r="BA124" s="272">
        <v>0</v>
      </c>
      <c r="BB124" s="273">
        <v>0</v>
      </c>
      <c r="BC124" s="209" t="e">
        <f t="shared" si="60"/>
        <v>#DIV/0!</v>
      </c>
      <c r="BD124" s="272">
        <v>0</v>
      </c>
      <c r="BE124" s="273">
        <v>0</v>
      </c>
      <c r="BF124" s="209" t="e">
        <f t="shared" si="61"/>
        <v>#DIV/0!</v>
      </c>
      <c r="BG124" s="272">
        <v>29</v>
      </c>
      <c r="BH124" s="273">
        <v>1</v>
      </c>
      <c r="BI124" s="209">
        <f t="shared" si="62"/>
        <v>3.4482758620689655E-2</v>
      </c>
      <c r="BJ124" s="210">
        <f t="shared" si="63"/>
        <v>29</v>
      </c>
      <c r="BK124" s="211">
        <f t="shared" si="64"/>
        <v>1</v>
      </c>
      <c r="BL124" s="209">
        <f t="shared" si="65"/>
        <v>3.4482758620689655E-2</v>
      </c>
      <c r="BM124" s="272"/>
      <c r="BN124" s="273"/>
      <c r="BO124" s="209" t="e">
        <f t="shared" si="86"/>
        <v>#DIV/0!</v>
      </c>
      <c r="BP124" s="272">
        <v>29</v>
      </c>
      <c r="BQ124" s="273">
        <v>2</v>
      </c>
      <c r="BR124" s="209">
        <f t="shared" si="87"/>
        <v>6.8965517241379309E-2</v>
      </c>
      <c r="BS124" s="272"/>
      <c r="BT124" s="272"/>
      <c r="BU124" s="209" t="e">
        <f t="shared" si="88"/>
        <v>#DIV/0!</v>
      </c>
      <c r="BV124" s="210">
        <f t="shared" si="66"/>
        <v>29</v>
      </c>
      <c r="BW124" s="210">
        <f t="shared" si="67"/>
        <v>2</v>
      </c>
      <c r="BX124" s="209">
        <f t="shared" si="68"/>
        <v>6.8965517241379309E-2</v>
      </c>
      <c r="BY124" s="209">
        <f t="shared" si="69"/>
        <v>0.10344827586206896</v>
      </c>
      <c r="BZ124" s="209">
        <f t="shared" si="70"/>
        <v>-0.10344827586206896</v>
      </c>
      <c r="CA124" s="212"/>
      <c r="CB124" s="245"/>
      <c r="CC124" s="183">
        <v>0</v>
      </c>
      <c r="CD124" s="184">
        <v>0</v>
      </c>
      <c r="CE124" s="185" t="e">
        <f t="shared" si="89"/>
        <v>#DIV/0!</v>
      </c>
      <c r="CF124" s="183">
        <v>0</v>
      </c>
      <c r="CG124" s="184">
        <v>0</v>
      </c>
      <c r="CH124" s="185" t="e">
        <f t="shared" si="90"/>
        <v>#DIV/0!</v>
      </c>
      <c r="CI124" s="189"/>
      <c r="CJ124" s="190"/>
      <c r="CK124" s="185" t="e">
        <f t="shared" si="91"/>
        <v>#DIV/0!</v>
      </c>
      <c r="CL124" s="187">
        <f t="shared" si="92"/>
        <v>0</v>
      </c>
      <c r="CM124" s="186">
        <f t="shared" si="93"/>
        <v>0</v>
      </c>
      <c r="CN124" s="185" t="e">
        <f t="shared" si="94"/>
        <v>#DIV/0!</v>
      </c>
      <c r="CO124" s="245"/>
      <c r="CP124" s="188">
        <f t="shared" si="95"/>
        <v>58</v>
      </c>
      <c r="CQ124" s="188">
        <f t="shared" si="96"/>
        <v>3</v>
      </c>
      <c r="CR124" s="191">
        <f t="shared" si="97"/>
        <v>5.1724137931034482E-2</v>
      </c>
      <c r="CS124" s="279">
        <f t="shared" si="71"/>
        <v>26</v>
      </c>
      <c r="CT124" s="245"/>
      <c r="CU124" s="188">
        <f t="shared" si="72"/>
        <v>7.8</v>
      </c>
      <c r="CV124" s="277"/>
      <c r="CW124" s="191">
        <f t="shared" si="73"/>
        <v>0</v>
      </c>
      <c r="CX124" s="188">
        <f t="shared" si="74"/>
        <v>7.8</v>
      </c>
      <c r="CY124" s="277"/>
      <c r="CZ124" s="191">
        <f t="shared" si="75"/>
        <v>0</v>
      </c>
      <c r="DA124" s="188">
        <f t="shared" si="76"/>
        <v>7.8</v>
      </c>
      <c r="DB124" s="277"/>
      <c r="DC124" s="191">
        <f t="shared" si="77"/>
        <v>0</v>
      </c>
      <c r="DD124" s="188">
        <f t="shared" si="78"/>
        <v>2.6</v>
      </c>
      <c r="DE124" s="277"/>
      <c r="DF124" s="191">
        <f t="shared" si="79"/>
        <v>0</v>
      </c>
      <c r="DG124" s="245"/>
      <c r="DH124" s="188">
        <f t="shared" si="80"/>
        <v>29</v>
      </c>
      <c r="DI124" s="188">
        <f t="shared" si="81"/>
        <v>3</v>
      </c>
      <c r="DJ124" s="191">
        <f t="shared" si="82"/>
        <v>0.10344827586206896</v>
      </c>
      <c r="DK124" s="286">
        <f t="shared" si="83"/>
        <v>26</v>
      </c>
      <c r="DL124" s="261">
        <v>120</v>
      </c>
      <c r="DM124" s="244">
        <f>+A124-DL124</f>
        <v>0</v>
      </c>
    </row>
    <row r="125" spans="1:117" x14ac:dyDescent="0.35">
      <c r="A125" s="263">
        <v>121</v>
      </c>
      <c r="B125" s="102" t="s">
        <v>270</v>
      </c>
      <c r="C125" s="102" t="s">
        <v>97</v>
      </c>
      <c r="D125" s="102" t="s">
        <v>98</v>
      </c>
      <c r="E125" s="102" t="s">
        <v>99</v>
      </c>
      <c r="F125" s="102" t="s">
        <v>422</v>
      </c>
      <c r="G125" s="98" t="s">
        <v>429</v>
      </c>
      <c r="H125" s="98" t="s">
        <v>430</v>
      </c>
      <c r="I125" s="98" t="s">
        <v>474</v>
      </c>
      <c r="J125" s="98" t="s">
        <v>474</v>
      </c>
      <c r="K125" s="96" t="s">
        <v>183</v>
      </c>
      <c r="L125" s="96" t="s">
        <v>424</v>
      </c>
      <c r="M125" s="98" t="s">
        <v>106</v>
      </c>
      <c r="N125" s="98" t="s">
        <v>107</v>
      </c>
      <c r="O125" s="98" t="s">
        <v>108</v>
      </c>
      <c r="P125" s="98" t="s">
        <v>476</v>
      </c>
      <c r="Q125" s="98" t="s">
        <v>110</v>
      </c>
      <c r="R125" s="301">
        <v>29</v>
      </c>
      <c r="S125" s="99" t="s">
        <v>111</v>
      </c>
      <c r="T125" s="81">
        <v>0</v>
      </c>
      <c r="U125" s="81">
        <v>0</v>
      </c>
      <c r="V125" s="25" t="e">
        <f t="shared" si="98"/>
        <v>#DIV/0!</v>
      </c>
      <c r="W125" s="81">
        <v>0</v>
      </c>
      <c r="X125" s="81"/>
      <c r="Y125" s="25" t="e">
        <f t="shared" si="1"/>
        <v>#DIV/0!</v>
      </c>
      <c r="Z125" s="81">
        <v>0</v>
      </c>
      <c r="AA125" s="81"/>
      <c r="AB125" s="25" t="e">
        <f t="shared" si="2"/>
        <v>#DIV/0!</v>
      </c>
      <c r="AC125" s="81">
        <v>29</v>
      </c>
      <c r="AD125" s="81"/>
      <c r="AE125" s="25">
        <f t="shared" si="3"/>
        <v>0</v>
      </c>
      <c r="AF125" s="140">
        <f t="shared" si="84"/>
        <v>29</v>
      </c>
      <c r="AG125" s="140">
        <f t="shared" si="85"/>
        <v>0</v>
      </c>
      <c r="AH125" s="138" t="e">
        <f t="shared" si="5"/>
        <v>#DIV/0!</v>
      </c>
      <c r="AI125" s="101">
        <v>46054</v>
      </c>
      <c r="AJ125" s="101">
        <v>46477</v>
      </c>
      <c r="AK125" s="102" t="s">
        <v>112</v>
      </c>
      <c r="AL125" s="102" t="s">
        <v>113</v>
      </c>
      <c r="AM125" s="103" t="s">
        <v>114</v>
      </c>
      <c r="AN125" s="104">
        <v>9239653</v>
      </c>
      <c r="AO125" s="104">
        <v>9239653</v>
      </c>
      <c r="AP125" s="104">
        <v>9239653</v>
      </c>
      <c r="AQ125" s="326">
        <v>0</v>
      </c>
      <c r="AR125" s="322"/>
      <c r="AS125" s="102" t="s">
        <v>112</v>
      </c>
      <c r="AT125" s="152" t="s">
        <v>449</v>
      </c>
      <c r="AU125" s="166" t="s">
        <v>2264</v>
      </c>
      <c r="AV125" s="247" t="s">
        <v>2234</v>
      </c>
      <c r="AW125" s="136" t="s">
        <v>2265</v>
      </c>
      <c r="AX125" s="136" t="s">
        <v>2345</v>
      </c>
      <c r="AY125" s="136" t="s">
        <v>2308</v>
      </c>
      <c r="BA125" s="272">
        <v>0</v>
      </c>
      <c r="BB125" s="273">
        <v>0</v>
      </c>
      <c r="BC125" s="209" t="e">
        <f t="shared" si="60"/>
        <v>#DIV/0!</v>
      </c>
      <c r="BD125" s="272">
        <v>0</v>
      </c>
      <c r="BE125" s="273">
        <v>0</v>
      </c>
      <c r="BF125" s="209" t="e">
        <f t="shared" si="61"/>
        <v>#DIV/0!</v>
      </c>
      <c r="BG125" s="272">
        <v>29</v>
      </c>
      <c r="BH125" s="273">
        <v>1</v>
      </c>
      <c r="BI125" s="209">
        <f t="shared" si="62"/>
        <v>3.4482758620689655E-2</v>
      </c>
      <c r="BJ125" s="210">
        <f t="shared" si="63"/>
        <v>29</v>
      </c>
      <c r="BK125" s="211">
        <f t="shared" si="64"/>
        <v>1</v>
      </c>
      <c r="BL125" s="209">
        <f t="shared" si="65"/>
        <v>3.4482758620689655E-2</v>
      </c>
      <c r="BM125" s="272">
        <v>29</v>
      </c>
      <c r="BN125" s="273">
        <v>1</v>
      </c>
      <c r="BO125" s="209">
        <f t="shared" si="86"/>
        <v>3.4482758620689655E-2</v>
      </c>
      <c r="BP125" s="272"/>
      <c r="BQ125" s="273"/>
      <c r="BR125" s="209" t="e">
        <f t="shared" si="87"/>
        <v>#DIV/0!</v>
      </c>
      <c r="BS125" s="272"/>
      <c r="BT125" s="272"/>
      <c r="BU125" s="209" t="e">
        <f t="shared" si="88"/>
        <v>#DIV/0!</v>
      </c>
      <c r="BV125" s="210">
        <f t="shared" si="66"/>
        <v>29</v>
      </c>
      <c r="BW125" s="210">
        <f t="shared" si="67"/>
        <v>1</v>
      </c>
      <c r="BX125" s="209">
        <f t="shared" si="68"/>
        <v>3.4482758620689655E-2</v>
      </c>
      <c r="BY125" s="209">
        <f t="shared" si="69"/>
        <v>6.8965517241379309E-2</v>
      </c>
      <c r="BZ125" s="209">
        <f t="shared" si="70"/>
        <v>-6.8965517241379309E-2</v>
      </c>
      <c r="CA125" s="212"/>
      <c r="CB125" s="245"/>
      <c r="CC125" s="183"/>
      <c r="CD125" s="184"/>
      <c r="CE125" s="185" t="e">
        <f t="shared" si="89"/>
        <v>#DIV/0!</v>
      </c>
      <c r="CF125" s="183"/>
      <c r="CG125" s="184"/>
      <c r="CH125" s="185" t="e">
        <f t="shared" si="90"/>
        <v>#DIV/0!</v>
      </c>
      <c r="CI125" s="189"/>
      <c r="CJ125" s="190"/>
      <c r="CK125" s="185" t="e">
        <f t="shared" si="91"/>
        <v>#DIV/0!</v>
      </c>
      <c r="CL125" s="187">
        <f t="shared" si="92"/>
        <v>0</v>
      </c>
      <c r="CM125" s="186">
        <f t="shared" si="93"/>
        <v>0</v>
      </c>
      <c r="CN125" s="185" t="e">
        <f t="shared" si="94"/>
        <v>#DIV/0!</v>
      </c>
      <c r="CO125" s="245"/>
      <c r="CP125" s="188">
        <f t="shared" si="95"/>
        <v>58</v>
      </c>
      <c r="CQ125" s="188">
        <f t="shared" si="96"/>
        <v>2</v>
      </c>
      <c r="CR125" s="191">
        <f t="shared" si="97"/>
        <v>3.4482758620689655E-2</v>
      </c>
      <c r="CS125" s="279">
        <f t="shared" si="71"/>
        <v>27</v>
      </c>
      <c r="CT125" s="245"/>
      <c r="CU125" s="188">
        <f t="shared" si="72"/>
        <v>8.1</v>
      </c>
      <c r="CV125" s="277"/>
      <c r="CW125" s="191">
        <f t="shared" si="73"/>
        <v>0</v>
      </c>
      <c r="CX125" s="188">
        <f t="shared" si="74"/>
        <v>8.1</v>
      </c>
      <c r="CY125" s="277"/>
      <c r="CZ125" s="191">
        <f t="shared" si="75"/>
        <v>0</v>
      </c>
      <c r="DA125" s="188">
        <f t="shared" si="76"/>
        <v>8.1</v>
      </c>
      <c r="DB125" s="277"/>
      <c r="DC125" s="191">
        <f t="shared" si="77"/>
        <v>0</v>
      </c>
      <c r="DD125" s="188">
        <f t="shared" si="78"/>
        <v>2.7</v>
      </c>
      <c r="DE125" s="277"/>
      <c r="DF125" s="191">
        <f t="shared" si="79"/>
        <v>0</v>
      </c>
      <c r="DG125" s="245"/>
      <c r="DH125" s="188">
        <f t="shared" si="80"/>
        <v>29</v>
      </c>
      <c r="DI125" s="188">
        <f t="shared" si="81"/>
        <v>2</v>
      </c>
      <c r="DJ125" s="191">
        <f t="shared" si="82"/>
        <v>6.8965517241379309E-2</v>
      </c>
      <c r="DK125" s="286">
        <f t="shared" si="83"/>
        <v>27</v>
      </c>
      <c r="DL125" s="261">
        <v>121</v>
      </c>
      <c r="DM125" s="244">
        <f>+A125-DL125</f>
        <v>0</v>
      </c>
    </row>
    <row r="126" spans="1:117" x14ac:dyDescent="0.35">
      <c r="A126" s="263">
        <v>122</v>
      </c>
      <c r="B126" s="102" t="s">
        <v>270</v>
      </c>
      <c r="C126" s="102" t="s">
        <v>97</v>
      </c>
      <c r="D126" s="102" t="s">
        <v>98</v>
      </c>
      <c r="E126" s="102" t="s">
        <v>99</v>
      </c>
      <c r="F126" s="102" t="s">
        <v>422</v>
      </c>
      <c r="G126" s="98" t="s">
        <v>429</v>
      </c>
      <c r="H126" s="98" t="s">
        <v>430</v>
      </c>
      <c r="I126" s="98" t="s">
        <v>474</v>
      </c>
      <c r="J126" s="98" t="s">
        <v>474</v>
      </c>
      <c r="K126" s="96" t="s">
        <v>183</v>
      </c>
      <c r="L126" s="96" t="s">
        <v>424</v>
      </c>
      <c r="M126" s="98" t="s">
        <v>106</v>
      </c>
      <c r="N126" s="98" t="s">
        <v>107</v>
      </c>
      <c r="O126" s="98" t="s">
        <v>108</v>
      </c>
      <c r="P126" s="98" t="s">
        <v>476</v>
      </c>
      <c r="Q126" s="98" t="s">
        <v>110</v>
      </c>
      <c r="R126" s="301">
        <v>29</v>
      </c>
      <c r="S126" s="99" t="s">
        <v>111</v>
      </c>
      <c r="T126" s="81">
        <v>0</v>
      </c>
      <c r="U126" s="81">
        <v>0</v>
      </c>
      <c r="V126" s="25" t="e">
        <f t="shared" si="98"/>
        <v>#DIV/0!</v>
      </c>
      <c r="W126" s="81">
        <v>0</v>
      </c>
      <c r="X126" s="81"/>
      <c r="Y126" s="25" t="e">
        <f t="shared" si="1"/>
        <v>#DIV/0!</v>
      </c>
      <c r="Z126" s="81">
        <v>0</v>
      </c>
      <c r="AA126" s="81"/>
      <c r="AB126" s="25" t="e">
        <f t="shared" si="2"/>
        <v>#DIV/0!</v>
      </c>
      <c r="AC126" s="81">
        <v>29</v>
      </c>
      <c r="AD126" s="81"/>
      <c r="AE126" s="25">
        <f t="shared" si="3"/>
        <v>0</v>
      </c>
      <c r="AF126" s="140">
        <f t="shared" si="84"/>
        <v>29</v>
      </c>
      <c r="AG126" s="140">
        <f t="shared" si="85"/>
        <v>0</v>
      </c>
      <c r="AH126" s="138" t="e">
        <f t="shared" si="5"/>
        <v>#DIV/0!</v>
      </c>
      <c r="AI126" s="101">
        <v>46113</v>
      </c>
      <c r="AJ126" s="101">
        <v>46477</v>
      </c>
      <c r="AK126" s="102" t="s">
        <v>112</v>
      </c>
      <c r="AL126" s="102" t="s">
        <v>113</v>
      </c>
      <c r="AM126" s="103" t="s">
        <v>114</v>
      </c>
      <c r="AN126" s="104">
        <v>92000000</v>
      </c>
      <c r="AO126" s="104">
        <v>92000000</v>
      </c>
      <c r="AP126" s="104">
        <v>92000000</v>
      </c>
      <c r="AQ126" s="326">
        <v>0</v>
      </c>
      <c r="AR126" s="102" t="s">
        <v>159</v>
      </c>
      <c r="AS126" s="102" t="s">
        <v>112</v>
      </c>
      <c r="AT126" s="152" t="s">
        <v>449</v>
      </c>
      <c r="AU126" s="166" t="s">
        <v>2264</v>
      </c>
      <c r="AV126" s="247" t="s">
        <v>2234</v>
      </c>
      <c r="AW126" s="136" t="s">
        <v>2265</v>
      </c>
      <c r="AX126" s="136" t="s">
        <v>2345</v>
      </c>
      <c r="AY126" s="136" t="s">
        <v>2308</v>
      </c>
      <c r="BA126" s="272">
        <v>0</v>
      </c>
      <c r="BB126" s="273">
        <v>0</v>
      </c>
      <c r="BC126" s="209" t="e">
        <f t="shared" si="60"/>
        <v>#DIV/0!</v>
      </c>
      <c r="BD126" s="272">
        <v>0</v>
      </c>
      <c r="BE126" s="273">
        <v>0</v>
      </c>
      <c r="BF126" s="209" t="e">
        <f t="shared" si="61"/>
        <v>#DIV/0!</v>
      </c>
      <c r="BG126" s="272">
        <v>29</v>
      </c>
      <c r="BH126" s="273">
        <v>1</v>
      </c>
      <c r="BI126" s="209">
        <f t="shared" si="62"/>
        <v>3.4482758620689655E-2</v>
      </c>
      <c r="BJ126" s="210">
        <f t="shared" si="63"/>
        <v>29</v>
      </c>
      <c r="BK126" s="211">
        <f t="shared" si="64"/>
        <v>1</v>
      </c>
      <c r="BL126" s="209">
        <f t="shared" si="65"/>
        <v>3.4482758620689655E-2</v>
      </c>
      <c r="BM126" s="272">
        <v>29</v>
      </c>
      <c r="BN126" s="273">
        <v>1</v>
      </c>
      <c r="BO126" s="209">
        <f t="shared" si="86"/>
        <v>3.4482758620689655E-2</v>
      </c>
      <c r="BP126" s="272"/>
      <c r="BQ126" s="273"/>
      <c r="BR126" s="209" t="e">
        <f t="shared" si="87"/>
        <v>#DIV/0!</v>
      </c>
      <c r="BS126" s="272"/>
      <c r="BT126" s="272"/>
      <c r="BU126" s="209" t="e">
        <f t="shared" si="88"/>
        <v>#DIV/0!</v>
      </c>
      <c r="BV126" s="210">
        <f t="shared" si="66"/>
        <v>29</v>
      </c>
      <c r="BW126" s="210">
        <f t="shared" si="67"/>
        <v>1</v>
      </c>
      <c r="BX126" s="209">
        <f t="shared" si="68"/>
        <v>3.4482758620689655E-2</v>
      </c>
      <c r="BY126" s="209">
        <f t="shared" si="69"/>
        <v>6.8965517241379309E-2</v>
      </c>
      <c r="BZ126" s="209">
        <f t="shared" si="70"/>
        <v>-6.8965517241379309E-2</v>
      </c>
      <c r="CA126" s="212"/>
      <c r="CB126" s="245"/>
      <c r="CC126" s="183"/>
      <c r="CD126" s="184"/>
      <c r="CE126" s="185" t="e">
        <f t="shared" si="89"/>
        <v>#DIV/0!</v>
      </c>
      <c r="CF126" s="183"/>
      <c r="CG126" s="184"/>
      <c r="CH126" s="185" t="e">
        <f t="shared" si="90"/>
        <v>#DIV/0!</v>
      </c>
      <c r="CI126" s="189"/>
      <c r="CJ126" s="190"/>
      <c r="CK126" s="185" t="e">
        <f t="shared" si="91"/>
        <v>#DIV/0!</v>
      </c>
      <c r="CL126" s="187">
        <f t="shared" si="92"/>
        <v>0</v>
      </c>
      <c r="CM126" s="186">
        <f t="shared" si="93"/>
        <v>0</v>
      </c>
      <c r="CN126" s="185" t="e">
        <f t="shared" si="94"/>
        <v>#DIV/0!</v>
      </c>
      <c r="CO126" s="245"/>
      <c r="CP126" s="188">
        <f t="shared" si="95"/>
        <v>58</v>
      </c>
      <c r="CQ126" s="188">
        <f t="shared" si="96"/>
        <v>2</v>
      </c>
      <c r="CR126" s="191">
        <f t="shared" si="97"/>
        <v>3.4482758620689655E-2</v>
      </c>
      <c r="CS126" s="279">
        <f t="shared" si="71"/>
        <v>27</v>
      </c>
      <c r="CT126" s="245"/>
      <c r="CU126" s="188">
        <f t="shared" si="72"/>
        <v>8.1</v>
      </c>
      <c r="CV126" s="277"/>
      <c r="CW126" s="191">
        <f t="shared" si="73"/>
        <v>0</v>
      </c>
      <c r="CX126" s="188">
        <f t="shared" si="74"/>
        <v>8.1</v>
      </c>
      <c r="CY126" s="277"/>
      <c r="CZ126" s="191">
        <f t="shared" si="75"/>
        <v>0</v>
      </c>
      <c r="DA126" s="188">
        <f t="shared" si="76"/>
        <v>8.1</v>
      </c>
      <c r="DB126" s="277"/>
      <c r="DC126" s="191">
        <f t="shared" si="77"/>
        <v>0</v>
      </c>
      <c r="DD126" s="188">
        <f t="shared" si="78"/>
        <v>2.7</v>
      </c>
      <c r="DE126" s="277"/>
      <c r="DF126" s="191">
        <f t="shared" si="79"/>
        <v>0</v>
      </c>
      <c r="DG126" s="245"/>
      <c r="DH126" s="188">
        <f t="shared" si="80"/>
        <v>29</v>
      </c>
      <c r="DI126" s="188">
        <f t="shared" si="81"/>
        <v>2</v>
      </c>
      <c r="DJ126" s="191">
        <f t="shared" si="82"/>
        <v>6.8965517241379309E-2</v>
      </c>
      <c r="DK126" s="286">
        <f t="shared" si="83"/>
        <v>27</v>
      </c>
      <c r="DL126" s="261">
        <v>122</v>
      </c>
      <c r="DM126" s="244">
        <f>+A126-DL126</f>
        <v>0</v>
      </c>
    </row>
    <row r="127" spans="1:117" x14ac:dyDescent="0.35">
      <c r="A127" s="263">
        <v>123</v>
      </c>
      <c r="B127" s="102" t="s">
        <v>270</v>
      </c>
      <c r="C127" s="102" t="s">
        <v>133</v>
      </c>
      <c r="D127" s="102" t="s">
        <v>119</v>
      </c>
      <c r="E127" s="102" t="s">
        <v>120</v>
      </c>
      <c r="F127" s="102" t="s">
        <v>428</v>
      </c>
      <c r="G127" s="98" t="s">
        <v>429</v>
      </c>
      <c r="H127" s="98" t="s">
        <v>430</v>
      </c>
      <c r="I127" s="98" t="s">
        <v>474</v>
      </c>
      <c r="J127" s="98" t="s">
        <v>474</v>
      </c>
      <c r="K127" s="96" t="s">
        <v>183</v>
      </c>
      <c r="L127" s="96" t="s">
        <v>431</v>
      </c>
      <c r="M127" s="98" t="s">
        <v>106</v>
      </c>
      <c r="N127" s="98" t="s">
        <v>429</v>
      </c>
      <c r="O127" s="98" t="s">
        <v>127</v>
      </c>
      <c r="P127" s="258" t="s">
        <v>477</v>
      </c>
      <c r="Q127" s="98" t="s">
        <v>129</v>
      </c>
      <c r="R127" s="301">
        <v>1</v>
      </c>
      <c r="S127" s="99" t="s">
        <v>111</v>
      </c>
      <c r="T127" s="81">
        <v>0</v>
      </c>
      <c r="U127" s="81">
        <v>0</v>
      </c>
      <c r="V127" s="25" t="e">
        <f t="shared" si="98"/>
        <v>#DIV/0!</v>
      </c>
      <c r="W127" s="81">
        <v>0</v>
      </c>
      <c r="X127" s="81"/>
      <c r="Y127" s="25" t="e">
        <f t="shared" si="1"/>
        <v>#DIV/0!</v>
      </c>
      <c r="Z127" s="81">
        <v>0</v>
      </c>
      <c r="AA127" s="81"/>
      <c r="AB127" s="25" t="e">
        <f t="shared" si="2"/>
        <v>#DIV/0!</v>
      </c>
      <c r="AC127" s="81">
        <v>1</v>
      </c>
      <c r="AD127" s="81"/>
      <c r="AE127" s="25">
        <f t="shared" si="3"/>
        <v>0</v>
      </c>
      <c r="AF127" s="140">
        <f t="shared" si="84"/>
        <v>1</v>
      </c>
      <c r="AG127" s="140">
        <f t="shared" si="85"/>
        <v>0</v>
      </c>
      <c r="AH127" s="138" t="e">
        <f t="shared" si="5"/>
        <v>#DIV/0!</v>
      </c>
      <c r="AI127" s="101">
        <v>46113</v>
      </c>
      <c r="AJ127" s="101">
        <v>46477</v>
      </c>
      <c r="AK127" s="102" t="s">
        <v>112</v>
      </c>
      <c r="AL127" s="102" t="s">
        <v>113</v>
      </c>
      <c r="AM127" s="103" t="s">
        <v>114</v>
      </c>
      <c r="AN127" s="104">
        <v>9239653</v>
      </c>
      <c r="AO127" s="104">
        <v>9239653</v>
      </c>
      <c r="AP127" s="104">
        <v>9239653</v>
      </c>
      <c r="AQ127" s="326">
        <v>0</v>
      </c>
      <c r="AR127" s="102" t="s">
        <v>461</v>
      </c>
      <c r="AS127" s="102" t="s">
        <v>112</v>
      </c>
      <c r="AT127" s="152" t="s">
        <v>449</v>
      </c>
      <c r="AU127" s="166" t="s">
        <v>2264</v>
      </c>
      <c r="AV127" s="247" t="s">
        <v>2234</v>
      </c>
      <c r="AW127" s="136" t="s">
        <v>2265</v>
      </c>
      <c r="AX127" s="136" t="s">
        <v>2345</v>
      </c>
      <c r="AY127" s="136" t="s">
        <v>2308</v>
      </c>
      <c r="BA127" s="272"/>
      <c r="BB127" s="273"/>
      <c r="BC127" s="209" t="e">
        <f t="shared" si="60"/>
        <v>#DIV/0!</v>
      </c>
      <c r="BD127" s="272"/>
      <c r="BE127" s="273"/>
      <c r="BF127" s="209" t="e">
        <f t="shared" si="61"/>
        <v>#DIV/0!</v>
      </c>
      <c r="BG127" s="272"/>
      <c r="BH127" s="273"/>
      <c r="BI127" s="209" t="e">
        <f t="shared" si="62"/>
        <v>#DIV/0!</v>
      </c>
      <c r="BJ127" s="210">
        <f t="shared" si="63"/>
        <v>0</v>
      </c>
      <c r="BK127" s="211">
        <f t="shared" si="64"/>
        <v>0</v>
      </c>
      <c r="BL127" s="209" t="e">
        <f t="shared" si="65"/>
        <v>#DIV/0!</v>
      </c>
      <c r="BM127" s="272"/>
      <c r="BN127" s="273"/>
      <c r="BO127" s="209" t="e">
        <f t="shared" si="86"/>
        <v>#DIV/0!</v>
      </c>
      <c r="BP127" s="272"/>
      <c r="BQ127" s="273"/>
      <c r="BR127" s="209" t="e">
        <f t="shared" si="87"/>
        <v>#DIV/0!</v>
      </c>
      <c r="BS127" s="272"/>
      <c r="BT127" s="272"/>
      <c r="BU127" s="209" t="e">
        <f t="shared" si="88"/>
        <v>#DIV/0!</v>
      </c>
      <c r="BV127" s="210">
        <f t="shared" si="66"/>
        <v>0</v>
      </c>
      <c r="BW127" s="210">
        <f t="shared" si="67"/>
        <v>0</v>
      </c>
      <c r="BX127" s="209" t="e">
        <f t="shared" si="68"/>
        <v>#DIV/0!</v>
      </c>
      <c r="BY127" s="209">
        <f t="shared" si="69"/>
        <v>0</v>
      </c>
      <c r="BZ127" s="209">
        <f t="shared" si="70"/>
        <v>0</v>
      </c>
      <c r="CA127" s="212"/>
      <c r="CB127" s="245"/>
      <c r="CC127" s="183"/>
      <c r="CD127" s="184"/>
      <c r="CE127" s="185" t="e">
        <f t="shared" si="89"/>
        <v>#DIV/0!</v>
      </c>
      <c r="CF127" s="183"/>
      <c r="CG127" s="184"/>
      <c r="CH127" s="185" t="e">
        <f t="shared" si="90"/>
        <v>#DIV/0!</v>
      </c>
      <c r="CI127" s="189"/>
      <c r="CJ127" s="190"/>
      <c r="CK127" s="185" t="e">
        <f t="shared" si="91"/>
        <v>#DIV/0!</v>
      </c>
      <c r="CL127" s="187">
        <f t="shared" si="92"/>
        <v>0</v>
      </c>
      <c r="CM127" s="186">
        <f t="shared" si="93"/>
        <v>0</v>
      </c>
      <c r="CN127" s="185" t="e">
        <f t="shared" si="94"/>
        <v>#DIV/0!</v>
      </c>
      <c r="CO127" s="245"/>
      <c r="CP127" s="188">
        <f t="shared" si="95"/>
        <v>0</v>
      </c>
      <c r="CQ127" s="188">
        <f t="shared" si="96"/>
        <v>0</v>
      </c>
      <c r="CR127" s="191" t="e">
        <f t="shared" si="97"/>
        <v>#DIV/0!</v>
      </c>
      <c r="CS127" s="279">
        <f t="shared" si="71"/>
        <v>1</v>
      </c>
      <c r="CT127" s="245"/>
      <c r="CU127" s="188">
        <f t="shared" si="72"/>
        <v>0.3</v>
      </c>
      <c r="CV127" s="277"/>
      <c r="CW127" s="191">
        <f t="shared" si="73"/>
        <v>0</v>
      </c>
      <c r="CX127" s="188">
        <f t="shared" si="74"/>
        <v>0.3</v>
      </c>
      <c r="CY127" s="277"/>
      <c r="CZ127" s="191">
        <f t="shared" si="75"/>
        <v>0</v>
      </c>
      <c r="DA127" s="188">
        <f t="shared" si="76"/>
        <v>0.3</v>
      </c>
      <c r="DB127" s="277"/>
      <c r="DC127" s="191">
        <f t="shared" si="77"/>
        <v>0</v>
      </c>
      <c r="DD127" s="188">
        <f t="shared" si="78"/>
        <v>0.1</v>
      </c>
      <c r="DE127" s="277"/>
      <c r="DF127" s="191">
        <f t="shared" si="79"/>
        <v>0</v>
      </c>
      <c r="DG127" s="245"/>
      <c r="DH127" s="188">
        <f t="shared" si="80"/>
        <v>1</v>
      </c>
      <c r="DI127" s="188">
        <f t="shared" si="81"/>
        <v>0</v>
      </c>
      <c r="DJ127" s="191">
        <f t="shared" si="82"/>
        <v>0</v>
      </c>
      <c r="DK127" s="286">
        <f t="shared" si="83"/>
        <v>1</v>
      </c>
      <c r="DL127" s="261">
        <v>123</v>
      </c>
      <c r="DM127" s="244">
        <f>+A127-DL127</f>
        <v>0</v>
      </c>
    </row>
    <row r="128" spans="1:117" x14ac:dyDescent="0.35">
      <c r="A128" s="263">
        <v>124</v>
      </c>
      <c r="B128" s="102" t="s">
        <v>270</v>
      </c>
      <c r="C128" s="102" t="s">
        <v>133</v>
      </c>
      <c r="D128" s="102" t="s">
        <v>119</v>
      </c>
      <c r="E128" s="102" t="s">
        <v>120</v>
      </c>
      <c r="F128" s="102" t="s">
        <v>428</v>
      </c>
      <c r="G128" s="98" t="s">
        <v>429</v>
      </c>
      <c r="H128" s="98" t="s">
        <v>430</v>
      </c>
      <c r="I128" s="98" t="s">
        <v>474</v>
      </c>
      <c r="J128" s="98" t="s">
        <v>474</v>
      </c>
      <c r="K128" s="96" t="s">
        <v>183</v>
      </c>
      <c r="L128" s="96" t="s">
        <v>431</v>
      </c>
      <c r="M128" s="98" t="s">
        <v>106</v>
      </c>
      <c r="N128" s="98" t="s">
        <v>429</v>
      </c>
      <c r="O128" s="98" t="s">
        <v>127</v>
      </c>
      <c r="P128" s="258" t="s">
        <v>477</v>
      </c>
      <c r="Q128" s="98" t="s">
        <v>129</v>
      </c>
      <c r="R128" s="301">
        <v>1</v>
      </c>
      <c r="S128" s="99" t="s">
        <v>111</v>
      </c>
      <c r="T128" s="81">
        <v>0</v>
      </c>
      <c r="U128" s="81">
        <v>0</v>
      </c>
      <c r="V128" s="25" t="e">
        <f t="shared" si="98"/>
        <v>#DIV/0!</v>
      </c>
      <c r="W128" s="81">
        <v>0</v>
      </c>
      <c r="X128" s="81"/>
      <c r="Y128" s="25" t="e">
        <f t="shared" si="1"/>
        <v>#DIV/0!</v>
      </c>
      <c r="Z128" s="81">
        <v>0</v>
      </c>
      <c r="AA128" s="81"/>
      <c r="AB128" s="25" t="e">
        <f t="shared" si="2"/>
        <v>#DIV/0!</v>
      </c>
      <c r="AC128" s="81">
        <v>1</v>
      </c>
      <c r="AD128" s="81"/>
      <c r="AE128" s="25">
        <f t="shared" si="3"/>
        <v>0</v>
      </c>
      <c r="AF128" s="140">
        <f t="shared" si="84"/>
        <v>1</v>
      </c>
      <c r="AG128" s="140">
        <f t="shared" si="85"/>
        <v>0</v>
      </c>
      <c r="AH128" s="138" t="e">
        <f t="shared" si="5"/>
        <v>#DIV/0!</v>
      </c>
      <c r="AI128" s="101">
        <v>46113</v>
      </c>
      <c r="AJ128" s="101">
        <v>46477</v>
      </c>
      <c r="AK128" s="102" t="s">
        <v>112</v>
      </c>
      <c r="AL128" s="102" t="s">
        <v>113</v>
      </c>
      <c r="AM128" s="103" t="s">
        <v>114</v>
      </c>
      <c r="AN128" s="104">
        <v>15000000</v>
      </c>
      <c r="AO128" s="104">
        <v>15000000</v>
      </c>
      <c r="AP128" s="104">
        <v>15000000</v>
      </c>
      <c r="AQ128" s="326">
        <v>0</v>
      </c>
      <c r="AR128" s="102" t="s">
        <v>115</v>
      </c>
      <c r="AS128" s="102" t="s">
        <v>112</v>
      </c>
      <c r="AT128" s="152" t="s">
        <v>478</v>
      </c>
      <c r="AU128" s="166" t="s">
        <v>2264</v>
      </c>
      <c r="AV128" s="247" t="s">
        <v>2234</v>
      </c>
      <c r="AW128" s="136" t="s">
        <v>2260</v>
      </c>
      <c r="AX128" s="136" t="s">
        <v>2385</v>
      </c>
      <c r="AY128" s="136" t="s">
        <v>2308</v>
      </c>
      <c r="BA128" s="272"/>
      <c r="BB128" s="273"/>
      <c r="BC128" s="209" t="e">
        <f t="shared" si="60"/>
        <v>#DIV/0!</v>
      </c>
      <c r="BD128" s="272"/>
      <c r="BE128" s="273"/>
      <c r="BF128" s="209" t="e">
        <f t="shared" si="61"/>
        <v>#DIV/0!</v>
      </c>
      <c r="BG128" s="272"/>
      <c r="BH128" s="273"/>
      <c r="BI128" s="209" t="e">
        <f t="shared" si="62"/>
        <v>#DIV/0!</v>
      </c>
      <c r="BJ128" s="210">
        <f t="shared" si="63"/>
        <v>0</v>
      </c>
      <c r="BK128" s="211">
        <f t="shared" si="64"/>
        <v>0</v>
      </c>
      <c r="BL128" s="209" t="e">
        <f t="shared" si="65"/>
        <v>#DIV/0!</v>
      </c>
      <c r="BM128" s="272"/>
      <c r="BN128" s="273"/>
      <c r="BO128" s="209" t="e">
        <f t="shared" si="86"/>
        <v>#DIV/0!</v>
      </c>
      <c r="BP128" s="272"/>
      <c r="BQ128" s="273"/>
      <c r="BR128" s="209" t="e">
        <f t="shared" si="87"/>
        <v>#DIV/0!</v>
      </c>
      <c r="BS128" s="272"/>
      <c r="BT128" s="272"/>
      <c r="BU128" s="209" t="e">
        <f t="shared" si="88"/>
        <v>#DIV/0!</v>
      </c>
      <c r="BV128" s="210">
        <f t="shared" si="66"/>
        <v>0</v>
      </c>
      <c r="BW128" s="210">
        <f t="shared" si="67"/>
        <v>0</v>
      </c>
      <c r="BX128" s="209" t="e">
        <f t="shared" si="68"/>
        <v>#DIV/0!</v>
      </c>
      <c r="BY128" s="209">
        <f t="shared" si="69"/>
        <v>0</v>
      </c>
      <c r="BZ128" s="209">
        <f t="shared" si="70"/>
        <v>0</v>
      </c>
      <c r="CA128" s="212"/>
      <c r="CB128" s="245"/>
      <c r="CC128" s="183"/>
      <c r="CD128" s="184"/>
      <c r="CE128" s="185" t="e">
        <f t="shared" si="89"/>
        <v>#DIV/0!</v>
      </c>
      <c r="CF128" s="183"/>
      <c r="CG128" s="184"/>
      <c r="CH128" s="185" t="e">
        <f t="shared" si="90"/>
        <v>#DIV/0!</v>
      </c>
      <c r="CI128" s="189"/>
      <c r="CJ128" s="190"/>
      <c r="CK128" s="185" t="e">
        <f t="shared" si="91"/>
        <v>#DIV/0!</v>
      </c>
      <c r="CL128" s="187">
        <f t="shared" si="92"/>
        <v>0</v>
      </c>
      <c r="CM128" s="186">
        <f t="shared" si="93"/>
        <v>0</v>
      </c>
      <c r="CN128" s="185" t="e">
        <f t="shared" si="94"/>
        <v>#DIV/0!</v>
      </c>
      <c r="CO128" s="245"/>
      <c r="CP128" s="188">
        <f t="shared" si="95"/>
        <v>0</v>
      </c>
      <c r="CQ128" s="188">
        <f t="shared" si="96"/>
        <v>0</v>
      </c>
      <c r="CR128" s="191" t="e">
        <f t="shared" si="97"/>
        <v>#DIV/0!</v>
      </c>
      <c r="CS128" s="279">
        <f t="shared" si="71"/>
        <v>1</v>
      </c>
      <c r="CT128" s="245"/>
      <c r="CU128" s="188">
        <f t="shared" si="72"/>
        <v>0.3</v>
      </c>
      <c r="CV128" s="277"/>
      <c r="CW128" s="191">
        <f t="shared" si="73"/>
        <v>0</v>
      </c>
      <c r="CX128" s="188">
        <f t="shared" si="74"/>
        <v>0.3</v>
      </c>
      <c r="CY128" s="277"/>
      <c r="CZ128" s="191">
        <f t="shared" si="75"/>
        <v>0</v>
      </c>
      <c r="DA128" s="188">
        <f t="shared" si="76"/>
        <v>0.3</v>
      </c>
      <c r="DB128" s="277"/>
      <c r="DC128" s="191">
        <f t="shared" si="77"/>
        <v>0</v>
      </c>
      <c r="DD128" s="188">
        <f t="shared" si="78"/>
        <v>0.1</v>
      </c>
      <c r="DE128" s="277"/>
      <c r="DF128" s="191">
        <f t="shared" si="79"/>
        <v>0</v>
      </c>
      <c r="DG128" s="245"/>
      <c r="DH128" s="188">
        <f t="shared" si="80"/>
        <v>1</v>
      </c>
      <c r="DI128" s="188">
        <f t="shared" si="81"/>
        <v>0</v>
      </c>
      <c r="DJ128" s="191">
        <f t="shared" si="82"/>
        <v>0</v>
      </c>
      <c r="DK128" s="286">
        <f t="shared" si="83"/>
        <v>1</v>
      </c>
      <c r="DL128" s="261">
        <v>124</v>
      </c>
      <c r="DM128" s="244">
        <f>+A128-DL128</f>
        <v>0</v>
      </c>
    </row>
    <row r="129" spans="1:117" x14ac:dyDescent="0.35">
      <c r="A129" s="263">
        <v>125</v>
      </c>
      <c r="B129" s="102" t="s">
        <v>270</v>
      </c>
      <c r="C129" s="102" t="s">
        <v>436</v>
      </c>
      <c r="D129" s="102" t="s">
        <v>437</v>
      </c>
      <c r="E129" s="102" t="s">
        <v>120</v>
      </c>
      <c r="F129" s="102" t="s">
        <v>479</v>
      </c>
      <c r="G129" s="98" t="s">
        <v>480</v>
      </c>
      <c r="H129" s="98" t="s">
        <v>481</v>
      </c>
      <c r="I129" s="98" t="s">
        <v>474</v>
      </c>
      <c r="J129" s="98" t="s">
        <v>474</v>
      </c>
      <c r="K129" s="96" t="s">
        <v>104</v>
      </c>
      <c r="L129" s="96" t="s">
        <v>105</v>
      </c>
      <c r="M129" s="98" t="s">
        <v>106</v>
      </c>
      <c r="N129" s="98" t="s">
        <v>482</v>
      </c>
      <c r="O129" s="98" t="s">
        <v>127</v>
      </c>
      <c r="P129" s="98" t="s">
        <v>483</v>
      </c>
      <c r="Q129" s="98" t="s">
        <v>129</v>
      </c>
      <c r="R129" s="301">
        <v>100</v>
      </c>
      <c r="S129" s="99" t="s">
        <v>158</v>
      </c>
      <c r="T129" s="81">
        <v>25</v>
      </c>
      <c r="U129" s="81">
        <v>0</v>
      </c>
      <c r="V129" s="25">
        <f t="shared" si="98"/>
        <v>0</v>
      </c>
      <c r="W129" s="81">
        <v>25</v>
      </c>
      <c r="X129" s="81">
        <v>0</v>
      </c>
      <c r="Y129" s="25">
        <f t="shared" si="1"/>
        <v>0</v>
      </c>
      <c r="Z129" s="81">
        <v>25</v>
      </c>
      <c r="AA129" s="81"/>
      <c r="AB129" s="25">
        <f t="shared" si="2"/>
        <v>0</v>
      </c>
      <c r="AC129" s="81">
        <v>25</v>
      </c>
      <c r="AD129" s="81"/>
      <c r="AE129" s="25">
        <f t="shared" si="3"/>
        <v>0</v>
      </c>
      <c r="AF129" s="140">
        <f t="shared" si="84"/>
        <v>100</v>
      </c>
      <c r="AG129" s="140">
        <f t="shared" si="85"/>
        <v>0</v>
      </c>
      <c r="AH129" s="138">
        <f t="shared" si="5"/>
        <v>0</v>
      </c>
      <c r="AI129" s="101">
        <v>46113</v>
      </c>
      <c r="AJ129" s="101">
        <v>46477</v>
      </c>
      <c r="AK129" s="102" t="s">
        <v>112</v>
      </c>
      <c r="AL129" s="102" t="s">
        <v>113</v>
      </c>
      <c r="AM129" s="103" t="s">
        <v>114</v>
      </c>
      <c r="AN129" s="104">
        <v>58261013</v>
      </c>
      <c r="AO129" s="104">
        <v>58261013</v>
      </c>
      <c r="AP129" s="104">
        <v>58261013</v>
      </c>
      <c r="AQ129" s="326">
        <v>0</v>
      </c>
      <c r="AR129" s="102" t="s">
        <v>115</v>
      </c>
      <c r="AS129" s="102" t="s">
        <v>112</v>
      </c>
      <c r="AT129" s="152" t="s">
        <v>478</v>
      </c>
      <c r="AU129" s="166" t="s">
        <v>2264</v>
      </c>
      <c r="AV129" s="247" t="s">
        <v>2234</v>
      </c>
      <c r="AW129" s="136" t="s">
        <v>2260</v>
      </c>
      <c r="AX129" s="136" t="s">
        <v>2385</v>
      </c>
      <c r="AY129" s="136" t="s">
        <v>2308</v>
      </c>
      <c r="BA129" s="272">
        <v>0</v>
      </c>
      <c r="BB129" s="273">
        <v>0</v>
      </c>
      <c r="BC129" s="209" t="e">
        <f t="shared" si="60"/>
        <v>#DIV/0!</v>
      </c>
      <c r="BD129" s="272">
        <v>0</v>
      </c>
      <c r="BE129" s="273">
        <v>0</v>
      </c>
      <c r="BF129" s="209" t="e">
        <f t="shared" si="61"/>
        <v>#DIV/0!</v>
      </c>
      <c r="BG129" s="272">
        <v>0</v>
      </c>
      <c r="BH129" s="273">
        <v>0</v>
      </c>
      <c r="BI129" s="209" t="e">
        <f t="shared" si="62"/>
        <v>#DIV/0!</v>
      </c>
      <c r="BJ129" s="210">
        <f t="shared" si="63"/>
        <v>0</v>
      </c>
      <c r="BK129" s="211">
        <f t="shared" si="64"/>
        <v>0</v>
      </c>
      <c r="BL129" s="209" t="e">
        <f t="shared" si="65"/>
        <v>#DIV/0!</v>
      </c>
      <c r="BM129" s="272">
        <v>2</v>
      </c>
      <c r="BN129" s="273">
        <v>2</v>
      </c>
      <c r="BO129" s="209">
        <f t="shared" si="86"/>
        <v>1</v>
      </c>
      <c r="BP129" s="272">
        <v>4</v>
      </c>
      <c r="BQ129" s="273">
        <v>4</v>
      </c>
      <c r="BR129" s="209">
        <f t="shared" si="87"/>
        <v>1</v>
      </c>
      <c r="BS129" s="272">
        <v>4</v>
      </c>
      <c r="BT129" s="272">
        <v>4</v>
      </c>
      <c r="BU129" s="209">
        <f t="shared" si="88"/>
        <v>1</v>
      </c>
      <c r="BV129" s="210">
        <f t="shared" si="66"/>
        <v>10</v>
      </c>
      <c r="BW129" s="210">
        <f t="shared" si="67"/>
        <v>10</v>
      </c>
      <c r="BX129" s="209">
        <f t="shared" si="68"/>
        <v>1</v>
      </c>
      <c r="BY129" s="209">
        <f t="shared" si="69"/>
        <v>0.1</v>
      </c>
      <c r="BZ129" s="209">
        <f t="shared" si="70"/>
        <v>-0.1</v>
      </c>
      <c r="CA129" s="212"/>
      <c r="CB129" s="245"/>
      <c r="CC129" s="183"/>
      <c r="CD129" s="184"/>
      <c r="CE129" s="185" t="e">
        <f t="shared" si="89"/>
        <v>#DIV/0!</v>
      </c>
      <c r="CF129" s="183"/>
      <c r="CG129" s="184"/>
      <c r="CH129" s="185" t="e">
        <f t="shared" si="90"/>
        <v>#DIV/0!</v>
      </c>
      <c r="CI129" s="189"/>
      <c r="CJ129" s="190"/>
      <c r="CK129" s="185" t="e">
        <f t="shared" si="91"/>
        <v>#DIV/0!</v>
      </c>
      <c r="CL129" s="187">
        <f t="shared" si="92"/>
        <v>0</v>
      </c>
      <c r="CM129" s="186">
        <f t="shared" si="93"/>
        <v>0</v>
      </c>
      <c r="CN129" s="185" t="e">
        <f t="shared" si="94"/>
        <v>#DIV/0!</v>
      </c>
      <c r="CO129" s="245"/>
      <c r="CP129" s="188">
        <f t="shared" si="95"/>
        <v>10</v>
      </c>
      <c r="CQ129" s="188">
        <f t="shared" si="96"/>
        <v>10</v>
      </c>
      <c r="CR129" s="191">
        <f t="shared" si="97"/>
        <v>1</v>
      </c>
      <c r="CS129" s="279">
        <f t="shared" si="71"/>
        <v>90</v>
      </c>
      <c r="CT129" s="245"/>
      <c r="CU129" s="188">
        <f t="shared" si="72"/>
        <v>27</v>
      </c>
      <c r="CV129" s="277"/>
      <c r="CW129" s="191">
        <f t="shared" si="73"/>
        <v>0</v>
      </c>
      <c r="CX129" s="188">
        <f t="shared" si="74"/>
        <v>27</v>
      </c>
      <c r="CY129" s="277"/>
      <c r="CZ129" s="191">
        <f t="shared" si="75"/>
        <v>0</v>
      </c>
      <c r="DA129" s="188">
        <f t="shared" si="76"/>
        <v>27</v>
      </c>
      <c r="DB129" s="277"/>
      <c r="DC129" s="191">
        <f t="shared" si="77"/>
        <v>0</v>
      </c>
      <c r="DD129" s="188">
        <f t="shared" si="78"/>
        <v>9</v>
      </c>
      <c r="DE129" s="277"/>
      <c r="DF129" s="191">
        <f t="shared" si="79"/>
        <v>0</v>
      </c>
      <c r="DG129" s="245"/>
      <c r="DH129" s="188">
        <f t="shared" si="80"/>
        <v>100</v>
      </c>
      <c r="DI129" s="188">
        <f t="shared" si="81"/>
        <v>10</v>
      </c>
      <c r="DJ129" s="191">
        <f t="shared" si="82"/>
        <v>0.1</v>
      </c>
      <c r="DK129" s="286">
        <f t="shared" si="83"/>
        <v>90</v>
      </c>
      <c r="DL129" s="261">
        <v>125</v>
      </c>
      <c r="DM129" s="244">
        <f>+A129-DL129</f>
        <v>0</v>
      </c>
    </row>
    <row r="130" spans="1:117" x14ac:dyDescent="0.35">
      <c r="A130" s="263">
        <v>126</v>
      </c>
      <c r="B130" s="102" t="s">
        <v>270</v>
      </c>
      <c r="C130" s="102" t="s">
        <v>97</v>
      </c>
      <c r="D130" s="102" t="s">
        <v>98</v>
      </c>
      <c r="E130" s="102" t="s">
        <v>289</v>
      </c>
      <c r="F130" s="102" t="s">
        <v>484</v>
      </c>
      <c r="G130" s="98" t="s">
        <v>485</v>
      </c>
      <c r="H130" s="98" t="s">
        <v>485</v>
      </c>
      <c r="I130" s="98" t="s">
        <v>485</v>
      </c>
      <c r="J130" s="98" t="s">
        <v>485</v>
      </c>
      <c r="K130" s="96" t="s">
        <v>104</v>
      </c>
      <c r="L130" s="96" t="s">
        <v>105</v>
      </c>
      <c r="M130" s="98" t="s">
        <v>106</v>
      </c>
      <c r="N130" s="98" t="s">
        <v>482</v>
      </c>
      <c r="O130" s="98" t="s">
        <v>434</v>
      </c>
      <c r="P130" s="98" t="s">
        <v>486</v>
      </c>
      <c r="Q130" s="98" t="s">
        <v>110</v>
      </c>
      <c r="R130" s="301">
        <v>29</v>
      </c>
      <c r="S130" s="99" t="s">
        <v>111</v>
      </c>
      <c r="T130" s="81">
        <v>0</v>
      </c>
      <c r="U130" s="81">
        <v>0</v>
      </c>
      <c r="V130" s="25" t="e">
        <f t="shared" si="98"/>
        <v>#DIV/0!</v>
      </c>
      <c r="W130" s="81">
        <v>10</v>
      </c>
      <c r="X130" s="81"/>
      <c r="Y130" s="25">
        <f t="shared" si="1"/>
        <v>0</v>
      </c>
      <c r="Z130" s="81">
        <v>10</v>
      </c>
      <c r="AA130" s="81"/>
      <c r="AB130" s="25">
        <f t="shared" si="2"/>
        <v>0</v>
      </c>
      <c r="AC130" s="81">
        <v>9</v>
      </c>
      <c r="AD130" s="81"/>
      <c r="AE130" s="25">
        <f t="shared" si="3"/>
        <v>0</v>
      </c>
      <c r="AF130" s="140">
        <f t="shared" si="84"/>
        <v>29</v>
      </c>
      <c r="AG130" s="140">
        <f t="shared" si="85"/>
        <v>0</v>
      </c>
      <c r="AH130" s="138" t="e">
        <f t="shared" si="5"/>
        <v>#DIV/0!</v>
      </c>
      <c r="AI130" s="101">
        <v>46113</v>
      </c>
      <c r="AJ130" s="101">
        <v>46477</v>
      </c>
      <c r="AK130" s="102" t="s">
        <v>112</v>
      </c>
      <c r="AL130" s="102" t="s">
        <v>113</v>
      </c>
      <c r="AM130" s="103" t="s">
        <v>114</v>
      </c>
      <c r="AN130" s="104">
        <v>100000000</v>
      </c>
      <c r="AO130" s="104">
        <v>100000000</v>
      </c>
      <c r="AP130" s="104">
        <v>100000000</v>
      </c>
      <c r="AQ130" s="326">
        <v>0</v>
      </c>
      <c r="AR130" s="102" t="s">
        <v>115</v>
      </c>
      <c r="AS130" s="102" t="s">
        <v>112</v>
      </c>
      <c r="AT130" s="152" t="s">
        <v>478</v>
      </c>
      <c r="AU130" s="166" t="s">
        <v>2264</v>
      </c>
      <c r="AV130" s="247" t="s">
        <v>2234</v>
      </c>
      <c r="AW130" s="136" t="s">
        <v>2260</v>
      </c>
      <c r="AX130" s="136" t="s">
        <v>2385</v>
      </c>
      <c r="AY130" s="136" t="s">
        <v>2308</v>
      </c>
      <c r="BA130" s="272">
        <v>0</v>
      </c>
      <c r="BB130" s="273">
        <v>0</v>
      </c>
      <c r="BC130" s="209" t="e">
        <f t="shared" si="60"/>
        <v>#DIV/0!</v>
      </c>
      <c r="BD130" s="272">
        <v>0</v>
      </c>
      <c r="BE130" s="273">
        <v>0</v>
      </c>
      <c r="BF130" s="209" t="e">
        <f t="shared" si="61"/>
        <v>#DIV/0!</v>
      </c>
      <c r="BG130" s="272">
        <v>0</v>
      </c>
      <c r="BH130" s="273">
        <v>0</v>
      </c>
      <c r="BI130" s="209" t="e">
        <f t="shared" si="62"/>
        <v>#DIV/0!</v>
      </c>
      <c r="BJ130" s="210">
        <f t="shared" si="63"/>
        <v>0</v>
      </c>
      <c r="BK130" s="211">
        <f t="shared" si="64"/>
        <v>0</v>
      </c>
      <c r="BL130" s="209" t="e">
        <f t="shared" si="65"/>
        <v>#DIV/0!</v>
      </c>
      <c r="BM130" s="272">
        <v>29</v>
      </c>
      <c r="BN130" s="273">
        <v>2</v>
      </c>
      <c r="BO130" s="209">
        <f t="shared" si="86"/>
        <v>6.8965517241379309E-2</v>
      </c>
      <c r="BP130" s="272">
        <v>29</v>
      </c>
      <c r="BQ130" s="273">
        <v>5</v>
      </c>
      <c r="BR130" s="209">
        <f t="shared" si="87"/>
        <v>0.17241379310344829</v>
      </c>
      <c r="BS130" s="272">
        <v>29</v>
      </c>
      <c r="BT130" s="272">
        <v>3</v>
      </c>
      <c r="BU130" s="209">
        <f t="shared" si="88"/>
        <v>0.10344827586206896</v>
      </c>
      <c r="BV130" s="210">
        <f t="shared" si="66"/>
        <v>87</v>
      </c>
      <c r="BW130" s="210">
        <f t="shared" si="67"/>
        <v>10</v>
      </c>
      <c r="BX130" s="209">
        <f t="shared" si="68"/>
        <v>0.11494252873563218</v>
      </c>
      <c r="BY130" s="209">
        <f t="shared" si="69"/>
        <v>0.34482758620689657</v>
      </c>
      <c r="BZ130" s="209">
        <f t="shared" si="70"/>
        <v>-0.34482758620689657</v>
      </c>
      <c r="CA130" s="212"/>
      <c r="CB130" s="245"/>
      <c r="CC130" s="183">
        <v>29</v>
      </c>
      <c r="CD130" s="184">
        <v>2</v>
      </c>
      <c r="CE130" s="185">
        <f t="shared" si="89"/>
        <v>6.8965517241379309E-2</v>
      </c>
      <c r="CF130" s="183"/>
      <c r="CG130" s="184"/>
      <c r="CH130" s="185" t="e">
        <f t="shared" si="90"/>
        <v>#DIV/0!</v>
      </c>
      <c r="CI130" s="189"/>
      <c r="CJ130" s="190"/>
      <c r="CK130" s="185" t="e">
        <f t="shared" si="91"/>
        <v>#DIV/0!</v>
      </c>
      <c r="CL130" s="187">
        <f t="shared" si="92"/>
        <v>29</v>
      </c>
      <c r="CM130" s="186">
        <f t="shared" si="93"/>
        <v>2</v>
      </c>
      <c r="CN130" s="185">
        <f t="shared" si="94"/>
        <v>6.8965517241379309E-2</v>
      </c>
      <c r="CO130" s="245"/>
      <c r="CP130" s="188">
        <f t="shared" si="95"/>
        <v>116</v>
      </c>
      <c r="CQ130" s="188">
        <f t="shared" si="96"/>
        <v>12</v>
      </c>
      <c r="CR130" s="191">
        <f t="shared" si="97"/>
        <v>0.10344827586206896</v>
      </c>
      <c r="CS130" s="279">
        <f t="shared" si="71"/>
        <v>17</v>
      </c>
      <c r="CT130" s="245"/>
      <c r="CU130" s="188">
        <f t="shared" si="72"/>
        <v>5.0999999999999996</v>
      </c>
      <c r="CV130" s="277"/>
      <c r="CW130" s="191">
        <f t="shared" si="73"/>
        <v>0</v>
      </c>
      <c r="CX130" s="188">
        <f t="shared" si="74"/>
        <v>5.0999999999999996</v>
      </c>
      <c r="CY130" s="277"/>
      <c r="CZ130" s="191">
        <f t="shared" si="75"/>
        <v>0</v>
      </c>
      <c r="DA130" s="188">
        <f t="shared" si="76"/>
        <v>5.0999999999999996</v>
      </c>
      <c r="DB130" s="277"/>
      <c r="DC130" s="191">
        <f t="shared" si="77"/>
        <v>0</v>
      </c>
      <c r="DD130" s="188">
        <f t="shared" si="78"/>
        <v>1.7000000000000002</v>
      </c>
      <c r="DE130" s="277"/>
      <c r="DF130" s="191">
        <f t="shared" si="79"/>
        <v>0</v>
      </c>
      <c r="DG130" s="245"/>
      <c r="DH130" s="188">
        <f t="shared" si="80"/>
        <v>29</v>
      </c>
      <c r="DI130" s="188">
        <f t="shared" si="81"/>
        <v>12</v>
      </c>
      <c r="DJ130" s="191">
        <f t="shared" si="82"/>
        <v>0.41379310344827586</v>
      </c>
      <c r="DK130" s="286">
        <f t="shared" si="83"/>
        <v>17</v>
      </c>
      <c r="DL130" s="261">
        <v>126</v>
      </c>
      <c r="DM130" s="244">
        <f>+A130-DL130</f>
        <v>0</v>
      </c>
    </row>
    <row r="131" spans="1:117" x14ac:dyDescent="0.35">
      <c r="A131" s="263">
        <v>127</v>
      </c>
      <c r="B131" s="102" t="s">
        <v>270</v>
      </c>
      <c r="C131" s="102" t="s">
        <v>195</v>
      </c>
      <c r="D131" s="102" t="s">
        <v>196</v>
      </c>
      <c r="E131" s="102" t="s">
        <v>487</v>
      </c>
      <c r="F131" s="102" t="s">
        <v>488</v>
      </c>
      <c r="G131" s="98" t="s">
        <v>489</v>
      </c>
      <c r="H131" s="98" t="s">
        <v>301</v>
      </c>
      <c r="I131" s="98" t="s">
        <v>474</v>
      </c>
      <c r="J131" s="98" t="s">
        <v>474</v>
      </c>
      <c r="K131" s="96" t="s">
        <v>104</v>
      </c>
      <c r="L131" s="96" t="s">
        <v>105</v>
      </c>
      <c r="M131" s="98" t="s">
        <v>106</v>
      </c>
      <c r="N131" s="98" t="s">
        <v>490</v>
      </c>
      <c r="O131" s="98" t="s">
        <v>491</v>
      </c>
      <c r="P131" s="109" t="s">
        <v>492</v>
      </c>
      <c r="Q131" s="98" t="s">
        <v>129</v>
      </c>
      <c r="R131" s="301">
        <v>29</v>
      </c>
      <c r="S131" s="99" t="s">
        <v>111</v>
      </c>
      <c r="T131" s="81">
        <v>0</v>
      </c>
      <c r="U131" s="110">
        <v>0</v>
      </c>
      <c r="V131" s="25" t="e">
        <f t="shared" si="98"/>
        <v>#DIV/0!</v>
      </c>
      <c r="W131" s="81">
        <v>10</v>
      </c>
      <c r="X131" s="81"/>
      <c r="Y131" s="25">
        <f t="shared" si="1"/>
        <v>0</v>
      </c>
      <c r="Z131" s="81">
        <v>10</v>
      </c>
      <c r="AA131" s="81"/>
      <c r="AB131" s="25">
        <f t="shared" si="2"/>
        <v>0</v>
      </c>
      <c r="AC131" s="81">
        <v>9</v>
      </c>
      <c r="AD131" s="81"/>
      <c r="AE131" s="25">
        <f t="shared" si="3"/>
        <v>0</v>
      </c>
      <c r="AF131" s="140">
        <f t="shared" si="84"/>
        <v>29</v>
      </c>
      <c r="AG131" s="140">
        <f t="shared" si="85"/>
        <v>0</v>
      </c>
      <c r="AH131" s="138" t="e">
        <f t="shared" si="5"/>
        <v>#DIV/0!</v>
      </c>
      <c r="AI131" s="101">
        <v>46113</v>
      </c>
      <c r="AJ131" s="101">
        <v>46477</v>
      </c>
      <c r="AK131" s="102" t="s">
        <v>112</v>
      </c>
      <c r="AL131" s="102" t="s">
        <v>113</v>
      </c>
      <c r="AM131" s="103" t="s">
        <v>114</v>
      </c>
      <c r="AN131" s="104">
        <v>60000000</v>
      </c>
      <c r="AO131" s="104">
        <v>60000000</v>
      </c>
      <c r="AP131" s="104">
        <v>60000000</v>
      </c>
      <c r="AQ131" s="326">
        <v>0</v>
      </c>
      <c r="AR131" s="102" t="s">
        <v>159</v>
      </c>
      <c r="AS131" s="102" t="s">
        <v>112</v>
      </c>
      <c r="AT131" s="152" t="s">
        <v>478</v>
      </c>
      <c r="AU131" s="166" t="s">
        <v>2264</v>
      </c>
      <c r="AV131" s="247" t="s">
        <v>2234</v>
      </c>
      <c r="AW131" s="136" t="s">
        <v>2260</v>
      </c>
      <c r="AX131" s="136" t="s">
        <v>2385</v>
      </c>
      <c r="AY131" s="136" t="s">
        <v>2308</v>
      </c>
      <c r="BA131" s="272"/>
      <c r="BB131" s="273"/>
      <c r="BC131" s="209" t="e">
        <f t="shared" si="60"/>
        <v>#DIV/0!</v>
      </c>
      <c r="BD131" s="272"/>
      <c r="BE131" s="273"/>
      <c r="BF131" s="209" t="e">
        <f t="shared" si="61"/>
        <v>#DIV/0!</v>
      </c>
      <c r="BG131" s="272"/>
      <c r="BH131" s="273"/>
      <c r="BI131" s="209" t="e">
        <f t="shared" si="62"/>
        <v>#DIV/0!</v>
      </c>
      <c r="BJ131" s="210">
        <f t="shared" si="63"/>
        <v>0</v>
      </c>
      <c r="BK131" s="211">
        <f t="shared" si="64"/>
        <v>0</v>
      </c>
      <c r="BL131" s="209" t="e">
        <f t="shared" si="65"/>
        <v>#DIV/0!</v>
      </c>
      <c r="BM131" s="272"/>
      <c r="BN131" s="273"/>
      <c r="BO131" s="209" t="e">
        <f t="shared" si="86"/>
        <v>#DIV/0!</v>
      </c>
      <c r="BP131" s="272"/>
      <c r="BQ131" s="273"/>
      <c r="BR131" s="209" t="e">
        <f t="shared" si="87"/>
        <v>#DIV/0!</v>
      </c>
      <c r="BS131" s="272"/>
      <c r="BT131" s="272"/>
      <c r="BU131" s="209" t="e">
        <f t="shared" si="88"/>
        <v>#DIV/0!</v>
      </c>
      <c r="BV131" s="210">
        <f t="shared" si="66"/>
        <v>0</v>
      </c>
      <c r="BW131" s="210">
        <f t="shared" si="67"/>
        <v>0</v>
      </c>
      <c r="BX131" s="209" t="e">
        <f t="shared" si="68"/>
        <v>#DIV/0!</v>
      </c>
      <c r="BY131" s="209">
        <f t="shared" si="69"/>
        <v>0</v>
      </c>
      <c r="BZ131" s="209">
        <f t="shared" si="70"/>
        <v>0</v>
      </c>
      <c r="CA131" s="212"/>
      <c r="CB131" s="245"/>
      <c r="CC131" s="183"/>
      <c r="CD131" s="184"/>
      <c r="CE131" s="185" t="e">
        <f t="shared" si="89"/>
        <v>#DIV/0!</v>
      </c>
      <c r="CF131" s="183"/>
      <c r="CG131" s="184"/>
      <c r="CH131" s="185" t="e">
        <f t="shared" si="90"/>
        <v>#DIV/0!</v>
      </c>
      <c r="CI131" s="189"/>
      <c r="CJ131" s="190"/>
      <c r="CK131" s="185" t="e">
        <f t="shared" si="91"/>
        <v>#DIV/0!</v>
      </c>
      <c r="CL131" s="187">
        <f t="shared" si="92"/>
        <v>0</v>
      </c>
      <c r="CM131" s="186">
        <f t="shared" si="93"/>
        <v>0</v>
      </c>
      <c r="CN131" s="185" t="e">
        <f t="shared" si="94"/>
        <v>#DIV/0!</v>
      </c>
      <c r="CO131" s="245"/>
      <c r="CP131" s="188">
        <f t="shared" si="95"/>
        <v>0</v>
      </c>
      <c r="CQ131" s="188">
        <f t="shared" si="96"/>
        <v>0</v>
      </c>
      <c r="CR131" s="191" t="e">
        <f t="shared" si="97"/>
        <v>#DIV/0!</v>
      </c>
      <c r="CS131" s="279">
        <f t="shared" si="71"/>
        <v>29</v>
      </c>
      <c r="CT131" s="245"/>
      <c r="CU131" s="188">
        <f t="shared" si="72"/>
        <v>8.6999999999999993</v>
      </c>
      <c r="CV131" s="277"/>
      <c r="CW131" s="191">
        <f t="shared" si="73"/>
        <v>0</v>
      </c>
      <c r="CX131" s="188">
        <f t="shared" si="74"/>
        <v>8.6999999999999993</v>
      </c>
      <c r="CY131" s="277"/>
      <c r="CZ131" s="191">
        <f t="shared" si="75"/>
        <v>0</v>
      </c>
      <c r="DA131" s="188">
        <f t="shared" si="76"/>
        <v>8.6999999999999993</v>
      </c>
      <c r="DB131" s="277"/>
      <c r="DC131" s="191">
        <f t="shared" si="77"/>
        <v>0</v>
      </c>
      <c r="DD131" s="188">
        <f t="shared" si="78"/>
        <v>2.9000000000000004</v>
      </c>
      <c r="DE131" s="277"/>
      <c r="DF131" s="191">
        <f t="shared" si="79"/>
        <v>0</v>
      </c>
      <c r="DG131" s="245"/>
      <c r="DH131" s="188">
        <f t="shared" si="80"/>
        <v>29</v>
      </c>
      <c r="DI131" s="188">
        <f t="shared" si="81"/>
        <v>0</v>
      </c>
      <c r="DJ131" s="191">
        <f t="shared" si="82"/>
        <v>0</v>
      </c>
      <c r="DK131" s="286">
        <f t="shared" si="83"/>
        <v>29</v>
      </c>
      <c r="DL131" s="261">
        <v>127</v>
      </c>
      <c r="DM131" s="244">
        <f>+A131-DL131</f>
        <v>0</v>
      </c>
    </row>
    <row r="132" spans="1:117" x14ac:dyDescent="0.35">
      <c r="A132" s="263">
        <v>128</v>
      </c>
      <c r="B132" s="102" t="s">
        <v>270</v>
      </c>
      <c r="C132" s="102" t="s">
        <v>133</v>
      </c>
      <c r="D132" s="102" t="s">
        <v>119</v>
      </c>
      <c r="E132" s="102" t="s">
        <v>289</v>
      </c>
      <c r="F132" s="102" t="s">
        <v>493</v>
      </c>
      <c r="G132" s="98" t="s">
        <v>489</v>
      </c>
      <c r="H132" s="98" t="s">
        <v>301</v>
      </c>
      <c r="I132" s="98" t="s">
        <v>103</v>
      </c>
      <c r="J132" s="98" t="s">
        <v>103</v>
      </c>
      <c r="K132" s="96" t="s">
        <v>104</v>
      </c>
      <c r="L132" s="96" t="s">
        <v>105</v>
      </c>
      <c r="M132" s="98" t="s">
        <v>106</v>
      </c>
      <c r="N132" s="98" t="s">
        <v>494</v>
      </c>
      <c r="O132" s="98" t="s">
        <v>495</v>
      </c>
      <c r="P132" s="319" t="s">
        <v>496</v>
      </c>
      <c r="Q132" s="98" t="s">
        <v>129</v>
      </c>
      <c r="R132" s="301">
        <v>1</v>
      </c>
      <c r="S132" s="99" t="s">
        <v>111</v>
      </c>
      <c r="T132" s="81">
        <v>0</v>
      </c>
      <c r="U132" s="81">
        <v>0</v>
      </c>
      <c r="V132" s="28" t="e">
        <f t="shared" si="98"/>
        <v>#DIV/0!</v>
      </c>
      <c r="W132" s="81">
        <v>0</v>
      </c>
      <c r="X132" s="81"/>
      <c r="Y132" s="25" t="e">
        <f t="shared" si="1"/>
        <v>#DIV/0!</v>
      </c>
      <c r="Z132" s="81">
        <v>1</v>
      </c>
      <c r="AA132" s="81"/>
      <c r="AB132" s="25">
        <f t="shared" si="2"/>
        <v>0</v>
      </c>
      <c r="AC132" s="81">
        <v>0</v>
      </c>
      <c r="AD132" s="81"/>
      <c r="AE132" s="25" t="e">
        <f t="shared" si="3"/>
        <v>#DIV/0!</v>
      </c>
      <c r="AF132" s="140">
        <f t="shared" si="84"/>
        <v>1</v>
      </c>
      <c r="AG132" s="140">
        <f t="shared" si="85"/>
        <v>0</v>
      </c>
      <c r="AH132" s="138" t="e">
        <f t="shared" si="5"/>
        <v>#DIV/0!</v>
      </c>
      <c r="AI132" s="101">
        <v>46113</v>
      </c>
      <c r="AJ132" s="101">
        <v>46477</v>
      </c>
      <c r="AK132" s="102" t="s">
        <v>112</v>
      </c>
      <c r="AL132" s="102" t="s">
        <v>113</v>
      </c>
      <c r="AM132" s="103" t="s">
        <v>114</v>
      </c>
      <c r="AN132" s="104">
        <v>30000000</v>
      </c>
      <c r="AO132" s="104">
        <v>30000000</v>
      </c>
      <c r="AP132" s="104">
        <v>30000000</v>
      </c>
      <c r="AQ132" s="326">
        <v>0</v>
      </c>
      <c r="AR132" s="102" t="s">
        <v>159</v>
      </c>
      <c r="AS132" s="102" t="s">
        <v>112</v>
      </c>
      <c r="AT132" s="152" t="s">
        <v>478</v>
      </c>
      <c r="AU132" s="166" t="s">
        <v>2264</v>
      </c>
      <c r="AV132" s="247" t="s">
        <v>2234</v>
      </c>
      <c r="AW132" s="136" t="s">
        <v>2260</v>
      </c>
      <c r="AX132" s="136" t="s">
        <v>2385</v>
      </c>
      <c r="AY132" s="136" t="s">
        <v>2308</v>
      </c>
      <c r="BA132" s="272"/>
      <c r="BB132" s="273"/>
      <c r="BC132" s="209" t="e">
        <f t="shared" si="60"/>
        <v>#DIV/0!</v>
      </c>
      <c r="BD132" s="272"/>
      <c r="BE132" s="273"/>
      <c r="BF132" s="209" t="e">
        <f t="shared" si="61"/>
        <v>#DIV/0!</v>
      </c>
      <c r="BG132" s="272"/>
      <c r="BH132" s="273"/>
      <c r="BI132" s="209" t="e">
        <f t="shared" si="62"/>
        <v>#DIV/0!</v>
      </c>
      <c r="BJ132" s="210">
        <f t="shared" si="63"/>
        <v>0</v>
      </c>
      <c r="BK132" s="211">
        <f t="shared" si="64"/>
        <v>0</v>
      </c>
      <c r="BL132" s="209" t="e">
        <f t="shared" si="65"/>
        <v>#DIV/0!</v>
      </c>
      <c r="BM132" s="272"/>
      <c r="BN132" s="273"/>
      <c r="BO132" s="209" t="e">
        <f t="shared" si="86"/>
        <v>#DIV/0!</v>
      </c>
      <c r="BP132" s="272"/>
      <c r="BQ132" s="273"/>
      <c r="BR132" s="209" t="e">
        <f t="shared" si="87"/>
        <v>#DIV/0!</v>
      </c>
      <c r="BS132" s="272"/>
      <c r="BT132" s="272"/>
      <c r="BU132" s="209" t="e">
        <f t="shared" si="88"/>
        <v>#DIV/0!</v>
      </c>
      <c r="BV132" s="210">
        <f t="shared" si="66"/>
        <v>0</v>
      </c>
      <c r="BW132" s="210">
        <f t="shared" si="67"/>
        <v>0</v>
      </c>
      <c r="BX132" s="209" t="e">
        <f t="shared" si="68"/>
        <v>#DIV/0!</v>
      </c>
      <c r="BY132" s="209">
        <f t="shared" si="69"/>
        <v>0</v>
      </c>
      <c r="BZ132" s="209">
        <f t="shared" si="70"/>
        <v>0</v>
      </c>
      <c r="CA132" s="212"/>
      <c r="CB132" s="245"/>
      <c r="CC132" s="183"/>
      <c r="CD132" s="184"/>
      <c r="CE132" s="185" t="e">
        <f t="shared" si="89"/>
        <v>#DIV/0!</v>
      </c>
      <c r="CF132" s="183"/>
      <c r="CG132" s="184"/>
      <c r="CH132" s="185" t="e">
        <f t="shared" si="90"/>
        <v>#DIV/0!</v>
      </c>
      <c r="CI132" s="189"/>
      <c r="CJ132" s="190"/>
      <c r="CK132" s="185" t="e">
        <f t="shared" si="91"/>
        <v>#DIV/0!</v>
      </c>
      <c r="CL132" s="187">
        <f t="shared" si="92"/>
        <v>0</v>
      </c>
      <c r="CM132" s="186">
        <f t="shared" si="93"/>
        <v>0</v>
      </c>
      <c r="CN132" s="185" t="e">
        <f t="shared" si="94"/>
        <v>#DIV/0!</v>
      </c>
      <c r="CO132" s="245"/>
      <c r="CP132" s="188">
        <f t="shared" si="95"/>
        <v>0</v>
      </c>
      <c r="CQ132" s="188">
        <f t="shared" si="96"/>
        <v>0</v>
      </c>
      <c r="CR132" s="191" t="e">
        <f t="shared" si="97"/>
        <v>#DIV/0!</v>
      </c>
      <c r="CS132" s="279">
        <f t="shared" si="71"/>
        <v>1</v>
      </c>
      <c r="CT132" s="245"/>
      <c r="CU132" s="188">
        <f t="shared" si="72"/>
        <v>0.3</v>
      </c>
      <c r="CV132" s="277"/>
      <c r="CW132" s="191">
        <f t="shared" si="73"/>
        <v>0</v>
      </c>
      <c r="CX132" s="188">
        <f t="shared" si="74"/>
        <v>0.3</v>
      </c>
      <c r="CY132" s="277"/>
      <c r="CZ132" s="191">
        <f t="shared" si="75"/>
        <v>0</v>
      </c>
      <c r="DA132" s="188">
        <f t="shared" si="76"/>
        <v>0.3</v>
      </c>
      <c r="DB132" s="277"/>
      <c r="DC132" s="191">
        <f t="shared" si="77"/>
        <v>0</v>
      </c>
      <c r="DD132" s="188">
        <f t="shared" si="78"/>
        <v>0.1</v>
      </c>
      <c r="DE132" s="277"/>
      <c r="DF132" s="191">
        <f t="shared" si="79"/>
        <v>0</v>
      </c>
      <c r="DG132" s="245"/>
      <c r="DH132" s="188">
        <f t="shared" si="80"/>
        <v>1</v>
      </c>
      <c r="DI132" s="188">
        <f t="shared" si="81"/>
        <v>0</v>
      </c>
      <c r="DJ132" s="191">
        <f t="shared" si="82"/>
        <v>0</v>
      </c>
      <c r="DK132" s="286">
        <f t="shared" si="83"/>
        <v>1</v>
      </c>
      <c r="DL132" s="261">
        <v>128</v>
      </c>
      <c r="DM132" s="244">
        <f>+A132-DL132</f>
        <v>0</v>
      </c>
    </row>
    <row r="133" spans="1:117" x14ac:dyDescent="0.35">
      <c r="A133" s="263">
        <v>129</v>
      </c>
      <c r="B133" s="102" t="s">
        <v>270</v>
      </c>
      <c r="C133" s="102" t="s">
        <v>118</v>
      </c>
      <c r="D133" s="102" t="s">
        <v>119</v>
      </c>
      <c r="E133" s="102" t="s">
        <v>120</v>
      </c>
      <c r="F133" s="102" t="s">
        <v>497</v>
      </c>
      <c r="G133" s="98" t="s">
        <v>489</v>
      </c>
      <c r="H133" s="98" t="s">
        <v>301</v>
      </c>
      <c r="I133" s="98" t="s">
        <v>153</v>
      </c>
      <c r="J133" s="98" t="s">
        <v>153</v>
      </c>
      <c r="K133" s="96" t="s">
        <v>104</v>
      </c>
      <c r="L133" s="96" t="s">
        <v>105</v>
      </c>
      <c r="M133" s="98" t="s">
        <v>106</v>
      </c>
      <c r="N133" s="98" t="s">
        <v>498</v>
      </c>
      <c r="O133" s="98" t="s">
        <v>293</v>
      </c>
      <c r="P133" s="109" t="s">
        <v>499</v>
      </c>
      <c r="Q133" s="98" t="s">
        <v>129</v>
      </c>
      <c r="R133" s="301">
        <v>1</v>
      </c>
      <c r="S133" s="99" t="s">
        <v>111</v>
      </c>
      <c r="T133" s="81">
        <v>0</v>
      </c>
      <c r="U133" s="81">
        <v>0</v>
      </c>
      <c r="V133" s="29">
        <v>0</v>
      </c>
      <c r="W133" s="81">
        <v>0</v>
      </c>
      <c r="X133" s="81"/>
      <c r="Y133" s="25" t="e">
        <f t="shared" si="1"/>
        <v>#DIV/0!</v>
      </c>
      <c r="Z133" s="81">
        <v>0</v>
      </c>
      <c r="AA133" s="81"/>
      <c r="AB133" s="25" t="e">
        <f t="shared" si="2"/>
        <v>#DIV/0!</v>
      </c>
      <c r="AC133" s="81">
        <v>1</v>
      </c>
      <c r="AD133" s="81"/>
      <c r="AE133" s="25">
        <f t="shared" si="3"/>
        <v>0</v>
      </c>
      <c r="AF133" s="140">
        <f t="shared" si="84"/>
        <v>1</v>
      </c>
      <c r="AG133" s="140">
        <f t="shared" si="85"/>
        <v>0</v>
      </c>
      <c r="AH133" s="138" t="e">
        <f t="shared" si="5"/>
        <v>#DIV/0!</v>
      </c>
      <c r="AI133" s="101">
        <v>46113</v>
      </c>
      <c r="AJ133" s="101">
        <v>46477</v>
      </c>
      <c r="AK133" s="102" t="s">
        <v>112</v>
      </c>
      <c r="AL133" s="102" t="s">
        <v>113</v>
      </c>
      <c r="AM133" s="103" t="s">
        <v>114</v>
      </c>
      <c r="AN133" s="324"/>
      <c r="AO133" s="324"/>
      <c r="AP133" s="324"/>
      <c r="AQ133" s="326"/>
      <c r="AR133" s="102" t="s">
        <v>159</v>
      </c>
      <c r="AS133" s="102" t="s">
        <v>112</v>
      </c>
      <c r="AT133" s="152" t="s">
        <v>478</v>
      </c>
      <c r="AU133" s="166" t="s">
        <v>2264</v>
      </c>
      <c r="AV133" s="247" t="s">
        <v>2234</v>
      </c>
      <c r="AW133" s="136" t="s">
        <v>2260</v>
      </c>
      <c r="AX133" s="136" t="s">
        <v>2385</v>
      </c>
      <c r="AY133" s="136" t="s">
        <v>2308</v>
      </c>
      <c r="BA133" s="272"/>
      <c r="BB133" s="273"/>
      <c r="BC133" s="209" t="e">
        <f t="shared" si="60"/>
        <v>#DIV/0!</v>
      </c>
      <c r="BD133" s="272"/>
      <c r="BE133" s="273"/>
      <c r="BF133" s="209" t="e">
        <f t="shared" si="61"/>
        <v>#DIV/0!</v>
      </c>
      <c r="BG133" s="272"/>
      <c r="BH133" s="273"/>
      <c r="BI133" s="209" t="e">
        <f t="shared" si="62"/>
        <v>#DIV/0!</v>
      </c>
      <c r="BJ133" s="210">
        <f t="shared" si="63"/>
        <v>0</v>
      </c>
      <c r="BK133" s="211">
        <f t="shared" si="64"/>
        <v>0</v>
      </c>
      <c r="BL133" s="209" t="e">
        <f t="shared" si="65"/>
        <v>#DIV/0!</v>
      </c>
      <c r="BM133" s="272"/>
      <c r="BN133" s="273"/>
      <c r="BO133" s="209" t="e">
        <f t="shared" si="86"/>
        <v>#DIV/0!</v>
      </c>
      <c r="BP133" s="272"/>
      <c r="BQ133" s="273"/>
      <c r="BR133" s="209" t="e">
        <f t="shared" si="87"/>
        <v>#DIV/0!</v>
      </c>
      <c r="BS133" s="272"/>
      <c r="BT133" s="272"/>
      <c r="BU133" s="209" t="e">
        <f t="shared" si="88"/>
        <v>#DIV/0!</v>
      </c>
      <c r="BV133" s="210">
        <f t="shared" si="66"/>
        <v>0</v>
      </c>
      <c r="BW133" s="210">
        <f t="shared" si="67"/>
        <v>0</v>
      </c>
      <c r="BX133" s="209" t="e">
        <f t="shared" si="68"/>
        <v>#DIV/0!</v>
      </c>
      <c r="BY133" s="209">
        <f t="shared" si="69"/>
        <v>0</v>
      </c>
      <c r="BZ133" s="209">
        <f t="shared" si="70"/>
        <v>0</v>
      </c>
      <c r="CA133" s="212"/>
      <c r="CB133" s="245"/>
      <c r="CC133" s="183"/>
      <c r="CD133" s="184"/>
      <c r="CE133" s="185" t="e">
        <f t="shared" si="89"/>
        <v>#DIV/0!</v>
      </c>
      <c r="CF133" s="183"/>
      <c r="CG133" s="184"/>
      <c r="CH133" s="185" t="e">
        <f t="shared" si="90"/>
        <v>#DIV/0!</v>
      </c>
      <c r="CI133" s="189"/>
      <c r="CJ133" s="190"/>
      <c r="CK133" s="185" t="e">
        <f t="shared" si="91"/>
        <v>#DIV/0!</v>
      </c>
      <c r="CL133" s="187">
        <f t="shared" si="92"/>
        <v>0</v>
      </c>
      <c r="CM133" s="186">
        <f t="shared" si="93"/>
        <v>0</v>
      </c>
      <c r="CN133" s="185" t="e">
        <f t="shared" si="94"/>
        <v>#DIV/0!</v>
      </c>
      <c r="CO133" s="245"/>
      <c r="CP133" s="188">
        <f t="shared" si="95"/>
        <v>0</v>
      </c>
      <c r="CQ133" s="188">
        <f t="shared" si="96"/>
        <v>0</v>
      </c>
      <c r="CR133" s="191" t="e">
        <f t="shared" si="97"/>
        <v>#DIV/0!</v>
      </c>
      <c r="CS133" s="279">
        <f t="shared" si="71"/>
        <v>1</v>
      </c>
      <c r="CT133" s="245"/>
      <c r="CU133" s="188">
        <f t="shared" si="72"/>
        <v>0.3</v>
      </c>
      <c r="CV133" s="277"/>
      <c r="CW133" s="191">
        <f t="shared" si="73"/>
        <v>0</v>
      </c>
      <c r="CX133" s="188">
        <f t="shared" si="74"/>
        <v>0.3</v>
      </c>
      <c r="CY133" s="277"/>
      <c r="CZ133" s="191">
        <f t="shared" si="75"/>
        <v>0</v>
      </c>
      <c r="DA133" s="188">
        <f t="shared" si="76"/>
        <v>0.3</v>
      </c>
      <c r="DB133" s="277"/>
      <c r="DC133" s="191">
        <f t="shared" si="77"/>
        <v>0</v>
      </c>
      <c r="DD133" s="188">
        <f t="shared" si="78"/>
        <v>0.1</v>
      </c>
      <c r="DE133" s="277"/>
      <c r="DF133" s="191">
        <f t="shared" si="79"/>
        <v>0</v>
      </c>
      <c r="DG133" s="245"/>
      <c r="DH133" s="188">
        <f t="shared" si="80"/>
        <v>1</v>
      </c>
      <c r="DI133" s="188">
        <f t="shared" si="81"/>
        <v>0</v>
      </c>
      <c r="DJ133" s="191">
        <f t="shared" si="82"/>
        <v>0</v>
      </c>
      <c r="DK133" s="286">
        <f t="shared" si="83"/>
        <v>1</v>
      </c>
      <c r="DL133" s="261">
        <v>129</v>
      </c>
      <c r="DM133" s="244">
        <f>+A133-DL133</f>
        <v>0</v>
      </c>
    </row>
    <row r="134" spans="1:117" customFormat="1" ht="37.5" x14ac:dyDescent="0.35">
      <c r="A134" s="263">
        <v>130</v>
      </c>
      <c r="B134" s="102" t="s">
        <v>270</v>
      </c>
      <c r="C134" s="102" t="s">
        <v>133</v>
      </c>
      <c r="D134" s="102" t="s">
        <v>119</v>
      </c>
      <c r="E134" s="102" t="s">
        <v>289</v>
      </c>
      <c r="F134" s="102" t="s">
        <v>500</v>
      </c>
      <c r="G134" s="98" t="s">
        <v>489</v>
      </c>
      <c r="H134" s="98" t="s">
        <v>301</v>
      </c>
      <c r="I134" s="98" t="s">
        <v>103</v>
      </c>
      <c r="J134" s="98" t="s">
        <v>103</v>
      </c>
      <c r="K134" s="96" t="s">
        <v>104</v>
      </c>
      <c r="L134" s="96" t="s">
        <v>105</v>
      </c>
      <c r="M134" s="98" t="s">
        <v>106</v>
      </c>
      <c r="N134" s="98" t="s">
        <v>501</v>
      </c>
      <c r="O134" s="98" t="s">
        <v>495</v>
      </c>
      <c r="P134" s="289" t="s">
        <v>502</v>
      </c>
      <c r="Q134" s="98" t="s">
        <v>129</v>
      </c>
      <c r="R134" s="301">
        <v>1</v>
      </c>
      <c r="S134" s="99" t="s">
        <v>111</v>
      </c>
      <c r="T134" s="81">
        <v>0</v>
      </c>
      <c r="U134" s="81">
        <v>0</v>
      </c>
      <c r="V134" s="25" t="e">
        <f>U134/T134*100</f>
        <v>#DIV/0!</v>
      </c>
      <c r="W134" s="81">
        <v>1</v>
      </c>
      <c r="X134" s="81"/>
      <c r="Y134" s="25">
        <f t="shared" si="1"/>
        <v>0</v>
      </c>
      <c r="Z134" s="81">
        <v>0</v>
      </c>
      <c r="AA134" s="81"/>
      <c r="AB134" s="25" t="e">
        <f t="shared" si="2"/>
        <v>#DIV/0!</v>
      </c>
      <c r="AC134" s="81">
        <v>0</v>
      </c>
      <c r="AD134" s="81"/>
      <c r="AE134" s="25" t="e">
        <f t="shared" si="3"/>
        <v>#DIV/0!</v>
      </c>
      <c r="AF134" s="140">
        <f t="shared" si="84"/>
        <v>1</v>
      </c>
      <c r="AG134" s="140">
        <f t="shared" si="85"/>
        <v>0</v>
      </c>
      <c r="AH134" s="138" t="e">
        <f t="shared" si="5"/>
        <v>#DIV/0!</v>
      </c>
      <c r="AI134" s="101">
        <v>46113</v>
      </c>
      <c r="AJ134" s="101">
        <v>46387</v>
      </c>
      <c r="AK134" s="102" t="s">
        <v>112</v>
      </c>
      <c r="AL134" s="102" t="s">
        <v>113</v>
      </c>
      <c r="AM134" s="103" t="s">
        <v>114</v>
      </c>
      <c r="AN134" s="104">
        <v>30000000</v>
      </c>
      <c r="AO134" s="104">
        <v>30000000</v>
      </c>
      <c r="AP134" s="104">
        <v>30000000</v>
      </c>
      <c r="AQ134" s="326">
        <v>0</v>
      </c>
      <c r="AR134" s="102" t="s">
        <v>115</v>
      </c>
      <c r="AS134" s="102" t="s">
        <v>112</v>
      </c>
      <c r="AT134" s="152" t="s">
        <v>478</v>
      </c>
      <c r="AU134" s="166" t="s">
        <v>2264</v>
      </c>
      <c r="AV134" s="247" t="s">
        <v>2234</v>
      </c>
      <c r="AW134" s="136" t="s">
        <v>2260</v>
      </c>
      <c r="AX134" s="136" t="s">
        <v>2385</v>
      </c>
      <c r="AY134" s="136" t="s">
        <v>2308</v>
      </c>
      <c r="AZ134" s="271"/>
      <c r="BA134" s="272"/>
      <c r="BB134" s="273"/>
      <c r="BC134" s="209" t="e">
        <f t="shared" ref="BC134:BC197" si="99">+BB134/BA134</f>
        <v>#DIV/0!</v>
      </c>
      <c r="BD134" s="272"/>
      <c r="BE134" s="273"/>
      <c r="BF134" s="209" t="e">
        <f t="shared" ref="BF134:BF197" si="100">+BE134/BD134</f>
        <v>#DIV/0!</v>
      </c>
      <c r="BG134" s="272"/>
      <c r="BH134" s="273"/>
      <c r="BI134" s="209" t="e">
        <f t="shared" ref="BI134:BI197" si="101">+BH134/BG134</f>
        <v>#DIV/0!</v>
      </c>
      <c r="BJ134" s="210">
        <f t="shared" ref="BJ134:BJ197" si="102">+BA134+BD134+BG134</f>
        <v>0</v>
      </c>
      <c r="BK134" s="211">
        <f t="shared" ref="BK134:BK197" si="103">+BB134+BE134+BH134</f>
        <v>0</v>
      </c>
      <c r="BL134" s="209" t="e">
        <f t="shared" ref="BL134:BL197" si="104">+BK134/BJ134</f>
        <v>#DIV/0!</v>
      </c>
      <c r="BM134" s="272"/>
      <c r="BN134" s="273"/>
      <c r="BO134" s="209" t="e">
        <f t="shared" si="86"/>
        <v>#DIV/0!</v>
      </c>
      <c r="BP134" s="272"/>
      <c r="BQ134" s="273"/>
      <c r="BR134" s="209" t="e">
        <f t="shared" si="87"/>
        <v>#DIV/0!</v>
      </c>
      <c r="BS134" s="272"/>
      <c r="BT134" s="272"/>
      <c r="BU134" s="209" t="e">
        <f t="shared" si="88"/>
        <v>#DIV/0!</v>
      </c>
      <c r="BV134" s="210">
        <f t="shared" ref="BV134:BV197" si="105">+BM134+BP134+BS134</f>
        <v>0</v>
      </c>
      <c r="BW134" s="210">
        <f t="shared" ref="BW134:BW197" si="106">+BN134+BQ134+BT134</f>
        <v>0</v>
      </c>
      <c r="BX134" s="209" t="e">
        <f t="shared" ref="BX134:BX197" si="107">+BW134/BV134</f>
        <v>#DIV/0!</v>
      </c>
      <c r="BY134" s="209">
        <f t="shared" ref="BY134:BY197" si="108">+(BK134+BW134)/R134</f>
        <v>0</v>
      </c>
      <c r="BZ134" s="209">
        <f t="shared" ref="BZ134:BZ197" si="109">+$BZ$2-BY134</f>
        <v>0</v>
      </c>
      <c r="CA134" s="212"/>
      <c r="CB134" s="173"/>
      <c r="CC134" s="183"/>
      <c r="CD134" s="184"/>
      <c r="CE134" s="185" t="e">
        <f t="shared" si="89"/>
        <v>#DIV/0!</v>
      </c>
      <c r="CF134" s="183"/>
      <c r="CG134" s="184"/>
      <c r="CH134" s="185" t="e">
        <f t="shared" si="90"/>
        <v>#DIV/0!</v>
      </c>
      <c r="CI134" s="189"/>
      <c r="CJ134" s="190"/>
      <c r="CK134" s="185" t="e">
        <f t="shared" si="91"/>
        <v>#DIV/0!</v>
      </c>
      <c r="CL134" s="187">
        <f t="shared" si="92"/>
        <v>0</v>
      </c>
      <c r="CM134" s="186">
        <f t="shared" si="93"/>
        <v>0</v>
      </c>
      <c r="CN134" s="185" t="e">
        <f t="shared" si="94"/>
        <v>#DIV/0!</v>
      </c>
      <c r="CO134" s="173"/>
      <c r="CP134" s="188">
        <f t="shared" si="95"/>
        <v>0</v>
      </c>
      <c r="CQ134" s="188">
        <f t="shared" si="96"/>
        <v>0</v>
      </c>
      <c r="CR134" s="191" t="e">
        <f t="shared" si="97"/>
        <v>#DIV/0!</v>
      </c>
      <c r="CS134" s="279">
        <f t="shared" ref="CS134:CS197" si="110">+R134-CQ134</f>
        <v>1</v>
      </c>
      <c r="CT134" s="173"/>
      <c r="CU134" s="188">
        <f t="shared" ref="CU134:CU197" si="111">+CS134*$CU$3</f>
        <v>0.3</v>
      </c>
      <c r="CV134" s="277"/>
      <c r="CW134" s="191">
        <f t="shared" ref="CW134:CW197" si="112">+CV134/CU134</f>
        <v>0</v>
      </c>
      <c r="CX134" s="188">
        <f t="shared" ref="CX134:CX197" si="113">+CS134*$CX$3</f>
        <v>0.3</v>
      </c>
      <c r="CY134" s="277"/>
      <c r="CZ134" s="191">
        <f t="shared" ref="CZ134:CZ197" si="114">+CY134/CX134</f>
        <v>0</v>
      </c>
      <c r="DA134" s="188">
        <f t="shared" ref="DA134:DA197" si="115">+CS134*$DA$3</f>
        <v>0.3</v>
      </c>
      <c r="DB134" s="277"/>
      <c r="DC134" s="191">
        <f t="shared" ref="DC134:DC197" si="116">+DB134/DA134</f>
        <v>0</v>
      </c>
      <c r="DD134" s="188">
        <f t="shared" ref="DD134:DD197" si="117">+CS134*$DD$3</f>
        <v>0.1</v>
      </c>
      <c r="DE134" s="277"/>
      <c r="DF134" s="191">
        <f t="shared" ref="DF134:DF197" si="118">+DE134/DD134</f>
        <v>0</v>
      </c>
      <c r="DG134" s="173"/>
      <c r="DH134" s="188">
        <f t="shared" ref="DH134:DH197" si="119">R134</f>
        <v>1</v>
      </c>
      <c r="DI134" s="188">
        <f t="shared" ref="DI134:DI197" si="120">+CQ134+CV134+CY134+DB134+DE134</f>
        <v>0</v>
      </c>
      <c r="DJ134" s="191">
        <f t="shared" ref="DJ134:DJ197" si="121">+DI134/DH134</f>
        <v>0</v>
      </c>
      <c r="DK134" s="286">
        <f t="shared" ref="DK134:DK197" si="122">+DH134-DI134</f>
        <v>1</v>
      </c>
      <c r="DL134" s="261">
        <v>130</v>
      </c>
      <c r="DM134">
        <f>+A134-DL134</f>
        <v>0</v>
      </c>
    </row>
    <row r="135" spans="1:117" ht="25" x14ac:dyDescent="0.35">
      <c r="A135" s="263">
        <v>131</v>
      </c>
      <c r="B135" s="102" t="s">
        <v>270</v>
      </c>
      <c r="C135" s="102" t="s">
        <v>118</v>
      </c>
      <c r="D135" s="102" t="s">
        <v>119</v>
      </c>
      <c r="E135" s="102" t="s">
        <v>289</v>
      </c>
      <c r="F135" s="102" t="s">
        <v>493</v>
      </c>
      <c r="G135" s="98" t="s">
        <v>503</v>
      </c>
      <c r="H135" s="98" t="s">
        <v>504</v>
      </c>
      <c r="I135" s="98" t="s">
        <v>103</v>
      </c>
      <c r="J135" s="98" t="s">
        <v>103</v>
      </c>
      <c r="K135" s="96" t="s">
        <v>104</v>
      </c>
      <c r="L135" s="96" t="s">
        <v>105</v>
      </c>
      <c r="M135" s="98" t="s">
        <v>106</v>
      </c>
      <c r="N135" s="98" t="s">
        <v>505</v>
      </c>
      <c r="O135" s="98" t="s">
        <v>506</v>
      </c>
      <c r="P135" s="288" t="s">
        <v>507</v>
      </c>
      <c r="Q135" s="98" t="s">
        <v>129</v>
      </c>
      <c r="R135" s="301">
        <v>29</v>
      </c>
      <c r="S135" s="83" t="s">
        <v>111</v>
      </c>
      <c r="T135" s="81">
        <v>0</v>
      </c>
      <c r="U135" s="81">
        <v>0</v>
      </c>
      <c r="V135" s="25" t="e">
        <f t="shared" ref="V135" si="123">U135/T135*100</f>
        <v>#DIV/0!</v>
      </c>
      <c r="W135" s="81">
        <v>10</v>
      </c>
      <c r="X135" s="81">
        <v>10</v>
      </c>
      <c r="Y135" s="25">
        <f t="shared" si="1"/>
        <v>100</v>
      </c>
      <c r="Z135" s="81">
        <v>10</v>
      </c>
      <c r="AA135" s="81"/>
      <c r="AB135" s="25">
        <f t="shared" si="2"/>
        <v>0</v>
      </c>
      <c r="AC135" s="81">
        <v>9</v>
      </c>
      <c r="AD135" s="81"/>
      <c r="AE135" s="25">
        <f t="shared" si="3"/>
        <v>0</v>
      </c>
      <c r="AF135" s="140">
        <f t="shared" si="84"/>
        <v>29</v>
      </c>
      <c r="AG135" s="140">
        <f t="shared" si="85"/>
        <v>10</v>
      </c>
      <c r="AH135" s="138" t="e">
        <f>IF(COUNT(U135,X135,AA135,AD135)=1,(U135/#REF!*100),IF(COUNT(U135,X135,AA135,AD135)=2,((U135+X135)/(#REF!+W135)*100),IF(COUNT(U135,X135,AA135,AD135)=3,((U135+X135+AA135)/(#REF!+W135+Z135)*100),(AG135/AF135*100))))</f>
        <v>#REF!</v>
      </c>
      <c r="AI135" s="101">
        <v>46113</v>
      </c>
      <c r="AJ135" s="101">
        <v>46447</v>
      </c>
      <c r="AK135" s="102" t="s">
        <v>112</v>
      </c>
      <c r="AL135" s="102" t="s">
        <v>113</v>
      </c>
      <c r="AM135" s="103" t="s">
        <v>114</v>
      </c>
      <c r="AN135" s="324"/>
      <c r="AO135" s="324"/>
      <c r="AP135" s="324"/>
      <c r="AQ135" s="326"/>
      <c r="AR135" s="102" t="s">
        <v>508</v>
      </c>
      <c r="AS135" s="102" t="s">
        <v>112</v>
      </c>
      <c r="AT135" s="152" t="s">
        <v>509</v>
      </c>
      <c r="AU135" s="166" t="s">
        <v>2264</v>
      </c>
      <c r="AV135" s="247" t="s">
        <v>2234</v>
      </c>
      <c r="AZ135" s="271" t="s">
        <v>2389</v>
      </c>
      <c r="BA135" s="272"/>
      <c r="BB135" s="273"/>
      <c r="BC135" s="209" t="e">
        <f t="shared" si="99"/>
        <v>#DIV/0!</v>
      </c>
      <c r="BD135" s="272"/>
      <c r="BE135" s="273"/>
      <c r="BF135" s="209" t="e">
        <f t="shared" si="100"/>
        <v>#DIV/0!</v>
      </c>
      <c r="BG135" s="272"/>
      <c r="BH135" s="273"/>
      <c r="BI135" s="209" t="e">
        <f t="shared" si="101"/>
        <v>#DIV/0!</v>
      </c>
      <c r="BJ135" s="210">
        <f t="shared" si="102"/>
        <v>0</v>
      </c>
      <c r="BK135" s="211">
        <f t="shared" si="103"/>
        <v>0</v>
      </c>
      <c r="BL135" s="209" t="e">
        <f t="shared" si="104"/>
        <v>#DIV/0!</v>
      </c>
      <c r="BM135" s="272"/>
      <c r="BN135" s="273"/>
      <c r="BO135" s="209" t="e">
        <f t="shared" si="86"/>
        <v>#DIV/0!</v>
      </c>
      <c r="BP135" s="272"/>
      <c r="BQ135" s="273"/>
      <c r="BR135" s="209" t="e">
        <f t="shared" si="87"/>
        <v>#DIV/0!</v>
      </c>
      <c r="BS135" s="272"/>
      <c r="BT135" s="272"/>
      <c r="BU135" s="209" t="e">
        <f t="shared" si="88"/>
        <v>#DIV/0!</v>
      </c>
      <c r="BV135" s="210">
        <f t="shared" si="105"/>
        <v>0</v>
      </c>
      <c r="BW135" s="210">
        <f t="shared" si="106"/>
        <v>0</v>
      </c>
      <c r="BX135" s="209" t="e">
        <f t="shared" si="107"/>
        <v>#DIV/0!</v>
      </c>
      <c r="BY135" s="209">
        <f t="shared" si="108"/>
        <v>0</v>
      </c>
      <c r="BZ135" s="209">
        <f t="shared" si="109"/>
        <v>0</v>
      </c>
      <c r="CA135" s="212"/>
      <c r="CB135" s="245"/>
      <c r="CC135" s="183"/>
      <c r="CD135" s="184"/>
      <c r="CE135" s="185" t="e">
        <f t="shared" si="89"/>
        <v>#DIV/0!</v>
      </c>
      <c r="CF135" s="183"/>
      <c r="CG135" s="184"/>
      <c r="CH135" s="185" t="e">
        <f t="shared" si="90"/>
        <v>#DIV/0!</v>
      </c>
      <c r="CI135" s="189"/>
      <c r="CJ135" s="190"/>
      <c r="CK135" s="185" t="e">
        <f t="shared" si="91"/>
        <v>#DIV/0!</v>
      </c>
      <c r="CL135" s="187">
        <f t="shared" si="92"/>
        <v>0</v>
      </c>
      <c r="CM135" s="186">
        <f t="shared" si="93"/>
        <v>0</v>
      </c>
      <c r="CN135" s="185" t="e">
        <f t="shared" si="94"/>
        <v>#DIV/0!</v>
      </c>
      <c r="CO135" s="245"/>
      <c r="CP135" s="188">
        <f t="shared" si="95"/>
        <v>0</v>
      </c>
      <c r="CQ135" s="188">
        <f t="shared" si="96"/>
        <v>0</v>
      </c>
      <c r="CR135" s="191" t="e">
        <f t="shared" si="97"/>
        <v>#DIV/0!</v>
      </c>
      <c r="CS135" s="279">
        <f t="shared" si="110"/>
        <v>29</v>
      </c>
      <c r="CT135" s="245"/>
      <c r="CU135" s="188">
        <f t="shared" si="111"/>
        <v>8.6999999999999993</v>
      </c>
      <c r="CV135" s="277"/>
      <c r="CW135" s="191">
        <f t="shared" si="112"/>
        <v>0</v>
      </c>
      <c r="CX135" s="188">
        <f t="shared" si="113"/>
        <v>8.6999999999999993</v>
      </c>
      <c r="CY135" s="277"/>
      <c r="CZ135" s="191">
        <f t="shared" si="114"/>
        <v>0</v>
      </c>
      <c r="DA135" s="188">
        <f t="shared" si="115"/>
        <v>8.6999999999999993</v>
      </c>
      <c r="DB135" s="277"/>
      <c r="DC135" s="191">
        <f t="shared" si="116"/>
        <v>0</v>
      </c>
      <c r="DD135" s="188">
        <f t="shared" si="117"/>
        <v>2.9000000000000004</v>
      </c>
      <c r="DE135" s="277"/>
      <c r="DF135" s="191">
        <f t="shared" si="118"/>
        <v>0</v>
      </c>
      <c r="DG135" s="245"/>
      <c r="DH135" s="188">
        <f t="shared" si="119"/>
        <v>29</v>
      </c>
      <c r="DI135" s="188">
        <f t="shared" si="120"/>
        <v>0</v>
      </c>
      <c r="DJ135" s="191">
        <f t="shared" si="121"/>
        <v>0</v>
      </c>
      <c r="DK135" s="286">
        <f t="shared" si="122"/>
        <v>29</v>
      </c>
      <c r="DL135" s="261">
        <v>131</v>
      </c>
      <c r="DM135" s="244">
        <f>+A135-DL135</f>
        <v>0</v>
      </c>
    </row>
    <row r="136" spans="1:117" ht="25" x14ac:dyDescent="0.35">
      <c r="A136" s="263">
        <v>132</v>
      </c>
      <c r="B136" s="102" t="s">
        <v>270</v>
      </c>
      <c r="C136" s="102" t="s">
        <v>118</v>
      </c>
      <c r="D136" s="102" t="s">
        <v>119</v>
      </c>
      <c r="E136" s="102" t="s">
        <v>155</v>
      </c>
      <c r="F136" s="102" t="s">
        <v>493</v>
      </c>
      <c r="G136" s="98" t="s">
        <v>510</v>
      </c>
      <c r="H136" s="98" t="s">
        <v>301</v>
      </c>
      <c r="I136" s="98" t="s">
        <v>337</v>
      </c>
      <c r="J136" s="98" t="s">
        <v>337</v>
      </c>
      <c r="K136" s="96" t="s">
        <v>104</v>
      </c>
      <c r="L136" s="96" t="s">
        <v>105</v>
      </c>
      <c r="M136" s="98" t="s">
        <v>106</v>
      </c>
      <c r="N136" s="98" t="s">
        <v>107</v>
      </c>
      <c r="O136" s="98" t="s">
        <v>127</v>
      </c>
      <c r="P136" s="241" t="s">
        <v>511</v>
      </c>
      <c r="Q136" s="98" t="s">
        <v>129</v>
      </c>
      <c r="R136" s="301">
        <v>29</v>
      </c>
      <c r="S136" s="99" t="s">
        <v>111</v>
      </c>
      <c r="T136" s="81">
        <v>0</v>
      </c>
      <c r="U136" s="81">
        <v>4</v>
      </c>
      <c r="V136" s="25" t="e">
        <f t="shared" ref="V136:V157" si="124">U136/T136*100</f>
        <v>#DIV/0!</v>
      </c>
      <c r="W136" s="81">
        <v>10</v>
      </c>
      <c r="X136" s="81"/>
      <c r="Y136" s="25">
        <f t="shared" si="1"/>
        <v>0</v>
      </c>
      <c r="Z136" s="81">
        <v>10</v>
      </c>
      <c r="AA136" s="81"/>
      <c r="AB136" s="25">
        <f t="shared" si="2"/>
        <v>0</v>
      </c>
      <c r="AC136" s="81">
        <v>9</v>
      </c>
      <c r="AD136" s="81"/>
      <c r="AE136" s="25">
        <f t="shared" si="3"/>
        <v>0</v>
      </c>
      <c r="AF136" s="140">
        <f t="shared" si="84"/>
        <v>29</v>
      </c>
      <c r="AG136" s="140">
        <f t="shared" si="85"/>
        <v>4</v>
      </c>
      <c r="AH136" s="138" t="e">
        <f t="shared" ref="AH136:AH281" si="125">IF(COUNT(U136,X136,AA136,AD136)=1,(U136/T136*100),IF(COUNT(U136,X136,AA136,AD136)=2,((U136+X136)/(T136+W136)*100),IF(COUNT(U136,X136,AA136,AD136)=3,((U136+X136+AA136)/(T136+W136+Z136)*100),(AG136/AF136*100))))</f>
        <v>#DIV/0!</v>
      </c>
      <c r="AI136" s="101">
        <v>46082</v>
      </c>
      <c r="AJ136" s="101">
        <v>46447</v>
      </c>
      <c r="AK136" s="102" t="s">
        <v>112</v>
      </c>
      <c r="AL136" s="102" t="s">
        <v>113</v>
      </c>
      <c r="AM136" s="103" t="s">
        <v>114</v>
      </c>
      <c r="AN136" s="324"/>
      <c r="AO136" s="324"/>
      <c r="AP136" s="324"/>
      <c r="AQ136" s="326"/>
      <c r="AR136" s="102" t="s">
        <v>508</v>
      </c>
      <c r="AS136" s="102" t="s">
        <v>112</v>
      </c>
      <c r="AT136" s="152" t="s">
        <v>509</v>
      </c>
      <c r="AU136" s="166" t="s">
        <v>2264</v>
      </c>
      <c r="AV136" s="247" t="s">
        <v>2234</v>
      </c>
      <c r="BA136" s="272"/>
      <c r="BB136" s="273"/>
      <c r="BC136" s="209" t="e">
        <f t="shared" si="99"/>
        <v>#DIV/0!</v>
      </c>
      <c r="BD136" s="272"/>
      <c r="BE136" s="273"/>
      <c r="BF136" s="209" t="e">
        <f t="shared" si="100"/>
        <v>#DIV/0!</v>
      </c>
      <c r="BG136" s="272"/>
      <c r="BH136" s="273"/>
      <c r="BI136" s="209" t="e">
        <f t="shared" si="101"/>
        <v>#DIV/0!</v>
      </c>
      <c r="BJ136" s="210">
        <f t="shared" si="102"/>
        <v>0</v>
      </c>
      <c r="BK136" s="211">
        <f t="shared" si="103"/>
        <v>0</v>
      </c>
      <c r="BL136" s="209" t="e">
        <f t="shared" si="104"/>
        <v>#DIV/0!</v>
      </c>
      <c r="BM136" s="272"/>
      <c r="BN136" s="273"/>
      <c r="BO136" s="209" t="e">
        <f t="shared" si="86"/>
        <v>#DIV/0!</v>
      </c>
      <c r="BP136" s="272"/>
      <c r="BQ136" s="273"/>
      <c r="BR136" s="209" t="e">
        <f t="shared" si="87"/>
        <v>#DIV/0!</v>
      </c>
      <c r="BS136" s="272"/>
      <c r="BT136" s="272"/>
      <c r="BU136" s="209" t="e">
        <f t="shared" si="88"/>
        <v>#DIV/0!</v>
      </c>
      <c r="BV136" s="210">
        <f t="shared" si="105"/>
        <v>0</v>
      </c>
      <c r="BW136" s="210">
        <f t="shared" si="106"/>
        <v>0</v>
      </c>
      <c r="BX136" s="209" t="e">
        <f t="shared" si="107"/>
        <v>#DIV/0!</v>
      </c>
      <c r="BY136" s="209">
        <f t="shared" si="108"/>
        <v>0</v>
      </c>
      <c r="BZ136" s="209">
        <f t="shared" si="109"/>
        <v>0</v>
      </c>
      <c r="CA136" s="212"/>
      <c r="CB136" s="245"/>
      <c r="CC136" s="183"/>
      <c r="CD136" s="184"/>
      <c r="CE136" s="185" t="e">
        <f t="shared" si="89"/>
        <v>#DIV/0!</v>
      </c>
      <c r="CF136" s="183"/>
      <c r="CG136" s="184"/>
      <c r="CH136" s="185" t="e">
        <f t="shared" si="90"/>
        <v>#DIV/0!</v>
      </c>
      <c r="CI136" s="189"/>
      <c r="CJ136" s="190"/>
      <c r="CK136" s="185" t="e">
        <f t="shared" si="91"/>
        <v>#DIV/0!</v>
      </c>
      <c r="CL136" s="187">
        <f t="shared" si="92"/>
        <v>0</v>
      </c>
      <c r="CM136" s="186">
        <f t="shared" si="93"/>
        <v>0</v>
      </c>
      <c r="CN136" s="185" t="e">
        <f t="shared" si="94"/>
        <v>#DIV/0!</v>
      </c>
      <c r="CO136" s="245"/>
      <c r="CP136" s="188">
        <f t="shared" si="95"/>
        <v>0</v>
      </c>
      <c r="CQ136" s="188">
        <f t="shared" si="96"/>
        <v>0</v>
      </c>
      <c r="CR136" s="191" t="e">
        <f t="shared" si="97"/>
        <v>#DIV/0!</v>
      </c>
      <c r="CS136" s="279">
        <f t="shared" si="110"/>
        <v>29</v>
      </c>
      <c r="CT136" s="245"/>
      <c r="CU136" s="188">
        <f t="shared" si="111"/>
        <v>8.6999999999999993</v>
      </c>
      <c r="CV136" s="277"/>
      <c r="CW136" s="191">
        <f t="shared" si="112"/>
        <v>0</v>
      </c>
      <c r="CX136" s="188">
        <f t="shared" si="113"/>
        <v>8.6999999999999993</v>
      </c>
      <c r="CY136" s="277"/>
      <c r="CZ136" s="191">
        <f t="shared" si="114"/>
        <v>0</v>
      </c>
      <c r="DA136" s="188">
        <f t="shared" si="115"/>
        <v>8.6999999999999993</v>
      </c>
      <c r="DB136" s="277"/>
      <c r="DC136" s="191">
        <f t="shared" si="116"/>
        <v>0</v>
      </c>
      <c r="DD136" s="188">
        <f t="shared" si="117"/>
        <v>2.9000000000000004</v>
      </c>
      <c r="DE136" s="277"/>
      <c r="DF136" s="191">
        <f t="shared" si="118"/>
        <v>0</v>
      </c>
      <c r="DG136" s="245"/>
      <c r="DH136" s="188">
        <f t="shared" si="119"/>
        <v>29</v>
      </c>
      <c r="DI136" s="188">
        <f t="shared" si="120"/>
        <v>0</v>
      </c>
      <c r="DJ136" s="191">
        <f t="shared" si="121"/>
        <v>0</v>
      </c>
      <c r="DK136" s="286">
        <f t="shared" si="122"/>
        <v>29</v>
      </c>
      <c r="DL136" s="261">
        <v>132</v>
      </c>
      <c r="DM136" s="244">
        <f>+A136-DL136</f>
        <v>0</v>
      </c>
    </row>
    <row r="137" spans="1:117" ht="25" x14ac:dyDescent="0.35">
      <c r="A137" s="263">
        <v>133</v>
      </c>
      <c r="B137" s="102" t="s">
        <v>270</v>
      </c>
      <c r="C137" s="102" t="s">
        <v>118</v>
      </c>
      <c r="D137" s="102" t="s">
        <v>119</v>
      </c>
      <c r="E137" s="102" t="s">
        <v>155</v>
      </c>
      <c r="F137" s="102" t="s">
        <v>512</v>
      </c>
      <c r="G137" s="98" t="s">
        <v>510</v>
      </c>
      <c r="H137" s="98" t="s">
        <v>301</v>
      </c>
      <c r="I137" s="98" t="s">
        <v>337</v>
      </c>
      <c r="J137" s="98" t="s">
        <v>337</v>
      </c>
      <c r="K137" s="96" t="s">
        <v>104</v>
      </c>
      <c r="L137" s="96" t="s">
        <v>105</v>
      </c>
      <c r="M137" s="98" t="s">
        <v>106</v>
      </c>
      <c r="N137" s="98" t="s">
        <v>107</v>
      </c>
      <c r="O137" s="98" t="s">
        <v>127</v>
      </c>
      <c r="P137" s="241" t="s">
        <v>513</v>
      </c>
      <c r="Q137" s="98" t="s">
        <v>129</v>
      </c>
      <c r="R137" s="301">
        <v>29</v>
      </c>
      <c r="S137" s="99" t="s">
        <v>111</v>
      </c>
      <c r="T137" s="81">
        <v>0</v>
      </c>
      <c r="U137" s="81">
        <v>4</v>
      </c>
      <c r="V137" s="25" t="e">
        <f t="shared" si="124"/>
        <v>#DIV/0!</v>
      </c>
      <c r="W137" s="81">
        <v>10</v>
      </c>
      <c r="X137" s="81">
        <v>8</v>
      </c>
      <c r="Y137" s="25">
        <f t="shared" si="1"/>
        <v>80</v>
      </c>
      <c r="Z137" s="81">
        <v>10</v>
      </c>
      <c r="AA137" s="81"/>
      <c r="AB137" s="25">
        <f t="shared" si="2"/>
        <v>0</v>
      </c>
      <c r="AC137" s="81">
        <v>9</v>
      </c>
      <c r="AD137" s="81"/>
      <c r="AE137" s="25">
        <f t="shared" si="3"/>
        <v>0</v>
      </c>
      <c r="AF137" s="140">
        <f t="shared" si="84"/>
        <v>29</v>
      </c>
      <c r="AG137" s="140">
        <f t="shared" si="85"/>
        <v>12</v>
      </c>
      <c r="AH137" s="138">
        <f t="shared" si="125"/>
        <v>120</v>
      </c>
      <c r="AI137" s="101">
        <v>46082</v>
      </c>
      <c r="AJ137" s="101">
        <v>46447</v>
      </c>
      <c r="AK137" s="102" t="s">
        <v>112</v>
      </c>
      <c r="AL137" s="102" t="s">
        <v>113</v>
      </c>
      <c r="AM137" s="103" t="s">
        <v>114</v>
      </c>
      <c r="AN137" s="324"/>
      <c r="AO137" s="324"/>
      <c r="AP137" s="324"/>
      <c r="AQ137" s="326"/>
      <c r="AR137" s="102" t="s">
        <v>508</v>
      </c>
      <c r="AS137" s="102" t="s">
        <v>112</v>
      </c>
      <c r="AT137" s="152" t="s">
        <v>509</v>
      </c>
      <c r="AU137" s="166" t="s">
        <v>2264</v>
      </c>
      <c r="AV137" s="247" t="s">
        <v>2234</v>
      </c>
      <c r="BA137" s="272"/>
      <c r="BB137" s="273"/>
      <c r="BC137" s="209" t="e">
        <f t="shared" si="99"/>
        <v>#DIV/0!</v>
      </c>
      <c r="BD137" s="272"/>
      <c r="BE137" s="273"/>
      <c r="BF137" s="209" t="e">
        <f t="shared" si="100"/>
        <v>#DIV/0!</v>
      </c>
      <c r="BG137" s="272"/>
      <c r="BH137" s="273"/>
      <c r="BI137" s="209" t="e">
        <f t="shared" si="101"/>
        <v>#DIV/0!</v>
      </c>
      <c r="BJ137" s="210">
        <f t="shared" si="102"/>
        <v>0</v>
      </c>
      <c r="BK137" s="211">
        <f t="shared" si="103"/>
        <v>0</v>
      </c>
      <c r="BL137" s="209" t="e">
        <f t="shared" si="104"/>
        <v>#DIV/0!</v>
      </c>
      <c r="BM137" s="272"/>
      <c r="BN137" s="273"/>
      <c r="BO137" s="209" t="e">
        <f t="shared" si="86"/>
        <v>#DIV/0!</v>
      </c>
      <c r="BP137" s="272"/>
      <c r="BQ137" s="273"/>
      <c r="BR137" s="209" t="e">
        <f t="shared" si="87"/>
        <v>#DIV/0!</v>
      </c>
      <c r="BS137" s="272"/>
      <c r="BT137" s="272"/>
      <c r="BU137" s="209" t="e">
        <f t="shared" si="88"/>
        <v>#DIV/0!</v>
      </c>
      <c r="BV137" s="210">
        <f t="shared" si="105"/>
        <v>0</v>
      </c>
      <c r="BW137" s="210">
        <f t="shared" si="106"/>
        <v>0</v>
      </c>
      <c r="BX137" s="209" t="e">
        <f t="shared" si="107"/>
        <v>#DIV/0!</v>
      </c>
      <c r="BY137" s="209">
        <f t="shared" si="108"/>
        <v>0</v>
      </c>
      <c r="BZ137" s="209">
        <f t="shared" si="109"/>
        <v>0</v>
      </c>
      <c r="CA137" s="212"/>
      <c r="CB137" s="245"/>
      <c r="CC137" s="183"/>
      <c r="CD137" s="184"/>
      <c r="CE137" s="185" t="e">
        <f t="shared" si="89"/>
        <v>#DIV/0!</v>
      </c>
      <c r="CF137" s="183"/>
      <c r="CG137" s="184"/>
      <c r="CH137" s="185" t="e">
        <f t="shared" si="90"/>
        <v>#DIV/0!</v>
      </c>
      <c r="CI137" s="189"/>
      <c r="CJ137" s="190"/>
      <c r="CK137" s="185" t="e">
        <f t="shared" si="91"/>
        <v>#DIV/0!</v>
      </c>
      <c r="CL137" s="187">
        <f t="shared" si="92"/>
        <v>0</v>
      </c>
      <c r="CM137" s="186">
        <f t="shared" si="93"/>
        <v>0</v>
      </c>
      <c r="CN137" s="185" t="e">
        <f t="shared" si="94"/>
        <v>#DIV/0!</v>
      </c>
      <c r="CO137" s="245"/>
      <c r="CP137" s="188">
        <f t="shared" si="95"/>
        <v>0</v>
      </c>
      <c r="CQ137" s="188">
        <f t="shared" si="96"/>
        <v>0</v>
      </c>
      <c r="CR137" s="191" t="e">
        <f t="shared" si="97"/>
        <v>#DIV/0!</v>
      </c>
      <c r="CS137" s="279">
        <f t="shared" si="110"/>
        <v>29</v>
      </c>
      <c r="CT137" s="245"/>
      <c r="CU137" s="188">
        <f t="shared" si="111"/>
        <v>8.6999999999999993</v>
      </c>
      <c r="CV137" s="277"/>
      <c r="CW137" s="191">
        <f t="shared" si="112"/>
        <v>0</v>
      </c>
      <c r="CX137" s="188">
        <f t="shared" si="113"/>
        <v>8.6999999999999993</v>
      </c>
      <c r="CY137" s="277"/>
      <c r="CZ137" s="191">
        <f t="shared" si="114"/>
        <v>0</v>
      </c>
      <c r="DA137" s="188">
        <f t="shared" si="115"/>
        <v>8.6999999999999993</v>
      </c>
      <c r="DB137" s="277"/>
      <c r="DC137" s="191">
        <f t="shared" si="116"/>
        <v>0</v>
      </c>
      <c r="DD137" s="188">
        <f t="shared" si="117"/>
        <v>2.9000000000000004</v>
      </c>
      <c r="DE137" s="277"/>
      <c r="DF137" s="191">
        <f t="shared" si="118"/>
        <v>0</v>
      </c>
      <c r="DG137" s="245"/>
      <c r="DH137" s="188">
        <f t="shared" si="119"/>
        <v>29</v>
      </c>
      <c r="DI137" s="188">
        <f t="shared" si="120"/>
        <v>0</v>
      </c>
      <c r="DJ137" s="191">
        <f t="shared" si="121"/>
        <v>0</v>
      </c>
      <c r="DK137" s="286">
        <f t="shared" si="122"/>
        <v>29</v>
      </c>
      <c r="DL137" s="261">
        <v>133</v>
      </c>
      <c r="DM137" s="244">
        <f>+A137-DL137</f>
        <v>0</v>
      </c>
    </row>
    <row r="138" spans="1:117" ht="25" x14ac:dyDescent="0.35">
      <c r="A138" s="263">
        <v>134</v>
      </c>
      <c r="B138" s="102" t="s">
        <v>270</v>
      </c>
      <c r="C138" s="102" t="s">
        <v>118</v>
      </c>
      <c r="D138" s="102" t="s">
        <v>119</v>
      </c>
      <c r="E138" s="102" t="s">
        <v>120</v>
      </c>
      <c r="F138" s="102" t="s">
        <v>514</v>
      </c>
      <c r="G138" s="98" t="s">
        <v>489</v>
      </c>
      <c r="H138" s="98" t="s">
        <v>301</v>
      </c>
      <c r="I138" s="98" t="s">
        <v>285</v>
      </c>
      <c r="J138" s="98" t="s">
        <v>285</v>
      </c>
      <c r="K138" s="96" t="s">
        <v>104</v>
      </c>
      <c r="L138" s="96" t="s">
        <v>105</v>
      </c>
      <c r="M138" s="98" t="s">
        <v>106</v>
      </c>
      <c r="N138" s="98" t="s">
        <v>107</v>
      </c>
      <c r="O138" s="98" t="s">
        <v>127</v>
      </c>
      <c r="P138" s="259" t="s">
        <v>515</v>
      </c>
      <c r="Q138" s="98" t="s">
        <v>129</v>
      </c>
      <c r="R138" s="301">
        <v>1</v>
      </c>
      <c r="S138" s="99" t="s">
        <v>111</v>
      </c>
      <c r="T138" s="81">
        <v>1</v>
      </c>
      <c r="U138" s="81">
        <v>0</v>
      </c>
      <c r="V138" s="25" t="e">
        <f>V135=U138/T138*100=U138/T138*100</f>
        <v>#DIV/0!</v>
      </c>
      <c r="W138" s="81">
        <v>0</v>
      </c>
      <c r="X138" s="81">
        <v>1</v>
      </c>
      <c r="Y138" s="25" t="e">
        <f t="shared" ref="Y138" si="126">X138/W138*100</f>
        <v>#DIV/0!</v>
      </c>
      <c r="Z138" s="81">
        <v>1</v>
      </c>
      <c r="AA138" s="81"/>
      <c r="AB138" s="25">
        <f t="shared" si="2"/>
        <v>0</v>
      </c>
      <c r="AC138" s="81"/>
      <c r="AD138" s="81"/>
      <c r="AE138" s="25" t="e">
        <f t="shared" si="3"/>
        <v>#DIV/0!</v>
      </c>
      <c r="AF138" s="140">
        <f t="shared" si="84"/>
        <v>1</v>
      </c>
      <c r="AG138" s="140">
        <f t="shared" si="85"/>
        <v>1</v>
      </c>
      <c r="AH138" s="138">
        <f t="shared" si="125"/>
        <v>100</v>
      </c>
      <c r="AI138" s="101">
        <v>46082</v>
      </c>
      <c r="AJ138" s="101">
        <v>46447</v>
      </c>
      <c r="AK138" s="102" t="s">
        <v>112</v>
      </c>
      <c r="AL138" s="102" t="s">
        <v>113</v>
      </c>
      <c r="AM138" s="103" t="s">
        <v>114</v>
      </c>
      <c r="AN138" s="104">
        <v>10000000</v>
      </c>
      <c r="AO138" s="104">
        <v>10000000</v>
      </c>
      <c r="AP138" s="104">
        <v>10000000</v>
      </c>
      <c r="AQ138" s="105">
        <f>AO138</f>
        <v>10000000</v>
      </c>
      <c r="AR138" s="102" t="s">
        <v>508</v>
      </c>
      <c r="AS138" s="102" t="s">
        <v>112</v>
      </c>
      <c r="AT138" s="152" t="s">
        <v>509</v>
      </c>
      <c r="AU138" s="166" t="s">
        <v>2264</v>
      </c>
      <c r="AV138" s="247" t="s">
        <v>2234</v>
      </c>
      <c r="BA138" s="272"/>
      <c r="BB138" s="273"/>
      <c r="BC138" s="209" t="e">
        <f t="shared" si="99"/>
        <v>#DIV/0!</v>
      </c>
      <c r="BD138" s="272"/>
      <c r="BE138" s="273"/>
      <c r="BF138" s="209" t="e">
        <f t="shared" si="100"/>
        <v>#DIV/0!</v>
      </c>
      <c r="BG138" s="272"/>
      <c r="BH138" s="273"/>
      <c r="BI138" s="209" t="e">
        <f t="shared" si="101"/>
        <v>#DIV/0!</v>
      </c>
      <c r="BJ138" s="210">
        <f t="shared" si="102"/>
        <v>0</v>
      </c>
      <c r="BK138" s="211">
        <f t="shared" si="103"/>
        <v>0</v>
      </c>
      <c r="BL138" s="209" t="e">
        <f t="shared" si="104"/>
        <v>#DIV/0!</v>
      </c>
      <c r="BM138" s="272"/>
      <c r="BN138" s="273"/>
      <c r="BO138" s="209" t="e">
        <f t="shared" si="86"/>
        <v>#DIV/0!</v>
      </c>
      <c r="BP138" s="272"/>
      <c r="BQ138" s="273"/>
      <c r="BR138" s="209" t="e">
        <f t="shared" si="87"/>
        <v>#DIV/0!</v>
      </c>
      <c r="BS138" s="272"/>
      <c r="BT138" s="272"/>
      <c r="BU138" s="209" t="e">
        <f t="shared" si="88"/>
        <v>#DIV/0!</v>
      </c>
      <c r="BV138" s="210">
        <f t="shared" si="105"/>
        <v>0</v>
      </c>
      <c r="BW138" s="210">
        <f t="shared" si="106"/>
        <v>0</v>
      </c>
      <c r="BX138" s="209" t="e">
        <f t="shared" si="107"/>
        <v>#DIV/0!</v>
      </c>
      <c r="BY138" s="209">
        <f t="shared" si="108"/>
        <v>0</v>
      </c>
      <c r="BZ138" s="209">
        <f t="shared" si="109"/>
        <v>0</v>
      </c>
      <c r="CA138" s="212"/>
      <c r="CB138" s="245"/>
      <c r="CC138" s="183"/>
      <c r="CD138" s="184"/>
      <c r="CE138" s="185" t="e">
        <f t="shared" si="89"/>
        <v>#DIV/0!</v>
      </c>
      <c r="CF138" s="183"/>
      <c r="CG138" s="184"/>
      <c r="CH138" s="185" t="e">
        <f t="shared" si="90"/>
        <v>#DIV/0!</v>
      </c>
      <c r="CI138" s="189"/>
      <c r="CJ138" s="190"/>
      <c r="CK138" s="185" t="e">
        <f t="shared" si="91"/>
        <v>#DIV/0!</v>
      </c>
      <c r="CL138" s="187">
        <f t="shared" si="92"/>
        <v>0</v>
      </c>
      <c r="CM138" s="186">
        <f t="shared" si="93"/>
        <v>0</v>
      </c>
      <c r="CN138" s="185" t="e">
        <f t="shared" si="94"/>
        <v>#DIV/0!</v>
      </c>
      <c r="CO138" s="245"/>
      <c r="CP138" s="188">
        <f t="shared" si="95"/>
        <v>0</v>
      </c>
      <c r="CQ138" s="188">
        <f t="shared" si="96"/>
        <v>0</v>
      </c>
      <c r="CR138" s="191" t="e">
        <f t="shared" si="97"/>
        <v>#DIV/0!</v>
      </c>
      <c r="CS138" s="279">
        <f t="shared" si="110"/>
        <v>1</v>
      </c>
      <c r="CT138" s="245"/>
      <c r="CU138" s="188">
        <f t="shared" si="111"/>
        <v>0.3</v>
      </c>
      <c r="CV138" s="277"/>
      <c r="CW138" s="191">
        <f t="shared" si="112"/>
        <v>0</v>
      </c>
      <c r="CX138" s="188">
        <f t="shared" si="113"/>
        <v>0.3</v>
      </c>
      <c r="CY138" s="277"/>
      <c r="CZ138" s="191">
        <f t="shared" si="114"/>
        <v>0</v>
      </c>
      <c r="DA138" s="188">
        <f t="shared" si="115"/>
        <v>0.3</v>
      </c>
      <c r="DB138" s="277"/>
      <c r="DC138" s="191">
        <f t="shared" si="116"/>
        <v>0</v>
      </c>
      <c r="DD138" s="188">
        <f t="shared" si="117"/>
        <v>0.1</v>
      </c>
      <c r="DE138" s="277"/>
      <c r="DF138" s="191">
        <f t="shared" si="118"/>
        <v>0</v>
      </c>
      <c r="DG138" s="245"/>
      <c r="DH138" s="188">
        <f t="shared" si="119"/>
        <v>1</v>
      </c>
      <c r="DI138" s="188">
        <f t="shared" si="120"/>
        <v>0</v>
      </c>
      <c r="DJ138" s="191">
        <f t="shared" si="121"/>
        <v>0</v>
      </c>
      <c r="DK138" s="286">
        <f t="shared" si="122"/>
        <v>1</v>
      </c>
      <c r="DL138" s="261">
        <v>134</v>
      </c>
      <c r="DM138" s="244">
        <f>+A138-DL138</f>
        <v>0</v>
      </c>
    </row>
    <row r="139" spans="1:117" customFormat="1" ht="25" x14ac:dyDescent="0.35">
      <c r="A139" s="263">
        <v>135</v>
      </c>
      <c r="B139" s="102" t="s">
        <v>270</v>
      </c>
      <c r="C139" s="102" t="s">
        <v>118</v>
      </c>
      <c r="D139" s="102" t="s">
        <v>119</v>
      </c>
      <c r="E139" s="102" t="s">
        <v>155</v>
      </c>
      <c r="F139" s="102" t="s">
        <v>516</v>
      </c>
      <c r="G139" s="98" t="s">
        <v>517</v>
      </c>
      <c r="H139" s="98" t="s">
        <v>301</v>
      </c>
      <c r="I139" s="98" t="s">
        <v>224</v>
      </c>
      <c r="J139" s="98" t="s">
        <v>224</v>
      </c>
      <c r="K139" s="96" t="s">
        <v>104</v>
      </c>
      <c r="L139" s="96" t="s">
        <v>105</v>
      </c>
      <c r="M139" s="98" t="s">
        <v>106</v>
      </c>
      <c r="N139" s="98" t="s">
        <v>518</v>
      </c>
      <c r="O139" s="98" t="s">
        <v>127</v>
      </c>
      <c r="P139" s="241" t="s">
        <v>519</v>
      </c>
      <c r="Q139" s="98" t="s">
        <v>129</v>
      </c>
      <c r="R139" s="301">
        <v>29</v>
      </c>
      <c r="S139" s="99" t="s">
        <v>111</v>
      </c>
      <c r="T139" s="81">
        <v>0</v>
      </c>
      <c r="U139" s="81">
        <v>16</v>
      </c>
      <c r="V139" s="25" t="e">
        <f t="shared" si="124"/>
        <v>#DIV/0!</v>
      </c>
      <c r="W139" s="81">
        <v>0</v>
      </c>
      <c r="X139" s="81">
        <v>6</v>
      </c>
      <c r="Y139" s="25" t="e">
        <f t="shared" si="1"/>
        <v>#DIV/0!</v>
      </c>
      <c r="Z139" s="81">
        <v>10</v>
      </c>
      <c r="AA139" s="81"/>
      <c r="AB139" s="25">
        <f t="shared" si="2"/>
        <v>0</v>
      </c>
      <c r="AC139" s="81">
        <v>19</v>
      </c>
      <c r="AD139" s="81"/>
      <c r="AE139" s="25">
        <f t="shared" si="3"/>
        <v>0</v>
      </c>
      <c r="AF139" s="140">
        <f t="shared" si="84"/>
        <v>29</v>
      </c>
      <c r="AG139" s="140">
        <f t="shared" si="85"/>
        <v>22</v>
      </c>
      <c r="AH139" s="138" t="e">
        <f t="shared" si="125"/>
        <v>#DIV/0!</v>
      </c>
      <c r="AI139" s="101">
        <v>46032</v>
      </c>
      <c r="AJ139" s="101">
        <v>46387</v>
      </c>
      <c r="AK139" s="102" t="s">
        <v>112</v>
      </c>
      <c r="AL139" s="102" t="s">
        <v>113</v>
      </c>
      <c r="AM139" s="103" t="s">
        <v>114</v>
      </c>
      <c r="AN139" s="324"/>
      <c r="AO139" s="324"/>
      <c r="AP139" s="324"/>
      <c r="AQ139" s="326"/>
      <c r="AR139" s="102" t="s">
        <v>508</v>
      </c>
      <c r="AS139" s="102" t="s">
        <v>112</v>
      </c>
      <c r="AT139" s="152" t="s">
        <v>509</v>
      </c>
      <c r="AU139" s="166" t="s">
        <v>2264</v>
      </c>
      <c r="AV139" s="247" t="s">
        <v>2234</v>
      </c>
      <c r="AW139" s="136"/>
      <c r="AX139" s="136"/>
      <c r="AY139" s="136"/>
      <c r="AZ139" s="271" t="s">
        <v>2389</v>
      </c>
      <c r="BA139" s="272"/>
      <c r="BB139" s="273"/>
      <c r="BC139" s="209" t="e">
        <f t="shared" si="99"/>
        <v>#DIV/0!</v>
      </c>
      <c r="BD139" s="272"/>
      <c r="BE139" s="273"/>
      <c r="BF139" s="209" t="e">
        <f t="shared" si="100"/>
        <v>#DIV/0!</v>
      </c>
      <c r="BG139" s="272"/>
      <c r="BH139" s="273"/>
      <c r="BI139" s="209" t="e">
        <f t="shared" si="101"/>
        <v>#DIV/0!</v>
      </c>
      <c r="BJ139" s="210">
        <f t="shared" si="102"/>
        <v>0</v>
      </c>
      <c r="BK139" s="211">
        <f t="shared" si="103"/>
        <v>0</v>
      </c>
      <c r="BL139" s="209" t="e">
        <f t="shared" si="104"/>
        <v>#DIV/0!</v>
      </c>
      <c r="BM139" s="272"/>
      <c r="BN139" s="273"/>
      <c r="BO139" s="209" t="e">
        <f t="shared" si="86"/>
        <v>#DIV/0!</v>
      </c>
      <c r="BP139" s="272"/>
      <c r="BQ139" s="273"/>
      <c r="BR139" s="209" t="e">
        <f t="shared" si="87"/>
        <v>#DIV/0!</v>
      </c>
      <c r="BS139" s="272"/>
      <c r="BT139" s="272"/>
      <c r="BU139" s="209" t="e">
        <f t="shared" si="88"/>
        <v>#DIV/0!</v>
      </c>
      <c r="BV139" s="210">
        <f t="shared" si="105"/>
        <v>0</v>
      </c>
      <c r="BW139" s="210">
        <f t="shared" si="106"/>
        <v>0</v>
      </c>
      <c r="BX139" s="209" t="e">
        <f t="shared" si="107"/>
        <v>#DIV/0!</v>
      </c>
      <c r="BY139" s="209">
        <f t="shared" si="108"/>
        <v>0</v>
      </c>
      <c r="BZ139" s="209">
        <f t="shared" si="109"/>
        <v>0</v>
      </c>
      <c r="CA139" s="212"/>
      <c r="CB139" s="173"/>
      <c r="CC139" s="183"/>
      <c r="CD139" s="184"/>
      <c r="CE139" s="185" t="e">
        <f t="shared" si="89"/>
        <v>#DIV/0!</v>
      </c>
      <c r="CF139" s="183"/>
      <c r="CG139" s="184"/>
      <c r="CH139" s="185" t="e">
        <f t="shared" si="90"/>
        <v>#DIV/0!</v>
      </c>
      <c r="CI139" s="189"/>
      <c r="CJ139" s="190"/>
      <c r="CK139" s="185" t="e">
        <f t="shared" si="91"/>
        <v>#DIV/0!</v>
      </c>
      <c r="CL139" s="187">
        <f t="shared" si="92"/>
        <v>0</v>
      </c>
      <c r="CM139" s="186">
        <f t="shared" si="93"/>
        <v>0</v>
      </c>
      <c r="CN139" s="185" t="e">
        <f t="shared" si="94"/>
        <v>#DIV/0!</v>
      </c>
      <c r="CO139" s="173"/>
      <c r="CP139" s="188">
        <f t="shared" si="95"/>
        <v>0</v>
      </c>
      <c r="CQ139" s="188">
        <f t="shared" si="96"/>
        <v>0</v>
      </c>
      <c r="CR139" s="191" t="e">
        <f t="shared" si="97"/>
        <v>#DIV/0!</v>
      </c>
      <c r="CS139" s="279">
        <f t="shared" si="110"/>
        <v>29</v>
      </c>
      <c r="CT139" s="173"/>
      <c r="CU139" s="188">
        <f t="shared" si="111"/>
        <v>8.6999999999999993</v>
      </c>
      <c r="CV139" s="277"/>
      <c r="CW139" s="191">
        <f t="shared" si="112"/>
        <v>0</v>
      </c>
      <c r="CX139" s="188">
        <f t="shared" si="113"/>
        <v>8.6999999999999993</v>
      </c>
      <c r="CY139" s="277"/>
      <c r="CZ139" s="191">
        <f t="shared" si="114"/>
        <v>0</v>
      </c>
      <c r="DA139" s="188">
        <f t="shared" si="115"/>
        <v>8.6999999999999993</v>
      </c>
      <c r="DB139" s="277"/>
      <c r="DC139" s="191">
        <f t="shared" si="116"/>
        <v>0</v>
      </c>
      <c r="DD139" s="188">
        <f t="shared" si="117"/>
        <v>2.9000000000000004</v>
      </c>
      <c r="DE139" s="277"/>
      <c r="DF139" s="191">
        <f t="shared" si="118"/>
        <v>0</v>
      </c>
      <c r="DG139" s="173"/>
      <c r="DH139" s="188">
        <f t="shared" si="119"/>
        <v>29</v>
      </c>
      <c r="DI139" s="188">
        <f t="shared" si="120"/>
        <v>0</v>
      </c>
      <c r="DJ139" s="191">
        <f t="shared" si="121"/>
        <v>0</v>
      </c>
      <c r="DK139" s="286">
        <f t="shared" si="122"/>
        <v>29</v>
      </c>
      <c r="DL139" s="261">
        <v>135</v>
      </c>
      <c r="DM139">
        <f>+A139-DL139</f>
        <v>0</v>
      </c>
    </row>
    <row r="140" spans="1:117" ht="30" customHeight="1" x14ac:dyDescent="0.35">
      <c r="A140" s="263">
        <v>136</v>
      </c>
      <c r="B140" s="102" t="s">
        <v>270</v>
      </c>
      <c r="C140" s="102" t="s">
        <v>118</v>
      </c>
      <c r="D140" s="102" t="s">
        <v>119</v>
      </c>
      <c r="E140" s="102" t="s">
        <v>155</v>
      </c>
      <c r="F140" s="102" t="s">
        <v>520</v>
      </c>
      <c r="G140" s="98" t="s">
        <v>489</v>
      </c>
      <c r="H140" s="98" t="s">
        <v>301</v>
      </c>
      <c r="I140" s="98" t="s">
        <v>103</v>
      </c>
      <c r="J140" s="98" t="s">
        <v>103</v>
      </c>
      <c r="K140" s="96" t="s">
        <v>104</v>
      </c>
      <c r="L140" s="96" t="s">
        <v>105</v>
      </c>
      <c r="M140" s="98" t="s">
        <v>106</v>
      </c>
      <c r="N140" s="98" t="s">
        <v>518</v>
      </c>
      <c r="O140" s="98" t="s">
        <v>127</v>
      </c>
      <c r="P140" s="241" t="s">
        <v>521</v>
      </c>
      <c r="Q140" s="98" t="s">
        <v>129</v>
      </c>
      <c r="R140" s="301">
        <v>15</v>
      </c>
      <c r="S140" s="99" t="s">
        <v>111</v>
      </c>
      <c r="T140" s="81">
        <v>0</v>
      </c>
      <c r="U140" s="81">
        <v>1</v>
      </c>
      <c r="V140" s="25" t="e">
        <f t="shared" si="124"/>
        <v>#DIV/0!</v>
      </c>
      <c r="W140" s="81">
        <v>0</v>
      </c>
      <c r="X140" s="81">
        <v>4</v>
      </c>
      <c r="Y140" s="25" t="e">
        <f t="shared" si="1"/>
        <v>#DIV/0!</v>
      </c>
      <c r="Z140" s="81">
        <v>7</v>
      </c>
      <c r="AA140" s="81"/>
      <c r="AB140" s="25">
        <f t="shared" si="2"/>
        <v>0</v>
      </c>
      <c r="AC140" s="81">
        <v>8</v>
      </c>
      <c r="AD140" s="81"/>
      <c r="AE140" s="25">
        <f t="shared" si="3"/>
        <v>0</v>
      </c>
      <c r="AF140" s="140">
        <f t="shared" si="84"/>
        <v>15</v>
      </c>
      <c r="AG140" s="140">
        <f t="shared" si="85"/>
        <v>5</v>
      </c>
      <c r="AH140" s="138" t="e">
        <f t="shared" si="125"/>
        <v>#DIV/0!</v>
      </c>
      <c r="AI140" s="101">
        <v>46054</v>
      </c>
      <c r="AJ140" s="101">
        <v>46477</v>
      </c>
      <c r="AK140" s="102" t="s">
        <v>112</v>
      </c>
      <c r="AL140" s="102" t="s">
        <v>113</v>
      </c>
      <c r="AM140" s="103" t="s">
        <v>114</v>
      </c>
      <c r="AN140" s="324"/>
      <c r="AO140" s="324"/>
      <c r="AP140" s="324"/>
      <c r="AQ140" s="326"/>
      <c r="AR140" s="322"/>
      <c r="AS140" s="102" t="s">
        <v>112</v>
      </c>
      <c r="AT140" s="152" t="s">
        <v>509</v>
      </c>
      <c r="AU140" s="166" t="s">
        <v>2264</v>
      </c>
      <c r="AV140" s="247" t="s">
        <v>2234</v>
      </c>
      <c r="AZ140" s="271" t="s">
        <v>2389</v>
      </c>
      <c r="BA140" s="272"/>
      <c r="BB140" s="273"/>
      <c r="BC140" s="209" t="e">
        <f t="shared" si="99"/>
        <v>#DIV/0!</v>
      </c>
      <c r="BD140" s="272"/>
      <c r="BE140" s="273"/>
      <c r="BF140" s="209" t="e">
        <f t="shared" si="100"/>
        <v>#DIV/0!</v>
      </c>
      <c r="BG140" s="272"/>
      <c r="BH140" s="273"/>
      <c r="BI140" s="209" t="e">
        <f t="shared" si="101"/>
        <v>#DIV/0!</v>
      </c>
      <c r="BJ140" s="210">
        <f t="shared" si="102"/>
        <v>0</v>
      </c>
      <c r="BK140" s="211">
        <f t="shared" si="103"/>
        <v>0</v>
      </c>
      <c r="BL140" s="209" t="e">
        <f t="shared" si="104"/>
        <v>#DIV/0!</v>
      </c>
      <c r="BM140" s="272"/>
      <c r="BN140" s="273"/>
      <c r="BO140" s="209" t="e">
        <f t="shared" si="86"/>
        <v>#DIV/0!</v>
      </c>
      <c r="BP140" s="272"/>
      <c r="BQ140" s="273"/>
      <c r="BR140" s="209" t="e">
        <f t="shared" si="87"/>
        <v>#DIV/0!</v>
      </c>
      <c r="BS140" s="272"/>
      <c r="BT140" s="272"/>
      <c r="BU140" s="209" t="e">
        <f t="shared" si="88"/>
        <v>#DIV/0!</v>
      </c>
      <c r="BV140" s="210">
        <f t="shared" si="105"/>
        <v>0</v>
      </c>
      <c r="BW140" s="210">
        <f t="shared" si="106"/>
        <v>0</v>
      </c>
      <c r="BX140" s="209" t="e">
        <f t="shared" si="107"/>
        <v>#DIV/0!</v>
      </c>
      <c r="BY140" s="209">
        <f t="shared" si="108"/>
        <v>0</v>
      </c>
      <c r="BZ140" s="209">
        <f t="shared" si="109"/>
        <v>0</v>
      </c>
      <c r="CA140" s="212"/>
      <c r="CB140" s="245"/>
      <c r="CC140" s="183"/>
      <c r="CD140" s="184"/>
      <c r="CE140" s="185" t="e">
        <f t="shared" si="89"/>
        <v>#DIV/0!</v>
      </c>
      <c r="CF140" s="183"/>
      <c r="CG140" s="184"/>
      <c r="CH140" s="185" t="e">
        <f t="shared" si="90"/>
        <v>#DIV/0!</v>
      </c>
      <c r="CI140" s="189"/>
      <c r="CJ140" s="190"/>
      <c r="CK140" s="185" t="e">
        <f t="shared" si="91"/>
        <v>#DIV/0!</v>
      </c>
      <c r="CL140" s="187">
        <f t="shared" si="92"/>
        <v>0</v>
      </c>
      <c r="CM140" s="186">
        <f t="shared" si="93"/>
        <v>0</v>
      </c>
      <c r="CN140" s="185" t="e">
        <f t="shared" si="94"/>
        <v>#DIV/0!</v>
      </c>
      <c r="CO140" s="245"/>
      <c r="CP140" s="188">
        <f t="shared" si="95"/>
        <v>0</v>
      </c>
      <c r="CQ140" s="188">
        <f t="shared" si="96"/>
        <v>0</v>
      </c>
      <c r="CR140" s="191" t="e">
        <f t="shared" si="97"/>
        <v>#DIV/0!</v>
      </c>
      <c r="CS140" s="279">
        <f t="shared" si="110"/>
        <v>15</v>
      </c>
      <c r="CT140" s="245"/>
      <c r="CU140" s="188">
        <f t="shared" si="111"/>
        <v>4.5</v>
      </c>
      <c r="CV140" s="277"/>
      <c r="CW140" s="191">
        <f t="shared" si="112"/>
        <v>0</v>
      </c>
      <c r="CX140" s="188">
        <f t="shared" si="113"/>
        <v>4.5</v>
      </c>
      <c r="CY140" s="277"/>
      <c r="CZ140" s="191">
        <f t="shared" si="114"/>
        <v>0</v>
      </c>
      <c r="DA140" s="188">
        <f t="shared" si="115"/>
        <v>4.5</v>
      </c>
      <c r="DB140" s="277"/>
      <c r="DC140" s="191">
        <f t="shared" si="116"/>
        <v>0</v>
      </c>
      <c r="DD140" s="188">
        <f t="shared" si="117"/>
        <v>1.5</v>
      </c>
      <c r="DE140" s="277"/>
      <c r="DF140" s="191">
        <f t="shared" si="118"/>
        <v>0</v>
      </c>
      <c r="DG140" s="245"/>
      <c r="DH140" s="188">
        <f t="shared" si="119"/>
        <v>15</v>
      </c>
      <c r="DI140" s="188">
        <f t="shared" si="120"/>
        <v>0</v>
      </c>
      <c r="DJ140" s="191">
        <f t="shared" si="121"/>
        <v>0</v>
      </c>
      <c r="DK140" s="286">
        <f t="shared" si="122"/>
        <v>15</v>
      </c>
      <c r="DL140" s="261">
        <v>136</v>
      </c>
      <c r="DM140" s="244">
        <f>+A140-DL140</f>
        <v>0</v>
      </c>
    </row>
    <row r="141" spans="1:117" ht="25" x14ac:dyDescent="0.35">
      <c r="A141" s="263">
        <v>137</v>
      </c>
      <c r="B141" s="102" t="s">
        <v>270</v>
      </c>
      <c r="C141" s="102" t="s">
        <v>118</v>
      </c>
      <c r="D141" s="102" t="s">
        <v>119</v>
      </c>
      <c r="E141" s="102" t="s">
        <v>155</v>
      </c>
      <c r="F141" s="102" t="s">
        <v>493</v>
      </c>
      <c r="G141" s="98" t="s">
        <v>489</v>
      </c>
      <c r="H141" s="98" t="s">
        <v>301</v>
      </c>
      <c r="I141" s="98" t="s">
        <v>103</v>
      </c>
      <c r="J141" s="98" t="s">
        <v>103</v>
      </c>
      <c r="K141" s="96" t="s">
        <v>104</v>
      </c>
      <c r="L141" s="96" t="s">
        <v>105</v>
      </c>
      <c r="M141" s="98" t="s">
        <v>106</v>
      </c>
      <c r="N141" s="98" t="s">
        <v>518</v>
      </c>
      <c r="O141" s="98" t="s">
        <v>127</v>
      </c>
      <c r="P141" s="241" t="s">
        <v>522</v>
      </c>
      <c r="Q141" s="98" t="s">
        <v>129</v>
      </c>
      <c r="R141" s="301">
        <v>2</v>
      </c>
      <c r="S141" s="99" t="s">
        <v>111</v>
      </c>
      <c r="T141" s="81">
        <v>0</v>
      </c>
      <c r="U141" s="81">
        <v>0</v>
      </c>
      <c r="V141" s="25" t="e">
        <f t="shared" si="124"/>
        <v>#DIV/0!</v>
      </c>
      <c r="W141" s="81">
        <v>0</v>
      </c>
      <c r="X141" s="81">
        <v>0</v>
      </c>
      <c r="Y141" s="25" t="e">
        <f t="shared" si="1"/>
        <v>#DIV/0!</v>
      </c>
      <c r="Z141" s="81">
        <v>1</v>
      </c>
      <c r="AA141" s="81"/>
      <c r="AB141" s="25">
        <f t="shared" si="2"/>
        <v>0</v>
      </c>
      <c r="AC141" s="81">
        <v>1</v>
      </c>
      <c r="AD141" s="81"/>
      <c r="AE141" s="25">
        <f t="shared" si="3"/>
        <v>0</v>
      </c>
      <c r="AF141" s="140">
        <f t="shared" si="84"/>
        <v>2</v>
      </c>
      <c r="AG141" s="140">
        <f t="shared" si="85"/>
        <v>0</v>
      </c>
      <c r="AH141" s="138" t="e">
        <f t="shared" si="125"/>
        <v>#DIV/0!</v>
      </c>
      <c r="AI141" s="101">
        <v>46054</v>
      </c>
      <c r="AJ141" s="101">
        <v>46477</v>
      </c>
      <c r="AK141" s="102" t="s">
        <v>112</v>
      </c>
      <c r="AL141" s="102" t="s">
        <v>113</v>
      </c>
      <c r="AM141" s="103" t="s">
        <v>114</v>
      </c>
      <c r="AN141" s="324"/>
      <c r="AO141" s="324"/>
      <c r="AP141" s="324"/>
      <c r="AQ141" s="326"/>
      <c r="AR141" s="322"/>
      <c r="AS141" s="102" t="s">
        <v>112</v>
      </c>
      <c r="AT141" s="152" t="s">
        <v>509</v>
      </c>
      <c r="AU141" s="166" t="s">
        <v>2264</v>
      </c>
      <c r="AV141" s="247" t="s">
        <v>2234</v>
      </c>
      <c r="AZ141" s="271" t="s">
        <v>2389</v>
      </c>
      <c r="BA141" s="272"/>
      <c r="BB141" s="273"/>
      <c r="BC141" s="209" t="e">
        <f t="shared" si="99"/>
        <v>#DIV/0!</v>
      </c>
      <c r="BD141" s="272"/>
      <c r="BE141" s="273"/>
      <c r="BF141" s="209" t="e">
        <f t="shared" si="100"/>
        <v>#DIV/0!</v>
      </c>
      <c r="BG141" s="272"/>
      <c r="BH141" s="273"/>
      <c r="BI141" s="209" t="e">
        <f t="shared" si="101"/>
        <v>#DIV/0!</v>
      </c>
      <c r="BJ141" s="210">
        <f t="shared" si="102"/>
        <v>0</v>
      </c>
      <c r="BK141" s="211">
        <f t="shared" si="103"/>
        <v>0</v>
      </c>
      <c r="BL141" s="209" t="e">
        <f t="shared" si="104"/>
        <v>#DIV/0!</v>
      </c>
      <c r="BM141" s="272"/>
      <c r="BN141" s="273"/>
      <c r="BO141" s="209" t="e">
        <f t="shared" si="86"/>
        <v>#DIV/0!</v>
      </c>
      <c r="BP141" s="272"/>
      <c r="BQ141" s="273"/>
      <c r="BR141" s="209" t="e">
        <f t="shared" si="87"/>
        <v>#DIV/0!</v>
      </c>
      <c r="BS141" s="272"/>
      <c r="BT141" s="272"/>
      <c r="BU141" s="209" t="e">
        <f t="shared" si="88"/>
        <v>#DIV/0!</v>
      </c>
      <c r="BV141" s="210">
        <f t="shared" si="105"/>
        <v>0</v>
      </c>
      <c r="BW141" s="210">
        <f t="shared" si="106"/>
        <v>0</v>
      </c>
      <c r="BX141" s="209" t="e">
        <f t="shared" si="107"/>
        <v>#DIV/0!</v>
      </c>
      <c r="BY141" s="209">
        <f t="shared" si="108"/>
        <v>0</v>
      </c>
      <c r="BZ141" s="209">
        <f t="shared" si="109"/>
        <v>0</v>
      </c>
      <c r="CA141" s="212"/>
      <c r="CB141" s="245"/>
      <c r="CC141" s="183"/>
      <c r="CD141" s="184"/>
      <c r="CE141" s="185" t="e">
        <f t="shared" si="89"/>
        <v>#DIV/0!</v>
      </c>
      <c r="CF141" s="183"/>
      <c r="CG141" s="184"/>
      <c r="CH141" s="185" t="e">
        <f t="shared" si="90"/>
        <v>#DIV/0!</v>
      </c>
      <c r="CI141" s="189"/>
      <c r="CJ141" s="190"/>
      <c r="CK141" s="185" t="e">
        <f t="shared" si="91"/>
        <v>#DIV/0!</v>
      </c>
      <c r="CL141" s="187">
        <f t="shared" si="92"/>
        <v>0</v>
      </c>
      <c r="CM141" s="186">
        <f t="shared" si="93"/>
        <v>0</v>
      </c>
      <c r="CN141" s="185" t="e">
        <f t="shared" si="94"/>
        <v>#DIV/0!</v>
      </c>
      <c r="CO141" s="245"/>
      <c r="CP141" s="188">
        <f t="shared" si="95"/>
        <v>0</v>
      </c>
      <c r="CQ141" s="188">
        <f t="shared" si="96"/>
        <v>0</v>
      </c>
      <c r="CR141" s="191" t="e">
        <f t="shared" si="97"/>
        <v>#DIV/0!</v>
      </c>
      <c r="CS141" s="279">
        <f t="shared" si="110"/>
        <v>2</v>
      </c>
      <c r="CT141" s="245"/>
      <c r="CU141" s="188">
        <f t="shared" si="111"/>
        <v>0.6</v>
      </c>
      <c r="CV141" s="277"/>
      <c r="CW141" s="191">
        <f t="shared" si="112"/>
        <v>0</v>
      </c>
      <c r="CX141" s="188">
        <f t="shared" si="113"/>
        <v>0.6</v>
      </c>
      <c r="CY141" s="277"/>
      <c r="CZ141" s="191">
        <f t="shared" si="114"/>
        <v>0</v>
      </c>
      <c r="DA141" s="188">
        <f t="shared" si="115"/>
        <v>0.6</v>
      </c>
      <c r="DB141" s="277"/>
      <c r="DC141" s="191">
        <f t="shared" si="116"/>
        <v>0</v>
      </c>
      <c r="DD141" s="188">
        <f t="shared" si="117"/>
        <v>0.2</v>
      </c>
      <c r="DE141" s="277"/>
      <c r="DF141" s="191">
        <f t="shared" si="118"/>
        <v>0</v>
      </c>
      <c r="DG141" s="245"/>
      <c r="DH141" s="188">
        <f t="shared" si="119"/>
        <v>2</v>
      </c>
      <c r="DI141" s="188">
        <f t="shared" si="120"/>
        <v>0</v>
      </c>
      <c r="DJ141" s="191">
        <f t="shared" si="121"/>
        <v>0</v>
      </c>
      <c r="DK141" s="286">
        <f t="shared" si="122"/>
        <v>2</v>
      </c>
      <c r="DL141" s="261">
        <v>137</v>
      </c>
      <c r="DM141" s="244">
        <f>+A141-DL141</f>
        <v>0</v>
      </c>
    </row>
    <row r="142" spans="1:117" ht="25" x14ac:dyDescent="0.35">
      <c r="A142" s="263">
        <v>138</v>
      </c>
      <c r="B142" s="102" t="s">
        <v>270</v>
      </c>
      <c r="C142" s="102" t="s">
        <v>118</v>
      </c>
      <c r="D142" s="102" t="s">
        <v>119</v>
      </c>
      <c r="E142" s="102" t="s">
        <v>155</v>
      </c>
      <c r="F142" s="102" t="s">
        <v>493</v>
      </c>
      <c r="G142" s="98" t="s">
        <v>489</v>
      </c>
      <c r="H142" s="98" t="s">
        <v>301</v>
      </c>
      <c r="I142" s="98" t="s">
        <v>224</v>
      </c>
      <c r="J142" s="98" t="s">
        <v>224</v>
      </c>
      <c r="K142" s="96" t="s">
        <v>104</v>
      </c>
      <c r="L142" s="96" t="s">
        <v>105</v>
      </c>
      <c r="M142" s="98" t="s">
        <v>106</v>
      </c>
      <c r="N142" s="98" t="s">
        <v>518</v>
      </c>
      <c r="O142" s="98" t="s">
        <v>127</v>
      </c>
      <c r="P142" s="241" t="s">
        <v>523</v>
      </c>
      <c r="Q142" s="98" t="s">
        <v>129</v>
      </c>
      <c r="R142" s="301">
        <v>29</v>
      </c>
      <c r="S142" s="99" t="s">
        <v>111</v>
      </c>
      <c r="T142" s="81">
        <v>0</v>
      </c>
      <c r="U142" s="81">
        <v>16</v>
      </c>
      <c r="V142" s="25" t="e">
        <f t="shared" si="124"/>
        <v>#DIV/0!</v>
      </c>
      <c r="W142" s="81">
        <v>0</v>
      </c>
      <c r="X142" s="81">
        <v>6</v>
      </c>
      <c r="Y142" s="25" t="e">
        <f t="shared" si="1"/>
        <v>#DIV/0!</v>
      </c>
      <c r="Z142" s="81">
        <v>12</v>
      </c>
      <c r="AA142" s="81"/>
      <c r="AB142" s="25">
        <f t="shared" si="2"/>
        <v>0</v>
      </c>
      <c r="AC142" s="81">
        <v>17</v>
      </c>
      <c r="AD142" s="81"/>
      <c r="AE142" s="25">
        <f t="shared" si="3"/>
        <v>0</v>
      </c>
      <c r="AF142" s="140">
        <f t="shared" si="84"/>
        <v>29</v>
      </c>
      <c r="AG142" s="140">
        <f t="shared" si="85"/>
        <v>22</v>
      </c>
      <c r="AH142" s="138" t="e">
        <f t="shared" si="125"/>
        <v>#DIV/0!</v>
      </c>
      <c r="AI142" s="101">
        <v>46113</v>
      </c>
      <c r="AJ142" s="101">
        <v>46477</v>
      </c>
      <c r="AK142" s="102" t="s">
        <v>112</v>
      </c>
      <c r="AL142" s="102" t="s">
        <v>113</v>
      </c>
      <c r="AM142" s="103" t="s">
        <v>114</v>
      </c>
      <c r="AN142" s="324"/>
      <c r="AO142" s="324"/>
      <c r="AP142" s="324"/>
      <c r="AQ142" s="326"/>
      <c r="AR142" s="102" t="s">
        <v>159</v>
      </c>
      <c r="AS142" s="102" t="s">
        <v>112</v>
      </c>
      <c r="AT142" s="152" t="s">
        <v>509</v>
      </c>
      <c r="AU142" s="166" t="s">
        <v>2264</v>
      </c>
      <c r="AV142" s="247" t="s">
        <v>2234</v>
      </c>
      <c r="AZ142" s="271" t="s">
        <v>2389</v>
      </c>
      <c r="BA142" s="272"/>
      <c r="BB142" s="273"/>
      <c r="BC142" s="209" t="e">
        <f t="shared" si="99"/>
        <v>#DIV/0!</v>
      </c>
      <c r="BD142" s="272"/>
      <c r="BE142" s="273"/>
      <c r="BF142" s="209" t="e">
        <f t="shared" si="100"/>
        <v>#DIV/0!</v>
      </c>
      <c r="BG142" s="272"/>
      <c r="BH142" s="273"/>
      <c r="BI142" s="209" t="e">
        <f t="shared" si="101"/>
        <v>#DIV/0!</v>
      </c>
      <c r="BJ142" s="210">
        <f t="shared" si="102"/>
        <v>0</v>
      </c>
      <c r="BK142" s="211">
        <f t="shared" si="103"/>
        <v>0</v>
      </c>
      <c r="BL142" s="209" t="e">
        <f t="shared" si="104"/>
        <v>#DIV/0!</v>
      </c>
      <c r="BM142" s="272"/>
      <c r="BN142" s="273"/>
      <c r="BO142" s="209" t="e">
        <f t="shared" si="86"/>
        <v>#DIV/0!</v>
      </c>
      <c r="BP142" s="272"/>
      <c r="BQ142" s="273"/>
      <c r="BR142" s="209" t="e">
        <f t="shared" si="87"/>
        <v>#DIV/0!</v>
      </c>
      <c r="BS142" s="272"/>
      <c r="BT142" s="272"/>
      <c r="BU142" s="209" t="e">
        <f t="shared" si="88"/>
        <v>#DIV/0!</v>
      </c>
      <c r="BV142" s="210">
        <f t="shared" si="105"/>
        <v>0</v>
      </c>
      <c r="BW142" s="210">
        <f t="shared" si="106"/>
        <v>0</v>
      </c>
      <c r="BX142" s="209" t="e">
        <f t="shared" si="107"/>
        <v>#DIV/0!</v>
      </c>
      <c r="BY142" s="209">
        <f t="shared" si="108"/>
        <v>0</v>
      </c>
      <c r="BZ142" s="209">
        <f t="shared" si="109"/>
        <v>0</v>
      </c>
      <c r="CA142" s="212"/>
      <c r="CB142" s="245"/>
      <c r="CC142" s="183"/>
      <c r="CD142" s="184"/>
      <c r="CE142" s="185" t="e">
        <f t="shared" si="89"/>
        <v>#DIV/0!</v>
      </c>
      <c r="CF142" s="183"/>
      <c r="CG142" s="184"/>
      <c r="CH142" s="185" t="e">
        <f t="shared" si="90"/>
        <v>#DIV/0!</v>
      </c>
      <c r="CI142" s="189"/>
      <c r="CJ142" s="190"/>
      <c r="CK142" s="185" t="e">
        <f t="shared" si="91"/>
        <v>#DIV/0!</v>
      </c>
      <c r="CL142" s="187">
        <f t="shared" si="92"/>
        <v>0</v>
      </c>
      <c r="CM142" s="186">
        <f t="shared" si="93"/>
        <v>0</v>
      </c>
      <c r="CN142" s="185" t="e">
        <f t="shared" si="94"/>
        <v>#DIV/0!</v>
      </c>
      <c r="CO142" s="245"/>
      <c r="CP142" s="188">
        <f t="shared" si="95"/>
        <v>0</v>
      </c>
      <c r="CQ142" s="188">
        <f t="shared" si="96"/>
        <v>0</v>
      </c>
      <c r="CR142" s="191" t="e">
        <f t="shared" si="97"/>
        <v>#DIV/0!</v>
      </c>
      <c r="CS142" s="279">
        <f t="shared" si="110"/>
        <v>29</v>
      </c>
      <c r="CT142" s="245"/>
      <c r="CU142" s="188">
        <f t="shared" si="111"/>
        <v>8.6999999999999993</v>
      </c>
      <c r="CV142" s="277"/>
      <c r="CW142" s="191">
        <f t="shared" si="112"/>
        <v>0</v>
      </c>
      <c r="CX142" s="188">
        <f t="shared" si="113"/>
        <v>8.6999999999999993</v>
      </c>
      <c r="CY142" s="277"/>
      <c r="CZ142" s="191">
        <f t="shared" si="114"/>
        <v>0</v>
      </c>
      <c r="DA142" s="188">
        <f t="shared" si="115"/>
        <v>8.6999999999999993</v>
      </c>
      <c r="DB142" s="277"/>
      <c r="DC142" s="191">
        <f t="shared" si="116"/>
        <v>0</v>
      </c>
      <c r="DD142" s="188">
        <f t="shared" si="117"/>
        <v>2.9000000000000004</v>
      </c>
      <c r="DE142" s="277"/>
      <c r="DF142" s="191">
        <f t="shared" si="118"/>
        <v>0</v>
      </c>
      <c r="DG142" s="245"/>
      <c r="DH142" s="188">
        <f t="shared" si="119"/>
        <v>29</v>
      </c>
      <c r="DI142" s="188">
        <f t="shared" si="120"/>
        <v>0</v>
      </c>
      <c r="DJ142" s="191">
        <f t="shared" si="121"/>
        <v>0</v>
      </c>
      <c r="DK142" s="286">
        <f t="shared" si="122"/>
        <v>29</v>
      </c>
      <c r="DL142" s="261">
        <v>138</v>
      </c>
      <c r="DM142" s="244">
        <f>+A142-DL142</f>
        <v>0</v>
      </c>
    </row>
    <row r="143" spans="1:117" ht="37.5" x14ac:dyDescent="0.35">
      <c r="A143" s="263">
        <v>139</v>
      </c>
      <c r="B143" s="102" t="s">
        <v>270</v>
      </c>
      <c r="C143" s="102" t="s">
        <v>118</v>
      </c>
      <c r="D143" s="102" t="s">
        <v>119</v>
      </c>
      <c r="E143" s="102" t="s">
        <v>155</v>
      </c>
      <c r="F143" s="102" t="s">
        <v>493</v>
      </c>
      <c r="G143" s="98" t="s">
        <v>489</v>
      </c>
      <c r="H143" s="98" t="s">
        <v>301</v>
      </c>
      <c r="I143" s="98" t="s">
        <v>103</v>
      </c>
      <c r="J143" s="98" t="s">
        <v>103</v>
      </c>
      <c r="K143" s="96" t="s">
        <v>183</v>
      </c>
      <c r="L143" s="96" t="s">
        <v>424</v>
      </c>
      <c r="M143" s="98" t="s">
        <v>106</v>
      </c>
      <c r="N143" s="98" t="s">
        <v>518</v>
      </c>
      <c r="O143" s="98" t="s">
        <v>127</v>
      </c>
      <c r="P143" s="259" t="s">
        <v>524</v>
      </c>
      <c r="Q143" s="98" t="s">
        <v>129</v>
      </c>
      <c r="R143" s="301">
        <v>4</v>
      </c>
      <c r="S143" s="99" t="s">
        <v>111</v>
      </c>
      <c r="T143" s="81">
        <v>0</v>
      </c>
      <c r="U143" s="81">
        <v>0</v>
      </c>
      <c r="V143" s="25" t="e">
        <f t="shared" si="124"/>
        <v>#DIV/0!</v>
      </c>
      <c r="W143" s="81">
        <v>0</v>
      </c>
      <c r="X143" s="81"/>
      <c r="Y143" s="25" t="e">
        <f t="shared" si="1"/>
        <v>#DIV/0!</v>
      </c>
      <c r="Z143" s="81">
        <v>2</v>
      </c>
      <c r="AA143" s="81"/>
      <c r="AB143" s="25">
        <f t="shared" si="2"/>
        <v>0</v>
      </c>
      <c r="AC143" s="81">
        <v>2</v>
      </c>
      <c r="AD143" s="81"/>
      <c r="AE143" s="25">
        <f t="shared" si="3"/>
        <v>0</v>
      </c>
      <c r="AF143" s="140">
        <f t="shared" si="84"/>
        <v>4</v>
      </c>
      <c r="AG143" s="140">
        <f t="shared" si="85"/>
        <v>0</v>
      </c>
      <c r="AH143" s="138" t="e">
        <f t="shared" si="125"/>
        <v>#DIV/0!</v>
      </c>
      <c r="AI143" s="101">
        <v>46054</v>
      </c>
      <c r="AJ143" s="101">
        <v>46477</v>
      </c>
      <c r="AK143" s="102" t="s">
        <v>112</v>
      </c>
      <c r="AL143" s="102" t="s">
        <v>113</v>
      </c>
      <c r="AM143" s="103" t="s">
        <v>114</v>
      </c>
      <c r="AN143" s="104">
        <v>40000000</v>
      </c>
      <c r="AO143" s="104">
        <v>40000000</v>
      </c>
      <c r="AP143" s="104">
        <v>40000000</v>
      </c>
      <c r="AQ143" s="326">
        <v>0</v>
      </c>
      <c r="AR143" s="322"/>
      <c r="AS143" s="102" t="s">
        <v>112</v>
      </c>
      <c r="AT143" s="152" t="s">
        <v>509</v>
      </c>
      <c r="AU143" s="166" t="s">
        <v>2264</v>
      </c>
      <c r="AV143" s="247" t="s">
        <v>2234</v>
      </c>
      <c r="AZ143" s="271" t="s">
        <v>2389</v>
      </c>
      <c r="BA143" s="272"/>
      <c r="BB143" s="273"/>
      <c r="BC143" s="209" t="e">
        <f t="shared" si="99"/>
        <v>#DIV/0!</v>
      </c>
      <c r="BD143" s="272"/>
      <c r="BE143" s="273"/>
      <c r="BF143" s="209" t="e">
        <f t="shared" si="100"/>
        <v>#DIV/0!</v>
      </c>
      <c r="BG143" s="272"/>
      <c r="BH143" s="273"/>
      <c r="BI143" s="209" t="e">
        <f t="shared" si="101"/>
        <v>#DIV/0!</v>
      </c>
      <c r="BJ143" s="210">
        <f t="shared" si="102"/>
        <v>0</v>
      </c>
      <c r="BK143" s="211">
        <f t="shared" si="103"/>
        <v>0</v>
      </c>
      <c r="BL143" s="209" t="e">
        <f t="shared" si="104"/>
        <v>#DIV/0!</v>
      </c>
      <c r="BM143" s="272"/>
      <c r="BN143" s="273"/>
      <c r="BO143" s="209" t="e">
        <f t="shared" si="86"/>
        <v>#DIV/0!</v>
      </c>
      <c r="BP143" s="272"/>
      <c r="BQ143" s="273"/>
      <c r="BR143" s="209" t="e">
        <f t="shared" si="87"/>
        <v>#DIV/0!</v>
      </c>
      <c r="BS143" s="272"/>
      <c r="BT143" s="272"/>
      <c r="BU143" s="209" t="e">
        <f t="shared" si="88"/>
        <v>#DIV/0!</v>
      </c>
      <c r="BV143" s="210">
        <f t="shared" si="105"/>
        <v>0</v>
      </c>
      <c r="BW143" s="210">
        <f t="shared" si="106"/>
        <v>0</v>
      </c>
      <c r="BX143" s="209" t="e">
        <f t="shared" si="107"/>
        <v>#DIV/0!</v>
      </c>
      <c r="BY143" s="209">
        <f t="shared" si="108"/>
        <v>0</v>
      </c>
      <c r="BZ143" s="209">
        <f t="shared" si="109"/>
        <v>0</v>
      </c>
      <c r="CA143" s="212"/>
      <c r="CB143" s="245"/>
      <c r="CC143" s="183"/>
      <c r="CD143" s="184"/>
      <c r="CE143" s="185" t="e">
        <f t="shared" si="89"/>
        <v>#DIV/0!</v>
      </c>
      <c r="CF143" s="183"/>
      <c r="CG143" s="184"/>
      <c r="CH143" s="185" t="e">
        <f t="shared" si="90"/>
        <v>#DIV/0!</v>
      </c>
      <c r="CI143" s="189"/>
      <c r="CJ143" s="190"/>
      <c r="CK143" s="185" t="e">
        <f t="shared" si="91"/>
        <v>#DIV/0!</v>
      </c>
      <c r="CL143" s="187">
        <f t="shared" si="92"/>
        <v>0</v>
      </c>
      <c r="CM143" s="186">
        <f t="shared" si="93"/>
        <v>0</v>
      </c>
      <c r="CN143" s="185" t="e">
        <f t="shared" si="94"/>
        <v>#DIV/0!</v>
      </c>
      <c r="CO143" s="245"/>
      <c r="CP143" s="188">
        <f t="shared" si="95"/>
        <v>0</v>
      </c>
      <c r="CQ143" s="188">
        <f t="shared" si="96"/>
        <v>0</v>
      </c>
      <c r="CR143" s="191" t="e">
        <f t="shared" si="97"/>
        <v>#DIV/0!</v>
      </c>
      <c r="CS143" s="279">
        <f t="shared" si="110"/>
        <v>4</v>
      </c>
      <c r="CT143" s="245"/>
      <c r="CU143" s="188">
        <f t="shared" si="111"/>
        <v>1.2</v>
      </c>
      <c r="CV143" s="277"/>
      <c r="CW143" s="191">
        <f t="shared" si="112"/>
        <v>0</v>
      </c>
      <c r="CX143" s="188">
        <f t="shared" si="113"/>
        <v>1.2</v>
      </c>
      <c r="CY143" s="277"/>
      <c r="CZ143" s="191">
        <f t="shared" si="114"/>
        <v>0</v>
      </c>
      <c r="DA143" s="188">
        <f t="shared" si="115"/>
        <v>1.2</v>
      </c>
      <c r="DB143" s="277"/>
      <c r="DC143" s="191">
        <f t="shared" si="116"/>
        <v>0</v>
      </c>
      <c r="DD143" s="188">
        <f t="shared" si="117"/>
        <v>0.4</v>
      </c>
      <c r="DE143" s="277"/>
      <c r="DF143" s="191">
        <f t="shared" si="118"/>
        <v>0</v>
      </c>
      <c r="DG143" s="245"/>
      <c r="DH143" s="188">
        <f t="shared" si="119"/>
        <v>4</v>
      </c>
      <c r="DI143" s="188">
        <f t="shared" si="120"/>
        <v>0</v>
      </c>
      <c r="DJ143" s="191">
        <f t="shared" si="121"/>
        <v>0</v>
      </c>
      <c r="DK143" s="286">
        <f t="shared" si="122"/>
        <v>4</v>
      </c>
      <c r="DL143" s="261">
        <v>139</v>
      </c>
      <c r="DM143" s="244">
        <f>+A143-DL143</f>
        <v>0</v>
      </c>
    </row>
    <row r="144" spans="1:117" ht="25" x14ac:dyDescent="0.35">
      <c r="A144" s="263">
        <v>140</v>
      </c>
      <c r="B144" s="102" t="s">
        <v>270</v>
      </c>
      <c r="C144" s="102" t="s">
        <v>133</v>
      </c>
      <c r="D144" s="102" t="s">
        <v>119</v>
      </c>
      <c r="E144" s="102" t="s">
        <v>155</v>
      </c>
      <c r="F144" s="102" t="s">
        <v>493</v>
      </c>
      <c r="G144" s="98" t="s">
        <v>489</v>
      </c>
      <c r="H144" s="98" t="s">
        <v>301</v>
      </c>
      <c r="I144" s="98" t="s">
        <v>224</v>
      </c>
      <c r="J144" s="98" t="s">
        <v>224</v>
      </c>
      <c r="K144" s="96" t="s">
        <v>104</v>
      </c>
      <c r="L144" s="96" t="s">
        <v>105</v>
      </c>
      <c r="M144" s="98" t="s">
        <v>106</v>
      </c>
      <c r="N144" s="98" t="s">
        <v>518</v>
      </c>
      <c r="O144" s="98" t="s">
        <v>127</v>
      </c>
      <c r="P144" s="259" t="s">
        <v>525</v>
      </c>
      <c r="Q144" s="98" t="s">
        <v>129</v>
      </c>
      <c r="R144" s="301">
        <v>1</v>
      </c>
      <c r="S144" s="99" t="s">
        <v>111</v>
      </c>
      <c r="T144" s="81">
        <v>0</v>
      </c>
      <c r="U144" s="81">
        <v>0</v>
      </c>
      <c r="V144" s="25" t="e">
        <f t="shared" si="124"/>
        <v>#DIV/0!</v>
      </c>
      <c r="W144" s="81">
        <v>0</v>
      </c>
      <c r="X144" s="81">
        <v>0</v>
      </c>
      <c r="Y144" s="25" t="e">
        <f t="shared" si="1"/>
        <v>#DIV/0!</v>
      </c>
      <c r="Z144" s="81">
        <v>1</v>
      </c>
      <c r="AA144" s="81"/>
      <c r="AB144" s="25">
        <f t="shared" si="2"/>
        <v>0</v>
      </c>
      <c r="AC144" s="81">
        <v>0</v>
      </c>
      <c r="AD144" s="81"/>
      <c r="AE144" s="25" t="e">
        <f t="shared" si="3"/>
        <v>#DIV/0!</v>
      </c>
      <c r="AF144" s="140">
        <f t="shared" si="84"/>
        <v>1</v>
      </c>
      <c r="AG144" s="140">
        <f t="shared" si="85"/>
        <v>0</v>
      </c>
      <c r="AH144" s="138" t="e">
        <f t="shared" si="125"/>
        <v>#DIV/0!</v>
      </c>
      <c r="AI144" s="101">
        <v>46054</v>
      </c>
      <c r="AJ144" s="101">
        <v>46477</v>
      </c>
      <c r="AK144" s="102" t="s">
        <v>112</v>
      </c>
      <c r="AL144" s="102" t="s">
        <v>113</v>
      </c>
      <c r="AM144" s="103" t="s">
        <v>114</v>
      </c>
      <c r="AN144" s="104">
        <v>20000000</v>
      </c>
      <c r="AO144" s="104">
        <v>20000000</v>
      </c>
      <c r="AP144" s="104">
        <v>20000000</v>
      </c>
      <c r="AQ144" s="326">
        <v>0</v>
      </c>
      <c r="AR144" s="322"/>
      <c r="AS144" s="102" t="s">
        <v>112</v>
      </c>
      <c r="AT144" s="152" t="s">
        <v>509</v>
      </c>
      <c r="AU144" s="166" t="s">
        <v>2264</v>
      </c>
      <c r="AV144" s="247" t="s">
        <v>2234</v>
      </c>
      <c r="AZ144" s="271" t="s">
        <v>2389</v>
      </c>
      <c r="BA144" s="272"/>
      <c r="BB144" s="273"/>
      <c r="BC144" s="209" t="e">
        <f t="shared" si="99"/>
        <v>#DIV/0!</v>
      </c>
      <c r="BD144" s="272"/>
      <c r="BE144" s="273"/>
      <c r="BF144" s="209" t="e">
        <f t="shared" si="100"/>
        <v>#DIV/0!</v>
      </c>
      <c r="BG144" s="272"/>
      <c r="BH144" s="273"/>
      <c r="BI144" s="209" t="e">
        <f t="shared" si="101"/>
        <v>#DIV/0!</v>
      </c>
      <c r="BJ144" s="210">
        <f t="shared" si="102"/>
        <v>0</v>
      </c>
      <c r="BK144" s="211">
        <f t="shared" si="103"/>
        <v>0</v>
      </c>
      <c r="BL144" s="209" t="e">
        <f t="shared" si="104"/>
        <v>#DIV/0!</v>
      </c>
      <c r="BM144" s="272"/>
      <c r="BN144" s="273"/>
      <c r="BO144" s="209" t="e">
        <f t="shared" si="86"/>
        <v>#DIV/0!</v>
      </c>
      <c r="BP144" s="272"/>
      <c r="BQ144" s="273"/>
      <c r="BR144" s="209" t="e">
        <f t="shared" si="87"/>
        <v>#DIV/0!</v>
      </c>
      <c r="BS144" s="272"/>
      <c r="BT144" s="272"/>
      <c r="BU144" s="209" t="e">
        <f t="shared" si="88"/>
        <v>#DIV/0!</v>
      </c>
      <c r="BV144" s="210">
        <f t="shared" si="105"/>
        <v>0</v>
      </c>
      <c r="BW144" s="210">
        <f t="shared" si="106"/>
        <v>0</v>
      </c>
      <c r="BX144" s="209" t="e">
        <f t="shared" si="107"/>
        <v>#DIV/0!</v>
      </c>
      <c r="BY144" s="209">
        <f t="shared" si="108"/>
        <v>0</v>
      </c>
      <c r="BZ144" s="209">
        <f t="shared" si="109"/>
        <v>0</v>
      </c>
      <c r="CA144" s="212"/>
      <c r="CB144" s="245"/>
      <c r="CC144" s="183"/>
      <c r="CD144" s="184"/>
      <c r="CE144" s="185" t="e">
        <f t="shared" si="89"/>
        <v>#DIV/0!</v>
      </c>
      <c r="CF144" s="183"/>
      <c r="CG144" s="184"/>
      <c r="CH144" s="185" t="e">
        <f t="shared" si="90"/>
        <v>#DIV/0!</v>
      </c>
      <c r="CI144" s="189"/>
      <c r="CJ144" s="190"/>
      <c r="CK144" s="185" t="e">
        <f t="shared" si="91"/>
        <v>#DIV/0!</v>
      </c>
      <c r="CL144" s="187">
        <f t="shared" si="92"/>
        <v>0</v>
      </c>
      <c r="CM144" s="186">
        <f t="shared" si="93"/>
        <v>0</v>
      </c>
      <c r="CN144" s="185" t="e">
        <f t="shared" si="94"/>
        <v>#DIV/0!</v>
      </c>
      <c r="CO144" s="245"/>
      <c r="CP144" s="188">
        <f t="shared" si="95"/>
        <v>0</v>
      </c>
      <c r="CQ144" s="188">
        <f t="shared" si="96"/>
        <v>0</v>
      </c>
      <c r="CR144" s="191" t="e">
        <f t="shared" si="97"/>
        <v>#DIV/0!</v>
      </c>
      <c r="CS144" s="279">
        <f t="shared" si="110"/>
        <v>1</v>
      </c>
      <c r="CT144" s="245"/>
      <c r="CU144" s="188">
        <f t="shared" si="111"/>
        <v>0.3</v>
      </c>
      <c r="CV144" s="277"/>
      <c r="CW144" s="191">
        <f t="shared" si="112"/>
        <v>0</v>
      </c>
      <c r="CX144" s="188">
        <f t="shared" si="113"/>
        <v>0.3</v>
      </c>
      <c r="CY144" s="277"/>
      <c r="CZ144" s="191">
        <f t="shared" si="114"/>
        <v>0</v>
      </c>
      <c r="DA144" s="188">
        <f t="shared" si="115"/>
        <v>0.3</v>
      </c>
      <c r="DB144" s="277"/>
      <c r="DC144" s="191">
        <f t="shared" si="116"/>
        <v>0</v>
      </c>
      <c r="DD144" s="188">
        <f t="shared" si="117"/>
        <v>0.1</v>
      </c>
      <c r="DE144" s="277"/>
      <c r="DF144" s="191">
        <f t="shared" si="118"/>
        <v>0</v>
      </c>
      <c r="DG144" s="245"/>
      <c r="DH144" s="188">
        <f t="shared" si="119"/>
        <v>1</v>
      </c>
      <c r="DI144" s="188">
        <f t="shared" si="120"/>
        <v>0</v>
      </c>
      <c r="DJ144" s="191">
        <f t="shared" si="121"/>
        <v>0</v>
      </c>
      <c r="DK144" s="286">
        <f t="shared" si="122"/>
        <v>1</v>
      </c>
      <c r="DL144" s="261">
        <v>140</v>
      </c>
      <c r="DM144" s="244">
        <f>+A144-DL144</f>
        <v>0</v>
      </c>
    </row>
    <row r="145" spans="1:117" ht="62.5" x14ac:dyDescent="0.35">
      <c r="A145" s="263">
        <v>141</v>
      </c>
      <c r="B145" s="102" t="s">
        <v>270</v>
      </c>
      <c r="C145" s="102" t="s">
        <v>195</v>
      </c>
      <c r="D145" s="102" t="s">
        <v>196</v>
      </c>
      <c r="E145" s="102" t="s">
        <v>487</v>
      </c>
      <c r="F145" s="102" t="s">
        <v>526</v>
      </c>
      <c r="G145" s="98" t="s">
        <v>527</v>
      </c>
      <c r="H145" s="98" t="s">
        <v>301</v>
      </c>
      <c r="I145" s="98" t="s">
        <v>103</v>
      </c>
      <c r="J145" s="98" t="s">
        <v>103</v>
      </c>
      <c r="K145" s="96" t="s">
        <v>104</v>
      </c>
      <c r="L145" s="96" t="s">
        <v>105</v>
      </c>
      <c r="M145" s="98" t="s">
        <v>106</v>
      </c>
      <c r="N145" s="98" t="s">
        <v>107</v>
      </c>
      <c r="O145" s="98" t="s">
        <v>108</v>
      </c>
      <c r="P145" s="241" t="s">
        <v>528</v>
      </c>
      <c r="Q145" s="98" t="s">
        <v>110</v>
      </c>
      <c r="R145" s="301">
        <v>29</v>
      </c>
      <c r="S145" s="99" t="s">
        <v>111</v>
      </c>
      <c r="T145" s="81">
        <v>0</v>
      </c>
      <c r="U145" s="81">
        <v>0</v>
      </c>
      <c r="V145" s="25" t="e">
        <f t="shared" si="124"/>
        <v>#DIV/0!</v>
      </c>
      <c r="W145" s="81">
        <v>9</v>
      </c>
      <c r="X145" s="81">
        <v>0</v>
      </c>
      <c r="Y145" s="25">
        <f t="shared" si="1"/>
        <v>0</v>
      </c>
      <c r="Z145" s="81">
        <v>10</v>
      </c>
      <c r="AA145" s="81"/>
      <c r="AB145" s="25">
        <f t="shared" si="2"/>
        <v>0</v>
      </c>
      <c r="AC145" s="81">
        <v>10</v>
      </c>
      <c r="AD145" s="81"/>
      <c r="AE145" s="25">
        <f t="shared" si="3"/>
        <v>0</v>
      </c>
      <c r="AF145" s="140">
        <f t="shared" si="84"/>
        <v>29</v>
      </c>
      <c r="AG145" s="140">
        <f t="shared" si="85"/>
        <v>0</v>
      </c>
      <c r="AH145" s="138">
        <f t="shared" si="125"/>
        <v>0</v>
      </c>
      <c r="AI145" s="101">
        <v>46054</v>
      </c>
      <c r="AJ145" s="101">
        <v>46477</v>
      </c>
      <c r="AK145" s="102" t="s">
        <v>112</v>
      </c>
      <c r="AL145" s="102" t="s">
        <v>113</v>
      </c>
      <c r="AM145" s="103" t="s">
        <v>114</v>
      </c>
      <c r="AN145" s="104">
        <v>60000000</v>
      </c>
      <c r="AO145" s="104">
        <v>60000000</v>
      </c>
      <c r="AP145" s="104">
        <v>60000000</v>
      </c>
      <c r="AQ145" s="326">
        <v>0</v>
      </c>
      <c r="AR145" s="322"/>
      <c r="AS145" s="102" t="s">
        <v>112</v>
      </c>
      <c r="AT145" s="152" t="s">
        <v>509</v>
      </c>
      <c r="AU145" s="166" t="s">
        <v>2264</v>
      </c>
      <c r="AV145" s="247" t="s">
        <v>2234</v>
      </c>
      <c r="AZ145" s="271" t="s">
        <v>2389</v>
      </c>
      <c r="BA145" s="272"/>
      <c r="BB145" s="273"/>
      <c r="BC145" s="209" t="e">
        <f t="shared" si="99"/>
        <v>#DIV/0!</v>
      </c>
      <c r="BD145" s="272"/>
      <c r="BE145" s="273"/>
      <c r="BF145" s="209" t="e">
        <f t="shared" si="100"/>
        <v>#DIV/0!</v>
      </c>
      <c r="BG145" s="272"/>
      <c r="BH145" s="273"/>
      <c r="BI145" s="209" t="e">
        <f t="shared" si="101"/>
        <v>#DIV/0!</v>
      </c>
      <c r="BJ145" s="210">
        <f t="shared" si="102"/>
        <v>0</v>
      </c>
      <c r="BK145" s="211">
        <f t="shared" si="103"/>
        <v>0</v>
      </c>
      <c r="BL145" s="209" t="e">
        <f t="shared" si="104"/>
        <v>#DIV/0!</v>
      </c>
      <c r="BM145" s="272"/>
      <c r="BN145" s="273"/>
      <c r="BO145" s="209" t="e">
        <f t="shared" si="86"/>
        <v>#DIV/0!</v>
      </c>
      <c r="BP145" s="272"/>
      <c r="BQ145" s="273"/>
      <c r="BR145" s="209" t="e">
        <f t="shared" si="87"/>
        <v>#DIV/0!</v>
      </c>
      <c r="BS145" s="272"/>
      <c r="BT145" s="272"/>
      <c r="BU145" s="209" t="e">
        <f t="shared" si="88"/>
        <v>#DIV/0!</v>
      </c>
      <c r="BV145" s="210">
        <f t="shared" si="105"/>
        <v>0</v>
      </c>
      <c r="BW145" s="210">
        <f t="shared" si="106"/>
        <v>0</v>
      </c>
      <c r="BX145" s="209" t="e">
        <f t="shared" si="107"/>
        <v>#DIV/0!</v>
      </c>
      <c r="BY145" s="209">
        <f t="shared" si="108"/>
        <v>0</v>
      </c>
      <c r="BZ145" s="209">
        <f t="shared" si="109"/>
        <v>0</v>
      </c>
      <c r="CA145" s="212"/>
      <c r="CB145" s="245"/>
      <c r="CC145" s="183"/>
      <c r="CD145" s="184"/>
      <c r="CE145" s="185" t="e">
        <f t="shared" si="89"/>
        <v>#DIV/0!</v>
      </c>
      <c r="CF145" s="183"/>
      <c r="CG145" s="184"/>
      <c r="CH145" s="185" t="e">
        <f t="shared" si="90"/>
        <v>#DIV/0!</v>
      </c>
      <c r="CI145" s="189"/>
      <c r="CJ145" s="190"/>
      <c r="CK145" s="185" t="e">
        <f t="shared" si="91"/>
        <v>#DIV/0!</v>
      </c>
      <c r="CL145" s="187">
        <f t="shared" si="92"/>
        <v>0</v>
      </c>
      <c r="CM145" s="186">
        <f t="shared" si="93"/>
        <v>0</v>
      </c>
      <c r="CN145" s="185" t="e">
        <f t="shared" si="94"/>
        <v>#DIV/0!</v>
      </c>
      <c r="CO145" s="245"/>
      <c r="CP145" s="188">
        <f t="shared" si="95"/>
        <v>0</v>
      </c>
      <c r="CQ145" s="188">
        <f t="shared" si="96"/>
        <v>0</v>
      </c>
      <c r="CR145" s="191" t="e">
        <f t="shared" si="97"/>
        <v>#DIV/0!</v>
      </c>
      <c r="CS145" s="279">
        <f t="shared" si="110"/>
        <v>29</v>
      </c>
      <c r="CT145" s="245"/>
      <c r="CU145" s="188">
        <f t="shared" si="111"/>
        <v>8.6999999999999993</v>
      </c>
      <c r="CV145" s="277"/>
      <c r="CW145" s="191">
        <f t="shared" si="112"/>
        <v>0</v>
      </c>
      <c r="CX145" s="188">
        <f t="shared" si="113"/>
        <v>8.6999999999999993</v>
      </c>
      <c r="CY145" s="277"/>
      <c r="CZ145" s="191">
        <f t="shared" si="114"/>
        <v>0</v>
      </c>
      <c r="DA145" s="188">
        <f t="shared" si="115"/>
        <v>8.6999999999999993</v>
      </c>
      <c r="DB145" s="277"/>
      <c r="DC145" s="191">
        <f t="shared" si="116"/>
        <v>0</v>
      </c>
      <c r="DD145" s="188">
        <f t="shared" si="117"/>
        <v>2.9000000000000004</v>
      </c>
      <c r="DE145" s="277"/>
      <c r="DF145" s="191">
        <f t="shared" si="118"/>
        <v>0</v>
      </c>
      <c r="DG145" s="245"/>
      <c r="DH145" s="188">
        <f t="shared" si="119"/>
        <v>29</v>
      </c>
      <c r="DI145" s="188">
        <f t="shared" si="120"/>
        <v>0</v>
      </c>
      <c r="DJ145" s="191">
        <f t="shared" si="121"/>
        <v>0</v>
      </c>
      <c r="DK145" s="286">
        <f t="shared" si="122"/>
        <v>29</v>
      </c>
      <c r="DL145" s="261">
        <v>141</v>
      </c>
      <c r="DM145" s="244">
        <f>+A145-DL145</f>
        <v>0</v>
      </c>
    </row>
    <row r="146" spans="1:117" ht="37.5" x14ac:dyDescent="0.35">
      <c r="A146" s="263">
        <v>142</v>
      </c>
      <c r="B146" s="102" t="s">
        <v>270</v>
      </c>
      <c r="C146" s="102" t="s">
        <v>118</v>
      </c>
      <c r="D146" s="102" t="s">
        <v>119</v>
      </c>
      <c r="E146" s="102" t="s">
        <v>120</v>
      </c>
      <c r="F146" s="102" t="s">
        <v>529</v>
      </c>
      <c r="G146" s="98" t="s">
        <v>456</v>
      </c>
      <c r="H146" s="98" t="s">
        <v>301</v>
      </c>
      <c r="I146" s="98" t="s">
        <v>103</v>
      </c>
      <c r="J146" s="98" t="s">
        <v>103</v>
      </c>
      <c r="K146" s="96" t="s">
        <v>104</v>
      </c>
      <c r="L146" s="96" t="s">
        <v>105</v>
      </c>
      <c r="M146" s="98" t="s">
        <v>106</v>
      </c>
      <c r="N146" s="98" t="s">
        <v>530</v>
      </c>
      <c r="O146" s="98" t="s">
        <v>127</v>
      </c>
      <c r="P146" s="241" t="s">
        <v>531</v>
      </c>
      <c r="Q146" s="98" t="s">
        <v>129</v>
      </c>
      <c r="R146" s="301">
        <v>29</v>
      </c>
      <c r="S146" s="99" t="s">
        <v>111</v>
      </c>
      <c r="T146" s="81">
        <v>0</v>
      </c>
      <c r="U146" s="81">
        <v>3</v>
      </c>
      <c r="V146" s="25" t="e">
        <f t="shared" si="124"/>
        <v>#DIV/0!</v>
      </c>
      <c r="W146" s="81">
        <v>0</v>
      </c>
      <c r="X146" s="81">
        <v>14</v>
      </c>
      <c r="Y146" s="25" t="e">
        <f t="shared" si="1"/>
        <v>#DIV/0!</v>
      </c>
      <c r="Z146" s="81">
        <v>10</v>
      </c>
      <c r="AA146" s="81"/>
      <c r="AB146" s="25">
        <f t="shared" si="2"/>
        <v>0</v>
      </c>
      <c r="AC146" s="81">
        <v>19</v>
      </c>
      <c r="AD146" s="81"/>
      <c r="AE146" s="25">
        <f t="shared" si="3"/>
        <v>0</v>
      </c>
      <c r="AF146" s="140">
        <f t="shared" si="84"/>
        <v>29</v>
      </c>
      <c r="AG146" s="140">
        <f t="shared" si="85"/>
        <v>17</v>
      </c>
      <c r="AH146" s="138" t="e">
        <f t="shared" si="125"/>
        <v>#DIV/0!</v>
      </c>
      <c r="AI146" s="101">
        <v>46054</v>
      </c>
      <c r="AJ146" s="101">
        <v>46477</v>
      </c>
      <c r="AK146" s="102" t="s">
        <v>112</v>
      </c>
      <c r="AL146" s="102" t="s">
        <v>113</v>
      </c>
      <c r="AM146" s="103" t="s">
        <v>114</v>
      </c>
      <c r="AN146" s="324"/>
      <c r="AO146" s="324"/>
      <c r="AP146" s="324"/>
      <c r="AQ146" s="326"/>
      <c r="AR146" s="322"/>
      <c r="AS146" s="102" t="s">
        <v>112</v>
      </c>
      <c r="AT146" s="152" t="s">
        <v>509</v>
      </c>
      <c r="AU146" s="166" t="s">
        <v>2264</v>
      </c>
      <c r="AV146" s="247" t="s">
        <v>2234</v>
      </c>
      <c r="AZ146" s="271" t="s">
        <v>2389</v>
      </c>
      <c r="BA146" s="272"/>
      <c r="BB146" s="273"/>
      <c r="BC146" s="209" t="e">
        <f t="shared" si="99"/>
        <v>#DIV/0!</v>
      </c>
      <c r="BD146" s="272"/>
      <c r="BE146" s="273"/>
      <c r="BF146" s="209" t="e">
        <f t="shared" si="100"/>
        <v>#DIV/0!</v>
      </c>
      <c r="BG146" s="272"/>
      <c r="BH146" s="273"/>
      <c r="BI146" s="209" t="e">
        <f t="shared" si="101"/>
        <v>#DIV/0!</v>
      </c>
      <c r="BJ146" s="210">
        <f t="shared" si="102"/>
        <v>0</v>
      </c>
      <c r="BK146" s="211">
        <f t="shared" si="103"/>
        <v>0</v>
      </c>
      <c r="BL146" s="209" t="e">
        <f t="shared" si="104"/>
        <v>#DIV/0!</v>
      </c>
      <c r="BM146" s="272"/>
      <c r="BN146" s="273"/>
      <c r="BO146" s="209" t="e">
        <f t="shared" si="86"/>
        <v>#DIV/0!</v>
      </c>
      <c r="BP146" s="272"/>
      <c r="BQ146" s="273"/>
      <c r="BR146" s="209" t="e">
        <f t="shared" si="87"/>
        <v>#DIV/0!</v>
      </c>
      <c r="BS146" s="272"/>
      <c r="BT146" s="272"/>
      <c r="BU146" s="209" t="e">
        <f t="shared" si="88"/>
        <v>#DIV/0!</v>
      </c>
      <c r="BV146" s="210">
        <f t="shared" si="105"/>
        <v>0</v>
      </c>
      <c r="BW146" s="210">
        <f t="shared" si="106"/>
        <v>0</v>
      </c>
      <c r="BX146" s="209" t="e">
        <f t="shared" si="107"/>
        <v>#DIV/0!</v>
      </c>
      <c r="BY146" s="209">
        <f t="shared" si="108"/>
        <v>0</v>
      </c>
      <c r="BZ146" s="209">
        <f t="shared" si="109"/>
        <v>0</v>
      </c>
      <c r="CA146" s="212"/>
      <c r="CB146" s="245"/>
      <c r="CC146" s="183"/>
      <c r="CD146" s="184"/>
      <c r="CE146" s="185" t="e">
        <f t="shared" si="89"/>
        <v>#DIV/0!</v>
      </c>
      <c r="CF146" s="183"/>
      <c r="CG146" s="184"/>
      <c r="CH146" s="185" t="e">
        <f t="shared" si="90"/>
        <v>#DIV/0!</v>
      </c>
      <c r="CI146" s="189"/>
      <c r="CJ146" s="190"/>
      <c r="CK146" s="185" t="e">
        <f t="shared" si="91"/>
        <v>#DIV/0!</v>
      </c>
      <c r="CL146" s="187">
        <f t="shared" si="92"/>
        <v>0</v>
      </c>
      <c r="CM146" s="186">
        <f t="shared" si="93"/>
        <v>0</v>
      </c>
      <c r="CN146" s="185" t="e">
        <f t="shared" si="94"/>
        <v>#DIV/0!</v>
      </c>
      <c r="CO146" s="245"/>
      <c r="CP146" s="188">
        <f t="shared" si="95"/>
        <v>0</v>
      </c>
      <c r="CQ146" s="188">
        <f t="shared" si="96"/>
        <v>0</v>
      </c>
      <c r="CR146" s="191" t="e">
        <f t="shared" si="97"/>
        <v>#DIV/0!</v>
      </c>
      <c r="CS146" s="279">
        <f t="shared" si="110"/>
        <v>29</v>
      </c>
      <c r="CT146" s="245"/>
      <c r="CU146" s="188">
        <f t="shared" si="111"/>
        <v>8.6999999999999993</v>
      </c>
      <c r="CV146" s="277"/>
      <c r="CW146" s="191">
        <f t="shared" si="112"/>
        <v>0</v>
      </c>
      <c r="CX146" s="188">
        <f t="shared" si="113"/>
        <v>8.6999999999999993</v>
      </c>
      <c r="CY146" s="277"/>
      <c r="CZ146" s="191">
        <f t="shared" si="114"/>
        <v>0</v>
      </c>
      <c r="DA146" s="188">
        <f t="shared" si="115"/>
        <v>8.6999999999999993</v>
      </c>
      <c r="DB146" s="277"/>
      <c r="DC146" s="191">
        <f t="shared" si="116"/>
        <v>0</v>
      </c>
      <c r="DD146" s="188">
        <f t="shared" si="117"/>
        <v>2.9000000000000004</v>
      </c>
      <c r="DE146" s="277"/>
      <c r="DF146" s="191">
        <f t="shared" si="118"/>
        <v>0</v>
      </c>
      <c r="DG146" s="245"/>
      <c r="DH146" s="188">
        <f t="shared" si="119"/>
        <v>29</v>
      </c>
      <c r="DI146" s="188">
        <f t="shared" si="120"/>
        <v>0</v>
      </c>
      <c r="DJ146" s="191">
        <f t="shared" si="121"/>
        <v>0</v>
      </c>
      <c r="DK146" s="286">
        <f t="shared" si="122"/>
        <v>29</v>
      </c>
      <c r="DL146" s="261">
        <v>142</v>
      </c>
      <c r="DM146" s="244">
        <f>+A146-DL146</f>
        <v>0</v>
      </c>
    </row>
    <row r="147" spans="1:117" ht="37.5" x14ac:dyDescent="0.35">
      <c r="A147" s="263">
        <v>143</v>
      </c>
      <c r="B147" s="102" t="s">
        <v>270</v>
      </c>
      <c r="C147" s="102" t="s">
        <v>118</v>
      </c>
      <c r="D147" s="102" t="s">
        <v>119</v>
      </c>
      <c r="E147" s="102" t="s">
        <v>155</v>
      </c>
      <c r="F147" s="102" t="s">
        <v>493</v>
      </c>
      <c r="G147" s="98" t="s">
        <v>456</v>
      </c>
      <c r="H147" s="98" t="s">
        <v>301</v>
      </c>
      <c r="I147" s="98" t="s">
        <v>103</v>
      </c>
      <c r="J147" s="98" t="s">
        <v>103</v>
      </c>
      <c r="K147" s="96" t="s">
        <v>104</v>
      </c>
      <c r="L147" s="96" t="s">
        <v>105</v>
      </c>
      <c r="M147" s="98" t="s">
        <v>106</v>
      </c>
      <c r="N147" s="98" t="s">
        <v>530</v>
      </c>
      <c r="O147" s="98" t="s">
        <v>127</v>
      </c>
      <c r="P147" s="241" t="s">
        <v>532</v>
      </c>
      <c r="Q147" s="98" t="s">
        <v>129</v>
      </c>
      <c r="R147" s="301">
        <v>29</v>
      </c>
      <c r="S147" s="99" t="s">
        <v>111</v>
      </c>
      <c r="T147" s="81">
        <v>0</v>
      </c>
      <c r="U147" s="81">
        <v>3</v>
      </c>
      <c r="V147" s="25" t="e">
        <f t="shared" si="124"/>
        <v>#DIV/0!</v>
      </c>
      <c r="W147" s="81">
        <v>0</v>
      </c>
      <c r="X147" s="81">
        <v>14</v>
      </c>
      <c r="Y147" s="25" t="e">
        <f t="shared" si="1"/>
        <v>#DIV/0!</v>
      </c>
      <c r="Z147" s="81">
        <v>10</v>
      </c>
      <c r="AA147" s="81"/>
      <c r="AB147" s="25">
        <f t="shared" si="2"/>
        <v>0</v>
      </c>
      <c r="AC147" s="81">
        <v>19</v>
      </c>
      <c r="AD147" s="81"/>
      <c r="AE147" s="25">
        <f t="shared" si="3"/>
        <v>0</v>
      </c>
      <c r="AF147" s="140">
        <f t="shared" si="84"/>
        <v>29</v>
      </c>
      <c r="AG147" s="140">
        <f t="shared" si="85"/>
        <v>17</v>
      </c>
      <c r="AH147" s="138" t="e">
        <f t="shared" si="125"/>
        <v>#DIV/0!</v>
      </c>
      <c r="AI147" s="101">
        <v>46113</v>
      </c>
      <c r="AJ147" s="101">
        <v>46477</v>
      </c>
      <c r="AK147" s="102" t="s">
        <v>112</v>
      </c>
      <c r="AL147" s="102" t="s">
        <v>113</v>
      </c>
      <c r="AM147" s="103" t="s">
        <v>114</v>
      </c>
      <c r="AN147" s="324"/>
      <c r="AO147" s="324"/>
      <c r="AP147" s="324"/>
      <c r="AQ147" s="326"/>
      <c r="AR147" s="102" t="s">
        <v>533</v>
      </c>
      <c r="AS147" s="102" t="s">
        <v>112</v>
      </c>
      <c r="AT147" s="152" t="s">
        <v>509</v>
      </c>
      <c r="AU147" s="166" t="s">
        <v>2264</v>
      </c>
      <c r="AV147" s="247" t="s">
        <v>2234</v>
      </c>
      <c r="AZ147" s="271" t="s">
        <v>2389</v>
      </c>
      <c r="BA147" s="272"/>
      <c r="BB147" s="273"/>
      <c r="BC147" s="209" t="e">
        <f t="shared" si="99"/>
        <v>#DIV/0!</v>
      </c>
      <c r="BD147" s="272"/>
      <c r="BE147" s="273"/>
      <c r="BF147" s="209" t="e">
        <f t="shared" si="100"/>
        <v>#DIV/0!</v>
      </c>
      <c r="BG147" s="272"/>
      <c r="BH147" s="273"/>
      <c r="BI147" s="209" t="e">
        <f t="shared" si="101"/>
        <v>#DIV/0!</v>
      </c>
      <c r="BJ147" s="210">
        <f t="shared" si="102"/>
        <v>0</v>
      </c>
      <c r="BK147" s="211">
        <f t="shared" si="103"/>
        <v>0</v>
      </c>
      <c r="BL147" s="209" t="e">
        <f t="shared" si="104"/>
        <v>#DIV/0!</v>
      </c>
      <c r="BM147" s="272"/>
      <c r="BN147" s="273"/>
      <c r="BO147" s="209" t="e">
        <f t="shared" si="86"/>
        <v>#DIV/0!</v>
      </c>
      <c r="BP147" s="272"/>
      <c r="BQ147" s="273"/>
      <c r="BR147" s="209" t="e">
        <f t="shared" si="87"/>
        <v>#DIV/0!</v>
      </c>
      <c r="BS147" s="272"/>
      <c r="BT147" s="272"/>
      <c r="BU147" s="209" t="e">
        <f t="shared" si="88"/>
        <v>#DIV/0!</v>
      </c>
      <c r="BV147" s="210">
        <f t="shared" si="105"/>
        <v>0</v>
      </c>
      <c r="BW147" s="210">
        <f t="shared" si="106"/>
        <v>0</v>
      </c>
      <c r="BX147" s="209" t="e">
        <f t="shared" si="107"/>
        <v>#DIV/0!</v>
      </c>
      <c r="BY147" s="209">
        <f t="shared" si="108"/>
        <v>0</v>
      </c>
      <c r="BZ147" s="209">
        <f t="shared" si="109"/>
        <v>0</v>
      </c>
      <c r="CA147" s="212"/>
      <c r="CB147" s="245"/>
      <c r="CC147" s="183"/>
      <c r="CD147" s="184"/>
      <c r="CE147" s="185" t="e">
        <f t="shared" si="89"/>
        <v>#DIV/0!</v>
      </c>
      <c r="CF147" s="183"/>
      <c r="CG147" s="184"/>
      <c r="CH147" s="185" t="e">
        <f t="shared" si="90"/>
        <v>#DIV/0!</v>
      </c>
      <c r="CI147" s="189"/>
      <c r="CJ147" s="190"/>
      <c r="CK147" s="185" t="e">
        <f t="shared" si="91"/>
        <v>#DIV/0!</v>
      </c>
      <c r="CL147" s="187">
        <f t="shared" si="92"/>
        <v>0</v>
      </c>
      <c r="CM147" s="186">
        <f t="shared" si="93"/>
        <v>0</v>
      </c>
      <c r="CN147" s="185" t="e">
        <f t="shared" si="94"/>
        <v>#DIV/0!</v>
      </c>
      <c r="CO147" s="245"/>
      <c r="CP147" s="188">
        <f t="shared" si="95"/>
        <v>0</v>
      </c>
      <c r="CQ147" s="188">
        <f t="shared" si="96"/>
        <v>0</v>
      </c>
      <c r="CR147" s="191" t="e">
        <f t="shared" si="97"/>
        <v>#DIV/0!</v>
      </c>
      <c r="CS147" s="279">
        <f t="shared" si="110"/>
        <v>29</v>
      </c>
      <c r="CT147" s="245"/>
      <c r="CU147" s="188">
        <f t="shared" si="111"/>
        <v>8.6999999999999993</v>
      </c>
      <c r="CV147" s="277"/>
      <c r="CW147" s="191">
        <f t="shared" si="112"/>
        <v>0</v>
      </c>
      <c r="CX147" s="188">
        <f t="shared" si="113"/>
        <v>8.6999999999999993</v>
      </c>
      <c r="CY147" s="277"/>
      <c r="CZ147" s="191">
        <f t="shared" si="114"/>
        <v>0</v>
      </c>
      <c r="DA147" s="188">
        <f t="shared" si="115"/>
        <v>8.6999999999999993</v>
      </c>
      <c r="DB147" s="277"/>
      <c r="DC147" s="191">
        <f t="shared" si="116"/>
        <v>0</v>
      </c>
      <c r="DD147" s="188">
        <f t="shared" si="117"/>
        <v>2.9000000000000004</v>
      </c>
      <c r="DE147" s="277"/>
      <c r="DF147" s="191">
        <f t="shared" si="118"/>
        <v>0</v>
      </c>
      <c r="DG147" s="245"/>
      <c r="DH147" s="188">
        <f t="shared" si="119"/>
        <v>29</v>
      </c>
      <c r="DI147" s="188">
        <f t="shared" si="120"/>
        <v>0</v>
      </c>
      <c r="DJ147" s="191">
        <f t="shared" si="121"/>
        <v>0</v>
      </c>
      <c r="DK147" s="286">
        <f t="shared" si="122"/>
        <v>29</v>
      </c>
      <c r="DL147" s="261">
        <v>143</v>
      </c>
      <c r="DM147" s="244">
        <f>+A147-DL147</f>
        <v>0</v>
      </c>
    </row>
    <row r="148" spans="1:117" ht="25" x14ac:dyDescent="0.35">
      <c r="A148" s="263">
        <v>144</v>
      </c>
      <c r="B148" s="102" t="s">
        <v>270</v>
      </c>
      <c r="C148" s="102" t="s">
        <v>118</v>
      </c>
      <c r="D148" s="102" t="s">
        <v>119</v>
      </c>
      <c r="E148" s="102" t="s">
        <v>155</v>
      </c>
      <c r="F148" s="102" t="s">
        <v>534</v>
      </c>
      <c r="G148" s="98" t="s">
        <v>456</v>
      </c>
      <c r="H148" s="98" t="s">
        <v>301</v>
      </c>
      <c r="I148" s="98" t="s">
        <v>103</v>
      </c>
      <c r="J148" s="98" t="s">
        <v>103</v>
      </c>
      <c r="K148" s="96" t="s">
        <v>104</v>
      </c>
      <c r="L148" s="96" t="s">
        <v>105</v>
      </c>
      <c r="M148" s="98" t="s">
        <v>106</v>
      </c>
      <c r="N148" s="98" t="s">
        <v>530</v>
      </c>
      <c r="O148" s="98" t="s">
        <v>127</v>
      </c>
      <c r="P148" s="297" t="s">
        <v>535</v>
      </c>
      <c r="Q148" s="98" t="s">
        <v>129</v>
      </c>
      <c r="R148" s="301">
        <v>1</v>
      </c>
      <c r="S148" s="99" t="s">
        <v>111</v>
      </c>
      <c r="T148" s="81">
        <v>0</v>
      </c>
      <c r="U148" s="81">
        <v>0</v>
      </c>
      <c r="V148" s="25" t="e">
        <f t="shared" si="124"/>
        <v>#DIV/0!</v>
      </c>
      <c r="W148" s="81">
        <v>0</v>
      </c>
      <c r="X148" s="81">
        <v>1</v>
      </c>
      <c r="Y148" s="25" t="e">
        <f t="shared" si="1"/>
        <v>#DIV/0!</v>
      </c>
      <c r="Z148" s="81">
        <v>1</v>
      </c>
      <c r="AA148" s="81"/>
      <c r="AB148" s="25">
        <f t="shared" si="2"/>
        <v>0</v>
      </c>
      <c r="AC148" s="81">
        <v>1</v>
      </c>
      <c r="AD148" s="81"/>
      <c r="AE148" s="25">
        <f t="shared" si="3"/>
        <v>0</v>
      </c>
      <c r="AF148" s="140">
        <f t="shared" si="84"/>
        <v>1</v>
      </c>
      <c r="AG148" s="140">
        <f t="shared" si="85"/>
        <v>1</v>
      </c>
      <c r="AH148" s="138" t="e">
        <f t="shared" si="125"/>
        <v>#DIV/0!</v>
      </c>
      <c r="AI148" s="101">
        <v>46113</v>
      </c>
      <c r="AJ148" s="101">
        <v>46477</v>
      </c>
      <c r="AK148" s="102" t="s">
        <v>112</v>
      </c>
      <c r="AL148" s="102" t="s">
        <v>113</v>
      </c>
      <c r="AM148" s="103" t="s">
        <v>114</v>
      </c>
      <c r="AN148" s="104">
        <v>10000000</v>
      </c>
      <c r="AO148" s="104">
        <v>10000000</v>
      </c>
      <c r="AP148" s="104">
        <v>10000000</v>
      </c>
      <c r="AQ148" s="326">
        <v>0</v>
      </c>
      <c r="AR148" s="102" t="s">
        <v>159</v>
      </c>
      <c r="AS148" s="102" t="s">
        <v>112</v>
      </c>
      <c r="AT148" s="152" t="s">
        <v>509</v>
      </c>
      <c r="AU148" s="166" t="s">
        <v>2264</v>
      </c>
      <c r="AV148" s="247" t="s">
        <v>2234</v>
      </c>
      <c r="AZ148" s="271" t="s">
        <v>2389</v>
      </c>
      <c r="BA148" s="272"/>
      <c r="BB148" s="273"/>
      <c r="BC148" s="209" t="e">
        <f t="shared" si="99"/>
        <v>#DIV/0!</v>
      </c>
      <c r="BD148" s="272"/>
      <c r="BE148" s="273"/>
      <c r="BF148" s="209" t="e">
        <f t="shared" si="100"/>
        <v>#DIV/0!</v>
      </c>
      <c r="BG148" s="272"/>
      <c r="BH148" s="273"/>
      <c r="BI148" s="209" t="e">
        <f t="shared" si="101"/>
        <v>#DIV/0!</v>
      </c>
      <c r="BJ148" s="210">
        <f t="shared" si="102"/>
        <v>0</v>
      </c>
      <c r="BK148" s="211">
        <f t="shared" si="103"/>
        <v>0</v>
      </c>
      <c r="BL148" s="209" t="e">
        <f t="shared" si="104"/>
        <v>#DIV/0!</v>
      </c>
      <c r="BM148" s="272"/>
      <c r="BN148" s="273"/>
      <c r="BO148" s="209" t="e">
        <f t="shared" si="86"/>
        <v>#DIV/0!</v>
      </c>
      <c r="BP148" s="272"/>
      <c r="BQ148" s="273"/>
      <c r="BR148" s="209" t="e">
        <f t="shared" si="87"/>
        <v>#DIV/0!</v>
      </c>
      <c r="BS148" s="272"/>
      <c r="BT148" s="272"/>
      <c r="BU148" s="209" t="e">
        <f t="shared" si="88"/>
        <v>#DIV/0!</v>
      </c>
      <c r="BV148" s="210">
        <f t="shared" si="105"/>
        <v>0</v>
      </c>
      <c r="BW148" s="210">
        <f t="shared" si="106"/>
        <v>0</v>
      </c>
      <c r="BX148" s="209" t="e">
        <f t="shared" si="107"/>
        <v>#DIV/0!</v>
      </c>
      <c r="BY148" s="209">
        <f t="shared" si="108"/>
        <v>0</v>
      </c>
      <c r="BZ148" s="209">
        <f t="shared" si="109"/>
        <v>0</v>
      </c>
      <c r="CA148" s="212"/>
      <c r="CB148" s="245"/>
      <c r="CC148" s="183"/>
      <c r="CD148" s="184"/>
      <c r="CE148" s="185" t="e">
        <f t="shared" si="89"/>
        <v>#DIV/0!</v>
      </c>
      <c r="CF148" s="183"/>
      <c r="CG148" s="184"/>
      <c r="CH148" s="185" t="e">
        <f t="shared" si="90"/>
        <v>#DIV/0!</v>
      </c>
      <c r="CI148" s="189"/>
      <c r="CJ148" s="190"/>
      <c r="CK148" s="185" t="e">
        <f t="shared" si="91"/>
        <v>#DIV/0!</v>
      </c>
      <c r="CL148" s="187">
        <f t="shared" si="92"/>
        <v>0</v>
      </c>
      <c r="CM148" s="186">
        <f t="shared" si="93"/>
        <v>0</v>
      </c>
      <c r="CN148" s="185" t="e">
        <f t="shared" si="94"/>
        <v>#DIV/0!</v>
      </c>
      <c r="CO148" s="245"/>
      <c r="CP148" s="188">
        <f t="shared" si="95"/>
        <v>0</v>
      </c>
      <c r="CQ148" s="188">
        <f t="shared" si="96"/>
        <v>0</v>
      </c>
      <c r="CR148" s="191" t="e">
        <f t="shared" si="97"/>
        <v>#DIV/0!</v>
      </c>
      <c r="CS148" s="279">
        <f t="shared" si="110"/>
        <v>1</v>
      </c>
      <c r="CT148" s="245"/>
      <c r="CU148" s="188">
        <f t="shared" si="111"/>
        <v>0.3</v>
      </c>
      <c r="CV148" s="277"/>
      <c r="CW148" s="191">
        <f t="shared" si="112"/>
        <v>0</v>
      </c>
      <c r="CX148" s="188">
        <f t="shared" si="113"/>
        <v>0.3</v>
      </c>
      <c r="CY148" s="277"/>
      <c r="CZ148" s="191">
        <f t="shared" si="114"/>
        <v>0</v>
      </c>
      <c r="DA148" s="188">
        <f t="shared" si="115"/>
        <v>0.3</v>
      </c>
      <c r="DB148" s="277"/>
      <c r="DC148" s="191">
        <f t="shared" si="116"/>
        <v>0</v>
      </c>
      <c r="DD148" s="188">
        <f t="shared" si="117"/>
        <v>0.1</v>
      </c>
      <c r="DE148" s="277"/>
      <c r="DF148" s="191">
        <f t="shared" si="118"/>
        <v>0</v>
      </c>
      <c r="DG148" s="245"/>
      <c r="DH148" s="188">
        <f t="shared" si="119"/>
        <v>1</v>
      </c>
      <c r="DI148" s="188">
        <f t="shared" si="120"/>
        <v>0</v>
      </c>
      <c r="DJ148" s="191">
        <f t="shared" si="121"/>
        <v>0</v>
      </c>
      <c r="DK148" s="286">
        <f t="shared" si="122"/>
        <v>1</v>
      </c>
      <c r="DL148" s="261">
        <v>144</v>
      </c>
      <c r="DM148" s="244">
        <f>+A148-DL148</f>
        <v>0</v>
      </c>
    </row>
    <row r="149" spans="1:117" ht="50" x14ac:dyDescent="0.35">
      <c r="A149" s="263">
        <v>145</v>
      </c>
      <c r="B149" s="102" t="s">
        <v>270</v>
      </c>
      <c r="C149" s="102" t="s">
        <v>195</v>
      </c>
      <c r="D149" s="102" t="s">
        <v>196</v>
      </c>
      <c r="E149" s="102" t="s">
        <v>536</v>
      </c>
      <c r="F149" s="102" t="s">
        <v>537</v>
      </c>
      <c r="G149" s="98" t="s">
        <v>538</v>
      </c>
      <c r="H149" s="98" t="s">
        <v>539</v>
      </c>
      <c r="I149" s="98" t="s">
        <v>103</v>
      </c>
      <c r="J149" s="98" t="s">
        <v>103</v>
      </c>
      <c r="K149" s="96" t="s">
        <v>104</v>
      </c>
      <c r="L149" s="96" t="s">
        <v>105</v>
      </c>
      <c r="M149" s="98" t="s">
        <v>106</v>
      </c>
      <c r="N149" s="98" t="s">
        <v>107</v>
      </c>
      <c r="O149" s="98" t="s">
        <v>108</v>
      </c>
      <c r="P149" s="241" t="s">
        <v>540</v>
      </c>
      <c r="Q149" s="98" t="s">
        <v>110</v>
      </c>
      <c r="R149" s="301">
        <v>29</v>
      </c>
      <c r="S149" s="99" t="s">
        <v>111</v>
      </c>
      <c r="T149" s="81">
        <v>0</v>
      </c>
      <c r="U149" s="81">
        <v>0</v>
      </c>
      <c r="V149" s="25" t="e">
        <f t="shared" si="124"/>
        <v>#DIV/0!</v>
      </c>
      <c r="W149" s="81">
        <v>10</v>
      </c>
      <c r="X149" s="81">
        <v>0</v>
      </c>
      <c r="Y149" s="25">
        <f t="shared" si="1"/>
        <v>0</v>
      </c>
      <c r="Z149" s="81">
        <v>10</v>
      </c>
      <c r="AA149" s="81"/>
      <c r="AB149" s="25">
        <f t="shared" si="2"/>
        <v>0</v>
      </c>
      <c r="AC149" s="81">
        <v>9</v>
      </c>
      <c r="AD149" s="81"/>
      <c r="AE149" s="25">
        <f t="shared" si="3"/>
        <v>0</v>
      </c>
      <c r="AF149" s="140">
        <f t="shared" si="84"/>
        <v>29</v>
      </c>
      <c r="AG149" s="140">
        <f t="shared" si="85"/>
        <v>0</v>
      </c>
      <c r="AH149" s="138">
        <f t="shared" si="125"/>
        <v>0</v>
      </c>
      <c r="AI149" s="101">
        <v>46113</v>
      </c>
      <c r="AJ149" s="101">
        <v>46477</v>
      </c>
      <c r="AK149" s="102" t="s">
        <v>112</v>
      </c>
      <c r="AL149" s="102" t="s">
        <v>113</v>
      </c>
      <c r="AM149" s="103" t="s">
        <v>114</v>
      </c>
      <c r="AN149" s="104">
        <v>60000000</v>
      </c>
      <c r="AO149" s="104">
        <v>60000000</v>
      </c>
      <c r="AP149" s="104">
        <v>60000000</v>
      </c>
      <c r="AQ149" s="326">
        <v>0</v>
      </c>
      <c r="AR149" s="102" t="s">
        <v>533</v>
      </c>
      <c r="AS149" s="102" t="s">
        <v>112</v>
      </c>
      <c r="AT149" s="152" t="s">
        <v>509</v>
      </c>
      <c r="AU149" s="166" t="s">
        <v>2264</v>
      </c>
      <c r="AV149" s="247" t="s">
        <v>2234</v>
      </c>
      <c r="AZ149" s="271" t="s">
        <v>2389</v>
      </c>
      <c r="BA149" s="272"/>
      <c r="BB149" s="273"/>
      <c r="BC149" s="209" t="e">
        <f t="shared" si="99"/>
        <v>#DIV/0!</v>
      </c>
      <c r="BD149" s="272"/>
      <c r="BE149" s="273"/>
      <c r="BF149" s="209" t="e">
        <f t="shared" si="100"/>
        <v>#DIV/0!</v>
      </c>
      <c r="BG149" s="272"/>
      <c r="BH149" s="273"/>
      <c r="BI149" s="209" t="e">
        <f t="shared" si="101"/>
        <v>#DIV/0!</v>
      </c>
      <c r="BJ149" s="210">
        <f t="shared" si="102"/>
        <v>0</v>
      </c>
      <c r="BK149" s="211">
        <f t="shared" si="103"/>
        <v>0</v>
      </c>
      <c r="BL149" s="209" t="e">
        <f t="shared" si="104"/>
        <v>#DIV/0!</v>
      </c>
      <c r="BM149" s="272"/>
      <c r="BN149" s="273"/>
      <c r="BO149" s="209" t="e">
        <f t="shared" si="86"/>
        <v>#DIV/0!</v>
      </c>
      <c r="BP149" s="272"/>
      <c r="BQ149" s="273"/>
      <c r="BR149" s="209" t="e">
        <f t="shared" si="87"/>
        <v>#DIV/0!</v>
      </c>
      <c r="BS149" s="272"/>
      <c r="BT149" s="272"/>
      <c r="BU149" s="209" t="e">
        <f t="shared" si="88"/>
        <v>#DIV/0!</v>
      </c>
      <c r="BV149" s="210">
        <f t="shared" si="105"/>
        <v>0</v>
      </c>
      <c r="BW149" s="210">
        <f t="shared" si="106"/>
        <v>0</v>
      </c>
      <c r="BX149" s="209" t="e">
        <f t="shared" si="107"/>
        <v>#DIV/0!</v>
      </c>
      <c r="BY149" s="209">
        <f t="shared" si="108"/>
        <v>0</v>
      </c>
      <c r="BZ149" s="209">
        <f t="shared" si="109"/>
        <v>0</v>
      </c>
      <c r="CA149" s="212"/>
      <c r="CB149" s="245"/>
      <c r="CC149" s="183"/>
      <c r="CD149" s="184"/>
      <c r="CE149" s="185" t="e">
        <f t="shared" si="89"/>
        <v>#DIV/0!</v>
      </c>
      <c r="CF149" s="183"/>
      <c r="CG149" s="184"/>
      <c r="CH149" s="185" t="e">
        <f t="shared" si="90"/>
        <v>#DIV/0!</v>
      </c>
      <c r="CI149" s="189"/>
      <c r="CJ149" s="190"/>
      <c r="CK149" s="185" t="e">
        <f t="shared" si="91"/>
        <v>#DIV/0!</v>
      </c>
      <c r="CL149" s="187">
        <f t="shared" si="92"/>
        <v>0</v>
      </c>
      <c r="CM149" s="186">
        <f t="shared" si="93"/>
        <v>0</v>
      </c>
      <c r="CN149" s="185" t="e">
        <f t="shared" si="94"/>
        <v>#DIV/0!</v>
      </c>
      <c r="CO149" s="245"/>
      <c r="CP149" s="188">
        <f t="shared" si="95"/>
        <v>0</v>
      </c>
      <c r="CQ149" s="188">
        <f t="shared" si="96"/>
        <v>0</v>
      </c>
      <c r="CR149" s="191" t="e">
        <f t="shared" si="97"/>
        <v>#DIV/0!</v>
      </c>
      <c r="CS149" s="279">
        <f t="shared" si="110"/>
        <v>29</v>
      </c>
      <c r="CT149" s="245"/>
      <c r="CU149" s="188">
        <f t="shared" si="111"/>
        <v>8.6999999999999993</v>
      </c>
      <c r="CV149" s="277"/>
      <c r="CW149" s="191">
        <f t="shared" si="112"/>
        <v>0</v>
      </c>
      <c r="CX149" s="188">
        <f t="shared" si="113"/>
        <v>8.6999999999999993</v>
      </c>
      <c r="CY149" s="277"/>
      <c r="CZ149" s="191">
        <f t="shared" si="114"/>
        <v>0</v>
      </c>
      <c r="DA149" s="188">
        <f t="shared" si="115"/>
        <v>8.6999999999999993</v>
      </c>
      <c r="DB149" s="277"/>
      <c r="DC149" s="191">
        <f t="shared" si="116"/>
        <v>0</v>
      </c>
      <c r="DD149" s="188">
        <f t="shared" si="117"/>
        <v>2.9000000000000004</v>
      </c>
      <c r="DE149" s="277"/>
      <c r="DF149" s="191">
        <f t="shared" si="118"/>
        <v>0</v>
      </c>
      <c r="DG149" s="245"/>
      <c r="DH149" s="188">
        <f t="shared" si="119"/>
        <v>29</v>
      </c>
      <c r="DI149" s="188">
        <f t="shared" si="120"/>
        <v>0</v>
      </c>
      <c r="DJ149" s="191">
        <f t="shared" si="121"/>
        <v>0</v>
      </c>
      <c r="DK149" s="286">
        <f t="shared" si="122"/>
        <v>29</v>
      </c>
      <c r="DL149" s="261">
        <v>145</v>
      </c>
      <c r="DM149" s="244">
        <f>+A149-DL149</f>
        <v>0</v>
      </c>
    </row>
    <row r="150" spans="1:117" ht="25" x14ac:dyDescent="0.35">
      <c r="A150" s="263">
        <v>146</v>
      </c>
      <c r="B150" s="102" t="s">
        <v>270</v>
      </c>
      <c r="C150" s="102" t="s">
        <v>118</v>
      </c>
      <c r="D150" s="102" t="s">
        <v>119</v>
      </c>
      <c r="E150" s="102" t="s">
        <v>155</v>
      </c>
      <c r="F150" s="102" t="s">
        <v>493</v>
      </c>
      <c r="G150" s="98" t="s">
        <v>456</v>
      </c>
      <c r="H150" s="98" t="s">
        <v>376</v>
      </c>
      <c r="I150" s="98" t="s">
        <v>254</v>
      </c>
      <c r="J150" s="98" t="s">
        <v>254</v>
      </c>
      <c r="K150" s="96" t="s">
        <v>104</v>
      </c>
      <c r="L150" s="96" t="s">
        <v>105</v>
      </c>
      <c r="M150" s="98" t="s">
        <v>106</v>
      </c>
      <c r="N150" s="98" t="s">
        <v>530</v>
      </c>
      <c r="O150" s="98" t="s">
        <v>127</v>
      </c>
      <c r="P150" s="241" t="s">
        <v>541</v>
      </c>
      <c r="Q150" s="98" t="s">
        <v>129</v>
      </c>
      <c r="R150" s="301">
        <v>29</v>
      </c>
      <c r="S150" s="99" t="s">
        <v>111</v>
      </c>
      <c r="T150" s="81">
        <v>0</v>
      </c>
      <c r="U150" s="81">
        <v>4</v>
      </c>
      <c r="V150" s="25" t="e">
        <f t="shared" si="124"/>
        <v>#DIV/0!</v>
      </c>
      <c r="W150" s="81">
        <v>10</v>
      </c>
      <c r="X150" s="81">
        <v>11</v>
      </c>
      <c r="Y150" s="25">
        <f t="shared" si="1"/>
        <v>110.00000000000001</v>
      </c>
      <c r="Z150" s="81">
        <v>10</v>
      </c>
      <c r="AA150" s="81"/>
      <c r="AB150" s="25">
        <f t="shared" si="2"/>
        <v>0</v>
      </c>
      <c r="AC150" s="81">
        <v>9</v>
      </c>
      <c r="AD150" s="81"/>
      <c r="AE150" s="25">
        <f t="shared" si="3"/>
        <v>0</v>
      </c>
      <c r="AF150" s="140">
        <f t="shared" si="84"/>
        <v>29</v>
      </c>
      <c r="AG150" s="140">
        <f t="shared" si="85"/>
        <v>15</v>
      </c>
      <c r="AH150" s="138">
        <f t="shared" si="125"/>
        <v>150</v>
      </c>
      <c r="AI150" s="101">
        <v>46054</v>
      </c>
      <c r="AJ150" s="101">
        <v>46477</v>
      </c>
      <c r="AK150" s="102" t="s">
        <v>112</v>
      </c>
      <c r="AL150" s="102" t="s">
        <v>113</v>
      </c>
      <c r="AM150" s="103" t="s">
        <v>114</v>
      </c>
      <c r="AN150" s="324"/>
      <c r="AO150" s="324"/>
      <c r="AP150" s="324"/>
      <c r="AQ150" s="326"/>
      <c r="AR150" s="322"/>
      <c r="AS150" s="102" t="s">
        <v>112</v>
      </c>
      <c r="AT150" s="152" t="s">
        <v>509</v>
      </c>
      <c r="AU150" s="166" t="s">
        <v>2264</v>
      </c>
      <c r="AV150" s="247" t="s">
        <v>2234</v>
      </c>
      <c r="AZ150" s="271" t="s">
        <v>2389</v>
      </c>
      <c r="BA150" s="272"/>
      <c r="BB150" s="273"/>
      <c r="BC150" s="209" t="e">
        <f t="shared" si="99"/>
        <v>#DIV/0!</v>
      </c>
      <c r="BD150" s="272"/>
      <c r="BE150" s="273"/>
      <c r="BF150" s="209" t="e">
        <f t="shared" si="100"/>
        <v>#DIV/0!</v>
      </c>
      <c r="BG150" s="272"/>
      <c r="BH150" s="273"/>
      <c r="BI150" s="209" t="e">
        <f t="shared" si="101"/>
        <v>#DIV/0!</v>
      </c>
      <c r="BJ150" s="210">
        <f t="shared" si="102"/>
        <v>0</v>
      </c>
      <c r="BK150" s="211">
        <f t="shared" si="103"/>
        <v>0</v>
      </c>
      <c r="BL150" s="209" t="e">
        <f t="shared" si="104"/>
        <v>#DIV/0!</v>
      </c>
      <c r="BM150" s="272"/>
      <c r="BN150" s="273"/>
      <c r="BO150" s="209" t="e">
        <f t="shared" si="86"/>
        <v>#DIV/0!</v>
      </c>
      <c r="BP150" s="272"/>
      <c r="BQ150" s="273"/>
      <c r="BR150" s="209" t="e">
        <f t="shared" si="87"/>
        <v>#DIV/0!</v>
      </c>
      <c r="BS150" s="272"/>
      <c r="BT150" s="272"/>
      <c r="BU150" s="209" t="e">
        <f t="shared" si="88"/>
        <v>#DIV/0!</v>
      </c>
      <c r="BV150" s="210">
        <f t="shared" si="105"/>
        <v>0</v>
      </c>
      <c r="BW150" s="210">
        <f t="shared" si="106"/>
        <v>0</v>
      </c>
      <c r="BX150" s="209" t="e">
        <f t="shared" si="107"/>
        <v>#DIV/0!</v>
      </c>
      <c r="BY150" s="209">
        <f t="shared" si="108"/>
        <v>0</v>
      </c>
      <c r="BZ150" s="209">
        <f t="shared" si="109"/>
        <v>0</v>
      </c>
      <c r="CA150" s="212"/>
      <c r="CB150" s="245"/>
      <c r="CC150" s="183"/>
      <c r="CD150" s="184"/>
      <c r="CE150" s="185" t="e">
        <f t="shared" si="89"/>
        <v>#DIV/0!</v>
      </c>
      <c r="CF150" s="183"/>
      <c r="CG150" s="184"/>
      <c r="CH150" s="185" t="e">
        <f t="shared" si="90"/>
        <v>#DIV/0!</v>
      </c>
      <c r="CI150" s="189"/>
      <c r="CJ150" s="190"/>
      <c r="CK150" s="185" t="e">
        <f t="shared" si="91"/>
        <v>#DIV/0!</v>
      </c>
      <c r="CL150" s="187">
        <f t="shared" si="92"/>
        <v>0</v>
      </c>
      <c r="CM150" s="186">
        <f t="shared" si="93"/>
        <v>0</v>
      </c>
      <c r="CN150" s="185" t="e">
        <f t="shared" si="94"/>
        <v>#DIV/0!</v>
      </c>
      <c r="CO150" s="245"/>
      <c r="CP150" s="188">
        <f t="shared" si="95"/>
        <v>0</v>
      </c>
      <c r="CQ150" s="188">
        <f t="shared" si="96"/>
        <v>0</v>
      </c>
      <c r="CR150" s="191" t="e">
        <f t="shared" si="97"/>
        <v>#DIV/0!</v>
      </c>
      <c r="CS150" s="279">
        <f t="shared" si="110"/>
        <v>29</v>
      </c>
      <c r="CT150" s="245"/>
      <c r="CU150" s="188">
        <f t="shared" si="111"/>
        <v>8.6999999999999993</v>
      </c>
      <c r="CV150" s="277"/>
      <c r="CW150" s="191">
        <f t="shared" si="112"/>
        <v>0</v>
      </c>
      <c r="CX150" s="188">
        <f t="shared" si="113"/>
        <v>8.6999999999999993</v>
      </c>
      <c r="CY150" s="277"/>
      <c r="CZ150" s="191">
        <f t="shared" si="114"/>
        <v>0</v>
      </c>
      <c r="DA150" s="188">
        <f t="shared" si="115"/>
        <v>8.6999999999999993</v>
      </c>
      <c r="DB150" s="277"/>
      <c r="DC150" s="191">
        <f t="shared" si="116"/>
        <v>0</v>
      </c>
      <c r="DD150" s="188">
        <f t="shared" si="117"/>
        <v>2.9000000000000004</v>
      </c>
      <c r="DE150" s="277"/>
      <c r="DF150" s="191">
        <f t="shared" si="118"/>
        <v>0</v>
      </c>
      <c r="DG150" s="245"/>
      <c r="DH150" s="188">
        <f t="shared" si="119"/>
        <v>29</v>
      </c>
      <c r="DI150" s="188">
        <f t="shared" si="120"/>
        <v>0</v>
      </c>
      <c r="DJ150" s="191">
        <f t="shared" si="121"/>
        <v>0</v>
      </c>
      <c r="DK150" s="286">
        <f t="shared" si="122"/>
        <v>29</v>
      </c>
      <c r="DL150" s="261">
        <v>146</v>
      </c>
      <c r="DM150" s="244">
        <f>+A150-DL150</f>
        <v>0</v>
      </c>
    </row>
    <row r="151" spans="1:117" ht="25" x14ac:dyDescent="0.35">
      <c r="A151" s="263">
        <v>147</v>
      </c>
      <c r="B151" s="102" t="s">
        <v>270</v>
      </c>
      <c r="C151" s="102" t="s">
        <v>118</v>
      </c>
      <c r="D151" s="102" t="s">
        <v>119</v>
      </c>
      <c r="E151" s="102" t="s">
        <v>155</v>
      </c>
      <c r="F151" s="102" t="s">
        <v>493</v>
      </c>
      <c r="G151" s="98" t="s">
        <v>456</v>
      </c>
      <c r="H151" s="98" t="s">
        <v>376</v>
      </c>
      <c r="I151" s="98" t="s">
        <v>103</v>
      </c>
      <c r="J151" s="98" t="s">
        <v>103</v>
      </c>
      <c r="K151" s="96" t="s">
        <v>104</v>
      </c>
      <c r="L151" s="96" t="s">
        <v>105</v>
      </c>
      <c r="M151" s="98" t="s">
        <v>106</v>
      </c>
      <c r="N151" s="98" t="s">
        <v>530</v>
      </c>
      <c r="O151" s="98" t="s">
        <v>127</v>
      </c>
      <c r="P151" s="241" t="s">
        <v>542</v>
      </c>
      <c r="Q151" s="98" t="s">
        <v>129</v>
      </c>
      <c r="R151" s="301">
        <v>29</v>
      </c>
      <c r="S151" s="99" t="s">
        <v>111</v>
      </c>
      <c r="T151" s="81">
        <v>0</v>
      </c>
      <c r="U151" s="81">
        <v>4</v>
      </c>
      <c r="V151" s="25" t="e">
        <f t="shared" si="124"/>
        <v>#DIV/0!</v>
      </c>
      <c r="W151" s="81">
        <v>10</v>
      </c>
      <c r="X151" s="81">
        <v>12</v>
      </c>
      <c r="Y151" s="25">
        <f t="shared" si="1"/>
        <v>120</v>
      </c>
      <c r="Z151" s="81">
        <v>10</v>
      </c>
      <c r="AA151" s="81"/>
      <c r="AB151" s="25">
        <f t="shared" si="2"/>
        <v>0</v>
      </c>
      <c r="AC151" s="81">
        <v>9</v>
      </c>
      <c r="AD151" s="81"/>
      <c r="AE151" s="25">
        <f t="shared" si="3"/>
        <v>0</v>
      </c>
      <c r="AF151" s="140">
        <f t="shared" si="84"/>
        <v>29</v>
      </c>
      <c r="AG151" s="140">
        <f t="shared" si="85"/>
        <v>16</v>
      </c>
      <c r="AH151" s="138">
        <f t="shared" si="125"/>
        <v>160</v>
      </c>
      <c r="AI151" s="101">
        <v>46054</v>
      </c>
      <c r="AJ151" s="101">
        <v>46477</v>
      </c>
      <c r="AK151" s="102" t="s">
        <v>112</v>
      </c>
      <c r="AL151" s="102" t="s">
        <v>113</v>
      </c>
      <c r="AM151" s="103" t="s">
        <v>114</v>
      </c>
      <c r="AN151" s="324"/>
      <c r="AO151" s="324"/>
      <c r="AP151" s="324"/>
      <c r="AQ151" s="326"/>
      <c r="AR151" s="322"/>
      <c r="AS151" s="102" t="s">
        <v>112</v>
      </c>
      <c r="AT151" s="152" t="s">
        <v>509</v>
      </c>
      <c r="AU151" s="166" t="s">
        <v>2264</v>
      </c>
      <c r="AV151" s="247" t="s">
        <v>2234</v>
      </c>
      <c r="AZ151" s="271" t="s">
        <v>2389</v>
      </c>
      <c r="BA151" s="272"/>
      <c r="BB151" s="273"/>
      <c r="BC151" s="209" t="e">
        <f t="shared" si="99"/>
        <v>#DIV/0!</v>
      </c>
      <c r="BD151" s="272"/>
      <c r="BE151" s="273"/>
      <c r="BF151" s="209" t="e">
        <f t="shared" si="100"/>
        <v>#DIV/0!</v>
      </c>
      <c r="BG151" s="272"/>
      <c r="BH151" s="273"/>
      <c r="BI151" s="209" t="e">
        <f t="shared" si="101"/>
        <v>#DIV/0!</v>
      </c>
      <c r="BJ151" s="210">
        <f t="shared" si="102"/>
        <v>0</v>
      </c>
      <c r="BK151" s="211">
        <f t="shared" si="103"/>
        <v>0</v>
      </c>
      <c r="BL151" s="209" t="e">
        <f t="shared" si="104"/>
        <v>#DIV/0!</v>
      </c>
      <c r="BM151" s="272"/>
      <c r="BN151" s="273"/>
      <c r="BO151" s="209" t="e">
        <f t="shared" si="86"/>
        <v>#DIV/0!</v>
      </c>
      <c r="BP151" s="272"/>
      <c r="BQ151" s="273"/>
      <c r="BR151" s="209" t="e">
        <f t="shared" si="87"/>
        <v>#DIV/0!</v>
      </c>
      <c r="BS151" s="272"/>
      <c r="BT151" s="272"/>
      <c r="BU151" s="209" t="e">
        <f t="shared" si="88"/>
        <v>#DIV/0!</v>
      </c>
      <c r="BV151" s="210">
        <f t="shared" si="105"/>
        <v>0</v>
      </c>
      <c r="BW151" s="210">
        <f t="shared" si="106"/>
        <v>0</v>
      </c>
      <c r="BX151" s="209" t="e">
        <f t="shared" si="107"/>
        <v>#DIV/0!</v>
      </c>
      <c r="BY151" s="209">
        <f t="shared" si="108"/>
        <v>0</v>
      </c>
      <c r="BZ151" s="209">
        <f t="shared" si="109"/>
        <v>0</v>
      </c>
      <c r="CA151" s="212"/>
      <c r="CB151" s="245"/>
      <c r="CC151" s="183"/>
      <c r="CD151" s="184"/>
      <c r="CE151" s="185" t="e">
        <f t="shared" si="89"/>
        <v>#DIV/0!</v>
      </c>
      <c r="CF151" s="183"/>
      <c r="CG151" s="184"/>
      <c r="CH151" s="185" t="e">
        <f t="shared" si="90"/>
        <v>#DIV/0!</v>
      </c>
      <c r="CI151" s="189"/>
      <c r="CJ151" s="190"/>
      <c r="CK151" s="185" t="e">
        <f t="shared" si="91"/>
        <v>#DIV/0!</v>
      </c>
      <c r="CL151" s="187">
        <f t="shared" si="92"/>
        <v>0</v>
      </c>
      <c r="CM151" s="186">
        <f t="shared" si="93"/>
        <v>0</v>
      </c>
      <c r="CN151" s="185" t="e">
        <f t="shared" si="94"/>
        <v>#DIV/0!</v>
      </c>
      <c r="CO151" s="245"/>
      <c r="CP151" s="188">
        <f t="shared" si="95"/>
        <v>0</v>
      </c>
      <c r="CQ151" s="188">
        <f t="shared" si="96"/>
        <v>0</v>
      </c>
      <c r="CR151" s="191" t="e">
        <f t="shared" si="97"/>
        <v>#DIV/0!</v>
      </c>
      <c r="CS151" s="279">
        <f t="shared" si="110"/>
        <v>29</v>
      </c>
      <c r="CT151" s="245"/>
      <c r="CU151" s="188">
        <f t="shared" si="111"/>
        <v>8.6999999999999993</v>
      </c>
      <c r="CV151" s="277"/>
      <c r="CW151" s="191">
        <f t="shared" si="112"/>
        <v>0</v>
      </c>
      <c r="CX151" s="188">
        <f t="shared" si="113"/>
        <v>8.6999999999999993</v>
      </c>
      <c r="CY151" s="277"/>
      <c r="CZ151" s="191">
        <f t="shared" si="114"/>
        <v>0</v>
      </c>
      <c r="DA151" s="188">
        <f t="shared" si="115"/>
        <v>8.6999999999999993</v>
      </c>
      <c r="DB151" s="277"/>
      <c r="DC151" s="191">
        <f t="shared" si="116"/>
        <v>0</v>
      </c>
      <c r="DD151" s="188">
        <f t="shared" si="117"/>
        <v>2.9000000000000004</v>
      </c>
      <c r="DE151" s="277"/>
      <c r="DF151" s="191">
        <f t="shared" si="118"/>
        <v>0</v>
      </c>
      <c r="DG151" s="245"/>
      <c r="DH151" s="188">
        <f t="shared" si="119"/>
        <v>29</v>
      </c>
      <c r="DI151" s="188">
        <f t="shared" si="120"/>
        <v>0</v>
      </c>
      <c r="DJ151" s="191">
        <f t="shared" si="121"/>
        <v>0</v>
      </c>
      <c r="DK151" s="286">
        <f t="shared" si="122"/>
        <v>29</v>
      </c>
      <c r="DL151" s="261">
        <v>147</v>
      </c>
      <c r="DM151" s="244">
        <f>+A151-DL151</f>
        <v>0</v>
      </c>
    </row>
    <row r="152" spans="1:117" ht="50" x14ac:dyDescent="0.35">
      <c r="A152" s="263">
        <v>148</v>
      </c>
      <c r="B152" s="102" t="s">
        <v>270</v>
      </c>
      <c r="C152" s="102" t="s">
        <v>195</v>
      </c>
      <c r="D152" s="102" t="s">
        <v>196</v>
      </c>
      <c r="E152" s="102" t="s">
        <v>536</v>
      </c>
      <c r="F152" s="102" t="s">
        <v>537</v>
      </c>
      <c r="G152" s="98" t="s">
        <v>456</v>
      </c>
      <c r="H152" s="98" t="s">
        <v>376</v>
      </c>
      <c r="I152" s="98" t="s">
        <v>254</v>
      </c>
      <c r="J152" s="98" t="s">
        <v>254</v>
      </c>
      <c r="K152" s="96" t="s">
        <v>104</v>
      </c>
      <c r="L152" s="96" t="s">
        <v>105</v>
      </c>
      <c r="M152" s="98" t="s">
        <v>106</v>
      </c>
      <c r="N152" s="98" t="s">
        <v>530</v>
      </c>
      <c r="O152" s="98" t="s">
        <v>108</v>
      </c>
      <c r="P152" s="241" t="s">
        <v>543</v>
      </c>
      <c r="Q152" s="98" t="s">
        <v>110</v>
      </c>
      <c r="R152" s="301">
        <v>1</v>
      </c>
      <c r="S152" s="99" t="s">
        <v>111</v>
      </c>
      <c r="T152" s="81">
        <v>0</v>
      </c>
      <c r="U152" s="81">
        <v>0</v>
      </c>
      <c r="V152" s="25" t="e">
        <f t="shared" si="124"/>
        <v>#DIV/0!</v>
      </c>
      <c r="W152" s="81">
        <v>0</v>
      </c>
      <c r="X152" s="81">
        <v>0</v>
      </c>
      <c r="Y152" s="25" t="e">
        <f t="shared" si="1"/>
        <v>#DIV/0!</v>
      </c>
      <c r="Z152" s="81">
        <v>1</v>
      </c>
      <c r="AA152" s="81"/>
      <c r="AB152" s="25">
        <f t="shared" si="2"/>
        <v>0</v>
      </c>
      <c r="AC152" s="81">
        <v>0</v>
      </c>
      <c r="AD152" s="81"/>
      <c r="AE152" s="25" t="e">
        <f t="shared" si="3"/>
        <v>#DIV/0!</v>
      </c>
      <c r="AF152" s="140">
        <f t="shared" ref="AF152:AF215" si="127">R152</f>
        <v>1</v>
      </c>
      <c r="AG152" s="140">
        <f t="shared" ref="AG152:AG215" si="128">U152+X152+AA152+AD152</f>
        <v>0</v>
      </c>
      <c r="AH152" s="138" t="e">
        <f t="shared" si="125"/>
        <v>#DIV/0!</v>
      </c>
      <c r="AI152" s="101">
        <v>46113</v>
      </c>
      <c r="AJ152" s="101">
        <v>46477</v>
      </c>
      <c r="AK152" s="102" t="s">
        <v>112</v>
      </c>
      <c r="AL152" s="102" t="s">
        <v>113</v>
      </c>
      <c r="AM152" s="103" t="s">
        <v>114</v>
      </c>
      <c r="AN152" s="104">
        <v>80000000</v>
      </c>
      <c r="AO152" s="104">
        <v>80000000</v>
      </c>
      <c r="AP152" s="104">
        <v>80000000</v>
      </c>
      <c r="AQ152" s="326">
        <v>0</v>
      </c>
      <c r="AR152" s="102" t="s">
        <v>159</v>
      </c>
      <c r="AS152" s="102" t="s">
        <v>112</v>
      </c>
      <c r="AT152" s="152" t="s">
        <v>509</v>
      </c>
      <c r="AU152" s="166" t="s">
        <v>2264</v>
      </c>
      <c r="AV152" s="247" t="s">
        <v>2234</v>
      </c>
      <c r="AZ152" s="271" t="s">
        <v>2389</v>
      </c>
      <c r="BA152" s="272"/>
      <c r="BB152" s="273"/>
      <c r="BC152" s="209" t="e">
        <f t="shared" si="99"/>
        <v>#DIV/0!</v>
      </c>
      <c r="BD152" s="272"/>
      <c r="BE152" s="273"/>
      <c r="BF152" s="209" t="e">
        <f t="shared" si="100"/>
        <v>#DIV/0!</v>
      </c>
      <c r="BG152" s="272"/>
      <c r="BH152" s="273"/>
      <c r="BI152" s="209" t="e">
        <f t="shared" si="101"/>
        <v>#DIV/0!</v>
      </c>
      <c r="BJ152" s="210">
        <f t="shared" si="102"/>
        <v>0</v>
      </c>
      <c r="BK152" s="211">
        <f t="shared" si="103"/>
        <v>0</v>
      </c>
      <c r="BL152" s="209" t="e">
        <f t="shared" si="104"/>
        <v>#DIV/0!</v>
      </c>
      <c r="BM152" s="272"/>
      <c r="BN152" s="273"/>
      <c r="BO152" s="209" t="e">
        <f t="shared" ref="BO152:BO215" si="129">+BN152/BM152</f>
        <v>#DIV/0!</v>
      </c>
      <c r="BP152" s="272"/>
      <c r="BQ152" s="273"/>
      <c r="BR152" s="209" t="e">
        <f t="shared" ref="BR152:BR215" si="130">+BQ152/BP152</f>
        <v>#DIV/0!</v>
      </c>
      <c r="BS152" s="272"/>
      <c r="BT152" s="272"/>
      <c r="BU152" s="209" t="e">
        <f t="shared" ref="BU152:BU215" si="131">+BT152/BS152</f>
        <v>#DIV/0!</v>
      </c>
      <c r="BV152" s="210">
        <f t="shared" si="105"/>
        <v>0</v>
      </c>
      <c r="BW152" s="210">
        <f t="shared" si="106"/>
        <v>0</v>
      </c>
      <c r="BX152" s="209" t="e">
        <f t="shared" si="107"/>
        <v>#DIV/0!</v>
      </c>
      <c r="BY152" s="209">
        <f t="shared" si="108"/>
        <v>0</v>
      </c>
      <c r="BZ152" s="209">
        <f t="shared" si="109"/>
        <v>0</v>
      </c>
      <c r="CA152" s="212"/>
      <c r="CB152" s="245"/>
      <c r="CC152" s="183"/>
      <c r="CD152" s="184"/>
      <c r="CE152" s="185" t="e">
        <f t="shared" ref="CE152:CE215" si="132">+CD152/CC152</f>
        <v>#DIV/0!</v>
      </c>
      <c r="CF152" s="183"/>
      <c r="CG152" s="184"/>
      <c r="CH152" s="185" t="e">
        <f t="shared" ref="CH152:CH215" si="133">+CG152/CF152</f>
        <v>#DIV/0!</v>
      </c>
      <c r="CI152" s="189"/>
      <c r="CJ152" s="190"/>
      <c r="CK152" s="185" t="e">
        <f t="shared" ref="CK152:CK215" si="134">+CJ152/CI152</f>
        <v>#DIV/0!</v>
      </c>
      <c r="CL152" s="187">
        <f t="shared" ref="CL152:CL215" si="135">+CC152+CF152+CI152</f>
        <v>0</v>
      </c>
      <c r="CM152" s="186">
        <f t="shared" ref="CM152:CM215" si="136">+CD152+CG152+CJ152</f>
        <v>0</v>
      </c>
      <c r="CN152" s="185" t="e">
        <f t="shared" ref="CN152:CN215" si="137">+CM152/CL152</f>
        <v>#DIV/0!</v>
      </c>
      <c r="CO152" s="245"/>
      <c r="CP152" s="188">
        <f t="shared" ref="CP152:CP215" si="138">+BJ152+BV152+CL152</f>
        <v>0</v>
      </c>
      <c r="CQ152" s="188">
        <f t="shared" ref="CQ152:CQ215" si="139">+BK152+BW152+CM152</f>
        <v>0</v>
      </c>
      <c r="CR152" s="191" t="e">
        <f t="shared" ref="CR152:CR215" si="140">+CQ152/CP152</f>
        <v>#DIV/0!</v>
      </c>
      <c r="CS152" s="279">
        <f t="shared" si="110"/>
        <v>1</v>
      </c>
      <c r="CT152" s="245"/>
      <c r="CU152" s="188">
        <f t="shared" si="111"/>
        <v>0.3</v>
      </c>
      <c r="CV152" s="277"/>
      <c r="CW152" s="191">
        <f t="shared" si="112"/>
        <v>0</v>
      </c>
      <c r="CX152" s="188">
        <f t="shared" si="113"/>
        <v>0.3</v>
      </c>
      <c r="CY152" s="277"/>
      <c r="CZ152" s="191">
        <f t="shared" si="114"/>
        <v>0</v>
      </c>
      <c r="DA152" s="188">
        <f t="shared" si="115"/>
        <v>0.3</v>
      </c>
      <c r="DB152" s="277"/>
      <c r="DC152" s="191">
        <f t="shared" si="116"/>
        <v>0</v>
      </c>
      <c r="DD152" s="188">
        <f t="shared" si="117"/>
        <v>0.1</v>
      </c>
      <c r="DE152" s="277"/>
      <c r="DF152" s="191">
        <f t="shared" si="118"/>
        <v>0</v>
      </c>
      <c r="DG152" s="245"/>
      <c r="DH152" s="188">
        <f t="shared" si="119"/>
        <v>1</v>
      </c>
      <c r="DI152" s="188">
        <f t="shared" si="120"/>
        <v>0</v>
      </c>
      <c r="DJ152" s="191">
        <f t="shared" si="121"/>
        <v>0</v>
      </c>
      <c r="DK152" s="286">
        <f t="shared" si="122"/>
        <v>1</v>
      </c>
      <c r="DL152" s="261">
        <v>148</v>
      </c>
      <c r="DM152" s="244">
        <f>+A152-DL152</f>
        <v>0</v>
      </c>
    </row>
    <row r="153" spans="1:117" ht="50" x14ac:dyDescent="0.35">
      <c r="A153" s="263">
        <v>149</v>
      </c>
      <c r="B153" s="102" t="s">
        <v>270</v>
      </c>
      <c r="C153" s="102" t="s">
        <v>195</v>
      </c>
      <c r="D153" s="102" t="s">
        <v>196</v>
      </c>
      <c r="E153" s="102" t="s">
        <v>536</v>
      </c>
      <c r="F153" s="102" t="s">
        <v>537</v>
      </c>
      <c r="G153" s="98" t="s">
        <v>538</v>
      </c>
      <c r="H153" s="98" t="s">
        <v>544</v>
      </c>
      <c r="I153" s="98" t="s">
        <v>254</v>
      </c>
      <c r="J153" s="98" t="s">
        <v>254</v>
      </c>
      <c r="K153" s="96" t="s">
        <v>104</v>
      </c>
      <c r="L153" s="96" t="s">
        <v>105</v>
      </c>
      <c r="M153" s="98" t="s">
        <v>106</v>
      </c>
      <c r="N153" s="98" t="s">
        <v>107</v>
      </c>
      <c r="O153" s="98" t="s">
        <v>108</v>
      </c>
      <c r="P153" s="241" t="s">
        <v>545</v>
      </c>
      <c r="Q153" s="98" t="s">
        <v>129</v>
      </c>
      <c r="R153" s="301">
        <v>29</v>
      </c>
      <c r="S153" s="99" t="s">
        <v>111</v>
      </c>
      <c r="T153" s="81">
        <v>0</v>
      </c>
      <c r="U153" s="81">
        <v>0</v>
      </c>
      <c r="V153" s="25" t="e">
        <f t="shared" si="124"/>
        <v>#DIV/0!</v>
      </c>
      <c r="W153" s="81">
        <v>0</v>
      </c>
      <c r="X153" s="81">
        <v>0</v>
      </c>
      <c r="Y153" s="25" t="e">
        <f t="shared" si="1"/>
        <v>#DIV/0!</v>
      </c>
      <c r="Z153" s="81">
        <v>14</v>
      </c>
      <c r="AA153" s="81">
        <v>15</v>
      </c>
      <c r="AB153" s="25">
        <f t="shared" si="2"/>
        <v>107.14285714285714</v>
      </c>
      <c r="AC153" s="81">
        <v>29</v>
      </c>
      <c r="AD153" s="81"/>
      <c r="AE153" s="25">
        <f t="shared" si="3"/>
        <v>0</v>
      </c>
      <c r="AF153" s="140">
        <f t="shared" si="127"/>
        <v>29</v>
      </c>
      <c r="AG153" s="140">
        <f t="shared" si="128"/>
        <v>15</v>
      </c>
      <c r="AH153" s="138">
        <f t="shared" si="125"/>
        <v>107.14285714285714</v>
      </c>
      <c r="AI153" s="101">
        <v>46113</v>
      </c>
      <c r="AJ153" s="101">
        <v>46477</v>
      </c>
      <c r="AK153" s="102" t="s">
        <v>112</v>
      </c>
      <c r="AL153" s="102" t="s">
        <v>113</v>
      </c>
      <c r="AM153" s="103" t="s">
        <v>114</v>
      </c>
      <c r="AN153" s="104">
        <v>60000000</v>
      </c>
      <c r="AO153" s="104">
        <v>60000000</v>
      </c>
      <c r="AP153" s="104">
        <v>60000000</v>
      </c>
      <c r="AQ153" s="326">
        <v>0</v>
      </c>
      <c r="AR153" s="102" t="s">
        <v>546</v>
      </c>
      <c r="AS153" s="102" t="s">
        <v>112</v>
      </c>
      <c r="AT153" s="152" t="s">
        <v>509</v>
      </c>
      <c r="AU153" s="166" t="s">
        <v>2264</v>
      </c>
      <c r="AV153" s="247" t="s">
        <v>2234</v>
      </c>
      <c r="AZ153" s="271" t="s">
        <v>2389</v>
      </c>
      <c r="BA153" s="272"/>
      <c r="BB153" s="273"/>
      <c r="BC153" s="209" t="e">
        <f t="shared" si="99"/>
        <v>#DIV/0!</v>
      </c>
      <c r="BD153" s="272"/>
      <c r="BE153" s="273"/>
      <c r="BF153" s="209" t="e">
        <f t="shared" si="100"/>
        <v>#DIV/0!</v>
      </c>
      <c r="BG153" s="272"/>
      <c r="BH153" s="273"/>
      <c r="BI153" s="209" t="e">
        <f t="shared" si="101"/>
        <v>#DIV/0!</v>
      </c>
      <c r="BJ153" s="210">
        <f t="shared" si="102"/>
        <v>0</v>
      </c>
      <c r="BK153" s="211">
        <f t="shared" si="103"/>
        <v>0</v>
      </c>
      <c r="BL153" s="209" t="e">
        <f t="shared" si="104"/>
        <v>#DIV/0!</v>
      </c>
      <c r="BM153" s="272"/>
      <c r="BN153" s="273"/>
      <c r="BO153" s="209" t="e">
        <f t="shared" si="129"/>
        <v>#DIV/0!</v>
      </c>
      <c r="BP153" s="272"/>
      <c r="BQ153" s="273"/>
      <c r="BR153" s="209" t="e">
        <f t="shared" si="130"/>
        <v>#DIV/0!</v>
      </c>
      <c r="BS153" s="272"/>
      <c r="BT153" s="272"/>
      <c r="BU153" s="209" t="e">
        <f t="shared" si="131"/>
        <v>#DIV/0!</v>
      </c>
      <c r="BV153" s="210">
        <f t="shared" si="105"/>
        <v>0</v>
      </c>
      <c r="BW153" s="210">
        <f t="shared" si="106"/>
        <v>0</v>
      </c>
      <c r="BX153" s="209" t="e">
        <f t="shared" si="107"/>
        <v>#DIV/0!</v>
      </c>
      <c r="BY153" s="209">
        <f t="shared" si="108"/>
        <v>0</v>
      </c>
      <c r="BZ153" s="209">
        <f t="shared" si="109"/>
        <v>0</v>
      </c>
      <c r="CA153" s="212"/>
      <c r="CB153" s="245"/>
      <c r="CC153" s="183"/>
      <c r="CD153" s="184"/>
      <c r="CE153" s="185" t="e">
        <f t="shared" si="132"/>
        <v>#DIV/0!</v>
      </c>
      <c r="CF153" s="183"/>
      <c r="CG153" s="184"/>
      <c r="CH153" s="185" t="e">
        <f t="shared" si="133"/>
        <v>#DIV/0!</v>
      </c>
      <c r="CI153" s="189"/>
      <c r="CJ153" s="190"/>
      <c r="CK153" s="185" t="e">
        <f t="shared" si="134"/>
        <v>#DIV/0!</v>
      </c>
      <c r="CL153" s="187">
        <f t="shared" si="135"/>
        <v>0</v>
      </c>
      <c r="CM153" s="186">
        <f t="shared" si="136"/>
        <v>0</v>
      </c>
      <c r="CN153" s="185" t="e">
        <f t="shared" si="137"/>
        <v>#DIV/0!</v>
      </c>
      <c r="CO153" s="245"/>
      <c r="CP153" s="188">
        <f t="shared" si="138"/>
        <v>0</v>
      </c>
      <c r="CQ153" s="188">
        <f t="shared" si="139"/>
        <v>0</v>
      </c>
      <c r="CR153" s="191" t="e">
        <f t="shared" si="140"/>
        <v>#DIV/0!</v>
      </c>
      <c r="CS153" s="279">
        <f t="shared" si="110"/>
        <v>29</v>
      </c>
      <c r="CT153" s="245"/>
      <c r="CU153" s="188">
        <f t="shared" si="111"/>
        <v>8.6999999999999993</v>
      </c>
      <c r="CV153" s="277"/>
      <c r="CW153" s="191">
        <f t="shared" si="112"/>
        <v>0</v>
      </c>
      <c r="CX153" s="188">
        <f t="shared" si="113"/>
        <v>8.6999999999999993</v>
      </c>
      <c r="CY153" s="277"/>
      <c r="CZ153" s="191">
        <f t="shared" si="114"/>
        <v>0</v>
      </c>
      <c r="DA153" s="188">
        <f t="shared" si="115"/>
        <v>8.6999999999999993</v>
      </c>
      <c r="DB153" s="277"/>
      <c r="DC153" s="191">
        <f t="shared" si="116"/>
        <v>0</v>
      </c>
      <c r="DD153" s="188">
        <f t="shared" si="117"/>
        <v>2.9000000000000004</v>
      </c>
      <c r="DE153" s="277"/>
      <c r="DF153" s="191">
        <f t="shared" si="118"/>
        <v>0</v>
      </c>
      <c r="DG153" s="245"/>
      <c r="DH153" s="188">
        <f t="shared" si="119"/>
        <v>29</v>
      </c>
      <c r="DI153" s="188">
        <f t="shared" si="120"/>
        <v>0</v>
      </c>
      <c r="DJ153" s="191">
        <f t="shared" si="121"/>
        <v>0</v>
      </c>
      <c r="DK153" s="286">
        <f t="shared" si="122"/>
        <v>29</v>
      </c>
      <c r="DL153" s="261">
        <v>149</v>
      </c>
      <c r="DM153" s="244">
        <f>+A153-DL153</f>
        <v>0</v>
      </c>
    </row>
    <row r="154" spans="1:117" ht="25" x14ac:dyDescent="0.35">
      <c r="A154" s="263">
        <v>150</v>
      </c>
      <c r="B154" s="102" t="s">
        <v>270</v>
      </c>
      <c r="C154" s="102" t="s">
        <v>118</v>
      </c>
      <c r="D154" s="102" t="s">
        <v>119</v>
      </c>
      <c r="E154" s="102" t="s">
        <v>547</v>
      </c>
      <c r="F154" s="102" t="s">
        <v>548</v>
      </c>
      <c r="G154" s="98" t="s">
        <v>549</v>
      </c>
      <c r="H154" s="98" t="s">
        <v>550</v>
      </c>
      <c r="I154" s="98" t="s">
        <v>103</v>
      </c>
      <c r="J154" s="98" t="s">
        <v>103</v>
      </c>
      <c r="K154" s="96" t="s">
        <v>104</v>
      </c>
      <c r="L154" s="96" t="s">
        <v>105</v>
      </c>
      <c r="M154" s="98" t="s">
        <v>106</v>
      </c>
      <c r="N154" s="98" t="s">
        <v>107</v>
      </c>
      <c r="O154" s="98" t="s">
        <v>127</v>
      </c>
      <c r="P154" s="241" t="s">
        <v>551</v>
      </c>
      <c r="Q154" s="98" t="s">
        <v>129</v>
      </c>
      <c r="R154" s="301">
        <v>1</v>
      </c>
      <c r="S154" s="99" t="s">
        <v>111</v>
      </c>
      <c r="T154" s="81">
        <v>0</v>
      </c>
      <c r="U154" s="81">
        <v>0</v>
      </c>
      <c r="V154" s="25" t="e">
        <f t="shared" si="124"/>
        <v>#DIV/0!</v>
      </c>
      <c r="W154" s="81">
        <v>0</v>
      </c>
      <c r="X154" s="81">
        <v>0</v>
      </c>
      <c r="Y154" s="25" t="e">
        <f t="shared" si="1"/>
        <v>#DIV/0!</v>
      </c>
      <c r="Z154" s="81">
        <v>0</v>
      </c>
      <c r="AA154" s="81"/>
      <c r="AB154" s="25" t="e">
        <f t="shared" si="2"/>
        <v>#DIV/0!</v>
      </c>
      <c r="AC154" s="81">
        <v>1</v>
      </c>
      <c r="AD154" s="81"/>
      <c r="AE154" s="25">
        <f t="shared" si="3"/>
        <v>0</v>
      </c>
      <c r="AF154" s="140">
        <f t="shared" si="127"/>
        <v>1</v>
      </c>
      <c r="AG154" s="140">
        <f t="shared" si="128"/>
        <v>0</v>
      </c>
      <c r="AH154" s="138" t="e">
        <f t="shared" si="125"/>
        <v>#DIV/0!</v>
      </c>
      <c r="AI154" s="101">
        <v>46054</v>
      </c>
      <c r="AJ154" s="101">
        <v>46477</v>
      </c>
      <c r="AK154" s="102" t="s">
        <v>112</v>
      </c>
      <c r="AL154" s="102" t="s">
        <v>113</v>
      </c>
      <c r="AM154" s="103" t="s">
        <v>114</v>
      </c>
      <c r="AN154" s="324"/>
      <c r="AO154" s="324"/>
      <c r="AP154" s="324"/>
      <c r="AQ154" s="326"/>
      <c r="AR154" s="322"/>
      <c r="AS154" s="102" t="s">
        <v>112</v>
      </c>
      <c r="AT154" s="152" t="s">
        <v>509</v>
      </c>
      <c r="AU154" s="166" t="s">
        <v>2264</v>
      </c>
      <c r="AV154" s="247" t="s">
        <v>2234</v>
      </c>
      <c r="AZ154" s="271" t="s">
        <v>2389</v>
      </c>
      <c r="BA154" s="272"/>
      <c r="BB154" s="273"/>
      <c r="BC154" s="209" t="e">
        <f t="shared" si="99"/>
        <v>#DIV/0!</v>
      </c>
      <c r="BD154" s="272"/>
      <c r="BE154" s="273"/>
      <c r="BF154" s="209" t="e">
        <f t="shared" si="100"/>
        <v>#DIV/0!</v>
      </c>
      <c r="BG154" s="272"/>
      <c r="BH154" s="273"/>
      <c r="BI154" s="209" t="e">
        <f t="shared" si="101"/>
        <v>#DIV/0!</v>
      </c>
      <c r="BJ154" s="210">
        <f t="shared" si="102"/>
        <v>0</v>
      </c>
      <c r="BK154" s="211">
        <f t="shared" si="103"/>
        <v>0</v>
      </c>
      <c r="BL154" s="209" t="e">
        <f t="shared" si="104"/>
        <v>#DIV/0!</v>
      </c>
      <c r="BM154" s="272"/>
      <c r="BN154" s="273"/>
      <c r="BO154" s="209" t="e">
        <f t="shared" si="129"/>
        <v>#DIV/0!</v>
      </c>
      <c r="BP154" s="272"/>
      <c r="BQ154" s="273"/>
      <c r="BR154" s="209" t="e">
        <f t="shared" si="130"/>
        <v>#DIV/0!</v>
      </c>
      <c r="BS154" s="272"/>
      <c r="BT154" s="272"/>
      <c r="BU154" s="209" t="e">
        <f t="shared" si="131"/>
        <v>#DIV/0!</v>
      </c>
      <c r="BV154" s="210">
        <f t="shared" si="105"/>
        <v>0</v>
      </c>
      <c r="BW154" s="210">
        <f t="shared" si="106"/>
        <v>0</v>
      </c>
      <c r="BX154" s="209" t="e">
        <f t="shared" si="107"/>
        <v>#DIV/0!</v>
      </c>
      <c r="BY154" s="209">
        <f t="shared" si="108"/>
        <v>0</v>
      </c>
      <c r="BZ154" s="209">
        <f t="shared" si="109"/>
        <v>0</v>
      </c>
      <c r="CA154" s="212"/>
      <c r="CB154" s="245"/>
      <c r="CC154" s="183"/>
      <c r="CD154" s="184"/>
      <c r="CE154" s="185" t="e">
        <f t="shared" si="132"/>
        <v>#DIV/0!</v>
      </c>
      <c r="CF154" s="183"/>
      <c r="CG154" s="184"/>
      <c r="CH154" s="185" t="e">
        <f t="shared" si="133"/>
        <v>#DIV/0!</v>
      </c>
      <c r="CI154" s="189"/>
      <c r="CJ154" s="190"/>
      <c r="CK154" s="185" t="e">
        <f t="shared" si="134"/>
        <v>#DIV/0!</v>
      </c>
      <c r="CL154" s="187">
        <f t="shared" si="135"/>
        <v>0</v>
      </c>
      <c r="CM154" s="186">
        <f t="shared" si="136"/>
        <v>0</v>
      </c>
      <c r="CN154" s="185" t="e">
        <f t="shared" si="137"/>
        <v>#DIV/0!</v>
      </c>
      <c r="CO154" s="245"/>
      <c r="CP154" s="188">
        <f t="shared" si="138"/>
        <v>0</v>
      </c>
      <c r="CQ154" s="188">
        <f t="shared" si="139"/>
        <v>0</v>
      </c>
      <c r="CR154" s="191" t="e">
        <f t="shared" si="140"/>
        <v>#DIV/0!</v>
      </c>
      <c r="CS154" s="279">
        <f t="shared" si="110"/>
        <v>1</v>
      </c>
      <c r="CT154" s="245"/>
      <c r="CU154" s="188">
        <f t="shared" si="111"/>
        <v>0.3</v>
      </c>
      <c r="CV154" s="277"/>
      <c r="CW154" s="191">
        <f t="shared" si="112"/>
        <v>0</v>
      </c>
      <c r="CX154" s="188">
        <f t="shared" si="113"/>
        <v>0.3</v>
      </c>
      <c r="CY154" s="277"/>
      <c r="CZ154" s="191">
        <f t="shared" si="114"/>
        <v>0</v>
      </c>
      <c r="DA154" s="188">
        <f t="shared" si="115"/>
        <v>0.3</v>
      </c>
      <c r="DB154" s="277"/>
      <c r="DC154" s="191">
        <f t="shared" si="116"/>
        <v>0</v>
      </c>
      <c r="DD154" s="188">
        <f t="shared" si="117"/>
        <v>0.1</v>
      </c>
      <c r="DE154" s="277"/>
      <c r="DF154" s="191">
        <f t="shared" si="118"/>
        <v>0</v>
      </c>
      <c r="DG154" s="245"/>
      <c r="DH154" s="188">
        <f t="shared" si="119"/>
        <v>1</v>
      </c>
      <c r="DI154" s="188">
        <f t="shared" si="120"/>
        <v>0</v>
      </c>
      <c r="DJ154" s="191">
        <f t="shared" si="121"/>
        <v>0</v>
      </c>
      <c r="DK154" s="286">
        <f t="shared" si="122"/>
        <v>1</v>
      </c>
      <c r="DL154" s="261">
        <v>150</v>
      </c>
      <c r="DM154" s="244">
        <f>+A154-DL154</f>
        <v>0</v>
      </c>
    </row>
    <row r="155" spans="1:117" ht="37.5" x14ac:dyDescent="0.35">
      <c r="A155" s="263">
        <v>151</v>
      </c>
      <c r="B155" s="102" t="s">
        <v>270</v>
      </c>
      <c r="C155" s="102" t="s">
        <v>195</v>
      </c>
      <c r="D155" s="102" t="s">
        <v>196</v>
      </c>
      <c r="E155" s="102" t="s">
        <v>536</v>
      </c>
      <c r="F155" s="102" t="s">
        <v>271</v>
      </c>
      <c r="G155" s="98" t="s">
        <v>279</v>
      </c>
      <c r="H155" s="98" t="s">
        <v>280</v>
      </c>
      <c r="I155" s="98" t="s">
        <v>285</v>
      </c>
      <c r="J155" s="98" t="s">
        <v>285</v>
      </c>
      <c r="K155" s="96" t="s">
        <v>104</v>
      </c>
      <c r="L155" s="96" t="s">
        <v>105</v>
      </c>
      <c r="M155" s="98" t="s">
        <v>106</v>
      </c>
      <c r="N155" s="98" t="s">
        <v>275</v>
      </c>
      <c r="O155" s="98" t="s">
        <v>108</v>
      </c>
      <c r="P155" s="241" t="s">
        <v>552</v>
      </c>
      <c r="Q155" s="98" t="s">
        <v>110</v>
      </c>
      <c r="R155" s="301">
        <v>12</v>
      </c>
      <c r="S155" s="99" t="s">
        <v>111</v>
      </c>
      <c r="T155" s="81">
        <v>3</v>
      </c>
      <c r="U155" s="81">
        <v>0</v>
      </c>
      <c r="V155" s="25">
        <f t="shared" si="124"/>
        <v>0</v>
      </c>
      <c r="W155" s="81">
        <v>3</v>
      </c>
      <c r="X155" s="81">
        <v>0</v>
      </c>
      <c r="Y155" s="25">
        <f t="shared" si="1"/>
        <v>0</v>
      </c>
      <c r="Z155" s="81">
        <v>3</v>
      </c>
      <c r="AA155" s="81"/>
      <c r="AB155" s="25">
        <f t="shared" si="2"/>
        <v>0</v>
      </c>
      <c r="AC155" s="81">
        <v>3</v>
      </c>
      <c r="AD155" s="81"/>
      <c r="AE155" s="25">
        <f t="shared" si="3"/>
        <v>0</v>
      </c>
      <c r="AF155" s="140">
        <f t="shared" si="127"/>
        <v>12</v>
      </c>
      <c r="AG155" s="140">
        <f t="shared" si="128"/>
        <v>0</v>
      </c>
      <c r="AH155" s="138">
        <f t="shared" si="125"/>
        <v>0</v>
      </c>
      <c r="AI155" s="101">
        <v>46054</v>
      </c>
      <c r="AJ155" s="101">
        <v>46477</v>
      </c>
      <c r="AK155" s="102" t="s">
        <v>112</v>
      </c>
      <c r="AL155" s="102" t="s">
        <v>113</v>
      </c>
      <c r="AM155" s="103" t="s">
        <v>114</v>
      </c>
      <c r="AN155" s="104">
        <v>40000000</v>
      </c>
      <c r="AO155" s="104">
        <v>40000000</v>
      </c>
      <c r="AP155" s="104">
        <v>40000000</v>
      </c>
      <c r="AQ155" s="326">
        <v>0</v>
      </c>
      <c r="AR155" s="322"/>
      <c r="AS155" s="102" t="s">
        <v>112</v>
      </c>
      <c r="AT155" s="152" t="s">
        <v>509</v>
      </c>
      <c r="AU155" s="166" t="s">
        <v>2264</v>
      </c>
      <c r="AV155" s="247" t="s">
        <v>2234</v>
      </c>
      <c r="AZ155" s="271" t="s">
        <v>2389</v>
      </c>
      <c r="BA155" s="272"/>
      <c r="BB155" s="273"/>
      <c r="BC155" s="209" t="e">
        <f t="shared" si="99"/>
        <v>#DIV/0!</v>
      </c>
      <c r="BD155" s="272"/>
      <c r="BE155" s="273"/>
      <c r="BF155" s="209" t="e">
        <f t="shared" si="100"/>
        <v>#DIV/0!</v>
      </c>
      <c r="BG155" s="272"/>
      <c r="BH155" s="273"/>
      <c r="BI155" s="209" t="e">
        <f t="shared" si="101"/>
        <v>#DIV/0!</v>
      </c>
      <c r="BJ155" s="210">
        <f t="shared" si="102"/>
        <v>0</v>
      </c>
      <c r="BK155" s="211">
        <f t="shared" si="103"/>
        <v>0</v>
      </c>
      <c r="BL155" s="209" t="e">
        <f t="shared" si="104"/>
        <v>#DIV/0!</v>
      </c>
      <c r="BM155" s="272"/>
      <c r="BN155" s="273"/>
      <c r="BO155" s="209" t="e">
        <f t="shared" si="129"/>
        <v>#DIV/0!</v>
      </c>
      <c r="BP155" s="272"/>
      <c r="BQ155" s="273"/>
      <c r="BR155" s="209" t="e">
        <f t="shared" si="130"/>
        <v>#DIV/0!</v>
      </c>
      <c r="BS155" s="272"/>
      <c r="BT155" s="272"/>
      <c r="BU155" s="209" t="e">
        <f t="shared" si="131"/>
        <v>#DIV/0!</v>
      </c>
      <c r="BV155" s="210">
        <f t="shared" si="105"/>
        <v>0</v>
      </c>
      <c r="BW155" s="210">
        <f t="shared" si="106"/>
        <v>0</v>
      </c>
      <c r="BX155" s="209" t="e">
        <f t="shared" si="107"/>
        <v>#DIV/0!</v>
      </c>
      <c r="BY155" s="209">
        <f t="shared" si="108"/>
        <v>0</v>
      </c>
      <c r="BZ155" s="209">
        <f t="shared" si="109"/>
        <v>0</v>
      </c>
      <c r="CA155" s="212"/>
      <c r="CB155" s="245"/>
      <c r="CC155" s="183"/>
      <c r="CD155" s="184"/>
      <c r="CE155" s="185" t="e">
        <f t="shared" si="132"/>
        <v>#DIV/0!</v>
      </c>
      <c r="CF155" s="183"/>
      <c r="CG155" s="184"/>
      <c r="CH155" s="185" t="e">
        <f t="shared" si="133"/>
        <v>#DIV/0!</v>
      </c>
      <c r="CI155" s="189"/>
      <c r="CJ155" s="190"/>
      <c r="CK155" s="185" t="e">
        <f t="shared" si="134"/>
        <v>#DIV/0!</v>
      </c>
      <c r="CL155" s="187">
        <f t="shared" si="135"/>
        <v>0</v>
      </c>
      <c r="CM155" s="186">
        <f t="shared" si="136"/>
        <v>0</v>
      </c>
      <c r="CN155" s="185" t="e">
        <f t="shared" si="137"/>
        <v>#DIV/0!</v>
      </c>
      <c r="CO155" s="245"/>
      <c r="CP155" s="188">
        <f t="shared" si="138"/>
        <v>0</v>
      </c>
      <c r="CQ155" s="188">
        <f t="shared" si="139"/>
        <v>0</v>
      </c>
      <c r="CR155" s="191" t="e">
        <f t="shared" si="140"/>
        <v>#DIV/0!</v>
      </c>
      <c r="CS155" s="279">
        <f t="shared" si="110"/>
        <v>12</v>
      </c>
      <c r="CT155" s="245"/>
      <c r="CU155" s="188">
        <f t="shared" si="111"/>
        <v>3.5999999999999996</v>
      </c>
      <c r="CV155" s="277"/>
      <c r="CW155" s="191">
        <f t="shared" si="112"/>
        <v>0</v>
      </c>
      <c r="CX155" s="188">
        <f t="shared" si="113"/>
        <v>3.5999999999999996</v>
      </c>
      <c r="CY155" s="277"/>
      <c r="CZ155" s="191">
        <f t="shared" si="114"/>
        <v>0</v>
      </c>
      <c r="DA155" s="188">
        <f t="shared" si="115"/>
        <v>3.5999999999999996</v>
      </c>
      <c r="DB155" s="277"/>
      <c r="DC155" s="191">
        <f t="shared" si="116"/>
        <v>0</v>
      </c>
      <c r="DD155" s="188">
        <f t="shared" si="117"/>
        <v>1.2000000000000002</v>
      </c>
      <c r="DE155" s="277"/>
      <c r="DF155" s="191">
        <f t="shared" si="118"/>
        <v>0</v>
      </c>
      <c r="DG155" s="245"/>
      <c r="DH155" s="188">
        <f t="shared" si="119"/>
        <v>12</v>
      </c>
      <c r="DI155" s="188">
        <f t="shared" si="120"/>
        <v>0</v>
      </c>
      <c r="DJ155" s="191">
        <f t="shared" si="121"/>
        <v>0</v>
      </c>
      <c r="DK155" s="286">
        <f t="shared" si="122"/>
        <v>12</v>
      </c>
      <c r="DL155" s="261">
        <v>151</v>
      </c>
      <c r="DM155" s="244">
        <f>+A155-DL155</f>
        <v>0</v>
      </c>
    </row>
    <row r="156" spans="1:117" x14ac:dyDescent="0.35">
      <c r="A156" s="263">
        <v>152</v>
      </c>
      <c r="B156" s="102" t="s">
        <v>270</v>
      </c>
      <c r="C156" s="102" t="s">
        <v>118</v>
      </c>
      <c r="D156" s="102" t="s">
        <v>119</v>
      </c>
      <c r="E156" s="102" t="s">
        <v>536</v>
      </c>
      <c r="F156" s="102" t="s">
        <v>548</v>
      </c>
      <c r="G156" s="98" t="s">
        <v>549</v>
      </c>
      <c r="H156" s="98" t="s">
        <v>550</v>
      </c>
      <c r="I156" s="98" t="s">
        <v>103</v>
      </c>
      <c r="J156" s="98" t="s">
        <v>103</v>
      </c>
      <c r="K156" s="96" t="s">
        <v>104</v>
      </c>
      <c r="L156" s="96" t="s">
        <v>105</v>
      </c>
      <c r="M156" s="98" t="s">
        <v>106</v>
      </c>
      <c r="N156" s="98" t="s">
        <v>107</v>
      </c>
      <c r="O156" s="98" t="s">
        <v>108</v>
      </c>
      <c r="P156" s="259" t="s">
        <v>553</v>
      </c>
      <c r="Q156" s="98" t="s">
        <v>110</v>
      </c>
      <c r="R156" s="301">
        <v>4</v>
      </c>
      <c r="S156" s="99" t="s">
        <v>111</v>
      </c>
      <c r="T156" s="81">
        <v>0</v>
      </c>
      <c r="U156" s="81">
        <v>0</v>
      </c>
      <c r="V156" s="25" t="e">
        <f t="shared" si="124"/>
        <v>#DIV/0!</v>
      </c>
      <c r="W156" s="81">
        <v>0</v>
      </c>
      <c r="X156" s="81">
        <v>4</v>
      </c>
      <c r="Y156" s="25" t="e">
        <f t="shared" si="1"/>
        <v>#DIV/0!</v>
      </c>
      <c r="Z156" s="81">
        <v>2</v>
      </c>
      <c r="AA156" s="81"/>
      <c r="AB156" s="25">
        <f t="shared" si="2"/>
        <v>0</v>
      </c>
      <c r="AC156" s="81">
        <v>2</v>
      </c>
      <c r="AD156" s="81"/>
      <c r="AE156" s="25">
        <f t="shared" si="3"/>
        <v>0</v>
      </c>
      <c r="AF156" s="140">
        <f t="shared" si="127"/>
        <v>4</v>
      </c>
      <c r="AG156" s="140">
        <f t="shared" si="128"/>
        <v>4</v>
      </c>
      <c r="AH156" s="138" t="e">
        <f t="shared" si="125"/>
        <v>#DIV/0!</v>
      </c>
      <c r="AI156" s="101">
        <v>46113</v>
      </c>
      <c r="AJ156" s="101">
        <v>46477</v>
      </c>
      <c r="AK156" s="102" t="s">
        <v>112</v>
      </c>
      <c r="AL156" s="102" t="s">
        <v>113</v>
      </c>
      <c r="AM156" s="103" t="s">
        <v>114</v>
      </c>
      <c r="AN156" s="104">
        <v>40000000</v>
      </c>
      <c r="AO156" s="104">
        <v>40000000</v>
      </c>
      <c r="AP156" s="104">
        <v>40000000</v>
      </c>
      <c r="AQ156" s="326">
        <v>0</v>
      </c>
      <c r="AR156" s="102" t="s">
        <v>115</v>
      </c>
      <c r="AS156" s="102" t="s">
        <v>112</v>
      </c>
      <c r="AT156" s="152" t="s">
        <v>509</v>
      </c>
      <c r="AU156" s="166" t="s">
        <v>2264</v>
      </c>
      <c r="AV156" s="247" t="s">
        <v>2234</v>
      </c>
      <c r="AZ156" s="271" t="s">
        <v>2389</v>
      </c>
      <c r="BA156" s="272"/>
      <c r="BB156" s="273"/>
      <c r="BC156" s="209" t="e">
        <f t="shared" si="99"/>
        <v>#DIV/0!</v>
      </c>
      <c r="BD156" s="272"/>
      <c r="BE156" s="273"/>
      <c r="BF156" s="209" t="e">
        <f t="shared" si="100"/>
        <v>#DIV/0!</v>
      </c>
      <c r="BG156" s="272"/>
      <c r="BH156" s="273"/>
      <c r="BI156" s="209" t="e">
        <f t="shared" si="101"/>
        <v>#DIV/0!</v>
      </c>
      <c r="BJ156" s="210">
        <f t="shared" si="102"/>
        <v>0</v>
      </c>
      <c r="BK156" s="211">
        <f t="shared" si="103"/>
        <v>0</v>
      </c>
      <c r="BL156" s="209" t="e">
        <f t="shared" si="104"/>
        <v>#DIV/0!</v>
      </c>
      <c r="BM156" s="272"/>
      <c r="BN156" s="273"/>
      <c r="BO156" s="209" t="e">
        <f t="shared" si="129"/>
        <v>#DIV/0!</v>
      </c>
      <c r="BP156" s="272"/>
      <c r="BQ156" s="273"/>
      <c r="BR156" s="209" t="e">
        <f t="shared" si="130"/>
        <v>#DIV/0!</v>
      </c>
      <c r="BS156" s="272"/>
      <c r="BT156" s="272"/>
      <c r="BU156" s="209" t="e">
        <f t="shared" si="131"/>
        <v>#DIV/0!</v>
      </c>
      <c r="BV156" s="210">
        <f t="shared" si="105"/>
        <v>0</v>
      </c>
      <c r="BW156" s="210">
        <f t="shared" si="106"/>
        <v>0</v>
      </c>
      <c r="BX156" s="209" t="e">
        <f t="shared" si="107"/>
        <v>#DIV/0!</v>
      </c>
      <c r="BY156" s="209">
        <f t="shared" si="108"/>
        <v>0</v>
      </c>
      <c r="BZ156" s="209">
        <f t="shared" si="109"/>
        <v>0</v>
      </c>
      <c r="CA156" s="212"/>
      <c r="CB156" s="245"/>
      <c r="CC156" s="183"/>
      <c r="CD156" s="184"/>
      <c r="CE156" s="185" t="e">
        <f t="shared" si="132"/>
        <v>#DIV/0!</v>
      </c>
      <c r="CF156" s="183"/>
      <c r="CG156" s="184"/>
      <c r="CH156" s="185" t="e">
        <f t="shared" si="133"/>
        <v>#DIV/0!</v>
      </c>
      <c r="CI156" s="189"/>
      <c r="CJ156" s="190"/>
      <c r="CK156" s="185" t="e">
        <f t="shared" si="134"/>
        <v>#DIV/0!</v>
      </c>
      <c r="CL156" s="187">
        <f t="shared" si="135"/>
        <v>0</v>
      </c>
      <c r="CM156" s="186">
        <f t="shared" si="136"/>
        <v>0</v>
      </c>
      <c r="CN156" s="185" t="e">
        <f t="shared" si="137"/>
        <v>#DIV/0!</v>
      </c>
      <c r="CO156" s="245"/>
      <c r="CP156" s="188">
        <f t="shared" si="138"/>
        <v>0</v>
      </c>
      <c r="CQ156" s="188">
        <f t="shared" si="139"/>
        <v>0</v>
      </c>
      <c r="CR156" s="191" t="e">
        <f t="shared" si="140"/>
        <v>#DIV/0!</v>
      </c>
      <c r="CS156" s="279">
        <f t="shared" si="110"/>
        <v>4</v>
      </c>
      <c r="CT156" s="245"/>
      <c r="CU156" s="188">
        <f t="shared" si="111"/>
        <v>1.2</v>
      </c>
      <c r="CV156" s="277"/>
      <c r="CW156" s="191">
        <f t="shared" si="112"/>
        <v>0</v>
      </c>
      <c r="CX156" s="188">
        <f t="shared" si="113"/>
        <v>1.2</v>
      </c>
      <c r="CY156" s="277"/>
      <c r="CZ156" s="191">
        <f t="shared" si="114"/>
        <v>0</v>
      </c>
      <c r="DA156" s="188">
        <f t="shared" si="115"/>
        <v>1.2</v>
      </c>
      <c r="DB156" s="277"/>
      <c r="DC156" s="191">
        <f t="shared" si="116"/>
        <v>0</v>
      </c>
      <c r="DD156" s="188">
        <f t="shared" si="117"/>
        <v>0.4</v>
      </c>
      <c r="DE156" s="277"/>
      <c r="DF156" s="191">
        <f t="shared" si="118"/>
        <v>0</v>
      </c>
      <c r="DG156" s="245"/>
      <c r="DH156" s="188">
        <f t="shared" si="119"/>
        <v>4</v>
      </c>
      <c r="DI156" s="188">
        <f t="shared" si="120"/>
        <v>0</v>
      </c>
      <c r="DJ156" s="191">
        <f t="shared" si="121"/>
        <v>0</v>
      </c>
      <c r="DK156" s="286">
        <f t="shared" si="122"/>
        <v>4</v>
      </c>
      <c r="DL156" s="261">
        <v>152</v>
      </c>
      <c r="DM156" s="244">
        <f>+A156-DL156</f>
        <v>0</v>
      </c>
    </row>
    <row r="157" spans="1:117" ht="37.5" x14ac:dyDescent="0.35">
      <c r="A157" s="263">
        <v>153</v>
      </c>
      <c r="B157" s="102" t="s">
        <v>270</v>
      </c>
      <c r="C157" s="102" t="s">
        <v>195</v>
      </c>
      <c r="D157" s="102" t="s">
        <v>196</v>
      </c>
      <c r="E157" s="102" t="s">
        <v>536</v>
      </c>
      <c r="F157" s="102" t="s">
        <v>271</v>
      </c>
      <c r="G157" s="98" t="s">
        <v>279</v>
      </c>
      <c r="H157" s="98" t="s">
        <v>554</v>
      </c>
      <c r="I157" s="98" t="s">
        <v>103</v>
      </c>
      <c r="J157" s="98" t="s">
        <v>103</v>
      </c>
      <c r="K157" s="96" t="s">
        <v>104</v>
      </c>
      <c r="L157" s="96" t="s">
        <v>105</v>
      </c>
      <c r="M157" s="98" t="s">
        <v>106</v>
      </c>
      <c r="N157" s="98" t="s">
        <v>107</v>
      </c>
      <c r="O157" s="98" t="s">
        <v>108</v>
      </c>
      <c r="P157" s="241" t="s">
        <v>555</v>
      </c>
      <c r="Q157" s="98" t="s">
        <v>110</v>
      </c>
      <c r="R157" s="301">
        <v>2</v>
      </c>
      <c r="S157" s="99" t="s">
        <v>111</v>
      </c>
      <c r="T157" s="81">
        <v>0</v>
      </c>
      <c r="U157" s="81">
        <v>0</v>
      </c>
      <c r="V157" s="25" t="e">
        <f t="shared" si="124"/>
        <v>#DIV/0!</v>
      </c>
      <c r="W157" s="81">
        <v>0</v>
      </c>
      <c r="X157" s="81">
        <v>0</v>
      </c>
      <c r="Y157" s="25" t="e">
        <f t="shared" si="1"/>
        <v>#DIV/0!</v>
      </c>
      <c r="Z157" s="81">
        <v>1</v>
      </c>
      <c r="AA157" s="81"/>
      <c r="AB157" s="25">
        <f t="shared" si="2"/>
        <v>0</v>
      </c>
      <c r="AC157" s="81">
        <v>1</v>
      </c>
      <c r="AD157" s="81"/>
      <c r="AE157" s="25">
        <f t="shared" si="3"/>
        <v>0</v>
      </c>
      <c r="AF157" s="140">
        <f t="shared" si="127"/>
        <v>2</v>
      </c>
      <c r="AG157" s="140">
        <f t="shared" si="128"/>
        <v>0</v>
      </c>
      <c r="AH157" s="138" t="e">
        <f t="shared" si="125"/>
        <v>#DIV/0!</v>
      </c>
      <c r="AI157" s="101">
        <v>46113</v>
      </c>
      <c r="AJ157" s="101">
        <v>46477</v>
      </c>
      <c r="AK157" s="102" t="s">
        <v>112</v>
      </c>
      <c r="AL157" s="102" t="s">
        <v>113</v>
      </c>
      <c r="AM157" s="103" t="s">
        <v>114</v>
      </c>
      <c r="AN157" s="104">
        <v>40000000</v>
      </c>
      <c r="AO157" s="104">
        <v>40000000</v>
      </c>
      <c r="AP157" s="104">
        <v>40000000</v>
      </c>
      <c r="AQ157" s="326">
        <v>0</v>
      </c>
      <c r="AR157" s="102" t="s">
        <v>115</v>
      </c>
      <c r="AS157" s="102" t="s">
        <v>112</v>
      </c>
      <c r="AT157" s="152" t="s">
        <v>509</v>
      </c>
      <c r="AU157" s="166" t="s">
        <v>2264</v>
      </c>
      <c r="AV157" s="247" t="s">
        <v>2234</v>
      </c>
      <c r="BA157" s="272"/>
      <c r="BB157" s="273"/>
      <c r="BC157" s="209" t="e">
        <f t="shared" si="99"/>
        <v>#DIV/0!</v>
      </c>
      <c r="BD157" s="272"/>
      <c r="BE157" s="273"/>
      <c r="BF157" s="209" t="e">
        <f t="shared" si="100"/>
        <v>#DIV/0!</v>
      </c>
      <c r="BG157" s="272"/>
      <c r="BH157" s="273"/>
      <c r="BI157" s="209" t="e">
        <f t="shared" si="101"/>
        <v>#DIV/0!</v>
      </c>
      <c r="BJ157" s="210">
        <f t="shared" si="102"/>
        <v>0</v>
      </c>
      <c r="BK157" s="211">
        <f t="shared" si="103"/>
        <v>0</v>
      </c>
      <c r="BL157" s="209" t="e">
        <f t="shared" si="104"/>
        <v>#DIV/0!</v>
      </c>
      <c r="BM157" s="272"/>
      <c r="BN157" s="273"/>
      <c r="BO157" s="209" t="e">
        <f t="shared" si="129"/>
        <v>#DIV/0!</v>
      </c>
      <c r="BP157" s="272"/>
      <c r="BQ157" s="273"/>
      <c r="BR157" s="209" t="e">
        <f t="shared" si="130"/>
        <v>#DIV/0!</v>
      </c>
      <c r="BS157" s="272"/>
      <c r="BT157" s="272"/>
      <c r="BU157" s="209" t="e">
        <f t="shared" si="131"/>
        <v>#DIV/0!</v>
      </c>
      <c r="BV157" s="210">
        <f t="shared" si="105"/>
        <v>0</v>
      </c>
      <c r="BW157" s="210">
        <f t="shared" si="106"/>
        <v>0</v>
      </c>
      <c r="BX157" s="209" t="e">
        <f t="shared" si="107"/>
        <v>#DIV/0!</v>
      </c>
      <c r="BY157" s="209">
        <f t="shared" si="108"/>
        <v>0</v>
      </c>
      <c r="BZ157" s="209">
        <f t="shared" si="109"/>
        <v>0</v>
      </c>
      <c r="CA157" s="212"/>
      <c r="CB157" s="245"/>
      <c r="CC157" s="183"/>
      <c r="CD157" s="184"/>
      <c r="CE157" s="185" t="e">
        <f t="shared" si="132"/>
        <v>#DIV/0!</v>
      </c>
      <c r="CF157" s="183"/>
      <c r="CG157" s="184"/>
      <c r="CH157" s="185" t="e">
        <f t="shared" si="133"/>
        <v>#DIV/0!</v>
      </c>
      <c r="CI157" s="189"/>
      <c r="CJ157" s="190"/>
      <c r="CK157" s="185" t="e">
        <f t="shared" si="134"/>
        <v>#DIV/0!</v>
      </c>
      <c r="CL157" s="187">
        <f t="shared" si="135"/>
        <v>0</v>
      </c>
      <c r="CM157" s="186">
        <f t="shared" si="136"/>
        <v>0</v>
      </c>
      <c r="CN157" s="185" t="e">
        <f t="shared" si="137"/>
        <v>#DIV/0!</v>
      </c>
      <c r="CO157" s="245"/>
      <c r="CP157" s="188">
        <f t="shared" si="138"/>
        <v>0</v>
      </c>
      <c r="CQ157" s="188">
        <f t="shared" si="139"/>
        <v>0</v>
      </c>
      <c r="CR157" s="191" t="e">
        <f t="shared" si="140"/>
        <v>#DIV/0!</v>
      </c>
      <c r="CS157" s="279">
        <f t="shared" si="110"/>
        <v>2</v>
      </c>
      <c r="CT157" s="245"/>
      <c r="CU157" s="188">
        <f t="shared" si="111"/>
        <v>0.6</v>
      </c>
      <c r="CV157" s="277"/>
      <c r="CW157" s="191">
        <f t="shared" si="112"/>
        <v>0</v>
      </c>
      <c r="CX157" s="188">
        <f t="shared" si="113"/>
        <v>0.6</v>
      </c>
      <c r="CY157" s="277"/>
      <c r="CZ157" s="191">
        <f t="shared" si="114"/>
        <v>0</v>
      </c>
      <c r="DA157" s="188">
        <f t="shared" si="115"/>
        <v>0.6</v>
      </c>
      <c r="DB157" s="277"/>
      <c r="DC157" s="191">
        <f t="shared" si="116"/>
        <v>0</v>
      </c>
      <c r="DD157" s="188">
        <f t="shared" si="117"/>
        <v>0.2</v>
      </c>
      <c r="DE157" s="277"/>
      <c r="DF157" s="191">
        <f t="shared" si="118"/>
        <v>0</v>
      </c>
      <c r="DG157" s="245"/>
      <c r="DH157" s="188">
        <f t="shared" si="119"/>
        <v>2</v>
      </c>
      <c r="DI157" s="188">
        <f t="shared" si="120"/>
        <v>0</v>
      </c>
      <c r="DJ157" s="191">
        <f t="shared" si="121"/>
        <v>0</v>
      </c>
      <c r="DK157" s="286">
        <f t="shared" si="122"/>
        <v>2</v>
      </c>
      <c r="DL157" s="261">
        <v>153</v>
      </c>
      <c r="DM157" s="244">
        <f>+A157-DL157</f>
        <v>0</v>
      </c>
    </row>
    <row r="158" spans="1:117" ht="37.5" x14ac:dyDescent="0.35">
      <c r="A158" s="263">
        <v>154</v>
      </c>
      <c r="B158" s="102" t="s">
        <v>270</v>
      </c>
      <c r="C158" s="102" t="s">
        <v>195</v>
      </c>
      <c r="D158" s="102" t="s">
        <v>196</v>
      </c>
      <c r="E158" s="102" t="s">
        <v>536</v>
      </c>
      <c r="F158" s="102" t="s">
        <v>271</v>
      </c>
      <c r="G158" s="98" t="s">
        <v>279</v>
      </c>
      <c r="H158" s="98" t="s">
        <v>554</v>
      </c>
      <c r="I158" s="98" t="s">
        <v>103</v>
      </c>
      <c r="J158" s="98" t="s">
        <v>103</v>
      </c>
      <c r="K158" s="96" t="s">
        <v>104</v>
      </c>
      <c r="L158" s="96" t="s">
        <v>105</v>
      </c>
      <c r="M158" s="98" t="s">
        <v>106</v>
      </c>
      <c r="N158" s="98" t="s">
        <v>107</v>
      </c>
      <c r="O158" s="98" t="s">
        <v>108</v>
      </c>
      <c r="P158" s="241" t="s">
        <v>556</v>
      </c>
      <c r="Q158" s="98" t="s">
        <v>110</v>
      </c>
      <c r="R158" s="301">
        <v>2</v>
      </c>
      <c r="S158" s="99" t="s">
        <v>111</v>
      </c>
      <c r="T158" s="81">
        <v>0</v>
      </c>
      <c r="U158" s="81">
        <v>0</v>
      </c>
      <c r="V158" s="25">
        <v>0</v>
      </c>
      <c r="W158" s="81">
        <v>0</v>
      </c>
      <c r="X158" s="81">
        <v>0</v>
      </c>
      <c r="Y158" s="25" t="e">
        <f t="shared" si="1"/>
        <v>#DIV/0!</v>
      </c>
      <c r="Z158" s="81">
        <v>0</v>
      </c>
      <c r="AA158" s="81"/>
      <c r="AB158" s="25" t="e">
        <f t="shared" si="2"/>
        <v>#DIV/0!</v>
      </c>
      <c r="AC158" s="81">
        <v>1</v>
      </c>
      <c r="AD158" s="81"/>
      <c r="AE158" s="25">
        <f t="shared" si="3"/>
        <v>0</v>
      </c>
      <c r="AF158" s="140">
        <f t="shared" si="127"/>
        <v>2</v>
      </c>
      <c r="AG158" s="140">
        <f t="shared" si="128"/>
        <v>0</v>
      </c>
      <c r="AH158" s="138" t="e">
        <f t="shared" si="125"/>
        <v>#DIV/0!</v>
      </c>
      <c r="AI158" s="101">
        <v>46054</v>
      </c>
      <c r="AJ158" s="101">
        <v>46477</v>
      </c>
      <c r="AK158" s="102" t="s">
        <v>112</v>
      </c>
      <c r="AL158" s="102" t="s">
        <v>113</v>
      </c>
      <c r="AM158" s="103" t="s">
        <v>114</v>
      </c>
      <c r="AN158" s="104">
        <v>40000000</v>
      </c>
      <c r="AO158" s="104">
        <v>40000000</v>
      </c>
      <c r="AP158" s="104">
        <v>40000000</v>
      </c>
      <c r="AQ158" s="326">
        <v>0</v>
      </c>
      <c r="AR158" s="102" t="s">
        <v>159</v>
      </c>
      <c r="AS158" s="102" t="s">
        <v>112</v>
      </c>
      <c r="AT158" s="152" t="s">
        <v>509</v>
      </c>
      <c r="AU158" s="166" t="s">
        <v>2264</v>
      </c>
      <c r="AV158" s="247" t="s">
        <v>2234</v>
      </c>
      <c r="BA158" s="272"/>
      <c r="BB158" s="273"/>
      <c r="BC158" s="209" t="e">
        <f t="shared" si="99"/>
        <v>#DIV/0!</v>
      </c>
      <c r="BD158" s="272"/>
      <c r="BE158" s="273"/>
      <c r="BF158" s="209" t="e">
        <f t="shared" si="100"/>
        <v>#DIV/0!</v>
      </c>
      <c r="BG158" s="272"/>
      <c r="BH158" s="273"/>
      <c r="BI158" s="209" t="e">
        <f t="shared" si="101"/>
        <v>#DIV/0!</v>
      </c>
      <c r="BJ158" s="210">
        <f t="shared" si="102"/>
        <v>0</v>
      </c>
      <c r="BK158" s="211">
        <f t="shared" si="103"/>
        <v>0</v>
      </c>
      <c r="BL158" s="209" t="e">
        <f t="shared" si="104"/>
        <v>#DIV/0!</v>
      </c>
      <c r="BM158" s="272"/>
      <c r="BN158" s="273"/>
      <c r="BO158" s="209" t="e">
        <f t="shared" si="129"/>
        <v>#DIV/0!</v>
      </c>
      <c r="BP158" s="272"/>
      <c r="BQ158" s="273"/>
      <c r="BR158" s="209" t="e">
        <f t="shared" si="130"/>
        <v>#DIV/0!</v>
      </c>
      <c r="BS158" s="272"/>
      <c r="BT158" s="272"/>
      <c r="BU158" s="209" t="e">
        <f t="shared" si="131"/>
        <v>#DIV/0!</v>
      </c>
      <c r="BV158" s="210">
        <f t="shared" si="105"/>
        <v>0</v>
      </c>
      <c r="BW158" s="210">
        <f t="shared" si="106"/>
        <v>0</v>
      </c>
      <c r="BX158" s="209" t="e">
        <f t="shared" si="107"/>
        <v>#DIV/0!</v>
      </c>
      <c r="BY158" s="209">
        <f t="shared" si="108"/>
        <v>0</v>
      </c>
      <c r="BZ158" s="209">
        <f t="shared" si="109"/>
        <v>0</v>
      </c>
      <c r="CA158" s="212"/>
      <c r="CB158" s="245"/>
      <c r="CC158" s="183"/>
      <c r="CD158" s="184"/>
      <c r="CE158" s="185" t="e">
        <f t="shared" si="132"/>
        <v>#DIV/0!</v>
      </c>
      <c r="CF158" s="183"/>
      <c r="CG158" s="184"/>
      <c r="CH158" s="185" t="e">
        <f t="shared" si="133"/>
        <v>#DIV/0!</v>
      </c>
      <c r="CI158" s="189"/>
      <c r="CJ158" s="190"/>
      <c r="CK158" s="185" t="e">
        <f t="shared" si="134"/>
        <v>#DIV/0!</v>
      </c>
      <c r="CL158" s="187">
        <f t="shared" si="135"/>
        <v>0</v>
      </c>
      <c r="CM158" s="186">
        <f t="shared" si="136"/>
        <v>0</v>
      </c>
      <c r="CN158" s="185" t="e">
        <f t="shared" si="137"/>
        <v>#DIV/0!</v>
      </c>
      <c r="CO158" s="245"/>
      <c r="CP158" s="188">
        <f t="shared" si="138"/>
        <v>0</v>
      </c>
      <c r="CQ158" s="188">
        <f t="shared" si="139"/>
        <v>0</v>
      </c>
      <c r="CR158" s="191" t="e">
        <f t="shared" si="140"/>
        <v>#DIV/0!</v>
      </c>
      <c r="CS158" s="279">
        <f t="shared" si="110"/>
        <v>2</v>
      </c>
      <c r="CT158" s="245"/>
      <c r="CU158" s="188">
        <f t="shared" si="111"/>
        <v>0.6</v>
      </c>
      <c r="CV158" s="277"/>
      <c r="CW158" s="191">
        <f t="shared" si="112"/>
        <v>0</v>
      </c>
      <c r="CX158" s="188">
        <f t="shared" si="113"/>
        <v>0.6</v>
      </c>
      <c r="CY158" s="277"/>
      <c r="CZ158" s="191">
        <f t="shared" si="114"/>
        <v>0</v>
      </c>
      <c r="DA158" s="188">
        <f t="shared" si="115"/>
        <v>0.6</v>
      </c>
      <c r="DB158" s="277"/>
      <c r="DC158" s="191">
        <f t="shared" si="116"/>
        <v>0</v>
      </c>
      <c r="DD158" s="188">
        <f t="shared" si="117"/>
        <v>0.2</v>
      </c>
      <c r="DE158" s="277"/>
      <c r="DF158" s="191">
        <f t="shared" si="118"/>
        <v>0</v>
      </c>
      <c r="DG158" s="245"/>
      <c r="DH158" s="188">
        <f t="shared" si="119"/>
        <v>2</v>
      </c>
      <c r="DI158" s="188">
        <f t="shared" si="120"/>
        <v>0</v>
      </c>
      <c r="DJ158" s="191">
        <f t="shared" si="121"/>
        <v>0</v>
      </c>
      <c r="DK158" s="286">
        <f t="shared" si="122"/>
        <v>2</v>
      </c>
      <c r="DL158" s="261">
        <v>154</v>
      </c>
      <c r="DM158" s="244">
        <f>+A158-DL158</f>
        <v>0</v>
      </c>
    </row>
    <row r="159" spans="1:117" ht="37.5" x14ac:dyDescent="0.35">
      <c r="A159" s="263">
        <v>155</v>
      </c>
      <c r="B159" s="102" t="s">
        <v>270</v>
      </c>
      <c r="C159" s="102" t="s">
        <v>195</v>
      </c>
      <c r="D159" s="102" t="s">
        <v>196</v>
      </c>
      <c r="E159" s="102" t="s">
        <v>536</v>
      </c>
      <c r="F159" s="102" t="s">
        <v>271</v>
      </c>
      <c r="G159" s="98" t="s">
        <v>279</v>
      </c>
      <c r="H159" s="98" t="s">
        <v>554</v>
      </c>
      <c r="I159" s="98" t="s">
        <v>103</v>
      </c>
      <c r="J159" s="98" t="s">
        <v>103</v>
      </c>
      <c r="K159" s="96" t="s">
        <v>104</v>
      </c>
      <c r="L159" s="96" t="s">
        <v>105</v>
      </c>
      <c r="M159" s="98" t="s">
        <v>106</v>
      </c>
      <c r="N159" s="98" t="s">
        <v>107</v>
      </c>
      <c r="O159" s="98" t="s">
        <v>108</v>
      </c>
      <c r="P159" s="241" t="s">
        <v>557</v>
      </c>
      <c r="Q159" s="98" t="s">
        <v>110</v>
      </c>
      <c r="R159" s="301">
        <v>2</v>
      </c>
      <c r="S159" s="99" t="s">
        <v>111</v>
      </c>
      <c r="T159" s="81">
        <v>0</v>
      </c>
      <c r="U159" s="81">
        <v>0</v>
      </c>
      <c r="V159" s="25" t="e">
        <f t="shared" ref="V159:V163" si="141">U159/T159*100</f>
        <v>#DIV/0!</v>
      </c>
      <c r="W159" s="81">
        <v>0</v>
      </c>
      <c r="X159" s="81">
        <v>0</v>
      </c>
      <c r="Y159" s="25" t="e">
        <f t="shared" si="1"/>
        <v>#DIV/0!</v>
      </c>
      <c r="Z159" s="81">
        <v>1</v>
      </c>
      <c r="AA159" s="81"/>
      <c r="AB159" s="25">
        <f t="shared" si="2"/>
        <v>0</v>
      </c>
      <c r="AC159" s="81">
        <v>1</v>
      </c>
      <c r="AD159" s="81"/>
      <c r="AE159" s="25">
        <f t="shared" si="3"/>
        <v>0</v>
      </c>
      <c r="AF159" s="140">
        <f t="shared" si="127"/>
        <v>2</v>
      </c>
      <c r="AG159" s="140">
        <f t="shared" si="128"/>
        <v>0</v>
      </c>
      <c r="AH159" s="138" t="e">
        <f t="shared" si="125"/>
        <v>#DIV/0!</v>
      </c>
      <c r="AI159" s="101">
        <v>46113</v>
      </c>
      <c r="AJ159" s="101">
        <v>46477</v>
      </c>
      <c r="AK159" s="102" t="s">
        <v>112</v>
      </c>
      <c r="AL159" s="102" t="s">
        <v>113</v>
      </c>
      <c r="AM159" s="103" t="s">
        <v>114</v>
      </c>
      <c r="AN159" s="104">
        <v>40000000</v>
      </c>
      <c r="AO159" s="104">
        <v>40000000</v>
      </c>
      <c r="AP159" s="104">
        <v>40000000</v>
      </c>
      <c r="AQ159" s="326">
        <v>0</v>
      </c>
      <c r="AR159" s="102" t="s">
        <v>558</v>
      </c>
      <c r="AS159" s="102" t="s">
        <v>112</v>
      </c>
      <c r="AT159" s="152" t="s">
        <v>509</v>
      </c>
      <c r="AU159" s="166" t="s">
        <v>2264</v>
      </c>
      <c r="AV159" s="247" t="s">
        <v>2234</v>
      </c>
      <c r="BA159" s="272"/>
      <c r="BB159" s="273"/>
      <c r="BC159" s="209" t="e">
        <f t="shared" si="99"/>
        <v>#DIV/0!</v>
      </c>
      <c r="BD159" s="272"/>
      <c r="BE159" s="273"/>
      <c r="BF159" s="209" t="e">
        <f t="shared" si="100"/>
        <v>#DIV/0!</v>
      </c>
      <c r="BG159" s="272"/>
      <c r="BH159" s="273"/>
      <c r="BI159" s="209" t="e">
        <f t="shared" si="101"/>
        <v>#DIV/0!</v>
      </c>
      <c r="BJ159" s="210">
        <f t="shared" si="102"/>
        <v>0</v>
      </c>
      <c r="BK159" s="211">
        <f t="shared" si="103"/>
        <v>0</v>
      </c>
      <c r="BL159" s="209" t="e">
        <f t="shared" si="104"/>
        <v>#DIV/0!</v>
      </c>
      <c r="BM159" s="272"/>
      <c r="BN159" s="273"/>
      <c r="BO159" s="209" t="e">
        <f t="shared" si="129"/>
        <v>#DIV/0!</v>
      </c>
      <c r="BP159" s="272"/>
      <c r="BQ159" s="273"/>
      <c r="BR159" s="209" t="e">
        <f t="shared" si="130"/>
        <v>#DIV/0!</v>
      </c>
      <c r="BS159" s="272"/>
      <c r="BT159" s="272"/>
      <c r="BU159" s="209" t="e">
        <f t="shared" si="131"/>
        <v>#DIV/0!</v>
      </c>
      <c r="BV159" s="210">
        <f t="shared" si="105"/>
        <v>0</v>
      </c>
      <c r="BW159" s="210">
        <f t="shared" si="106"/>
        <v>0</v>
      </c>
      <c r="BX159" s="209" t="e">
        <f t="shared" si="107"/>
        <v>#DIV/0!</v>
      </c>
      <c r="BY159" s="209">
        <f t="shared" si="108"/>
        <v>0</v>
      </c>
      <c r="BZ159" s="209">
        <f t="shared" si="109"/>
        <v>0</v>
      </c>
      <c r="CA159" s="212"/>
      <c r="CB159" s="245"/>
      <c r="CC159" s="183"/>
      <c r="CD159" s="184"/>
      <c r="CE159" s="185" t="e">
        <f t="shared" si="132"/>
        <v>#DIV/0!</v>
      </c>
      <c r="CF159" s="183"/>
      <c r="CG159" s="184"/>
      <c r="CH159" s="185" t="e">
        <f t="shared" si="133"/>
        <v>#DIV/0!</v>
      </c>
      <c r="CI159" s="189"/>
      <c r="CJ159" s="190"/>
      <c r="CK159" s="185" t="e">
        <f t="shared" si="134"/>
        <v>#DIV/0!</v>
      </c>
      <c r="CL159" s="187">
        <f t="shared" si="135"/>
        <v>0</v>
      </c>
      <c r="CM159" s="186">
        <f t="shared" si="136"/>
        <v>0</v>
      </c>
      <c r="CN159" s="185" t="e">
        <f t="shared" si="137"/>
        <v>#DIV/0!</v>
      </c>
      <c r="CO159" s="245"/>
      <c r="CP159" s="188">
        <f t="shared" si="138"/>
        <v>0</v>
      </c>
      <c r="CQ159" s="188">
        <f t="shared" si="139"/>
        <v>0</v>
      </c>
      <c r="CR159" s="191" t="e">
        <f t="shared" si="140"/>
        <v>#DIV/0!</v>
      </c>
      <c r="CS159" s="279">
        <f t="shared" si="110"/>
        <v>2</v>
      </c>
      <c r="CT159" s="245"/>
      <c r="CU159" s="188">
        <f t="shared" si="111"/>
        <v>0.6</v>
      </c>
      <c r="CV159" s="277"/>
      <c r="CW159" s="191">
        <f t="shared" si="112"/>
        <v>0</v>
      </c>
      <c r="CX159" s="188">
        <f t="shared" si="113"/>
        <v>0.6</v>
      </c>
      <c r="CY159" s="277"/>
      <c r="CZ159" s="191">
        <f t="shared" si="114"/>
        <v>0</v>
      </c>
      <c r="DA159" s="188">
        <f t="shared" si="115"/>
        <v>0.6</v>
      </c>
      <c r="DB159" s="277"/>
      <c r="DC159" s="191">
        <f t="shared" si="116"/>
        <v>0</v>
      </c>
      <c r="DD159" s="188">
        <f t="shared" si="117"/>
        <v>0.2</v>
      </c>
      <c r="DE159" s="277"/>
      <c r="DF159" s="191">
        <f t="shared" si="118"/>
        <v>0</v>
      </c>
      <c r="DG159" s="245"/>
      <c r="DH159" s="188">
        <f t="shared" si="119"/>
        <v>2</v>
      </c>
      <c r="DI159" s="188">
        <f t="shared" si="120"/>
        <v>0</v>
      </c>
      <c r="DJ159" s="191">
        <f t="shared" si="121"/>
        <v>0</v>
      </c>
      <c r="DK159" s="286">
        <f t="shared" si="122"/>
        <v>2</v>
      </c>
      <c r="DL159" s="261">
        <v>155</v>
      </c>
      <c r="DM159" s="244">
        <f>+A159-DL159</f>
        <v>0</v>
      </c>
    </row>
    <row r="160" spans="1:117" ht="50" x14ac:dyDescent="0.35">
      <c r="A160" s="263">
        <v>156</v>
      </c>
      <c r="B160" s="102" t="s">
        <v>270</v>
      </c>
      <c r="C160" s="102" t="s">
        <v>195</v>
      </c>
      <c r="D160" s="102" t="s">
        <v>196</v>
      </c>
      <c r="E160" s="102" t="s">
        <v>536</v>
      </c>
      <c r="F160" s="102" t="s">
        <v>271</v>
      </c>
      <c r="G160" s="98" t="s">
        <v>279</v>
      </c>
      <c r="H160" s="98" t="s">
        <v>554</v>
      </c>
      <c r="I160" s="98" t="s">
        <v>103</v>
      </c>
      <c r="J160" s="98" t="s">
        <v>103</v>
      </c>
      <c r="K160" s="96" t="s">
        <v>104</v>
      </c>
      <c r="L160" s="96" t="s">
        <v>105</v>
      </c>
      <c r="M160" s="98" t="s">
        <v>106</v>
      </c>
      <c r="N160" s="98" t="s">
        <v>107</v>
      </c>
      <c r="O160" s="98" t="s">
        <v>108</v>
      </c>
      <c r="P160" s="241" t="s">
        <v>559</v>
      </c>
      <c r="Q160" s="98" t="s">
        <v>110</v>
      </c>
      <c r="R160" s="301">
        <v>2</v>
      </c>
      <c r="S160" s="99" t="s">
        <v>111</v>
      </c>
      <c r="T160" s="81">
        <v>1</v>
      </c>
      <c r="U160" s="81">
        <v>0</v>
      </c>
      <c r="V160" s="25">
        <f t="shared" si="141"/>
        <v>0</v>
      </c>
      <c r="W160" s="81">
        <v>1</v>
      </c>
      <c r="X160" s="81"/>
      <c r="Y160" s="25">
        <f t="shared" si="1"/>
        <v>0</v>
      </c>
      <c r="Z160" s="81">
        <v>0</v>
      </c>
      <c r="AA160" s="81"/>
      <c r="AB160" s="25" t="e">
        <f t="shared" si="2"/>
        <v>#DIV/0!</v>
      </c>
      <c r="AC160" s="81">
        <v>1</v>
      </c>
      <c r="AD160" s="81"/>
      <c r="AE160" s="25">
        <f t="shared" si="3"/>
        <v>0</v>
      </c>
      <c r="AF160" s="140">
        <f t="shared" si="127"/>
        <v>2</v>
      </c>
      <c r="AG160" s="140">
        <f t="shared" si="128"/>
        <v>0</v>
      </c>
      <c r="AH160" s="138">
        <f t="shared" si="125"/>
        <v>0</v>
      </c>
      <c r="AI160" s="101">
        <v>46113</v>
      </c>
      <c r="AJ160" s="101">
        <v>46477</v>
      </c>
      <c r="AK160" s="102" t="s">
        <v>112</v>
      </c>
      <c r="AL160" s="102" t="s">
        <v>113</v>
      </c>
      <c r="AM160" s="103" t="s">
        <v>114</v>
      </c>
      <c r="AN160" s="104">
        <v>40000000</v>
      </c>
      <c r="AO160" s="104">
        <v>40000000</v>
      </c>
      <c r="AP160" s="104">
        <v>40000000</v>
      </c>
      <c r="AQ160" s="326">
        <v>0</v>
      </c>
      <c r="AR160" s="102" t="s">
        <v>558</v>
      </c>
      <c r="AS160" s="102" t="s">
        <v>112</v>
      </c>
      <c r="AT160" s="152" t="s">
        <v>509</v>
      </c>
      <c r="AU160" s="166" t="s">
        <v>2264</v>
      </c>
      <c r="AV160" s="247" t="s">
        <v>2234</v>
      </c>
      <c r="BA160" s="272"/>
      <c r="BB160" s="273"/>
      <c r="BC160" s="209" t="e">
        <f t="shared" si="99"/>
        <v>#DIV/0!</v>
      </c>
      <c r="BD160" s="272"/>
      <c r="BE160" s="273"/>
      <c r="BF160" s="209" t="e">
        <f t="shared" si="100"/>
        <v>#DIV/0!</v>
      </c>
      <c r="BG160" s="272"/>
      <c r="BH160" s="273"/>
      <c r="BI160" s="209" t="e">
        <f t="shared" si="101"/>
        <v>#DIV/0!</v>
      </c>
      <c r="BJ160" s="210">
        <f t="shared" si="102"/>
        <v>0</v>
      </c>
      <c r="BK160" s="211">
        <f t="shared" si="103"/>
        <v>0</v>
      </c>
      <c r="BL160" s="209" t="e">
        <f t="shared" si="104"/>
        <v>#DIV/0!</v>
      </c>
      <c r="BM160" s="272"/>
      <c r="BN160" s="273"/>
      <c r="BO160" s="209" t="e">
        <f t="shared" si="129"/>
        <v>#DIV/0!</v>
      </c>
      <c r="BP160" s="272"/>
      <c r="BQ160" s="273"/>
      <c r="BR160" s="209" t="e">
        <f t="shared" si="130"/>
        <v>#DIV/0!</v>
      </c>
      <c r="BS160" s="272"/>
      <c r="BT160" s="272"/>
      <c r="BU160" s="209" t="e">
        <f t="shared" si="131"/>
        <v>#DIV/0!</v>
      </c>
      <c r="BV160" s="210">
        <f t="shared" si="105"/>
        <v>0</v>
      </c>
      <c r="BW160" s="210">
        <f t="shared" si="106"/>
        <v>0</v>
      </c>
      <c r="BX160" s="209" t="e">
        <f t="shared" si="107"/>
        <v>#DIV/0!</v>
      </c>
      <c r="BY160" s="209">
        <f t="shared" si="108"/>
        <v>0</v>
      </c>
      <c r="BZ160" s="209">
        <f t="shared" si="109"/>
        <v>0</v>
      </c>
      <c r="CA160" s="212"/>
      <c r="CB160" s="245"/>
      <c r="CC160" s="183"/>
      <c r="CD160" s="184"/>
      <c r="CE160" s="185" t="e">
        <f t="shared" si="132"/>
        <v>#DIV/0!</v>
      </c>
      <c r="CF160" s="183"/>
      <c r="CG160" s="184"/>
      <c r="CH160" s="185" t="e">
        <f t="shared" si="133"/>
        <v>#DIV/0!</v>
      </c>
      <c r="CI160" s="189"/>
      <c r="CJ160" s="190"/>
      <c r="CK160" s="185" t="e">
        <f t="shared" si="134"/>
        <v>#DIV/0!</v>
      </c>
      <c r="CL160" s="187">
        <f t="shared" si="135"/>
        <v>0</v>
      </c>
      <c r="CM160" s="186">
        <f t="shared" si="136"/>
        <v>0</v>
      </c>
      <c r="CN160" s="185" t="e">
        <f t="shared" si="137"/>
        <v>#DIV/0!</v>
      </c>
      <c r="CO160" s="245"/>
      <c r="CP160" s="188">
        <f t="shared" si="138"/>
        <v>0</v>
      </c>
      <c r="CQ160" s="188">
        <f t="shared" si="139"/>
        <v>0</v>
      </c>
      <c r="CR160" s="191" t="e">
        <f t="shared" si="140"/>
        <v>#DIV/0!</v>
      </c>
      <c r="CS160" s="279">
        <f t="shared" si="110"/>
        <v>2</v>
      </c>
      <c r="CT160" s="245"/>
      <c r="CU160" s="188">
        <f t="shared" si="111"/>
        <v>0.6</v>
      </c>
      <c r="CV160" s="277"/>
      <c r="CW160" s="191">
        <f t="shared" si="112"/>
        <v>0</v>
      </c>
      <c r="CX160" s="188">
        <f t="shared" si="113"/>
        <v>0.6</v>
      </c>
      <c r="CY160" s="277"/>
      <c r="CZ160" s="191">
        <f t="shared" si="114"/>
        <v>0</v>
      </c>
      <c r="DA160" s="188">
        <f t="shared" si="115"/>
        <v>0.6</v>
      </c>
      <c r="DB160" s="277"/>
      <c r="DC160" s="191">
        <f t="shared" si="116"/>
        <v>0</v>
      </c>
      <c r="DD160" s="188">
        <f t="shared" si="117"/>
        <v>0.2</v>
      </c>
      <c r="DE160" s="277"/>
      <c r="DF160" s="191">
        <f t="shared" si="118"/>
        <v>0</v>
      </c>
      <c r="DG160" s="245"/>
      <c r="DH160" s="188">
        <f t="shared" si="119"/>
        <v>2</v>
      </c>
      <c r="DI160" s="188">
        <f t="shared" si="120"/>
        <v>0</v>
      </c>
      <c r="DJ160" s="191">
        <f t="shared" si="121"/>
        <v>0</v>
      </c>
      <c r="DK160" s="286">
        <f t="shared" si="122"/>
        <v>2</v>
      </c>
      <c r="DL160" s="261">
        <v>156</v>
      </c>
      <c r="DM160" s="244">
        <f>+A160-DL160</f>
        <v>0</v>
      </c>
    </row>
    <row r="161" spans="1:117" ht="50" x14ac:dyDescent="0.35">
      <c r="A161" s="263">
        <v>157</v>
      </c>
      <c r="B161" s="102" t="s">
        <v>270</v>
      </c>
      <c r="C161" s="102" t="s">
        <v>195</v>
      </c>
      <c r="D161" s="102" t="s">
        <v>196</v>
      </c>
      <c r="E161" s="102" t="s">
        <v>536</v>
      </c>
      <c r="F161" s="102" t="s">
        <v>560</v>
      </c>
      <c r="G161" s="98" t="s">
        <v>549</v>
      </c>
      <c r="H161" s="98" t="s">
        <v>554</v>
      </c>
      <c r="I161" s="98" t="s">
        <v>103</v>
      </c>
      <c r="J161" s="98" t="s">
        <v>103</v>
      </c>
      <c r="K161" s="96" t="s">
        <v>104</v>
      </c>
      <c r="L161" s="96" t="s">
        <v>105</v>
      </c>
      <c r="M161" s="98" t="s">
        <v>106</v>
      </c>
      <c r="N161" s="98" t="s">
        <v>107</v>
      </c>
      <c r="O161" s="98" t="s">
        <v>108</v>
      </c>
      <c r="P161" s="241" t="s">
        <v>561</v>
      </c>
      <c r="Q161" s="98" t="s">
        <v>110</v>
      </c>
      <c r="R161" s="301">
        <v>1</v>
      </c>
      <c r="S161" s="99" t="s">
        <v>111</v>
      </c>
      <c r="T161" s="81">
        <v>0</v>
      </c>
      <c r="U161" s="81">
        <v>0</v>
      </c>
      <c r="V161" s="25" t="e">
        <f t="shared" si="141"/>
        <v>#DIV/0!</v>
      </c>
      <c r="W161" s="81">
        <v>0</v>
      </c>
      <c r="X161" s="81">
        <v>0</v>
      </c>
      <c r="Y161" s="25" t="e">
        <f t="shared" si="1"/>
        <v>#DIV/0!</v>
      </c>
      <c r="Z161" s="81">
        <v>0</v>
      </c>
      <c r="AA161" s="81">
        <v>0</v>
      </c>
      <c r="AB161" s="25" t="e">
        <f t="shared" si="2"/>
        <v>#DIV/0!</v>
      </c>
      <c r="AC161" s="81">
        <v>1</v>
      </c>
      <c r="AD161" s="81"/>
      <c r="AE161" s="25">
        <f t="shared" si="3"/>
        <v>0</v>
      </c>
      <c r="AF161" s="140">
        <f t="shared" si="127"/>
        <v>1</v>
      </c>
      <c r="AG161" s="140">
        <f t="shared" si="128"/>
        <v>0</v>
      </c>
      <c r="AH161" s="138" t="e">
        <f t="shared" si="125"/>
        <v>#DIV/0!</v>
      </c>
      <c r="AI161" s="101">
        <v>46113</v>
      </c>
      <c r="AJ161" s="101">
        <v>46477</v>
      </c>
      <c r="AK161" s="102" t="s">
        <v>112</v>
      </c>
      <c r="AL161" s="102" t="s">
        <v>113</v>
      </c>
      <c r="AM161" s="103" t="s">
        <v>114</v>
      </c>
      <c r="AN161" s="104">
        <v>129400000</v>
      </c>
      <c r="AO161" s="104">
        <v>129400000</v>
      </c>
      <c r="AP161" s="104">
        <v>129400000</v>
      </c>
      <c r="AQ161" s="326">
        <v>0</v>
      </c>
      <c r="AR161" s="102" t="s">
        <v>558</v>
      </c>
      <c r="AS161" s="102" t="s">
        <v>112</v>
      </c>
      <c r="AT161" s="152" t="s">
        <v>509</v>
      </c>
      <c r="AU161" s="166" t="s">
        <v>2264</v>
      </c>
      <c r="AV161" s="247" t="s">
        <v>2234</v>
      </c>
      <c r="BA161" s="272"/>
      <c r="BB161" s="273"/>
      <c r="BC161" s="209" t="e">
        <f t="shared" si="99"/>
        <v>#DIV/0!</v>
      </c>
      <c r="BD161" s="272"/>
      <c r="BE161" s="273"/>
      <c r="BF161" s="209" t="e">
        <f t="shared" si="100"/>
        <v>#DIV/0!</v>
      </c>
      <c r="BG161" s="272"/>
      <c r="BH161" s="273"/>
      <c r="BI161" s="209" t="e">
        <f t="shared" si="101"/>
        <v>#DIV/0!</v>
      </c>
      <c r="BJ161" s="210">
        <f t="shared" si="102"/>
        <v>0</v>
      </c>
      <c r="BK161" s="211">
        <f t="shared" si="103"/>
        <v>0</v>
      </c>
      <c r="BL161" s="209" t="e">
        <f t="shared" si="104"/>
        <v>#DIV/0!</v>
      </c>
      <c r="BM161" s="272"/>
      <c r="BN161" s="273"/>
      <c r="BO161" s="209" t="e">
        <f t="shared" si="129"/>
        <v>#DIV/0!</v>
      </c>
      <c r="BP161" s="272"/>
      <c r="BQ161" s="273"/>
      <c r="BR161" s="209" t="e">
        <f t="shared" si="130"/>
        <v>#DIV/0!</v>
      </c>
      <c r="BS161" s="272"/>
      <c r="BT161" s="272"/>
      <c r="BU161" s="209" t="e">
        <f t="shared" si="131"/>
        <v>#DIV/0!</v>
      </c>
      <c r="BV161" s="210">
        <f t="shared" si="105"/>
        <v>0</v>
      </c>
      <c r="BW161" s="210">
        <f t="shared" si="106"/>
        <v>0</v>
      </c>
      <c r="BX161" s="209" t="e">
        <f t="shared" si="107"/>
        <v>#DIV/0!</v>
      </c>
      <c r="BY161" s="209">
        <f t="shared" si="108"/>
        <v>0</v>
      </c>
      <c r="BZ161" s="209">
        <f t="shared" si="109"/>
        <v>0</v>
      </c>
      <c r="CA161" s="212"/>
      <c r="CB161" s="245"/>
      <c r="CC161" s="183"/>
      <c r="CD161" s="184"/>
      <c r="CE161" s="185" t="e">
        <f t="shared" si="132"/>
        <v>#DIV/0!</v>
      </c>
      <c r="CF161" s="183"/>
      <c r="CG161" s="184"/>
      <c r="CH161" s="185" t="e">
        <f t="shared" si="133"/>
        <v>#DIV/0!</v>
      </c>
      <c r="CI161" s="189"/>
      <c r="CJ161" s="190"/>
      <c r="CK161" s="185" t="e">
        <f t="shared" si="134"/>
        <v>#DIV/0!</v>
      </c>
      <c r="CL161" s="187">
        <f t="shared" si="135"/>
        <v>0</v>
      </c>
      <c r="CM161" s="186">
        <f t="shared" si="136"/>
        <v>0</v>
      </c>
      <c r="CN161" s="185" t="e">
        <f t="shared" si="137"/>
        <v>#DIV/0!</v>
      </c>
      <c r="CO161" s="245"/>
      <c r="CP161" s="188">
        <f t="shared" si="138"/>
        <v>0</v>
      </c>
      <c r="CQ161" s="188">
        <f t="shared" si="139"/>
        <v>0</v>
      </c>
      <c r="CR161" s="191" t="e">
        <f t="shared" si="140"/>
        <v>#DIV/0!</v>
      </c>
      <c r="CS161" s="279">
        <f t="shared" si="110"/>
        <v>1</v>
      </c>
      <c r="CT161" s="245"/>
      <c r="CU161" s="188">
        <f t="shared" si="111"/>
        <v>0.3</v>
      </c>
      <c r="CV161" s="277"/>
      <c r="CW161" s="191">
        <f t="shared" si="112"/>
        <v>0</v>
      </c>
      <c r="CX161" s="188">
        <f t="shared" si="113"/>
        <v>0.3</v>
      </c>
      <c r="CY161" s="277"/>
      <c r="CZ161" s="191">
        <f t="shared" si="114"/>
        <v>0</v>
      </c>
      <c r="DA161" s="188">
        <f t="shared" si="115"/>
        <v>0.3</v>
      </c>
      <c r="DB161" s="277"/>
      <c r="DC161" s="191">
        <f t="shared" si="116"/>
        <v>0</v>
      </c>
      <c r="DD161" s="188">
        <f t="shared" si="117"/>
        <v>0.1</v>
      </c>
      <c r="DE161" s="277"/>
      <c r="DF161" s="191">
        <f t="shared" si="118"/>
        <v>0</v>
      </c>
      <c r="DG161" s="245"/>
      <c r="DH161" s="188">
        <f t="shared" si="119"/>
        <v>1</v>
      </c>
      <c r="DI161" s="188">
        <f t="shared" si="120"/>
        <v>0</v>
      </c>
      <c r="DJ161" s="191">
        <f t="shared" si="121"/>
        <v>0</v>
      </c>
      <c r="DK161" s="286">
        <f t="shared" si="122"/>
        <v>1</v>
      </c>
      <c r="DL161" s="261">
        <v>157</v>
      </c>
      <c r="DM161" s="244">
        <f>+A161-DL161</f>
        <v>0</v>
      </c>
    </row>
    <row r="162" spans="1:117" ht="37.5" x14ac:dyDescent="0.35">
      <c r="A162" s="263">
        <v>158</v>
      </c>
      <c r="B162" s="102" t="s">
        <v>270</v>
      </c>
      <c r="C162" s="102" t="s">
        <v>133</v>
      </c>
      <c r="D162" s="102" t="s">
        <v>119</v>
      </c>
      <c r="E162" s="102" t="s">
        <v>562</v>
      </c>
      <c r="F162" s="102" t="s">
        <v>563</v>
      </c>
      <c r="G162" s="98" t="s">
        <v>549</v>
      </c>
      <c r="H162" s="98" t="s">
        <v>550</v>
      </c>
      <c r="I162" s="98" t="s">
        <v>103</v>
      </c>
      <c r="J162" s="98" t="s">
        <v>103</v>
      </c>
      <c r="K162" s="96" t="s">
        <v>104</v>
      </c>
      <c r="L162" s="96" t="s">
        <v>105</v>
      </c>
      <c r="M162" s="98" t="s">
        <v>106</v>
      </c>
      <c r="N162" s="98" t="s">
        <v>107</v>
      </c>
      <c r="O162" s="98" t="s">
        <v>127</v>
      </c>
      <c r="P162" s="241" t="s">
        <v>564</v>
      </c>
      <c r="Q162" s="98" t="s">
        <v>129</v>
      </c>
      <c r="R162" s="301">
        <v>1</v>
      </c>
      <c r="S162" s="99" t="s">
        <v>111</v>
      </c>
      <c r="T162" s="81">
        <v>0</v>
      </c>
      <c r="U162" s="81">
        <v>1</v>
      </c>
      <c r="V162" s="25" t="e">
        <f t="shared" si="141"/>
        <v>#DIV/0!</v>
      </c>
      <c r="W162" s="81">
        <v>0</v>
      </c>
      <c r="X162" s="81">
        <v>1</v>
      </c>
      <c r="Y162" s="25" t="e">
        <f t="shared" si="1"/>
        <v>#DIV/0!</v>
      </c>
      <c r="Z162" s="81">
        <v>1</v>
      </c>
      <c r="AA162" s="81"/>
      <c r="AB162" s="25">
        <f t="shared" si="2"/>
        <v>0</v>
      </c>
      <c r="AC162" s="81">
        <v>0</v>
      </c>
      <c r="AD162" s="81"/>
      <c r="AE162" s="25" t="e">
        <f t="shared" si="3"/>
        <v>#DIV/0!</v>
      </c>
      <c r="AF162" s="140">
        <f t="shared" si="127"/>
        <v>1</v>
      </c>
      <c r="AG162" s="140">
        <f t="shared" si="128"/>
        <v>2</v>
      </c>
      <c r="AH162" s="138" t="e">
        <f t="shared" si="125"/>
        <v>#DIV/0!</v>
      </c>
      <c r="AI162" s="101">
        <v>46113</v>
      </c>
      <c r="AJ162" s="101">
        <v>46477</v>
      </c>
      <c r="AK162" s="102" t="s">
        <v>112</v>
      </c>
      <c r="AL162" s="102" t="s">
        <v>113</v>
      </c>
      <c r="AM162" s="103" t="s">
        <v>114</v>
      </c>
      <c r="AN162" s="324"/>
      <c r="AO162" s="324"/>
      <c r="AP162" s="324"/>
      <c r="AQ162" s="326"/>
      <c r="AR162" s="102" t="s">
        <v>558</v>
      </c>
      <c r="AS162" s="102" t="s">
        <v>112</v>
      </c>
      <c r="AT162" s="152" t="s">
        <v>509</v>
      </c>
      <c r="AU162" s="166" t="s">
        <v>2264</v>
      </c>
      <c r="AV162" s="247" t="s">
        <v>2234</v>
      </c>
      <c r="BA162" s="272"/>
      <c r="BB162" s="273"/>
      <c r="BC162" s="209" t="e">
        <f t="shared" si="99"/>
        <v>#DIV/0!</v>
      </c>
      <c r="BD162" s="272"/>
      <c r="BE162" s="273"/>
      <c r="BF162" s="209" t="e">
        <f t="shared" si="100"/>
        <v>#DIV/0!</v>
      </c>
      <c r="BG162" s="272"/>
      <c r="BH162" s="273"/>
      <c r="BI162" s="209" t="e">
        <f t="shared" si="101"/>
        <v>#DIV/0!</v>
      </c>
      <c r="BJ162" s="210">
        <f t="shared" si="102"/>
        <v>0</v>
      </c>
      <c r="BK162" s="211">
        <f t="shared" si="103"/>
        <v>0</v>
      </c>
      <c r="BL162" s="209" t="e">
        <f t="shared" si="104"/>
        <v>#DIV/0!</v>
      </c>
      <c r="BM162" s="272"/>
      <c r="BN162" s="273"/>
      <c r="BO162" s="209" t="e">
        <f t="shared" si="129"/>
        <v>#DIV/0!</v>
      </c>
      <c r="BP162" s="272"/>
      <c r="BQ162" s="273"/>
      <c r="BR162" s="209" t="e">
        <f t="shared" si="130"/>
        <v>#DIV/0!</v>
      </c>
      <c r="BS162" s="272"/>
      <c r="BT162" s="272"/>
      <c r="BU162" s="209" t="e">
        <f t="shared" si="131"/>
        <v>#DIV/0!</v>
      </c>
      <c r="BV162" s="210">
        <f t="shared" si="105"/>
        <v>0</v>
      </c>
      <c r="BW162" s="210">
        <f t="shared" si="106"/>
        <v>0</v>
      </c>
      <c r="BX162" s="209" t="e">
        <f t="shared" si="107"/>
        <v>#DIV/0!</v>
      </c>
      <c r="BY162" s="209">
        <f t="shared" si="108"/>
        <v>0</v>
      </c>
      <c r="BZ162" s="209">
        <f t="shared" si="109"/>
        <v>0</v>
      </c>
      <c r="CA162" s="212"/>
      <c r="CB162" s="245"/>
      <c r="CC162" s="183"/>
      <c r="CD162" s="184"/>
      <c r="CE162" s="185" t="e">
        <f t="shared" si="132"/>
        <v>#DIV/0!</v>
      </c>
      <c r="CF162" s="183"/>
      <c r="CG162" s="184"/>
      <c r="CH162" s="185" t="e">
        <f t="shared" si="133"/>
        <v>#DIV/0!</v>
      </c>
      <c r="CI162" s="189"/>
      <c r="CJ162" s="190"/>
      <c r="CK162" s="185" t="e">
        <f t="shared" si="134"/>
        <v>#DIV/0!</v>
      </c>
      <c r="CL162" s="187">
        <f t="shared" si="135"/>
        <v>0</v>
      </c>
      <c r="CM162" s="186">
        <f t="shared" si="136"/>
        <v>0</v>
      </c>
      <c r="CN162" s="185" t="e">
        <f t="shared" si="137"/>
        <v>#DIV/0!</v>
      </c>
      <c r="CO162" s="245"/>
      <c r="CP162" s="188">
        <f t="shared" si="138"/>
        <v>0</v>
      </c>
      <c r="CQ162" s="188">
        <f t="shared" si="139"/>
        <v>0</v>
      </c>
      <c r="CR162" s="191" t="e">
        <f t="shared" si="140"/>
        <v>#DIV/0!</v>
      </c>
      <c r="CS162" s="279">
        <f t="shared" si="110"/>
        <v>1</v>
      </c>
      <c r="CT162" s="245"/>
      <c r="CU162" s="188">
        <f t="shared" si="111"/>
        <v>0.3</v>
      </c>
      <c r="CV162" s="277"/>
      <c r="CW162" s="191">
        <f t="shared" si="112"/>
        <v>0</v>
      </c>
      <c r="CX162" s="188">
        <f t="shared" si="113"/>
        <v>0.3</v>
      </c>
      <c r="CY162" s="277"/>
      <c r="CZ162" s="191">
        <f t="shared" si="114"/>
        <v>0</v>
      </c>
      <c r="DA162" s="188">
        <f t="shared" si="115"/>
        <v>0.3</v>
      </c>
      <c r="DB162" s="277"/>
      <c r="DC162" s="191">
        <f t="shared" si="116"/>
        <v>0</v>
      </c>
      <c r="DD162" s="188">
        <f t="shared" si="117"/>
        <v>0.1</v>
      </c>
      <c r="DE162" s="277"/>
      <c r="DF162" s="191">
        <f t="shared" si="118"/>
        <v>0</v>
      </c>
      <c r="DG162" s="245"/>
      <c r="DH162" s="188">
        <f t="shared" si="119"/>
        <v>1</v>
      </c>
      <c r="DI162" s="188">
        <f t="shared" si="120"/>
        <v>0</v>
      </c>
      <c r="DJ162" s="191">
        <f t="shared" si="121"/>
        <v>0</v>
      </c>
      <c r="DK162" s="286">
        <f t="shared" si="122"/>
        <v>1</v>
      </c>
      <c r="DL162" s="261">
        <v>158</v>
      </c>
      <c r="DM162" s="244">
        <f>+A162-DL162</f>
        <v>0</v>
      </c>
    </row>
    <row r="163" spans="1:117" ht="25" x14ac:dyDescent="0.35">
      <c r="A163" s="263">
        <v>159</v>
      </c>
      <c r="B163" s="102" t="s">
        <v>270</v>
      </c>
      <c r="C163" s="102" t="s">
        <v>118</v>
      </c>
      <c r="D163" s="102" t="s">
        <v>119</v>
      </c>
      <c r="E163" s="102" t="s">
        <v>155</v>
      </c>
      <c r="F163" s="102" t="s">
        <v>563</v>
      </c>
      <c r="G163" s="98" t="s">
        <v>549</v>
      </c>
      <c r="H163" s="98" t="s">
        <v>550</v>
      </c>
      <c r="I163" s="98" t="s">
        <v>103</v>
      </c>
      <c r="J163" s="98" t="s">
        <v>103</v>
      </c>
      <c r="K163" s="96" t="s">
        <v>104</v>
      </c>
      <c r="L163" s="96" t="s">
        <v>105</v>
      </c>
      <c r="M163" s="98" t="s">
        <v>106</v>
      </c>
      <c r="N163" s="98" t="s">
        <v>107</v>
      </c>
      <c r="O163" s="98" t="s">
        <v>127</v>
      </c>
      <c r="P163" s="259" t="s">
        <v>565</v>
      </c>
      <c r="Q163" s="98" t="s">
        <v>129</v>
      </c>
      <c r="R163" s="301">
        <v>2</v>
      </c>
      <c r="S163" s="99" t="s">
        <v>111</v>
      </c>
      <c r="T163" s="81">
        <v>0</v>
      </c>
      <c r="U163" s="81">
        <v>0</v>
      </c>
      <c r="V163" s="25" t="e">
        <f t="shared" si="141"/>
        <v>#DIV/0!</v>
      </c>
      <c r="W163" s="81">
        <v>1</v>
      </c>
      <c r="X163" s="81">
        <v>0</v>
      </c>
      <c r="Y163" s="25">
        <f t="shared" si="1"/>
        <v>0</v>
      </c>
      <c r="Z163" s="81">
        <v>1</v>
      </c>
      <c r="AA163" s="81"/>
      <c r="AB163" s="25">
        <f t="shared" si="2"/>
        <v>0</v>
      </c>
      <c r="AC163" s="81">
        <v>0</v>
      </c>
      <c r="AD163" s="81"/>
      <c r="AE163" s="25" t="e">
        <f t="shared" si="3"/>
        <v>#DIV/0!</v>
      </c>
      <c r="AF163" s="140">
        <f t="shared" si="127"/>
        <v>2</v>
      </c>
      <c r="AG163" s="140">
        <f t="shared" si="128"/>
        <v>0</v>
      </c>
      <c r="AH163" s="138">
        <f t="shared" si="125"/>
        <v>0</v>
      </c>
      <c r="AI163" s="101">
        <v>46113</v>
      </c>
      <c r="AJ163" s="101">
        <v>46477</v>
      </c>
      <c r="AK163" s="102" t="s">
        <v>112</v>
      </c>
      <c r="AL163" s="102" t="s">
        <v>113</v>
      </c>
      <c r="AM163" s="103" t="s">
        <v>114</v>
      </c>
      <c r="AN163" s="104">
        <v>10000000</v>
      </c>
      <c r="AO163" s="104">
        <v>10000000</v>
      </c>
      <c r="AP163" s="104">
        <v>10000000</v>
      </c>
      <c r="AQ163" s="326">
        <v>0</v>
      </c>
      <c r="AR163" s="102" t="s">
        <v>558</v>
      </c>
      <c r="AS163" s="102" t="s">
        <v>112</v>
      </c>
      <c r="AT163" s="152" t="s">
        <v>509</v>
      </c>
      <c r="AU163" s="166" t="s">
        <v>2264</v>
      </c>
      <c r="AV163" s="247" t="s">
        <v>2234</v>
      </c>
      <c r="BA163" s="272"/>
      <c r="BB163" s="273"/>
      <c r="BC163" s="209" t="e">
        <f t="shared" si="99"/>
        <v>#DIV/0!</v>
      </c>
      <c r="BD163" s="272"/>
      <c r="BE163" s="273"/>
      <c r="BF163" s="209" t="e">
        <f t="shared" si="100"/>
        <v>#DIV/0!</v>
      </c>
      <c r="BG163" s="272"/>
      <c r="BH163" s="273"/>
      <c r="BI163" s="209" t="e">
        <f t="shared" si="101"/>
        <v>#DIV/0!</v>
      </c>
      <c r="BJ163" s="210">
        <f t="shared" si="102"/>
        <v>0</v>
      </c>
      <c r="BK163" s="211">
        <f t="shared" si="103"/>
        <v>0</v>
      </c>
      <c r="BL163" s="209" t="e">
        <f t="shared" si="104"/>
        <v>#DIV/0!</v>
      </c>
      <c r="BM163" s="272"/>
      <c r="BN163" s="273"/>
      <c r="BO163" s="209" t="e">
        <f t="shared" si="129"/>
        <v>#DIV/0!</v>
      </c>
      <c r="BP163" s="272"/>
      <c r="BQ163" s="273"/>
      <c r="BR163" s="209" t="e">
        <f t="shared" si="130"/>
        <v>#DIV/0!</v>
      </c>
      <c r="BS163" s="272"/>
      <c r="BT163" s="272"/>
      <c r="BU163" s="209" t="e">
        <f t="shared" si="131"/>
        <v>#DIV/0!</v>
      </c>
      <c r="BV163" s="210">
        <f t="shared" si="105"/>
        <v>0</v>
      </c>
      <c r="BW163" s="210">
        <f t="shared" si="106"/>
        <v>0</v>
      </c>
      <c r="BX163" s="209" t="e">
        <f t="shared" si="107"/>
        <v>#DIV/0!</v>
      </c>
      <c r="BY163" s="209">
        <f t="shared" si="108"/>
        <v>0</v>
      </c>
      <c r="BZ163" s="209">
        <f t="shared" si="109"/>
        <v>0</v>
      </c>
      <c r="CA163" s="212"/>
      <c r="CB163" s="245"/>
      <c r="CC163" s="183"/>
      <c r="CD163" s="184"/>
      <c r="CE163" s="185" t="e">
        <f t="shared" si="132"/>
        <v>#DIV/0!</v>
      </c>
      <c r="CF163" s="183"/>
      <c r="CG163" s="184"/>
      <c r="CH163" s="185" t="e">
        <f t="shared" si="133"/>
        <v>#DIV/0!</v>
      </c>
      <c r="CI163" s="189"/>
      <c r="CJ163" s="190"/>
      <c r="CK163" s="185" t="e">
        <f t="shared" si="134"/>
        <v>#DIV/0!</v>
      </c>
      <c r="CL163" s="187">
        <f t="shared" si="135"/>
        <v>0</v>
      </c>
      <c r="CM163" s="186">
        <f t="shared" si="136"/>
        <v>0</v>
      </c>
      <c r="CN163" s="185" t="e">
        <f t="shared" si="137"/>
        <v>#DIV/0!</v>
      </c>
      <c r="CO163" s="245"/>
      <c r="CP163" s="188">
        <f t="shared" si="138"/>
        <v>0</v>
      </c>
      <c r="CQ163" s="188">
        <f t="shared" si="139"/>
        <v>0</v>
      </c>
      <c r="CR163" s="191" t="e">
        <f t="shared" si="140"/>
        <v>#DIV/0!</v>
      </c>
      <c r="CS163" s="279">
        <f t="shared" si="110"/>
        <v>2</v>
      </c>
      <c r="CT163" s="245"/>
      <c r="CU163" s="188">
        <f t="shared" si="111"/>
        <v>0.6</v>
      </c>
      <c r="CV163" s="277"/>
      <c r="CW163" s="191">
        <f t="shared" si="112"/>
        <v>0</v>
      </c>
      <c r="CX163" s="188">
        <f t="shared" si="113"/>
        <v>0.6</v>
      </c>
      <c r="CY163" s="277"/>
      <c r="CZ163" s="191">
        <f t="shared" si="114"/>
        <v>0</v>
      </c>
      <c r="DA163" s="188">
        <f t="shared" si="115"/>
        <v>0.6</v>
      </c>
      <c r="DB163" s="277"/>
      <c r="DC163" s="191">
        <f t="shared" si="116"/>
        <v>0</v>
      </c>
      <c r="DD163" s="188">
        <f t="shared" si="117"/>
        <v>0.2</v>
      </c>
      <c r="DE163" s="277"/>
      <c r="DF163" s="191">
        <f t="shared" si="118"/>
        <v>0</v>
      </c>
      <c r="DG163" s="245"/>
      <c r="DH163" s="188">
        <f t="shared" si="119"/>
        <v>2</v>
      </c>
      <c r="DI163" s="188">
        <f t="shared" si="120"/>
        <v>0</v>
      </c>
      <c r="DJ163" s="191">
        <f t="shared" si="121"/>
        <v>0</v>
      </c>
      <c r="DK163" s="286">
        <f t="shared" si="122"/>
        <v>2</v>
      </c>
      <c r="DL163" s="261">
        <v>159</v>
      </c>
      <c r="DM163" s="244">
        <f>+A163-DL163</f>
        <v>0</v>
      </c>
    </row>
    <row r="164" spans="1:117" ht="37.5" x14ac:dyDescent="0.35">
      <c r="A164" s="263">
        <v>160</v>
      </c>
      <c r="B164" s="102" t="s">
        <v>270</v>
      </c>
      <c r="C164" s="102" t="s">
        <v>133</v>
      </c>
      <c r="D164" s="102" t="s">
        <v>119</v>
      </c>
      <c r="E164" s="102" t="s">
        <v>562</v>
      </c>
      <c r="F164" s="102" t="s">
        <v>566</v>
      </c>
      <c r="G164" s="98" t="s">
        <v>549</v>
      </c>
      <c r="H164" s="98" t="s">
        <v>550</v>
      </c>
      <c r="I164" s="98" t="s">
        <v>103</v>
      </c>
      <c r="J164" s="98" t="s">
        <v>103</v>
      </c>
      <c r="K164" s="96" t="s">
        <v>104</v>
      </c>
      <c r="L164" s="96" t="s">
        <v>105</v>
      </c>
      <c r="M164" s="98" t="s">
        <v>106</v>
      </c>
      <c r="N164" s="98" t="s">
        <v>567</v>
      </c>
      <c r="O164" s="98" t="s">
        <v>127</v>
      </c>
      <c r="P164" s="259" t="s">
        <v>568</v>
      </c>
      <c r="Q164" s="98" t="s">
        <v>129</v>
      </c>
      <c r="R164" s="301">
        <v>1</v>
      </c>
      <c r="S164" s="99" t="s">
        <v>111</v>
      </c>
      <c r="T164" s="81">
        <v>0</v>
      </c>
      <c r="U164" s="81">
        <v>0</v>
      </c>
      <c r="V164" s="25">
        <v>0</v>
      </c>
      <c r="W164" s="81">
        <v>0</v>
      </c>
      <c r="X164" s="81">
        <v>0</v>
      </c>
      <c r="Y164" s="25" t="e">
        <f t="shared" si="1"/>
        <v>#DIV/0!</v>
      </c>
      <c r="Z164" s="81">
        <v>1</v>
      </c>
      <c r="AA164" s="81"/>
      <c r="AB164" s="25">
        <f t="shared" si="2"/>
        <v>0</v>
      </c>
      <c r="AC164" s="81">
        <v>1</v>
      </c>
      <c r="AD164" s="81"/>
      <c r="AE164" s="25">
        <f t="shared" si="3"/>
        <v>0</v>
      </c>
      <c r="AF164" s="140">
        <f t="shared" si="127"/>
        <v>1</v>
      </c>
      <c r="AG164" s="140">
        <f t="shared" si="128"/>
        <v>0</v>
      </c>
      <c r="AH164" s="138" t="e">
        <f t="shared" si="125"/>
        <v>#DIV/0!</v>
      </c>
      <c r="AI164" s="101">
        <v>46113</v>
      </c>
      <c r="AJ164" s="101">
        <v>46477</v>
      </c>
      <c r="AK164" s="102" t="s">
        <v>112</v>
      </c>
      <c r="AL164" s="102" t="s">
        <v>113</v>
      </c>
      <c r="AM164" s="103" t="s">
        <v>114</v>
      </c>
      <c r="AN164" s="104">
        <v>30000000</v>
      </c>
      <c r="AO164" s="104">
        <v>30000000</v>
      </c>
      <c r="AP164" s="104">
        <v>30000000</v>
      </c>
      <c r="AQ164" s="326">
        <v>0</v>
      </c>
      <c r="AR164" s="102" t="s">
        <v>558</v>
      </c>
      <c r="AS164" s="102" t="s">
        <v>112</v>
      </c>
      <c r="AT164" s="152" t="s">
        <v>509</v>
      </c>
      <c r="AU164" s="166" t="s">
        <v>2264</v>
      </c>
      <c r="AV164" s="247" t="s">
        <v>2234</v>
      </c>
      <c r="BA164" s="272"/>
      <c r="BB164" s="273"/>
      <c r="BC164" s="209" t="e">
        <f t="shared" si="99"/>
        <v>#DIV/0!</v>
      </c>
      <c r="BD164" s="272"/>
      <c r="BE164" s="273"/>
      <c r="BF164" s="209" t="e">
        <f t="shared" si="100"/>
        <v>#DIV/0!</v>
      </c>
      <c r="BG164" s="272"/>
      <c r="BH164" s="273"/>
      <c r="BI164" s="209" t="e">
        <f t="shared" si="101"/>
        <v>#DIV/0!</v>
      </c>
      <c r="BJ164" s="210">
        <f t="shared" si="102"/>
        <v>0</v>
      </c>
      <c r="BK164" s="211">
        <f t="shared" si="103"/>
        <v>0</v>
      </c>
      <c r="BL164" s="209" t="e">
        <f t="shared" si="104"/>
        <v>#DIV/0!</v>
      </c>
      <c r="BM164" s="272"/>
      <c r="BN164" s="273"/>
      <c r="BO164" s="209" t="e">
        <f t="shared" si="129"/>
        <v>#DIV/0!</v>
      </c>
      <c r="BP164" s="272"/>
      <c r="BQ164" s="273"/>
      <c r="BR164" s="209" t="e">
        <f t="shared" si="130"/>
        <v>#DIV/0!</v>
      </c>
      <c r="BS164" s="272"/>
      <c r="BT164" s="272"/>
      <c r="BU164" s="209" t="e">
        <f t="shared" si="131"/>
        <v>#DIV/0!</v>
      </c>
      <c r="BV164" s="210">
        <f t="shared" si="105"/>
        <v>0</v>
      </c>
      <c r="BW164" s="210">
        <f t="shared" si="106"/>
        <v>0</v>
      </c>
      <c r="BX164" s="209" t="e">
        <f t="shared" si="107"/>
        <v>#DIV/0!</v>
      </c>
      <c r="BY164" s="209">
        <f t="shared" si="108"/>
        <v>0</v>
      </c>
      <c r="BZ164" s="209">
        <f t="shared" si="109"/>
        <v>0</v>
      </c>
      <c r="CA164" s="212"/>
      <c r="CB164" s="245"/>
      <c r="CC164" s="183"/>
      <c r="CD164" s="184"/>
      <c r="CE164" s="185" t="e">
        <f t="shared" si="132"/>
        <v>#DIV/0!</v>
      </c>
      <c r="CF164" s="183"/>
      <c r="CG164" s="184"/>
      <c r="CH164" s="185" t="e">
        <f t="shared" si="133"/>
        <v>#DIV/0!</v>
      </c>
      <c r="CI164" s="189"/>
      <c r="CJ164" s="190"/>
      <c r="CK164" s="185" t="e">
        <f t="shared" si="134"/>
        <v>#DIV/0!</v>
      </c>
      <c r="CL164" s="187">
        <f t="shared" si="135"/>
        <v>0</v>
      </c>
      <c r="CM164" s="186">
        <f t="shared" si="136"/>
        <v>0</v>
      </c>
      <c r="CN164" s="185" t="e">
        <f t="shared" si="137"/>
        <v>#DIV/0!</v>
      </c>
      <c r="CO164" s="245"/>
      <c r="CP164" s="188">
        <f t="shared" si="138"/>
        <v>0</v>
      </c>
      <c r="CQ164" s="188">
        <f t="shared" si="139"/>
        <v>0</v>
      </c>
      <c r="CR164" s="191" t="e">
        <f t="shared" si="140"/>
        <v>#DIV/0!</v>
      </c>
      <c r="CS164" s="279">
        <f t="shared" si="110"/>
        <v>1</v>
      </c>
      <c r="CT164" s="245"/>
      <c r="CU164" s="188">
        <f t="shared" si="111"/>
        <v>0.3</v>
      </c>
      <c r="CV164" s="277"/>
      <c r="CW164" s="191">
        <f t="shared" si="112"/>
        <v>0</v>
      </c>
      <c r="CX164" s="188">
        <f t="shared" si="113"/>
        <v>0.3</v>
      </c>
      <c r="CY164" s="277"/>
      <c r="CZ164" s="191">
        <f t="shared" si="114"/>
        <v>0</v>
      </c>
      <c r="DA164" s="188">
        <f t="shared" si="115"/>
        <v>0.3</v>
      </c>
      <c r="DB164" s="277"/>
      <c r="DC164" s="191">
        <f t="shared" si="116"/>
        <v>0</v>
      </c>
      <c r="DD164" s="188">
        <f t="shared" si="117"/>
        <v>0.1</v>
      </c>
      <c r="DE164" s="277"/>
      <c r="DF164" s="191">
        <f t="shared" si="118"/>
        <v>0</v>
      </c>
      <c r="DG164" s="245"/>
      <c r="DH164" s="188">
        <f t="shared" si="119"/>
        <v>1</v>
      </c>
      <c r="DI164" s="188">
        <f t="shared" si="120"/>
        <v>0</v>
      </c>
      <c r="DJ164" s="191">
        <f t="shared" si="121"/>
        <v>0</v>
      </c>
      <c r="DK164" s="286">
        <f t="shared" si="122"/>
        <v>1</v>
      </c>
      <c r="DL164" s="261">
        <v>160</v>
      </c>
      <c r="DM164" s="244">
        <f>+A164-DL164</f>
        <v>0</v>
      </c>
    </row>
    <row r="165" spans="1:117" ht="25" x14ac:dyDescent="0.35">
      <c r="A165" s="263">
        <v>161</v>
      </c>
      <c r="B165" s="102" t="s">
        <v>270</v>
      </c>
      <c r="C165" s="102" t="s">
        <v>118</v>
      </c>
      <c r="D165" s="102" t="s">
        <v>119</v>
      </c>
      <c r="E165" s="102" t="s">
        <v>155</v>
      </c>
      <c r="F165" s="102" t="s">
        <v>548</v>
      </c>
      <c r="G165" s="98" t="s">
        <v>569</v>
      </c>
      <c r="H165" s="98" t="s">
        <v>570</v>
      </c>
      <c r="I165" s="98" t="s">
        <v>103</v>
      </c>
      <c r="J165" s="98" t="s">
        <v>103</v>
      </c>
      <c r="K165" s="96" t="s">
        <v>104</v>
      </c>
      <c r="L165" s="96" t="s">
        <v>105</v>
      </c>
      <c r="M165" s="98" t="s">
        <v>106</v>
      </c>
      <c r="N165" s="98" t="s">
        <v>107</v>
      </c>
      <c r="O165" s="98" t="s">
        <v>127</v>
      </c>
      <c r="P165" s="259" t="s">
        <v>571</v>
      </c>
      <c r="Q165" s="98" t="s">
        <v>129</v>
      </c>
      <c r="R165" s="301">
        <v>4</v>
      </c>
      <c r="S165" s="99" t="s">
        <v>111</v>
      </c>
      <c r="T165" s="81">
        <v>0</v>
      </c>
      <c r="U165" s="81">
        <v>0</v>
      </c>
      <c r="V165" s="25">
        <v>0</v>
      </c>
      <c r="W165" s="81">
        <v>0</v>
      </c>
      <c r="X165" s="81">
        <v>1</v>
      </c>
      <c r="Y165" s="25" t="e">
        <f t="shared" si="1"/>
        <v>#DIV/0!</v>
      </c>
      <c r="Z165" s="81">
        <v>2</v>
      </c>
      <c r="AA165" s="81"/>
      <c r="AB165" s="25">
        <f t="shared" si="2"/>
        <v>0</v>
      </c>
      <c r="AC165" s="81">
        <v>2</v>
      </c>
      <c r="AD165" s="81"/>
      <c r="AE165" s="25">
        <f t="shared" si="3"/>
        <v>0</v>
      </c>
      <c r="AF165" s="140">
        <f t="shared" si="127"/>
        <v>4</v>
      </c>
      <c r="AG165" s="140">
        <f t="shared" si="128"/>
        <v>1</v>
      </c>
      <c r="AH165" s="138" t="e">
        <f t="shared" si="125"/>
        <v>#DIV/0!</v>
      </c>
      <c r="AI165" s="101">
        <v>46113</v>
      </c>
      <c r="AJ165" s="101">
        <v>46477</v>
      </c>
      <c r="AK165" s="102" t="s">
        <v>112</v>
      </c>
      <c r="AL165" s="102" t="s">
        <v>113</v>
      </c>
      <c r="AM165" s="103" t="s">
        <v>114</v>
      </c>
      <c r="AN165" s="104">
        <v>40000000</v>
      </c>
      <c r="AO165" s="104">
        <v>40000000</v>
      </c>
      <c r="AP165" s="104">
        <v>40000000</v>
      </c>
      <c r="AQ165" s="326">
        <v>0</v>
      </c>
      <c r="AR165" s="102" t="s">
        <v>558</v>
      </c>
      <c r="AS165" s="102" t="s">
        <v>112</v>
      </c>
      <c r="AT165" s="152" t="s">
        <v>509</v>
      </c>
      <c r="AU165" s="166" t="s">
        <v>2264</v>
      </c>
      <c r="AV165" s="247" t="s">
        <v>2234</v>
      </c>
      <c r="BA165" s="272"/>
      <c r="BB165" s="273"/>
      <c r="BC165" s="209" t="e">
        <f t="shared" si="99"/>
        <v>#DIV/0!</v>
      </c>
      <c r="BD165" s="272"/>
      <c r="BE165" s="273"/>
      <c r="BF165" s="209" t="e">
        <f t="shared" si="100"/>
        <v>#DIV/0!</v>
      </c>
      <c r="BG165" s="272"/>
      <c r="BH165" s="273"/>
      <c r="BI165" s="209" t="e">
        <f t="shared" si="101"/>
        <v>#DIV/0!</v>
      </c>
      <c r="BJ165" s="210">
        <f t="shared" si="102"/>
        <v>0</v>
      </c>
      <c r="BK165" s="211">
        <f t="shared" si="103"/>
        <v>0</v>
      </c>
      <c r="BL165" s="209" t="e">
        <f t="shared" si="104"/>
        <v>#DIV/0!</v>
      </c>
      <c r="BM165" s="272"/>
      <c r="BN165" s="273"/>
      <c r="BO165" s="209" t="e">
        <f t="shared" si="129"/>
        <v>#DIV/0!</v>
      </c>
      <c r="BP165" s="272"/>
      <c r="BQ165" s="273"/>
      <c r="BR165" s="209" t="e">
        <f t="shared" si="130"/>
        <v>#DIV/0!</v>
      </c>
      <c r="BS165" s="272"/>
      <c r="BT165" s="272"/>
      <c r="BU165" s="209" t="e">
        <f t="shared" si="131"/>
        <v>#DIV/0!</v>
      </c>
      <c r="BV165" s="210">
        <f t="shared" si="105"/>
        <v>0</v>
      </c>
      <c r="BW165" s="210">
        <f t="shared" si="106"/>
        <v>0</v>
      </c>
      <c r="BX165" s="209" t="e">
        <f t="shared" si="107"/>
        <v>#DIV/0!</v>
      </c>
      <c r="BY165" s="209">
        <f t="shared" si="108"/>
        <v>0</v>
      </c>
      <c r="BZ165" s="209">
        <f t="shared" si="109"/>
        <v>0</v>
      </c>
      <c r="CA165" s="212"/>
      <c r="CB165" s="245"/>
      <c r="CC165" s="183"/>
      <c r="CD165" s="184"/>
      <c r="CE165" s="185" t="e">
        <f t="shared" si="132"/>
        <v>#DIV/0!</v>
      </c>
      <c r="CF165" s="183"/>
      <c r="CG165" s="184"/>
      <c r="CH165" s="185" t="e">
        <f t="shared" si="133"/>
        <v>#DIV/0!</v>
      </c>
      <c r="CI165" s="189"/>
      <c r="CJ165" s="190"/>
      <c r="CK165" s="185" t="e">
        <f t="shared" si="134"/>
        <v>#DIV/0!</v>
      </c>
      <c r="CL165" s="187">
        <f t="shared" si="135"/>
        <v>0</v>
      </c>
      <c r="CM165" s="186">
        <f t="shared" si="136"/>
        <v>0</v>
      </c>
      <c r="CN165" s="185" t="e">
        <f t="shared" si="137"/>
        <v>#DIV/0!</v>
      </c>
      <c r="CO165" s="245"/>
      <c r="CP165" s="188">
        <f t="shared" si="138"/>
        <v>0</v>
      </c>
      <c r="CQ165" s="188">
        <f t="shared" si="139"/>
        <v>0</v>
      </c>
      <c r="CR165" s="191" t="e">
        <f t="shared" si="140"/>
        <v>#DIV/0!</v>
      </c>
      <c r="CS165" s="279">
        <f t="shared" si="110"/>
        <v>4</v>
      </c>
      <c r="CT165" s="245"/>
      <c r="CU165" s="188">
        <f t="shared" si="111"/>
        <v>1.2</v>
      </c>
      <c r="CV165" s="277"/>
      <c r="CW165" s="191">
        <f t="shared" si="112"/>
        <v>0</v>
      </c>
      <c r="CX165" s="188">
        <f t="shared" si="113"/>
        <v>1.2</v>
      </c>
      <c r="CY165" s="277"/>
      <c r="CZ165" s="191">
        <f t="shared" si="114"/>
        <v>0</v>
      </c>
      <c r="DA165" s="188">
        <f t="shared" si="115"/>
        <v>1.2</v>
      </c>
      <c r="DB165" s="277"/>
      <c r="DC165" s="191">
        <f t="shared" si="116"/>
        <v>0</v>
      </c>
      <c r="DD165" s="188">
        <f t="shared" si="117"/>
        <v>0.4</v>
      </c>
      <c r="DE165" s="277"/>
      <c r="DF165" s="191">
        <f t="shared" si="118"/>
        <v>0</v>
      </c>
      <c r="DG165" s="245"/>
      <c r="DH165" s="188">
        <f t="shared" si="119"/>
        <v>4</v>
      </c>
      <c r="DI165" s="188">
        <f t="shared" si="120"/>
        <v>0</v>
      </c>
      <c r="DJ165" s="191">
        <f t="shared" si="121"/>
        <v>0</v>
      </c>
      <c r="DK165" s="286">
        <f t="shared" si="122"/>
        <v>4</v>
      </c>
      <c r="DL165" s="261">
        <v>161</v>
      </c>
      <c r="DM165" s="244">
        <f>+A165-DL165</f>
        <v>0</v>
      </c>
    </row>
    <row r="166" spans="1:117" ht="18" customHeight="1" x14ac:dyDescent="0.35">
      <c r="A166" s="81">
        <v>162</v>
      </c>
      <c r="B166" s="102" t="s">
        <v>270</v>
      </c>
      <c r="C166" s="102" t="s">
        <v>133</v>
      </c>
      <c r="D166" s="102" t="s">
        <v>119</v>
      </c>
      <c r="E166" s="102" t="s">
        <v>134</v>
      </c>
      <c r="F166" s="102" t="s">
        <v>257</v>
      </c>
      <c r="G166" s="98" t="s">
        <v>569</v>
      </c>
      <c r="H166" s="98" t="s">
        <v>572</v>
      </c>
      <c r="I166" s="98" t="s">
        <v>103</v>
      </c>
      <c r="J166" s="98" t="s">
        <v>103</v>
      </c>
      <c r="K166" s="96" t="s">
        <v>104</v>
      </c>
      <c r="L166" s="96" t="s">
        <v>105</v>
      </c>
      <c r="M166" s="98" t="s">
        <v>106</v>
      </c>
      <c r="N166" s="98" t="s">
        <v>573</v>
      </c>
      <c r="O166" s="98" t="s">
        <v>127</v>
      </c>
      <c r="P166" s="320" t="s">
        <v>574</v>
      </c>
      <c r="Q166" s="98" t="s">
        <v>129</v>
      </c>
      <c r="R166" s="301">
        <v>4</v>
      </c>
      <c r="S166" s="99" t="s">
        <v>111</v>
      </c>
      <c r="T166" s="81">
        <v>0</v>
      </c>
      <c r="U166" s="81">
        <v>0</v>
      </c>
      <c r="V166" s="25" t="e">
        <f t="shared" ref="V166:V167" si="142">U166/T166*100</f>
        <v>#DIV/0!</v>
      </c>
      <c r="W166" s="81">
        <v>0</v>
      </c>
      <c r="X166" s="81">
        <v>0</v>
      </c>
      <c r="Y166" s="25" t="e">
        <f t="shared" si="1"/>
        <v>#DIV/0!</v>
      </c>
      <c r="Z166" s="81">
        <v>2</v>
      </c>
      <c r="AA166" s="81"/>
      <c r="AB166" s="25">
        <f t="shared" si="2"/>
        <v>0</v>
      </c>
      <c r="AC166" s="81">
        <v>2</v>
      </c>
      <c r="AD166" s="81"/>
      <c r="AE166" s="25">
        <f t="shared" si="3"/>
        <v>0</v>
      </c>
      <c r="AF166" s="140">
        <f t="shared" si="127"/>
        <v>4</v>
      </c>
      <c r="AG166" s="140">
        <f t="shared" si="128"/>
        <v>0</v>
      </c>
      <c r="AH166" s="138" t="e">
        <f t="shared" si="125"/>
        <v>#DIV/0!</v>
      </c>
      <c r="AI166" s="101">
        <v>46113</v>
      </c>
      <c r="AJ166" s="101">
        <v>46477</v>
      </c>
      <c r="AK166" s="102" t="s">
        <v>112</v>
      </c>
      <c r="AL166" s="102" t="s">
        <v>113</v>
      </c>
      <c r="AM166" s="103" t="s">
        <v>114</v>
      </c>
      <c r="AN166" s="104">
        <v>40000000</v>
      </c>
      <c r="AO166" s="104">
        <v>40000000</v>
      </c>
      <c r="AP166" s="104">
        <v>40000000</v>
      </c>
      <c r="AQ166" s="326">
        <v>0</v>
      </c>
      <c r="AR166" s="322"/>
      <c r="AS166" s="102" t="s">
        <v>112</v>
      </c>
      <c r="AT166" s="178" t="s">
        <v>509</v>
      </c>
      <c r="AU166" s="166" t="s">
        <v>2264</v>
      </c>
      <c r="AV166" s="246" t="s">
        <v>2317</v>
      </c>
      <c r="AX166" s="177" t="s">
        <v>2318</v>
      </c>
      <c r="AY166" s="136" t="s">
        <v>2376</v>
      </c>
      <c r="BA166" s="183"/>
      <c r="BB166" s="184"/>
      <c r="BC166" s="209" t="e">
        <f t="shared" si="99"/>
        <v>#DIV/0!</v>
      </c>
      <c r="BD166" s="183"/>
      <c r="BE166" s="184"/>
      <c r="BF166" s="209" t="e">
        <f t="shared" si="100"/>
        <v>#DIV/0!</v>
      </c>
      <c r="BG166" s="183"/>
      <c r="BH166" s="184"/>
      <c r="BI166" s="209" t="e">
        <f t="shared" si="101"/>
        <v>#DIV/0!</v>
      </c>
      <c r="BJ166" s="210">
        <f t="shared" si="102"/>
        <v>0</v>
      </c>
      <c r="BK166" s="211">
        <f t="shared" si="103"/>
        <v>0</v>
      </c>
      <c r="BL166" s="209" t="e">
        <f t="shared" si="104"/>
        <v>#DIV/0!</v>
      </c>
      <c r="BM166" s="183"/>
      <c r="BN166" s="184"/>
      <c r="BO166" s="185" t="e">
        <f t="shared" si="129"/>
        <v>#DIV/0!</v>
      </c>
      <c r="BP166" s="183"/>
      <c r="BQ166" s="184"/>
      <c r="BR166" s="185" t="e">
        <f t="shared" si="130"/>
        <v>#DIV/0!</v>
      </c>
      <c r="BS166" s="183"/>
      <c r="BT166" s="184"/>
      <c r="BU166" s="185" t="e">
        <f t="shared" si="131"/>
        <v>#DIV/0!</v>
      </c>
      <c r="BV166" s="210">
        <f t="shared" si="105"/>
        <v>0</v>
      </c>
      <c r="BW166" s="210">
        <f t="shared" si="106"/>
        <v>0</v>
      </c>
      <c r="BX166" s="209" t="e">
        <f t="shared" si="107"/>
        <v>#DIV/0!</v>
      </c>
      <c r="BY166" s="209">
        <f t="shared" si="108"/>
        <v>0</v>
      </c>
      <c r="BZ166" s="209">
        <f t="shared" si="109"/>
        <v>0</v>
      </c>
      <c r="CA166" s="188"/>
      <c r="CB166" s="245"/>
      <c r="CC166" s="183"/>
      <c r="CD166" s="184"/>
      <c r="CE166" s="185" t="e">
        <f t="shared" si="132"/>
        <v>#DIV/0!</v>
      </c>
      <c r="CF166" s="183"/>
      <c r="CG166" s="184"/>
      <c r="CH166" s="185" t="e">
        <f t="shared" si="133"/>
        <v>#DIV/0!</v>
      </c>
      <c r="CI166" s="189"/>
      <c r="CJ166" s="190"/>
      <c r="CK166" s="185" t="e">
        <f t="shared" si="134"/>
        <v>#DIV/0!</v>
      </c>
      <c r="CL166" s="187">
        <f t="shared" si="135"/>
        <v>0</v>
      </c>
      <c r="CM166" s="186">
        <f t="shared" si="136"/>
        <v>0</v>
      </c>
      <c r="CN166" s="185" t="e">
        <f t="shared" si="137"/>
        <v>#DIV/0!</v>
      </c>
      <c r="CO166" s="245"/>
      <c r="CP166" s="188">
        <f t="shared" si="138"/>
        <v>0</v>
      </c>
      <c r="CQ166" s="188">
        <f t="shared" si="139"/>
        <v>0</v>
      </c>
      <c r="CR166" s="191" t="e">
        <f t="shared" si="140"/>
        <v>#DIV/0!</v>
      </c>
      <c r="CS166" s="279">
        <f t="shared" si="110"/>
        <v>4</v>
      </c>
      <c r="CT166" s="245"/>
      <c r="CU166" s="188">
        <f t="shared" si="111"/>
        <v>1.2</v>
      </c>
      <c r="CV166" s="277"/>
      <c r="CW166" s="191">
        <f t="shared" si="112"/>
        <v>0</v>
      </c>
      <c r="CX166" s="188">
        <f t="shared" si="113"/>
        <v>1.2</v>
      </c>
      <c r="CY166" s="277"/>
      <c r="CZ166" s="191">
        <f t="shared" si="114"/>
        <v>0</v>
      </c>
      <c r="DA166" s="188">
        <f t="shared" si="115"/>
        <v>1.2</v>
      </c>
      <c r="DB166" s="277"/>
      <c r="DC166" s="191">
        <f t="shared" si="116"/>
        <v>0</v>
      </c>
      <c r="DD166" s="188">
        <f t="shared" si="117"/>
        <v>0.4</v>
      </c>
      <c r="DE166" s="277"/>
      <c r="DF166" s="191">
        <f t="shared" si="118"/>
        <v>0</v>
      </c>
      <c r="DG166" s="245"/>
      <c r="DH166" s="188">
        <f t="shared" si="119"/>
        <v>4</v>
      </c>
      <c r="DI166" s="188">
        <f t="shared" si="120"/>
        <v>0</v>
      </c>
      <c r="DJ166" s="191">
        <f t="shared" si="121"/>
        <v>0</v>
      </c>
      <c r="DK166" s="286">
        <f t="shared" si="122"/>
        <v>4</v>
      </c>
      <c r="DL166" s="261">
        <v>162</v>
      </c>
    </row>
    <row r="167" spans="1:117" ht="18" customHeight="1" x14ac:dyDescent="0.35">
      <c r="A167" s="81">
        <v>163</v>
      </c>
      <c r="B167" s="102" t="s">
        <v>270</v>
      </c>
      <c r="C167" s="102" t="s">
        <v>97</v>
      </c>
      <c r="D167" s="102" t="s">
        <v>98</v>
      </c>
      <c r="E167" s="102" t="s">
        <v>575</v>
      </c>
      <c r="F167" s="102" t="s">
        <v>257</v>
      </c>
      <c r="G167" s="98" t="s">
        <v>569</v>
      </c>
      <c r="H167" s="98" t="s">
        <v>572</v>
      </c>
      <c r="I167" s="98" t="s">
        <v>103</v>
      </c>
      <c r="J167" s="98" t="s">
        <v>103</v>
      </c>
      <c r="K167" s="96" t="s">
        <v>104</v>
      </c>
      <c r="L167" s="96" t="s">
        <v>105</v>
      </c>
      <c r="M167" s="98" t="s">
        <v>106</v>
      </c>
      <c r="N167" s="98" t="s">
        <v>107</v>
      </c>
      <c r="O167" s="98" t="s">
        <v>108</v>
      </c>
      <c r="P167" s="180" t="s">
        <v>576</v>
      </c>
      <c r="Q167" s="98" t="s">
        <v>110</v>
      </c>
      <c r="R167" s="301">
        <v>29</v>
      </c>
      <c r="S167" s="99" t="s">
        <v>111</v>
      </c>
      <c r="T167" s="81">
        <v>0</v>
      </c>
      <c r="U167" s="81">
        <v>0</v>
      </c>
      <c r="V167" s="25" t="e">
        <f t="shared" si="142"/>
        <v>#DIV/0!</v>
      </c>
      <c r="W167" s="81">
        <v>1</v>
      </c>
      <c r="X167" s="81">
        <v>0</v>
      </c>
      <c r="Y167" s="25">
        <f t="shared" si="1"/>
        <v>0</v>
      </c>
      <c r="Z167" s="81">
        <v>14</v>
      </c>
      <c r="AA167" s="81"/>
      <c r="AB167" s="25">
        <f t="shared" si="2"/>
        <v>0</v>
      </c>
      <c r="AC167" s="81">
        <v>1</v>
      </c>
      <c r="AD167" s="81"/>
      <c r="AE167" s="25">
        <f t="shared" si="3"/>
        <v>0</v>
      </c>
      <c r="AF167" s="140">
        <f t="shared" si="127"/>
        <v>29</v>
      </c>
      <c r="AG167" s="140">
        <f t="shared" si="128"/>
        <v>0</v>
      </c>
      <c r="AH167" s="138">
        <f t="shared" si="125"/>
        <v>0</v>
      </c>
      <c r="AI167" s="101">
        <v>46113</v>
      </c>
      <c r="AJ167" s="101">
        <v>46477</v>
      </c>
      <c r="AK167" s="102" t="s">
        <v>112</v>
      </c>
      <c r="AL167" s="102" t="s">
        <v>113</v>
      </c>
      <c r="AM167" s="103" t="s">
        <v>114</v>
      </c>
      <c r="AN167" s="104">
        <v>120000000</v>
      </c>
      <c r="AO167" s="104">
        <v>120000000</v>
      </c>
      <c r="AP167" s="104">
        <v>120000000</v>
      </c>
      <c r="AQ167" s="326">
        <v>0</v>
      </c>
      <c r="AR167" s="102" t="s">
        <v>159</v>
      </c>
      <c r="AS167" s="102" t="s">
        <v>112</v>
      </c>
      <c r="AT167" s="178" t="s">
        <v>509</v>
      </c>
      <c r="AU167" s="166" t="s">
        <v>2264</v>
      </c>
      <c r="AV167" s="246" t="s">
        <v>2317</v>
      </c>
      <c r="AX167" s="177" t="s">
        <v>2318</v>
      </c>
      <c r="AY167" s="136" t="s">
        <v>2376</v>
      </c>
      <c r="BA167" s="183"/>
      <c r="BB167" s="184"/>
      <c r="BC167" s="209" t="e">
        <f t="shared" si="99"/>
        <v>#DIV/0!</v>
      </c>
      <c r="BD167" s="183"/>
      <c r="BE167" s="184"/>
      <c r="BF167" s="209" t="e">
        <f t="shared" si="100"/>
        <v>#DIV/0!</v>
      </c>
      <c r="BG167" s="183"/>
      <c r="BH167" s="184"/>
      <c r="BI167" s="209" t="e">
        <f t="shared" si="101"/>
        <v>#DIV/0!</v>
      </c>
      <c r="BJ167" s="210">
        <f t="shared" si="102"/>
        <v>0</v>
      </c>
      <c r="BK167" s="211">
        <f t="shared" si="103"/>
        <v>0</v>
      </c>
      <c r="BL167" s="209" t="e">
        <f t="shared" si="104"/>
        <v>#DIV/0!</v>
      </c>
      <c r="BM167" s="183"/>
      <c r="BN167" s="184"/>
      <c r="BO167" s="185" t="e">
        <f t="shared" si="129"/>
        <v>#DIV/0!</v>
      </c>
      <c r="BP167" s="183"/>
      <c r="BQ167" s="184"/>
      <c r="BR167" s="185" t="e">
        <f t="shared" si="130"/>
        <v>#DIV/0!</v>
      </c>
      <c r="BS167" s="183"/>
      <c r="BT167" s="184"/>
      <c r="BU167" s="185" t="e">
        <f t="shared" si="131"/>
        <v>#DIV/0!</v>
      </c>
      <c r="BV167" s="210">
        <f t="shared" si="105"/>
        <v>0</v>
      </c>
      <c r="BW167" s="210">
        <f t="shared" si="106"/>
        <v>0</v>
      </c>
      <c r="BX167" s="209" t="e">
        <f t="shared" si="107"/>
        <v>#DIV/0!</v>
      </c>
      <c r="BY167" s="209">
        <f t="shared" si="108"/>
        <v>0</v>
      </c>
      <c r="BZ167" s="209">
        <f t="shared" si="109"/>
        <v>0</v>
      </c>
      <c r="CA167" s="188"/>
      <c r="CB167" s="245"/>
      <c r="CC167" s="183"/>
      <c r="CD167" s="184"/>
      <c r="CE167" s="185" t="e">
        <f t="shared" si="132"/>
        <v>#DIV/0!</v>
      </c>
      <c r="CF167" s="183"/>
      <c r="CG167" s="184"/>
      <c r="CH167" s="185" t="e">
        <f t="shared" si="133"/>
        <v>#DIV/0!</v>
      </c>
      <c r="CI167" s="189"/>
      <c r="CJ167" s="190"/>
      <c r="CK167" s="185" t="e">
        <f t="shared" si="134"/>
        <v>#DIV/0!</v>
      </c>
      <c r="CL167" s="187">
        <f t="shared" si="135"/>
        <v>0</v>
      </c>
      <c r="CM167" s="186">
        <f t="shared" si="136"/>
        <v>0</v>
      </c>
      <c r="CN167" s="185" t="e">
        <f t="shared" si="137"/>
        <v>#DIV/0!</v>
      </c>
      <c r="CO167" s="245"/>
      <c r="CP167" s="188">
        <f t="shared" si="138"/>
        <v>0</v>
      </c>
      <c r="CQ167" s="188">
        <f t="shared" si="139"/>
        <v>0</v>
      </c>
      <c r="CR167" s="191" t="e">
        <f t="shared" si="140"/>
        <v>#DIV/0!</v>
      </c>
      <c r="CS167" s="279">
        <f t="shared" si="110"/>
        <v>29</v>
      </c>
      <c r="CT167" s="245"/>
      <c r="CU167" s="188">
        <f t="shared" si="111"/>
        <v>8.6999999999999993</v>
      </c>
      <c r="CV167" s="277"/>
      <c r="CW167" s="191">
        <f t="shared" si="112"/>
        <v>0</v>
      </c>
      <c r="CX167" s="188">
        <f t="shared" si="113"/>
        <v>8.6999999999999993</v>
      </c>
      <c r="CY167" s="277"/>
      <c r="CZ167" s="191">
        <f t="shared" si="114"/>
        <v>0</v>
      </c>
      <c r="DA167" s="188">
        <f t="shared" si="115"/>
        <v>8.6999999999999993</v>
      </c>
      <c r="DB167" s="277"/>
      <c r="DC167" s="191">
        <f t="shared" si="116"/>
        <v>0</v>
      </c>
      <c r="DD167" s="188">
        <f t="shared" si="117"/>
        <v>2.9000000000000004</v>
      </c>
      <c r="DE167" s="277"/>
      <c r="DF167" s="191">
        <f t="shared" si="118"/>
        <v>0</v>
      </c>
      <c r="DG167" s="245"/>
      <c r="DH167" s="188">
        <f t="shared" si="119"/>
        <v>29</v>
      </c>
      <c r="DI167" s="188">
        <f t="shared" si="120"/>
        <v>0</v>
      </c>
      <c r="DJ167" s="191">
        <f t="shared" si="121"/>
        <v>0</v>
      </c>
      <c r="DK167" s="286">
        <f t="shared" si="122"/>
        <v>29</v>
      </c>
      <c r="DL167" s="261">
        <v>163</v>
      </c>
    </row>
    <row r="168" spans="1:117" ht="62.5" x14ac:dyDescent="0.35">
      <c r="A168" s="263">
        <v>164</v>
      </c>
      <c r="B168" s="102" t="s">
        <v>270</v>
      </c>
      <c r="C168" s="102" t="s">
        <v>195</v>
      </c>
      <c r="D168" s="102" t="s">
        <v>196</v>
      </c>
      <c r="E168" s="102" t="s">
        <v>562</v>
      </c>
      <c r="F168" s="102" t="s">
        <v>577</v>
      </c>
      <c r="G168" s="98" t="s">
        <v>578</v>
      </c>
      <c r="H168" s="98" t="s">
        <v>579</v>
      </c>
      <c r="I168" s="98" t="s">
        <v>103</v>
      </c>
      <c r="J168" s="98" t="s">
        <v>103</v>
      </c>
      <c r="K168" s="96" t="s">
        <v>104</v>
      </c>
      <c r="L168" s="96" t="s">
        <v>105</v>
      </c>
      <c r="M168" s="98" t="s">
        <v>106</v>
      </c>
      <c r="N168" s="98" t="s">
        <v>107</v>
      </c>
      <c r="O168" s="98" t="s">
        <v>108</v>
      </c>
      <c r="P168" s="241" t="s">
        <v>580</v>
      </c>
      <c r="Q168" s="98" t="s">
        <v>110</v>
      </c>
      <c r="R168" s="301">
        <v>4</v>
      </c>
      <c r="S168" s="99" t="s">
        <v>111</v>
      </c>
      <c r="T168" s="81">
        <v>0</v>
      </c>
      <c r="U168" s="81">
        <v>0</v>
      </c>
      <c r="V168" s="25">
        <v>0</v>
      </c>
      <c r="W168" s="81">
        <v>0</v>
      </c>
      <c r="X168" s="81"/>
      <c r="Y168" s="25" t="e">
        <f t="shared" si="1"/>
        <v>#DIV/0!</v>
      </c>
      <c r="Z168" s="81">
        <v>1</v>
      </c>
      <c r="AA168" s="81"/>
      <c r="AB168" s="25">
        <f t="shared" si="2"/>
        <v>0</v>
      </c>
      <c r="AC168" s="81">
        <v>0</v>
      </c>
      <c r="AD168" s="81"/>
      <c r="AE168" s="25" t="e">
        <f t="shared" si="3"/>
        <v>#DIV/0!</v>
      </c>
      <c r="AF168" s="140">
        <f t="shared" si="127"/>
        <v>4</v>
      </c>
      <c r="AG168" s="140">
        <f t="shared" si="128"/>
        <v>0</v>
      </c>
      <c r="AH168" s="138" t="e">
        <f t="shared" si="125"/>
        <v>#DIV/0!</v>
      </c>
      <c r="AI168" s="101">
        <v>46113</v>
      </c>
      <c r="AJ168" s="101">
        <v>46477</v>
      </c>
      <c r="AK168" s="102" t="s">
        <v>112</v>
      </c>
      <c r="AL168" s="102" t="s">
        <v>113</v>
      </c>
      <c r="AM168" s="103" t="s">
        <v>114</v>
      </c>
      <c r="AN168" s="104">
        <v>80000000</v>
      </c>
      <c r="AO168" s="104">
        <v>80000000</v>
      </c>
      <c r="AP168" s="104">
        <v>80000000</v>
      </c>
      <c r="AQ168" s="326">
        <v>0</v>
      </c>
      <c r="AR168" s="102" t="s">
        <v>159</v>
      </c>
      <c r="AS168" s="102" t="s">
        <v>112</v>
      </c>
      <c r="AT168" s="152" t="s">
        <v>509</v>
      </c>
      <c r="AU168" s="164" t="s">
        <v>2264</v>
      </c>
      <c r="AV168" s="247" t="s">
        <v>2234</v>
      </c>
      <c r="BA168" s="272"/>
      <c r="BB168" s="273"/>
      <c r="BC168" s="209" t="e">
        <f t="shared" si="99"/>
        <v>#DIV/0!</v>
      </c>
      <c r="BD168" s="272"/>
      <c r="BE168" s="273"/>
      <c r="BF168" s="209" t="e">
        <f t="shared" si="100"/>
        <v>#DIV/0!</v>
      </c>
      <c r="BG168" s="272"/>
      <c r="BH168" s="273"/>
      <c r="BI168" s="209" t="e">
        <f t="shared" si="101"/>
        <v>#DIV/0!</v>
      </c>
      <c r="BJ168" s="210">
        <f t="shared" si="102"/>
        <v>0</v>
      </c>
      <c r="BK168" s="211">
        <f t="shared" si="103"/>
        <v>0</v>
      </c>
      <c r="BL168" s="209" t="e">
        <f t="shared" si="104"/>
        <v>#DIV/0!</v>
      </c>
      <c r="BM168" s="272"/>
      <c r="BN168" s="273"/>
      <c r="BO168" s="209" t="e">
        <f t="shared" si="129"/>
        <v>#DIV/0!</v>
      </c>
      <c r="BP168" s="272"/>
      <c r="BQ168" s="273"/>
      <c r="BR168" s="209" t="e">
        <f t="shared" si="130"/>
        <v>#DIV/0!</v>
      </c>
      <c r="BS168" s="272"/>
      <c r="BT168" s="272"/>
      <c r="BU168" s="209" t="e">
        <f t="shared" si="131"/>
        <v>#DIV/0!</v>
      </c>
      <c r="BV168" s="210">
        <f t="shared" si="105"/>
        <v>0</v>
      </c>
      <c r="BW168" s="210">
        <f t="shared" si="106"/>
        <v>0</v>
      </c>
      <c r="BX168" s="209" t="e">
        <f t="shared" si="107"/>
        <v>#DIV/0!</v>
      </c>
      <c r="BY168" s="209">
        <f t="shared" si="108"/>
        <v>0</v>
      </c>
      <c r="BZ168" s="209">
        <f t="shared" si="109"/>
        <v>0</v>
      </c>
      <c r="CA168" s="212"/>
      <c r="CB168" s="245"/>
      <c r="CC168" s="183"/>
      <c r="CD168" s="184"/>
      <c r="CE168" s="185" t="e">
        <f t="shared" si="132"/>
        <v>#DIV/0!</v>
      </c>
      <c r="CF168" s="183"/>
      <c r="CG168" s="184"/>
      <c r="CH168" s="185" t="e">
        <f t="shared" si="133"/>
        <v>#DIV/0!</v>
      </c>
      <c r="CI168" s="189"/>
      <c r="CJ168" s="190"/>
      <c r="CK168" s="185" t="e">
        <f t="shared" si="134"/>
        <v>#DIV/0!</v>
      </c>
      <c r="CL168" s="187">
        <f t="shared" si="135"/>
        <v>0</v>
      </c>
      <c r="CM168" s="186">
        <f t="shared" si="136"/>
        <v>0</v>
      </c>
      <c r="CN168" s="185" t="e">
        <f t="shared" si="137"/>
        <v>#DIV/0!</v>
      </c>
      <c r="CO168" s="245"/>
      <c r="CP168" s="188">
        <f t="shared" si="138"/>
        <v>0</v>
      </c>
      <c r="CQ168" s="188">
        <f t="shared" si="139"/>
        <v>0</v>
      </c>
      <c r="CR168" s="191" t="e">
        <f t="shared" si="140"/>
        <v>#DIV/0!</v>
      </c>
      <c r="CS168" s="279">
        <f t="shared" si="110"/>
        <v>4</v>
      </c>
      <c r="CT168" s="245"/>
      <c r="CU168" s="188">
        <f t="shared" si="111"/>
        <v>1.2</v>
      </c>
      <c r="CV168" s="277"/>
      <c r="CW168" s="191">
        <f t="shared" si="112"/>
        <v>0</v>
      </c>
      <c r="CX168" s="188">
        <f t="shared" si="113"/>
        <v>1.2</v>
      </c>
      <c r="CY168" s="277"/>
      <c r="CZ168" s="191">
        <f t="shared" si="114"/>
        <v>0</v>
      </c>
      <c r="DA168" s="188">
        <f t="shared" si="115"/>
        <v>1.2</v>
      </c>
      <c r="DB168" s="277"/>
      <c r="DC168" s="191">
        <f t="shared" si="116"/>
        <v>0</v>
      </c>
      <c r="DD168" s="188">
        <f t="shared" si="117"/>
        <v>0.4</v>
      </c>
      <c r="DE168" s="277"/>
      <c r="DF168" s="191">
        <f t="shared" si="118"/>
        <v>0</v>
      </c>
      <c r="DG168" s="245"/>
      <c r="DH168" s="188">
        <f t="shared" si="119"/>
        <v>4</v>
      </c>
      <c r="DI168" s="188">
        <f t="shared" si="120"/>
        <v>0</v>
      </c>
      <c r="DJ168" s="191">
        <f t="shared" si="121"/>
        <v>0</v>
      </c>
      <c r="DK168" s="286">
        <f t="shared" si="122"/>
        <v>4</v>
      </c>
      <c r="DL168" s="261">
        <v>164</v>
      </c>
      <c r="DM168" s="244">
        <f>+A168-DL168</f>
        <v>0</v>
      </c>
    </row>
    <row r="169" spans="1:117" ht="25" x14ac:dyDescent="0.35">
      <c r="A169" s="263">
        <v>165</v>
      </c>
      <c r="B169" s="102" t="s">
        <v>270</v>
      </c>
      <c r="C169" s="102" t="s">
        <v>195</v>
      </c>
      <c r="D169" s="102" t="s">
        <v>196</v>
      </c>
      <c r="E169" s="102" t="s">
        <v>562</v>
      </c>
      <c r="F169" s="102" t="s">
        <v>577</v>
      </c>
      <c r="G169" s="98" t="s">
        <v>578</v>
      </c>
      <c r="H169" s="98" t="s">
        <v>579</v>
      </c>
      <c r="I169" s="98" t="s">
        <v>103</v>
      </c>
      <c r="J169" s="98" t="s">
        <v>103</v>
      </c>
      <c r="K169" s="96" t="s">
        <v>104</v>
      </c>
      <c r="L169" s="96" t="s">
        <v>105</v>
      </c>
      <c r="M169" s="98" t="s">
        <v>106</v>
      </c>
      <c r="N169" s="98" t="s">
        <v>107</v>
      </c>
      <c r="O169" s="98" t="s">
        <v>108</v>
      </c>
      <c r="P169" s="241" t="s">
        <v>581</v>
      </c>
      <c r="Q169" s="98" t="s">
        <v>110</v>
      </c>
      <c r="R169" s="301">
        <v>4</v>
      </c>
      <c r="S169" s="99" t="s">
        <v>111</v>
      </c>
      <c r="T169" s="81">
        <v>0</v>
      </c>
      <c r="U169" s="81">
        <v>0</v>
      </c>
      <c r="V169" s="25">
        <v>0</v>
      </c>
      <c r="W169" s="81">
        <v>0</v>
      </c>
      <c r="X169" s="81">
        <v>0</v>
      </c>
      <c r="Y169" s="25" t="e">
        <f t="shared" si="1"/>
        <v>#DIV/0!</v>
      </c>
      <c r="Z169" s="81">
        <v>2</v>
      </c>
      <c r="AA169" s="81"/>
      <c r="AB169" s="25">
        <f t="shared" si="2"/>
        <v>0</v>
      </c>
      <c r="AC169" s="81">
        <v>2</v>
      </c>
      <c r="AD169" s="81"/>
      <c r="AE169" s="25">
        <f t="shared" si="3"/>
        <v>0</v>
      </c>
      <c r="AF169" s="140">
        <f t="shared" si="127"/>
        <v>4</v>
      </c>
      <c r="AG169" s="140">
        <f t="shared" si="128"/>
        <v>0</v>
      </c>
      <c r="AH169" s="138" t="e">
        <f t="shared" si="125"/>
        <v>#DIV/0!</v>
      </c>
      <c r="AI169" s="101">
        <v>46113</v>
      </c>
      <c r="AJ169" s="101">
        <v>46477</v>
      </c>
      <c r="AK169" s="102" t="s">
        <v>112</v>
      </c>
      <c r="AL169" s="102" t="s">
        <v>113</v>
      </c>
      <c r="AM169" s="103" t="s">
        <v>114</v>
      </c>
      <c r="AN169" s="104">
        <v>80000000</v>
      </c>
      <c r="AO169" s="104">
        <v>80000000</v>
      </c>
      <c r="AP169" s="104">
        <v>80000000</v>
      </c>
      <c r="AQ169" s="326">
        <v>0</v>
      </c>
      <c r="AR169" s="102" t="s">
        <v>207</v>
      </c>
      <c r="AS169" s="102" t="s">
        <v>112</v>
      </c>
      <c r="AT169" s="152" t="s">
        <v>509</v>
      </c>
      <c r="AU169" s="166" t="s">
        <v>2264</v>
      </c>
      <c r="AV169" s="247" t="s">
        <v>2234</v>
      </c>
      <c r="BA169" s="272"/>
      <c r="BB169" s="273"/>
      <c r="BC169" s="209" t="e">
        <f t="shared" si="99"/>
        <v>#DIV/0!</v>
      </c>
      <c r="BD169" s="272"/>
      <c r="BE169" s="273"/>
      <c r="BF169" s="209" t="e">
        <f t="shared" si="100"/>
        <v>#DIV/0!</v>
      </c>
      <c r="BG169" s="272"/>
      <c r="BH169" s="273"/>
      <c r="BI169" s="209" t="e">
        <f t="shared" si="101"/>
        <v>#DIV/0!</v>
      </c>
      <c r="BJ169" s="210">
        <f t="shared" si="102"/>
        <v>0</v>
      </c>
      <c r="BK169" s="211">
        <f t="shared" si="103"/>
        <v>0</v>
      </c>
      <c r="BL169" s="209" t="e">
        <f t="shared" si="104"/>
        <v>#DIV/0!</v>
      </c>
      <c r="BM169" s="272"/>
      <c r="BN169" s="273"/>
      <c r="BO169" s="209" t="e">
        <f t="shared" si="129"/>
        <v>#DIV/0!</v>
      </c>
      <c r="BP169" s="272"/>
      <c r="BQ169" s="273"/>
      <c r="BR169" s="209" t="e">
        <f t="shared" si="130"/>
        <v>#DIV/0!</v>
      </c>
      <c r="BS169" s="272"/>
      <c r="BT169" s="272"/>
      <c r="BU169" s="209" t="e">
        <f t="shared" si="131"/>
        <v>#DIV/0!</v>
      </c>
      <c r="BV169" s="210">
        <f t="shared" si="105"/>
        <v>0</v>
      </c>
      <c r="BW169" s="210">
        <f t="shared" si="106"/>
        <v>0</v>
      </c>
      <c r="BX169" s="209" t="e">
        <f t="shared" si="107"/>
        <v>#DIV/0!</v>
      </c>
      <c r="BY169" s="209">
        <f t="shared" si="108"/>
        <v>0</v>
      </c>
      <c r="BZ169" s="209">
        <f t="shared" si="109"/>
        <v>0</v>
      </c>
      <c r="CA169" s="212"/>
      <c r="CB169" s="245"/>
      <c r="CC169" s="183"/>
      <c r="CD169" s="184"/>
      <c r="CE169" s="185" t="e">
        <f t="shared" si="132"/>
        <v>#DIV/0!</v>
      </c>
      <c r="CF169" s="183"/>
      <c r="CG169" s="184"/>
      <c r="CH169" s="185" t="e">
        <f t="shared" si="133"/>
        <v>#DIV/0!</v>
      </c>
      <c r="CI169" s="189"/>
      <c r="CJ169" s="190"/>
      <c r="CK169" s="185" t="e">
        <f t="shared" si="134"/>
        <v>#DIV/0!</v>
      </c>
      <c r="CL169" s="187">
        <f t="shared" si="135"/>
        <v>0</v>
      </c>
      <c r="CM169" s="186">
        <f t="shared" si="136"/>
        <v>0</v>
      </c>
      <c r="CN169" s="185" t="e">
        <f t="shared" si="137"/>
        <v>#DIV/0!</v>
      </c>
      <c r="CO169" s="245"/>
      <c r="CP169" s="188">
        <f t="shared" si="138"/>
        <v>0</v>
      </c>
      <c r="CQ169" s="188">
        <f t="shared" si="139"/>
        <v>0</v>
      </c>
      <c r="CR169" s="191" t="e">
        <f t="shared" si="140"/>
        <v>#DIV/0!</v>
      </c>
      <c r="CS169" s="279">
        <f t="shared" si="110"/>
        <v>4</v>
      </c>
      <c r="CT169" s="245"/>
      <c r="CU169" s="188">
        <f t="shared" si="111"/>
        <v>1.2</v>
      </c>
      <c r="CV169" s="277"/>
      <c r="CW169" s="191">
        <f t="shared" si="112"/>
        <v>0</v>
      </c>
      <c r="CX169" s="188">
        <f t="shared" si="113"/>
        <v>1.2</v>
      </c>
      <c r="CY169" s="277"/>
      <c r="CZ169" s="191">
        <f t="shared" si="114"/>
        <v>0</v>
      </c>
      <c r="DA169" s="188">
        <f t="shared" si="115"/>
        <v>1.2</v>
      </c>
      <c r="DB169" s="277"/>
      <c r="DC169" s="191">
        <f t="shared" si="116"/>
        <v>0</v>
      </c>
      <c r="DD169" s="188">
        <f t="shared" si="117"/>
        <v>0.4</v>
      </c>
      <c r="DE169" s="277"/>
      <c r="DF169" s="191">
        <f t="shared" si="118"/>
        <v>0</v>
      </c>
      <c r="DG169" s="245"/>
      <c r="DH169" s="188">
        <f t="shared" si="119"/>
        <v>4</v>
      </c>
      <c r="DI169" s="188">
        <f t="shared" si="120"/>
        <v>0</v>
      </c>
      <c r="DJ169" s="191">
        <f t="shared" si="121"/>
        <v>0</v>
      </c>
      <c r="DK169" s="286">
        <f t="shared" si="122"/>
        <v>4</v>
      </c>
      <c r="DL169" s="261">
        <v>165</v>
      </c>
      <c r="DM169" s="244">
        <f>+A169-DL169</f>
        <v>0</v>
      </c>
    </row>
    <row r="170" spans="1:117" ht="50" x14ac:dyDescent="0.35">
      <c r="A170" s="263">
        <v>166</v>
      </c>
      <c r="B170" s="102" t="s">
        <v>270</v>
      </c>
      <c r="C170" s="102" t="s">
        <v>195</v>
      </c>
      <c r="D170" s="102" t="s">
        <v>196</v>
      </c>
      <c r="E170" s="102" t="s">
        <v>562</v>
      </c>
      <c r="F170" s="102" t="s">
        <v>577</v>
      </c>
      <c r="G170" s="98" t="s">
        <v>578</v>
      </c>
      <c r="H170" s="98" t="s">
        <v>579</v>
      </c>
      <c r="I170" s="98" t="s">
        <v>295</v>
      </c>
      <c r="J170" s="98" t="s">
        <v>295</v>
      </c>
      <c r="K170" s="96" t="s">
        <v>104</v>
      </c>
      <c r="L170" s="96" t="s">
        <v>105</v>
      </c>
      <c r="M170" s="98" t="s">
        <v>106</v>
      </c>
      <c r="N170" s="98" t="s">
        <v>107</v>
      </c>
      <c r="O170" s="98" t="s">
        <v>108</v>
      </c>
      <c r="P170" s="241" t="s">
        <v>582</v>
      </c>
      <c r="Q170" s="98" t="s">
        <v>110</v>
      </c>
      <c r="R170" s="301">
        <v>4</v>
      </c>
      <c r="S170" s="99" t="s">
        <v>111</v>
      </c>
      <c r="T170" s="81">
        <v>0</v>
      </c>
      <c r="U170" s="81">
        <v>0</v>
      </c>
      <c r="V170" s="25">
        <v>0</v>
      </c>
      <c r="W170" s="81">
        <v>0</v>
      </c>
      <c r="X170" s="81">
        <v>0</v>
      </c>
      <c r="Y170" s="25" t="e">
        <f t="shared" si="1"/>
        <v>#DIV/0!</v>
      </c>
      <c r="Z170" s="81">
        <v>2</v>
      </c>
      <c r="AA170" s="81"/>
      <c r="AB170" s="25">
        <f t="shared" si="2"/>
        <v>0</v>
      </c>
      <c r="AC170" s="81">
        <v>2</v>
      </c>
      <c r="AD170" s="81"/>
      <c r="AE170" s="25">
        <f t="shared" si="3"/>
        <v>0</v>
      </c>
      <c r="AF170" s="140">
        <f t="shared" si="127"/>
        <v>4</v>
      </c>
      <c r="AG170" s="140">
        <f t="shared" si="128"/>
        <v>0</v>
      </c>
      <c r="AH170" s="138" t="e">
        <f t="shared" si="125"/>
        <v>#DIV/0!</v>
      </c>
      <c r="AI170" s="101">
        <v>46113</v>
      </c>
      <c r="AJ170" s="101">
        <v>46477</v>
      </c>
      <c r="AK170" s="102" t="s">
        <v>112</v>
      </c>
      <c r="AL170" s="102" t="s">
        <v>113</v>
      </c>
      <c r="AM170" s="103" t="s">
        <v>114</v>
      </c>
      <c r="AN170" s="104">
        <v>80000000</v>
      </c>
      <c r="AO170" s="104">
        <v>80000000</v>
      </c>
      <c r="AP170" s="104">
        <v>80000000</v>
      </c>
      <c r="AQ170" s="326">
        <v>0</v>
      </c>
      <c r="AR170" s="102" t="s">
        <v>159</v>
      </c>
      <c r="AS170" s="102" t="s">
        <v>112</v>
      </c>
      <c r="AT170" s="152" t="s">
        <v>509</v>
      </c>
      <c r="AU170" s="166" t="s">
        <v>2264</v>
      </c>
      <c r="AV170" s="247" t="s">
        <v>2234</v>
      </c>
      <c r="BA170" s="272"/>
      <c r="BB170" s="273"/>
      <c r="BC170" s="209" t="e">
        <f t="shared" si="99"/>
        <v>#DIV/0!</v>
      </c>
      <c r="BD170" s="272"/>
      <c r="BE170" s="273"/>
      <c r="BF170" s="209" t="e">
        <f t="shared" si="100"/>
        <v>#DIV/0!</v>
      </c>
      <c r="BG170" s="272"/>
      <c r="BH170" s="273"/>
      <c r="BI170" s="209" t="e">
        <f t="shared" si="101"/>
        <v>#DIV/0!</v>
      </c>
      <c r="BJ170" s="210">
        <f t="shared" si="102"/>
        <v>0</v>
      </c>
      <c r="BK170" s="211">
        <f t="shared" si="103"/>
        <v>0</v>
      </c>
      <c r="BL170" s="209" t="e">
        <f t="shared" si="104"/>
        <v>#DIV/0!</v>
      </c>
      <c r="BM170" s="272"/>
      <c r="BN170" s="273"/>
      <c r="BO170" s="209" t="e">
        <f t="shared" si="129"/>
        <v>#DIV/0!</v>
      </c>
      <c r="BP170" s="272"/>
      <c r="BQ170" s="273"/>
      <c r="BR170" s="209" t="e">
        <f t="shared" si="130"/>
        <v>#DIV/0!</v>
      </c>
      <c r="BS170" s="272"/>
      <c r="BT170" s="272"/>
      <c r="BU170" s="209" t="e">
        <f t="shared" si="131"/>
        <v>#DIV/0!</v>
      </c>
      <c r="BV170" s="210">
        <f t="shared" si="105"/>
        <v>0</v>
      </c>
      <c r="BW170" s="210">
        <f t="shared" si="106"/>
        <v>0</v>
      </c>
      <c r="BX170" s="209" t="e">
        <f t="shared" si="107"/>
        <v>#DIV/0!</v>
      </c>
      <c r="BY170" s="209">
        <f t="shared" si="108"/>
        <v>0</v>
      </c>
      <c r="BZ170" s="209">
        <f t="shared" si="109"/>
        <v>0</v>
      </c>
      <c r="CA170" s="212"/>
      <c r="CB170" s="245"/>
      <c r="CC170" s="183"/>
      <c r="CD170" s="184"/>
      <c r="CE170" s="185" t="e">
        <f t="shared" si="132"/>
        <v>#DIV/0!</v>
      </c>
      <c r="CF170" s="183"/>
      <c r="CG170" s="184"/>
      <c r="CH170" s="185" t="e">
        <f t="shared" si="133"/>
        <v>#DIV/0!</v>
      </c>
      <c r="CI170" s="189"/>
      <c r="CJ170" s="190"/>
      <c r="CK170" s="185" t="e">
        <f t="shared" si="134"/>
        <v>#DIV/0!</v>
      </c>
      <c r="CL170" s="187">
        <f t="shared" si="135"/>
        <v>0</v>
      </c>
      <c r="CM170" s="186">
        <f t="shared" si="136"/>
        <v>0</v>
      </c>
      <c r="CN170" s="185" t="e">
        <f t="shared" si="137"/>
        <v>#DIV/0!</v>
      </c>
      <c r="CO170" s="245"/>
      <c r="CP170" s="188">
        <f t="shared" si="138"/>
        <v>0</v>
      </c>
      <c r="CQ170" s="188">
        <f t="shared" si="139"/>
        <v>0</v>
      </c>
      <c r="CR170" s="191" t="e">
        <f t="shared" si="140"/>
        <v>#DIV/0!</v>
      </c>
      <c r="CS170" s="279">
        <f t="shared" si="110"/>
        <v>4</v>
      </c>
      <c r="CT170" s="245"/>
      <c r="CU170" s="188">
        <f t="shared" si="111"/>
        <v>1.2</v>
      </c>
      <c r="CV170" s="277"/>
      <c r="CW170" s="191">
        <f t="shared" si="112"/>
        <v>0</v>
      </c>
      <c r="CX170" s="188">
        <f t="shared" si="113"/>
        <v>1.2</v>
      </c>
      <c r="CY170" s="277"/>
      <c r="CZ170" s="191">
        <f t="shared" si="114"/>
        <v>0</v>
      </c>
      <c r="DA170" s="188">
        <f t="shared" si="115"/>
        <v>1.2</v>
      </c>
      <c r="DB170" s="277"/>
      <c r="DC170" s="191">
        <f t="shared" si="116"/>
        <v>0</v>
      </c>
      <c r="DD170" s="188">
        <f t="shared" si="117"/>
        <v>0.4</v>
      </c>
      <c r="DE170" s="277"/>
      <c r="DF170" s="191">
        <f t="shared" si="118"/>
        <v>0</v>
      </c>
      <c r="DG170" s="245"/>
      <c r="DH170" s="188">
        <f t="shared" si="119"/>
        <v>4</v>
      </c>
      <c r="DI170" s="188">
        <f t="shared" si="120"/>
        <v>0</v>
      </c>
      <c r="DJ170" s="191">
        <f t="shared" si="121"/>
        <v>0</v>
      </c>
      <c r="DK170" s="286">
        <f t="shared" si="122"/>
        <v>4</v>
      </c>
      <c r="DL170" s="261">
        <v>166</v>
      </c>
      <c r="DM170" s="244">
        <f>+A170-DL170</f>
        <v>0</v>
      </c>
    </row>
    <row r="171" spans="1:117" ht="75" x14ac:dyDescent="0.35">
      <c r="A171" s="263">
        <v>167</v>
      </c>
      <c r="B171" s="102" t="s">
        <v>270</v>
      </c>
      <c r="C171" s="102" t="s">
        <v>195</v>
      </c>
      <c r="D171" s="102" t="s">
        <v>196</v>
      </c>
      <c r="E171" s="102" t="s">
        <v>562</v>
      </c>
      <c r="F171" s="102" t="s">
        <v>577</v>
      </c>
      <c r="G171" s="98" t="s">
        <v>578</v>
      </c>
      <c r="H171" s="98" t="s">
        <v>579</v>
      </c>
      <c r="I171" s="98" t="s">
        <v>103</v>
      </c>
      <c r="J171" s="98" t="s">
        <v>103</v>
      </c>
      <c r="K171" s="96" t="s">
        <v>104</v>
      </c>
      <c r="L171" s="96" t="s">
        <v>105</v>
      </c>
      <c r="M171" s="98" t="s">
        <v>106</v>
      </c>
      <c r="N171" s="98" t="s">
        <v>107</v>
      </c>
      <c r="O171" s="98" t="s">
        <v>108</v>
      </c>
      <c r="P171" s="241" t="s">
        <v>583</v>
      </c>
      <c r="Q171" s="98" t="s">
        <v>110</v>
      </c>
      <c r="R171" s="301">
        <v>4</v>
      </c>
      <c r="S171" s="99" t="s">
        <v>111</v>
      </c>
      <c r="T171" s="81">
        <v>0</v>
      </c>
      <c r="U171" s="81">
        <v>0</v>
      </c>
      <c r="V171" s="25">
        <v>0</v>
      </c>
      <c r="W171" s="81">
        <v>0</v>
      </c>
      <c r="X171" s="81">
        <v>0</v>
      </c>
      <c r="Y171" s="25" t="e">
        <f t="shared" si="1"/>
        <v>#DIV/0!</v>
      </c>
      <c r="Z171" s="81">
        <v>14</v>
      </c>
      <c r="AA171" s="81"/>
      <c r="AB171" s="25">
        <f t="shared" si="2"/>
        <v>0</v>
      </c>
      <c r="AC171" s="81">
        <v>15</v>
      </c>
      <c r="AD171" s="81"/>
      <c r="AE171" s="25">
        <f t="shared" si="3"/>
        <v>0</v>
      </c>
      <c r="AF171" s="140">
        <f t="shared" si="127"/>
        <v>4</v>
      </c>
      <c r="AG171" s="140">
        <f t="shared" si="128"/>
        <v>0</v>
      </c>
      <c r="AH171" s="138" t="e">
        <f t="shared" si="125"/>
        <v>#DIV/0!</v>
      </c>
      <c r="AI171" s="101">
        <v>46113</v>
      </c>
      <c r="AJ171" s="101">
        <v>46477</v>
      </c>
      <c r="AK171" s="102" t="s">
        <v>112</v>
      </c>
      <c r="AL171" s="102" t="s">
        <v>113</v>
      </c>
      <c r="AM171" s="103" t="s">
        <v>114</v>
      </c>
      <c r="AN171" s="104">
        <v>576000000</v>
      </c>
      <c r="AO171" s="104">
        <v>576000000</v>
      </c>
      <c r="AP171" s="104">
        <v>576000000</v>
      </c>
      <c r="AQ171" s="326">
        <v>0</v>
      </c>
      <c r="AR171" s="102" t="s">
        <v>584</v>
      </c>
      <c r="AS171" s="102" t="s">
        <v>112</v>
      </c>
      <c r="AT171" s="152" t="s">
        <v>509</v>
      </c>
      <c r="AU171" s="166" t="s">
        <v>2264</v>
      </c>
      <c r="AV171" s="247" t="s">
        <v>2234</v>
      </c>
      <c r="BA171" s="272"/>
      <c r="BB171" s="273"/>
      <c r="BC171" s="209" t="e">
        <f t="shared" si="99"/>
        <v>#DIV/0!</v>
      </c>
      <c r="BD171" s="272"/>
      <c r="BE171" s="273"/>
      <c r="BF171" s="209" t="e">
        <f t="shared" si="100"/>
        <v>#DIV/0!</v>
      </c>
      <c r="BG171" s="272"/>
      <c r="BH171" s="273"/>
      <c r="BI171" s="209" t="e">
        <f t="shared" si="101"/>
        <v>#DIV/0!</v>
      </c>
      <c r="BJ171" s="210">
        <f t="shared" si="102"/>
        <v>0</v>
      </c>
      <c r="BK171" s="211">
        <f t="shared" si="103"/>
        <v>0</v>
      </c>
      <c r="BL171" s="209" t="e">
        <f t="shared" si="104"/>
        <v>#DIV/0!</v>
      </c>
      <c r="BM171" s="272"/>
      <c r="BN171" s="273"/>
      <c r="BO171" s="209" t="e">
        <f t="shared" si="129"/>
        <v>#DIV/0!</v>
      </c>
      <c r="BP171" s="272"/>
      <c r="BQ171" s="273"/>
      <c r="BR171" s="209" t="e">
        <f t="shared" si="130"/>
        <v>#DIV/0!</v>
      </c>
      <c r="BS171" s="272"/>
      <c r="BT171" s="272"/>
      <c r="BU171" s="209" t="e">
        <f t="shared" si="131"/>
        <v>#DIV/0!</v>
      </c>
      <c r="BV171" s="210">
        <f t="shared" si="105"/>
        <v>0</v>
      </c>
      <c r="BW171" s="210">
        <f t="shared" si="106"/>
        <v>0</v>
      </c>
      <c r="BX171" s="209" t="e">
        <f t="shared" si="107"/>
        <v>#DIV/0!</v>
      </c>
      <c r="BY171" s="209">
        <f t="shared" si="108"/>
        <v>0</v>
      </c>
      <c r="BZ171" s="209">
        <f t="shared" si="109"/>
        <v>0</v>
      </c>
      <c r="CA171" s="212"/>
      <c r="CB171" s="245"/>
      <c r="CC171" s="183"/>
      <c r="CD171" s="184"/>
      <c r="CE171" s="185" t="e">
        <f t="shared" si="132"/>
        <v>#DIV/0!</v>
      </c>
      <c r="CF171" s="183"/>
      <c r="CG171" s="184"/>
      <c r="CH171" s="185" t="e">
        <f t="shared" si="133"/>
        <v>#DIV/0!</v>
      </c>
      <c r="CI171" s="189"/>
      <c r="CJ171" s="190"/>
      <c r="CK171" s="185" t="e">
        <f t="shared" si="134"/>
        <v>#DIV/0!</v>
      </c>
      <c r="CL171" s="187">
        <f t="shared" si="135"/>
        <v>0</v>
      </c>
      <c r="CM171" s="186">
        <f t="shared" si="136"/>
        <v>0</v>
      </c>
      <c r="CN171" s="185" t="e">
        <f t="shared" si="137"/>
        <v>#DIV/0!</v>
      </c>
      <c r="CO171" s="245"/>
      <c r="CP171" s="188">
        <f t="shared" si="138"/>
        <v>0</v>
      </c>
      <c r="CQ171" s="188">
        <f t="shared" si="139"/>
        <v>0</v>
      </c>
      <c r="CR171" s="191" t="e">
        <f t="shared" si="140"/>
        <v>#DIV/0!</v>
      </c>
      <c r="CS171" s="279">
        <f t="shared" si="110"/>
        <v>4</v>
      </c>
      <c r="CT171" s="245"/>
      <c r="CU171" s="188">
        <f t="shared" si="111"/>
        <v>1.2</v>
      </c>
      <c r="CV171" s="277"/>
      <c r="CW171" s="191">
        <f t="shared" si="112"/>
        <v>0</v>
      </c>
      <c r="CX171" s="188">
        <f t="shared" si="113"/>
        <v>1.2</v>
      </c>
      <c r="CY171" s="277"/>
      <c r="CZ171" s="191">
        <f t="shared" si="114"/>
        <v>0</v>
      </c>
      <c r="DA171" s="188">
        <f t="shared" si="115"/>
        <v>1.2</v>
      </c>
      <c r="DB171" s="277"/>
      <c r="DC171" s="191">
        <f t="shared" si="116"/>
        <v>0</v>
      </c>
      <c r="DD171" s="188">
        <f t="shared" si="117"/>
        <v>0.4</v>
      </c>
      <c r="DE171" s="277"/>
      <c r="DF171" s="191">
        <f t="shared" si="118"/>
        <v>0</v>
      </c>
      <c r="DG171" s="245"/>
      <c r="DH171" s="188">
        <f t="shared" si="119"/>
        <v>4</v>
      </c>
      <c r="DI171" s="188">
        <f t="shared" si="120"/>
        <v>0</v>
      </c>
      <c r="DJ171" s="191">
        <f t="shared" si="121"/>
        <v>0</v>
      </c>
      <c r="DK171" s="286">
        <f t="shared" si="122"/>
        <v>4</v>
      </c>
      <c r="DL171" s="261">
        <v>167</v>
      </c>
      <c r="DM171" s="244">
        <f>+A171-DL171</f>
        <v>0</v>
      </c>
    </row>
    <row r="172" spans="1:117" ht="50" x14ac:dyDescent="0.35">
      <c r="A172" s="263">
        <v>168</v>
      </c>
      <c r="B172" s="102" t="s">
        <v>270</v>
      </c>
      <c r="C172" s="102" t="s">
        <v>195</v>
      </c>
      <c r="D172" s="102" t="s">
        <v>196</v>
      </c>
      <c r="E172" s="102" t="s">
        <v>562</v>
      </c>
      <c r="F172" s="102" t="s">
        <v>577</v>
      </c>
      <c r="G172" s="98" t="s">
        <v>578</v>
      </c>
      <c r="H172" s="98" t="s">
        <v>579</v>
      </c>
      <c r="I172" s="98" t="s">
        <v>423</v>
      </c>
      <c r="J172" s="98" t="s">
        <v>423</v>
      </c>
      <c r="K172" s="96" t="s">
        <v>104</v>
      </c>
      <c r="L172" s="96" t="s">
        <v>105</v>
      </c>
      <c r="M172" s="98" t="s">
        <v>106</v>
      </c>
      <c r="N172" s="98" t="s">
        <v>107</v>
      </c>
      <c r="O172" s="98" t="s">
        <v>108</v>
      </c>
      <c r="P172" s="241" t="s">
        <v>585</v>
      </c>
      <c r="Q172" s="98" t="s">
        <v>110</v>
      </c>
      <c r="R172" s="301">
        <v>4</v>
      </c>
      <c r="S172" s="99" t="s">
        <v>111</v>
      </c>
      <c r="T172" s="81">
        <v>0</v>
      </c>
      <c r="U172" s="81">
        <v>0</v>
      </c>
      <c r="V172" s="25">
        <v>0</v>
      </c>
      <c r="W172" s="81">
        <v>0</v>
      </c>
      <c r="X172" s="81">
        <v>0</v>
      </c>
      <c r="Y172" s="25" t="e">
        <f t="shared" si="1"/>
        <v>#DIV/0!</v>
      </c>
      <c r="Z172" s="81">
        <v>2</v>
      </c>
      <c r="AA172" s="81"/>
      <c r="AB172" s="25">
        <f t="shared" si="2"/>
        <v>0</v>
      </c>
      <c r="AC172" s="81">
        <v>2</v>
      </c>
      <c r="AD172" s="81"/>
      <c r="AE172" s="25">
        <f t="shared" si="3"/>
        <v>0</v>
      </c>
      <c r="AF172" s="140">
        <f t="shared" si="127"/>
        <v>4</v>
      </c>
      <c r="AG172" s="140">
        <f t="shared" si="128"/>
        <v>0</v>
      </c>
      <c r="AH172" s="138" t="e">
        <f t="shared" si="125"/>
        <v>#DIV/0!</v>
      </c>
      <c r="AI172" s="101">
        <v>46113</v>
      </c>
      <c r="AJ172" s="101">
        <v>46477</v>
      </c>
      <c r="AK172" s="102" t="s">
        <v>112</v>
      </c>
      <c r="AL172" s="102" t="s">
        <v>113</v>
      </c>
      <c r="AM172" s="103" t="s">
        <v>114</v>
      </c>
      <c r="AN172" s="104">
        <v>18000000</v>
      </c>
      <c r="AO172" s="104">
        <v>18000000</v>
      </c>
      <c r="AP172" s="104">
        <v>18000000</v>
      </c>
      <c r="AQ172" s="326">
        <v>0</v>
      </c>
      <c r="AR172" s="102" t="s">
        <v>207</v>
      </c>
      <c r="AS172" s="102" t="s">
        <v>112</v>
      </c>
      <c r="AT172" s="152" t="s">
        <v>509</v>
      </c>
      <c r="AU172" s="166" t="s">
        <v>2264</v>
      </c>
      <c r="AV172" s="247" t="s">
        <v>2234</v>
      </c>
      <c r="BA172" s="272"/>
      <c r="BB172" s="273"/>
      <c r="BC172" s="209" t="e">
        <f t="shared" si="99"/>
        <v>#DIV/0!</v>
      </c>
      <c r="BD172" s="272"/>
      <c r="BE172" s="273"/>
      <c r="BF172" s="209" t="e">
        <f t="shared" si="100"/>
        <v>#DIV/0!</v>
      </c>
      <c r="BG172" s="272"/>
      <c r="BH172" s="273"/>
      <c r="BI172" s="209" t="e">
        <f t="shared" si="101"/>
        <v>#DIV/0!</v>
      </c>
      <c r="BJ172" s="210">
        <f t="shared" si="102"/>
        <v>0</v>
      </c>
      <c r="BK172" s="211">
        <f t="shared" si="103"/>
        <v>0</v>
      </c>
      <c r="BL172" s="209" t="e">
        <f t="shared" si="104"/>
        <v>#DIV/0!</v>
      </c>
      <c r="BM172" s="272"/>
      <c r="BN172" s="273"/>
      <c r="BO172" s="209" t="e">
        <f t="shared" si="129"/>
        <v>#DIV/0!</v>
      </c>
      <c r="BP172" s="272"/>
      <c r="BQ172" s="273"/>
      <c r="BR172" s="209" t="e">
        <f t="shared" si="130"/>
        <v>#DIV/0!</v>
      </c>
      <c r="BS172" s="272"/>
      <c r="BT172" s="272"/>
      <c r="BU172" s="209" t="e">
        <f t="shared" si="131"/>
        <v>#DIV/0!</v>
      </c>
      <c r="BV172" s="210">
        <f t="shared" si="105"/>
        <v>0</v>
      </c>
      <c r="BW172" s="210">
        <f t="shared" si="106"/>
        <v>0</v>
      </c>
      <c r="BX172" s="209" t="e">
        <f t="shared" si="107"/>
        <v>#DIV/0!</v>
      </c>
      <c r="BY172" s="209">
        <f t="shared" si="108"/>
        <v>0</v>
      </c>
      <c r="BZ172" s="209">
        <f t="shared" si="109"/>
        <v>0</v>
      </c>
      <c r="CA172" s="212"/>
      <c r="CB172" s="245"/>
      <c r="CC172" s="183"/>
      <c r="CD172" s="184"/>
      <c r="CE172" s="185" t="e">
        <f t="shared" si="132"/>
        <v>#DIV/0!</v>
      </c>
      <c r="CF172" s="183"/>
      <c r="CG172" s="184"/>
      <c r="CH172" s="185" t="e">
        <f t="shared" si="133"/>
        <v>#DIV/0!</v>
      </c>
      <c r="CI172" s="189"/>
      <c r="CJ172" s="190"/>
      <c r="CK172" s="185" t="e">
        <f t="shared" si="134"/>
        <v>#DIV/0!</v>
      </c>
      <c r="CL172" s="187">
        <f t="shared" si="135"/>
        <v>0</v>
      </c>
      <c r="CM172" s="186">
        <f t="shared" si="136"/>
        <v>0</v>
      </c>
      <c r="CN172" s="185" t="e">
        <f t="shared" si="137"/>
        <v>#DIV/0!</v>
      </c>
      <c r="CO172" s="245"/>
      <c r="CP172" s="188">
        <f t="shared" si="138"/>
        <v>0</v>
      </c>
      <c r="CQ172" s="188">
        <f t="shared" si="139"/>
        <v>0</v>
      </c>
      <c r="CR172" s="191" t="e">
        <f t="shared" si="140"/>
        <v>#DIV/0!</v>
      </c>
      <c r="CS172" s="279">
        <f t="shared" si="110"/>
        <v>4</v>
      </c>
      <c r="CT172" s="245"/>
      <c r="CU172" s="188">
        <f t="shared" si="111"/>
        <v>1.2</v>
      </c>
      <c r="CV172" s="277"/>
      <c r="CW172" s="191">
        <f t="shared" si="112"/>
        <v>0</v>
      </c>
      <c r="CX172" s="188">
        <f t="shared" si="113"/>
        <v>1.2</v>
      </c>
      <c r="CY172" s="277"/>
      <c r="CZ172" s="191">
        <f t="shared" si="114"/>
        <v>0</v>
      </c>
      <c r="DA172" s="188">
        <f t="shared" si="115"/>
        <v>1.2</v>
      </c>
      <c r="DB172" s="277"/>
      <c r="DC172" s="191">
        <f t="shared" si="116"/>
        <v>0</v>
      </c>
      <c r="DD172" s="188">
        <f t="shared" si="117"/>
        <v>0.4</v>
      </c>
      <c r="DE172" s="277"/>
      <c r="DF172" s="191">
        <f t="shared" si="118"/>
        <v>0</v>
      </c>
      <c r="DG172" s="245"/>
      <c r="DH172" s="188">
        <f t="shared" si="119"/>
        <v>4</v>
      </c>
      <c r="DI172" s="188">
        <f t="shared" si="120"/>
        <v>0</v>
      </c>
      <c r="DJ172" s="191">
        <f t="shared" si="121"/>
        <v>0</v>
      </c>
      <c r="DK172" s="286">
        <f t="shared" si="122"/>
        <v>4</v>
      </c>
      <c r="DL172" s="261">
        <v>168</v>
      </c>
      <c r="DM172" s="244">
        <f>+A172-DL172</f>
        <v>0</v>
      </c>
    </row>
    <row r="173" spans="1:117" ht="50" x14ac:dyDescent="0.35">
      <c r="A173" s="263">
        <v>169</v>
      </c>
      <c r="B173" s="102" t="s">
        <v>270</v>
      </c>
      <c r="C173" s="102" t="s">
        <v>195</v>
      </c>
      <c r="D173" s="102" t="s">
        <v>196</v>
      </c>
      <c r="E173" s="102" t="s">
        <v>562</v>
      </c>
      <c r="F173" s="102" t="s">
        <v>577</v>
      </c>
      <c r="G173" s="98" t="s">
        <v>578</v>
      </c>
      <c r="H173" s="98" t="s">
        <v>579</v>
      </c>
      <c r="I173" s="98" t="s">
        <v>439</v>
      </c>
      <c r="J173" s="98" t="s">
        <v>439</v>
      </c>
      <c r="K173" s="96" t="s">
        <v>104</v>
      </c>
      <c r="L173" s="96" t="s">
        <v>105</v>
      </c>
      <c r="M173" s="98" t="s">
        <v>106</v>
      </c>
      <c r="N173" s="98" t="s">
        <v>107</v>
      </c>
      <c r="O173" s="98" t="s">
        <v>108</v>
      </c>
      <c r="P173" s="241" t="s">
        <v>585</v>
      </c>
      <c r="Q173" s="98" t="s">
        <v>110</v>
      </c>
      <c r="R173" s="301">
        <v>4</v>
      </c>
      <c r="S173" s="99" t="s">
        <v>111</v>
      </c>
      <c r="T173" s="81">
        <v>0</v>
      </c>
      <c r="U173" s="81">
        <v>0</v>
      </c>
      <c r="V173" s="25">
        <v>0</v>
      </c>
      <c r="W173" s="81">
        <v>0</v>
      </c>
      <c r="X173" s="81">
        <v>0</v>
      </c>
      <c r="Y173" s="25" t="e">
        <f t="shared" si="1"/>
        <v>#DIV/0!</v>
      </c>
      <c r="Z173" s="81">
        <v>2</v>
      </c>
      <c r="AA173" s="81"/>
      <c r="AB173" s="25">
        <f t="shared" si="2"/>
        <v>0</v>
      </c>
      <c r="AC173" s="81">
        <v>2</v>
      </c>
      <c r="AD173" s="81"/>
      <c r="AE173" s="25">
        <f t="shared" si="3"/>
        <v>0</v>
      </c>
      <c r="AF173" s="140">
        <f t="shared" si="127"/>
        <v>4</v>
      </c>
      <c r="AG173" s="140">
        <f t="shared" si="128"/>
        <v>0</v>
      </c>
      <c r="AH173" s="138" t="e">
        <f t="shared" si="125"/>
        <v>#DIV/0!</v>
      </c>
      <c r="AI173" s="101">
        <v>46113</v>
      </c>
      <c r="AJ173" s="101">
        <v>46477</v>
      </c>
      <c r="AK173" s="102" t="s">
        <v>112</v>
      </c>
      <c r="AL173" s="102" t="s">
        <v>113</v>
      </c>
      <c r="AM173" s="103" t="s">
        <v>114</v>
      </c>
      <c r="AN173" s="104">
        <v>80000000</v>
      </c>
      <c r="AO173" s="104">
        <v>80000000</v>
      </c>
      <c r="AP173" s="104">
        <v>80000000</v>
      </c>
      <c r="AQ173" s="326">
        <v>0</v>
      </c>
      <c r="AR173" s="102" t="s">
        <v>207</v>
      </c>
      <c r="AS173" s="102" t="s">
        <v>112</v>
      </c>
      <c r="AT173" s="152" t="s">
        <v>509</v>
      </c>
      <c r="AU173" s="166" t="s">
        <v>2264</v>
      </c>
      <c r="AV173" s="247" t="s">
        <v>2234</v>
      </c>
      <c r="BA173" s="272"/>
      <c r="BB173" s="273"/>
      <c r="BC173" s="209" t="e">
        <f t="shared" si="99"/>
        <v>#DIV/0!</v>
      </c>
      <c r="BD173" s="272"/>
      <c r="BE173" s="273"/>
      <c r="BF173" s="209" t="e">
        <f t="shared" si="100"/>
        <v>#DIV/0!</v>
      </c>
      <c r="BG173" s="272"/>
      <c r="BH173" s="273"/>
      <c r="BI173" s="209" t="e">
        <f t="shared" si="101"/>
        <v>#DIV/0!</v>
      </c>
      <c r="BJ173" s="210">
        <f t="shared" si="102"/>
        <v>0</v>
      </c>
      <c r="BK173" s="211">
        <f t="shared" si="103"/>
        <v>0</v>
      </c>
      <c r="BL173" s="209" t="e">
        <f t="shared" si="104"/>
        <v>#DIV/0!</v>
      </c>
      <c r="BM173" s="272"/>
      <c r="BN173" s="273"/>
      <c r="BO173" s="209" t="e">
        <f t="shared" si="129"/>
        <v>#DIV/0!</v>
      </c>
      <c r="BP173" s="272"/>
      <c r="BQ173" s="273"/>
      <c r="BR173" s="209" t="e">
        <f t="shared" si="130"/>
        <v>#DIV/0!</v>
      </c>
      <c r="BS173" s="272"/>
      <c r="BT173" s="272"/>
      <c r="BU173" s="209" t="e">
        <f t="shared" si="131"/>
        <v>#DIV/0!</v>
      </c>
      <c r="BV173" s="210">
        <f t="shared" si="105"/>
        <v>0</v>
      </c>
      <c r="BW173" s="210">
        <f t="shared" si="106"/>
        <v>0</v>
      </c>
      <c r="BX173" s="209" t="e">
        <f t="shared" si="107"/>
        <v>#DIV/0!</v>
      </c>
      <c r="BY173" s="209">
        <f t="shared" si="108"/>
        <v>0</v>
      </c>
      <c r="BZ173" s="209">
        <f t="shared" si="109"/>
        <v>0</v>
      </c>
      <c r="CA173" s="212"/>
      <c r="CB173" s="245"/>
      <c r="CC173" s="183"/>
      <c r="CD173" s="184"/>
      <c r="CE173" s="185" t="e">
        <f t="shared" si="132"/>
        <v>#DIV/0!</v>
      </c>
      <c r="CF173" s="183"/>
      <c r="CG173" s="184"/>
      <c r="CH173" s="185" t="e">
        <f t="shared" si="133"/>
        <v>#DIV/0!</v>
      </c>
      <c r="CI173" s="189"/>
      <c r="CJ173" s="190"/>
      <c r="CK173" s="185" t="e">
        <f t="shared" si="134"/>
        <v>#DIV/0!</v>
      </c>
      <c r="CL173" s="187">
        <f t="shared" si="135"/>
        <v>0</v>
      </c>
      <c r="CM173" s="186">
        <f t="shared" si="136"/>
        <v>0</v>
      </c>
      <c r="CN173" s="185" t="e">
        <f t="shared" si="137"/>
        <v>#DIV/0!</v>
      </c>
      <c r="CO173" s="245"/>
      <c r="CP173" s="188">
        <f t="shared" si="138"/>
        <v>0</v>
      </c>
      <c r="CQ173" s="188">
        <f t="shared" si="139"/>
        <v>0</v>
      </c>
      <c r="CR173" s="191" t="e">
        <f t="shared" si="140"/>
        <v>#DIV/0!</v>
      </c>
      <c r="CS173" s="279">
        <f t="shared" si="110"/>
        <v>4</v>
      </c>
      <c r="CT173" s="245"/>
      <c r="CU173" s="188">
        <f t="shared" si="111"/>
        <v>1.2</v>
      </c>
      <c r="CV173" s="277"/>
      <c r="CW173" s="191">
        <f t="shared" si="112"/>
        <v>0</v>
      </c>
      <c r="CX173" s="188">
        <f t="shared" si="113"/>
        <v>1.2</v>
      </c>
      <c r="CY173" s="277"/>
      <c r="CZ173" s="191">
        <f t="shared" si="114"/>
        <v>0</v>
      </c>
      <c r="DA173" s="188">
        <f t="shared" si="115"/>
        <v>1.2</v>
      </c>
      <c r="DB173" s="277"/>
      <c r="DC173" s="191">
        <f t="shared" si="116"/>
        <v>0</v>
      </c>
      <c r="DD173" s="188">
        <f t="shared" si="117"/>
        <v>0.4</v>
      </c>
      <c r="DE173" s="277"/>
      <c r="DF173" s="191">
        <f t="shared" si="118"/>
        <v>0</v>
      </c>
      <c r="DG173" s="245"/>
      <c r="DH173" s="188">
        <f t="shared" si="119"/>
        <v>4</v>
      </c>
      <c r="DI173" s="188">
        <f t="shared" si="120"/>
        <v>0</v>
      </c>
      <c r="DJ173" s="191">
        <f t="shared" si="121"/>
        <v>0</v>
      </c>
      <c r="DK173" s="286">
        <f t="shared" si="122"/>
        <v>4</v>
      </c>
      <c r="DL173" s="261">
        <v>169</v>
      </c>
      <c r="DM173" s="244">
        <f>+A173-DL173</f>
        <v>0</v>
      </c>
    </row>
    <row r="174" spans="1:117" x14ac:dyDescent="0.35">
      <c r="A174" s="263">
        <v>170</v>
      </c>
      <c r="B174" s="102" t="s">
        <v>270</v>
      </c>
      <c r="C174" s="102" t="s">
        <v>133</v>
      </c>
      <c r="D174" s="102" t="s">
        <v>119</v>
      </c>
      <c r="E174" s="102" t="s">
        <v>562</v>
      </c>
      <c r="F174" s="102" t="s">
        <v>566</v>
      </c>
      <c r="G174" s="98" t="s">
        <v>549</v>
      </c>
      <c r="H174" s="98" t="s">
        <v>550</v>
      </c>
      <c r="I174" s="98" t="s">
        <v>285</v>
      </c>
      <c r="J174" s="98" t="s">
        <v>285</v>
      </c>
      <c r="K174" s="96" t="s">
        <v>104</v>
      </c>
      <c r="L174" s="96" t="s">
        <v>105</v>
      </c>
      <c r="M174" s="98" t="s">
        <v>106</v>
      </c>
      <c r="N174" s="98" t="s">
        <v>567</v>
      </c>
      <c r="O174" s="98" t="s">
        <v>127</v>
      </c>
      <c r="P174" s="259" t="s">
        <v>586</v>
      </c>
      <c r="Q174" s="98" t="s">
        <v>129</v>
      </c>
      <c r="R174" s="301">
        <v>6</v>
      </c>
      <c r="S174" s="99" t="s">
        <v>111</v>
      </c>
      <c r="T174" s="81">
        <v>0</v>
      </c>
      <c r="U174" s="81">
        <v>0</v>
      </c>
      <c r="V174" s="25">
        <v>0</v>
      </c>
      <c r="W174" s="81">
        <v>0</v>
      </c>
      <c r="X174" s="81">
        <v>0</v>
      </c>
      <c r="Y174" s="25" t="e">
        <f t="shared" si="1"/>
        <v>#DIV/0!</v>
      </c>
      <c r="Z174" s="81">
        <v>2</v>
      </c>
      <c r="AA174" s="81"/>
      <c r="AB174" s="25">
        <f t="shared" si="2"/>
        <v>0</v>
      </c>
      <c r="AC174" s="81">
        <v>2</v>
      </c>
      <c r="AD174" s="81"/>
      <c r="AE174" s="25">
        <f t="shared" si="3"/>
        <v>0</v>
      </c>
      <c r="AF174" s="140">
        <f t="shared" si="127"/>
        <v>6</v>
      </c>
      <c r="AG174" s="140">
        <f t="shared" si="128"/>
        <v>0</v>
      </c>
      <c r="AH174" s="138" t="e">
        <f t="shared" si="125"/>
        <v>#DIV/0!</v>
      </c>
      <c r="AI174" s="101">
        <v>46113</v>
      </c>
      <c r="AJ174" s="101">
        <v>46477</v>
      </c>
      <c r="AK174" s="102" t="s">
        <v>112</v>
      </c>
      <c r="AL174" s="102" t="s">
        <v>113</v>
      </c>
      <c r="AM174" s="103" t="s">
        <v>114</v>
      </c>
      <c r="AN174" s="104">
        <v>60000000</v>
      </c>
      <c r="AO174" s="104">
        <v>60000000</v>
      </c>
      <c r="AP174" s="104">
        <v>60000000</v>
      </c>
      <c r="AQ174" s="326">
        <v>0</v>
      </c>
      <c r="AR174" s="102" t="s">
        <v>207</v>
      </c>
      <c r="AS174" s="102" t="s">
        <v>112</v>
      </c>
      <c r="AT174" s="152" t="s">
        <v>509</v>
      </c>
      <c r="AU174" s="166" t="s">
        <v>2264</v>
      </c>
      <c r="AV174" s="247" t="s">
        <v>2234</v>
      </c>
      <c r="BA174" s="272"/>
      <c r="BB174" s="273"/>
      <c r="BC174" s="209" t="e">
        <f t="shared" si="99"/>
        <v>#DIV/0!</v>
      </c>
      <c r="BD174" s="272"/>
      <c r="BE174" s="273"/>
      <c r="BF174" s="209" t="e">
        <f t="shared" si="100"/>
        <v>#DIV/0!</v>
      </c>
      <c r="BG174" s="272"/>
      <c r="BH174" s="273"/>
      <c r="BI174" s="209" t="e">
        <f t="shared" si="101"/>
        <v>#DIV/0!</v>
      </c>
      <c r="BJ174" s="210">
        <f t="shared" si="102"/>
        <v>0</v>
      </c>
      <c r="BK174" s="211">
        <f t="shared" si="103"/>
        <v>0</v>
      </c>
      <c r="BL174" s="209" t="e">
        <f t="shared" si="104"/>
        <v>#DIV/0!</v>
      </c>
      <c r="BM174" s="272"/>
      <c r="BN174" s="273"/>
      <c r="BO174" s="209" t="e">
        <f t="shared" si="129"/>
        <v>#DIV/0!</v>
      </c>
      <c r="BP174" s="272"/>
      <c r="BQ174" s="273"/>
      <c r="BR174" s="209" t="e">
        <f t="shared" si="130"/>
        <v>#DIV/0!</v>
      </c>
      <c r="BS174" s="272"/>
      <c r="BT174" s="272"/>
      <c r="BU174" s="209" t="e">
        <f t="shared" si="131"/>
        <v>#DIV/0!</v>
      </c>
      <c r="BV174" s="210">
        <f t="shared" si="105"/>
        <v>0</v>
      </c>
      <c r="BW174" s="210">
        <f t="shared" si="106"/>
        <v>0</v>
      </c>
      <c r="BX174" s="209" t="e">
        <f t="shared" si="107"/>
        <v>#DIV/0!</v>
      </c>
      <c r="BY174" s="209">
        <f t="shared" si="108"/>
        <v>0</v>
      </c>
      <c r="BZ174" s="209">
        <f t="shared" si="109"/>
        <v>0</v>
      </c>
      <c r="CA174" s="212"/>
      <c r="CB174" s="245"/>
      <c r="CC174" s="183"/>
      <c r="CD174" s="184"/>
      <c r="CE174" s="185" t="e">
        <f t="shared" si="132"/>
        <v>#DIV/0!</v>
      </c>
      <c r="CF174" s="183"/>
      <c r="CG174" s="184"/>
      <c r="CH174" s="185" t="e">
        <f t="shared" si="133"/>
        <v>#DIV/0!</v>
      </c>
      <c r="CI174" s="189"/>
      <c r="CJ174" s="190"/>
      <c r="CK174" s="185" t="e">
        <f t="shared" si="134"/>
        <v>#DIV/0!</v>
      </c>
      <c r="CL174" s="187">
        <f t="shared" si="135"/>
        <v>0</v>
      </c>
      <c r="CM174" s="186">
        <f t="shared" si="136"/>
        <v>0</v>
      </c>
      <c r="CN174" s="185" t="e">
        <f t="shared" si="137"/>
        <v>#DIV/0!</v>
      </c>
      <c r="CO174" s="245"/>
      <c r="CP174" s="188">
        <f t="shared" si="138"/>
        <v>0</v>
      </c>
      <c r="CQ174" s="188">
        <f t="shared" si="139"/>
        <v>0</v>
      </c>
      <c r="CR174" s="191" t="e">
        <f t="shared" si="140"/>
        <v>#DIV/0!</v>
      </c>
      <c r="CS174" s="279">
        <f t="shared" si="110"/>
        <v>6</v>
      </c>
      <c r="CT174" s="245"/>
      <c r="CU174" s="188">
        <f t="shared" si="111"/>
        <v>1.7999999999999998</v>
      </c>
      <c r="CV174" s="277"/>
      <c r="CW174" s="191">
        <f t="shared" si="112"/>
        <v>0</v>
      </c>
      <c r="CX174" s="188">
        <f t="shared" si="113"/>
        <v>1.7999999999999998</v>
      </c>
      <c r="CY174" s="277"/>
      <c r="CZ174" s="191">
        <f t="shared" si="114"/>
        <v>0</v>
      </c>
      <c r="DA174" s="188">
        <f t="shared" si="115"/>
        <v>1.7999999999999998</v>
      </c>
      <c r="DB174" s="277"/>
      <c r="DC174" s="191">
        <f t="shared" si="116"/>
        <v>0</v>
      </c>
      <c r="DD174" s="188">
        <f t="shared" si="117"/>
        <v>0.60000000000000009</v>
      </c>
      <c r="DE174" s="277"/>
      <c r="DF174" s="191">
        <f t="shared" si="118"/>
        <v>0</v>
      </c>
      <c r="DG174" s="245"/>
      <c r="DH174" s="188">
        <f t="shared" si="119"/>
        <v>6</v>
      </c>
      <c r="DI174" s="188">
        <f t="shared" si="120"/>
        <v>0</v>
      </c>
      <c r="DJ174" s="191">
        <f t="shared" si="121"/>
        <v>0</v>
      </c>
      <c r="DK174" s="286">
        <f t="shared" si="122"/>
        <v>6</v>
      </c>
      <c r="DL174" s="261">
        <v>170</v>
      </c>
      <c r="DM174" s="244">
        <f>+A174-DL174</f>
        <v>0</v>
      </c>
    </row>
    <row r="175" spans="1:117" ht="37.5" x14ac:dyDescent="0.35">
      <c r="A175" s="263">
        <v>171</v>
      </c>
      <c r="B175" s="102" t="s">
        <v>270</v>
      </c>
      <c r="C175" s="102" t="s">
        <v>133</v>
      </c>
      <c r="D175" s="102" t="s">
        <v>119</v>
      </c>
      <c r="E175" s="102" t="s">
        <v>134</v>
      </c>
      <c r="F175" s="102" t="s">
        <v>587</v>
      </c>
      <c r="G175" s="98" t="s">
        <v>588</v>
      </c>
      <c r="H175" s="98" t="s">
        <v>589</v>
      </c>
      <c r="I175" s="98" t="s">
        <v>588</v>
      </c>
      <c r="J175" s="98" t="s">
        <v>588</v>
      </c>
      <c r="K175" s="96" t="s">
        <v>104</v>
      </c>
      <c r="L175" s="96" t="s">
        <v>105</v>
      </c>
      <c r="M175" s="98" t="s">
        <v>106</v>
      </c>
      <c r="N175" s="98" t="s">
        <v>590</v>
      </c>
      <c r="O175" s="98" t="s">
        <v>127</v>
      </c>
      <c r="P175" s="259" t="s">
        <v>591</v>
      </c>
      <c r="Q175" s="98" t="s">
        <v>129</v>
      </c>
      <c r="R175" s="301">
        <v>1</v>
      </c>
      <c r="S175" s="99" t="s">
        <v>111</v>
      </c>
      <c r="T175" s="81">
        <v>0</v>
      </c>
      <c r="U175" s="81"/>
      <c r="V175" s="25" t="e">
        <f t="shared" ref="V175:V281" si="143">U175/T175*100</f>
        <v>#DIV/0!</v>
      </c>
      <c r="W175" s="81">
        <v>0</v>
      </c>
      <c r="X175" s="81"/>
      <c r="Y175" s="25" t="e">
        <f t="shared" si="1"/>
        <v>#DIV/0!</v>
      </c>
      <c r="Z175" s="81">
        <v>2</v>
      </c>
      <c r="AA175" s="81"/>
      <c r="AB175" s="25">
        <f t="shared" si="2"/>
        <v>0</v>
      </c>
      <c r="AC175" s="81">
        <v>2</v>
      </c>
      <c r="AD175" s="81"/>
      <c r="AE175" s="25">
        <f t="shared" si="3"/>
        <v>0</v>
      </c>
      <c r="AF175" s="140">
        <f t="shared" si="127"/>
        <v>1</v>
      </c>
      <c r="AG175" s="140">
        <f t="shared" si="128"/>
        <v>0</v>
      </c>
      <c r="AH175" s="138">
        <f t="shared" si="125"/>
        <v>0</v>
      </c>
      <c r="AI175" s="101">
        <v>46113</v>
      </c>
      <c r="AJ175" s="101">
        <v>46477</v>
      </c>
      <c r="AK175" s="102" t="s">
        <v>112</v>
      </c>
      <c r="AL175" s="102" t="s">
        <v>113</v>
      </c>
      <c r="AM175" s="103" t="s">
        <v>114</v>
      </c>
      <c r="AN175" s="104">
        <v>30000000</v>
      </c>
      <c r="AO175" s="104">
        <v>30000000</v>
      </c>
      <c r="AP175" s="104">
        <v>30000000</v>
      </c>
      <c r="AQ175" s="326">
        <v>0</v>
      </c>
      <c r="AR175" s="102" t="s">
        <v>207</v>
      </c>
      <c r="AS175" s="102" t="s">
        <v>112</v>
      </c>
      <c r="AT175" s="152" t="s">
        <v>509</v>
      </c>
      <c r="AU175" s="166" t="s">
        <v>2264</v>
      </c>
      <c r="AV175" s="247" t="s">
        <v>2234</v>
      </c>
      <c r="BA175" s="272"/>
      <c r="BB175" s="273"/>
      <c r="BC175" s="209" t="e">
        <f t="shared" si="99"/>
        <v>#DIV/0!</v>
      </c>
      <c r="BD175" s="272"/>
      <c r="BE175" s="273"/>
      <c r="BF175" s="209" t="e">
        <f t="shared" si="100"/>
        <v>#DIV/0!</v>
      </c>
      <c r="BG175" s="272"/>
      <c r="BH175" s="273"/>
      <c r="BI175" s="209" t="e">
        <f t="shared" si="101"/>
        <v>#DIV/0!</v>
      </c>
      <c r="BJ175" s="210">
        <f t="shared" si="102"/>
        <v>0</v>
      </c>
      <c r="BK175" s="211">
        <f t="shared" si="103"/>
        <v>0</v>
      </c>
      <c r="BL175" s="209" t="e">
        <f t="shared" si="104"/>
        <v>#DIV/0!</v>
      </c>
      <c r="BM175" s="272"/>
      <c r="BN175" s="273"/>
      <c r="BO175" s="209" t="e">
        <f t="shared" si="129"/>
        <v>#DIV/0!</v>
      </c>
      <c r="BP175" s="272"/>
      <c r="BQ175" s="273"/>
      <c r="BR175" s="209" t="e">
        <f t="shared" si="130"/>
        <v>#DIV/0!</v>
      </c>
      <c r="BS175" s="272"/>
      <c r="BT175" s="272"/>
      <c r="BU175" s="209" t="e">
        <f t="shared" si="131"/>
        <v>#DIV/0!</v>
      </c>
      <c r="BV175" s="210">
        <f t="shared" si="105"/>
        <v>0</v>
      </c>
      <c r="BW175" s="210">
        <f t="shared" si="106"/>
        <v>0</v>
      </c>
      <c r="BX175" s="209" t="e">
        <f t="shared" si="107"/>
        <v>#DIV/0!</v>
      </c>
      <c r="BY175" s="209">
        <f t="shared" si="108"/>
        <v>0</v>
      </c>
      <c r="BZ175" s="209">
        <f t="shared" si="109"/>
        <v>0</v>
      </c>
      <c r="CA175" s="212"/>
      <c r="CB175" s="245"/>
      <c r="CC175" s="183"/>
      <c r="CD175" s="184"/>
      <c r="CE175" s="185" t="e">
        <f t="shared" si="132"/>
        <v>#DIV/0!</v>
      </c>
      <c r="CF175" s="183"/>
      <c r="CG175" s="184"/>
      <c r="CH175" s="185" t="e">
        <f t="shared" si="133"/>
        <v>#DIV/0!</v>
      </c>
      <c r="CI175" s="189"/>
      <c r="CJ175" s="190"/>
      <c r="CK175" s="185" t="e">
        <f t="shared" si="134"/>
        <v>#DIV/0!</v>
      </c>
      <c r="CL175" s="187">
        <f t="shared" si="135"/>
        <v>0</v>
      </c>
      <c r="CM175" s="186">
        <f t="shared" si="136"/>
        <v>0</v>
      </c>
      <c r="CN175" s="185" t="e">
        <f t="shared" si="137"/>
        <v>#DIV/0!</v>
      </c>
      <c r="CO175" s="245"/>
      <c r="CP175" s="188">
        <f t="shared" si="138"/>
        <v>0</v>
      </c>
      <c r="CQ175" s="188">
        <f t="shared" si="139"/>
        <v>0</v>
      </c>
      <c r="CR175" s="191" t="e">
        <f t="shared" si="140"/>
        <v>#DIV/0!</v>
      </c>
      <c r="CS175" s="279">
        <f t="shared" si="110"/>
        <v>1</v>
      </c>
      <c r="CT175" s="245"/>
      <c r="CU175" s="188">
        <f t="shared" si="111"/>
        <v>0.3</v>
      </c>
      <c r="CV175" s="277"/>
      <c r="CW175" s="191">
        <f t="shared" si="112"/>
        <v>0</v>
      </c>
      <c r="CX175" s="188">
        <f t="shared" si="113"/>
        <v>0.3</v>
      </c>
      <c r="CY175" s="277"/>
      <c r="CZ175" s="191">
        <f t="shared" si="114"/>
        <v>0</v>
      </c>
      <c r="DA175" s="188">
        <f t="shared" si="115"/>
        <v>0.3</v>
      </c>
      <c r="DB175" s="277"/>
      <c r="DC175" s="191">
        <f t="shared" si="116"/>
        <v>0</v>
      </c>
      <c r="DD175" s="188">
        <f t="shared" si="117"/>
        <v>0.1</v>
      </c>
      <c r="DE175" s="277"/>
      <c r="DF175" s="191">
        <f t="shared" si="118"/>
        <v>0</v>
      </c>
      <c r="DG175" s="245"/>
      <c r="DH175" s="188">
        <f t="shared" si="119"/>
        <v>1</v>
      </c>
      <c r="DI175" s="188">
        <f t="shared" si="120"/>
        <v>0</v>
      </c>
      <c r="DJ175" s="191">
        <f t="shared" si="121"/>
        <v>0</v>
      </c>
      <c r="DK175" s="286">
        <f t="shared" si="122"/>
        <v>1</v>
      </c>
      <c r="DL175" s="261">
        <v>171</v>
      </c>
      <c r="DM175" s="244">
        <f>+A175-DL175</f>
        <v>0</v>
      </c>
    </row>
    <row r="176" spans="1:117" ht="37.5" x14ac:dyDescent="0.35">
      <c r="A176" s="263">
        <v>172</v>
      </c>
      <c r="B176" s="102" t="s">
        <v>270</v>
      </c>
      <c r="C176" s="102" t="s">
        <v>133</v>
      </c>
      <c r="D176" s="102" t="s">
        <v>119</v>
      </c>
      <c r="E176" s="102" t="s">
        <v>120</v>
      </c>
      <c r="F176" s="102" t="s">
        <v>350</v>
      </c>
      <c r="G176" s="98" t="s">
        <v>186</v>
      </c>
      <c r="H176" s="98" t="s">
        <v>187</v>
      </c>
      <c r="I176" s="98" t="s">
        <v>592</v>
      </c>
      <c r="J176" s="98" t="s">
        <v>592</v>
      </c>
      <c r="K176" s="96" t="s">
        <v>104</v>
      </c>
      <c r="L176" s="96" t="s">
        <v>105</v>
      </c>
      <c r="M176" s="98" t="s">
        <v>106</v>
      </c>
      <c r="N176" s="98" t="s">
        <v>126</v>
      </c>
      <c r="O176" s="98" t="s">
        <v>127</v>
      </c>
      <c r="P176" s="259" t="s">
        <v>593</v>
      </c>
      <c r="Q176" s="98" t="s">
        <v>129</v>
      </c>
      <c r="R176" s="301">
        <v>4</v>
      </c>
      <c r="S176" s="99" t="s">
        <v>111</v>
      </c>
      <c r="T176" s="81">
        <v>0</v>
      </c>
      <c r="U176" s="81">
        <v>0</v>
      </c>
      <c r="V176" s="25" t="e">
        <f t="shared" si="143"/>
        <v>#DIV/0!</v>
      </c>
      <c r="W176" s="81">
        <v>0</v>
      </c>
      <c r="X176" s="81"/>
      <c r="Y176" s="25" t="e">
        <f t="shared" si="1"/>
        <v>#DIV/0!</v>
      </c>
      <c r="Z176" s="81">
        <v>2</v>
      </c>
      <c r="AA176" s="81"/>
      <c r="AB176" s="25">
        <f t="shared" si="2"/>
        <v>0</v>
      </c>
      <c r="AC176" s="81">
        <v>2</v>
      </c>
      <c r="AD176" s="81"/>
      <c r="AE176" s="25">
        <f t="shared" si="3"/>
        <v>0</v>
      </c>
      <c r="AF176" s="140">
        <f t="shared" si="127"/>
        <v>4</v>
      </c>
      <c r="AG176" s="140">
        <f t="shared" si="128"/>
        <v>0</v>
      </c>
      <c r="AH176" s="138" t="e">
        <f t="shared" si="125"/>
        <v>#DIV/0!</v>
      </c>
      <c r="AI176" s="101">
        <v>46113</v>
      </c>
      <c r="AJ176" s="101">
        <v>46477</v>
      </c>
      <c r="AK176" s="102" t="s">
        <v>112</v>
      </c>
      <c r="AL176" s="102" t="s">
        <v>113</v>
      </c>
      <c r="AM176" s="103" t="s">
        <v>114</v>
      </c>
      <c r="AN176" s="104">
        <v>60000000</v>
      </c>
      <c r="AO176" s="104">
        <v>60000000</v>
      </c>
      <c r="AP176" s="104">
        <v>60000000</v>
      </c>
      <c r="AQ176" s="326">
        <v>0</v>
      </c>
      <c r="AR176" s="102" t="s">
        <v>207</v>
      </c>
      <c r="AS176" s="102" t="s">
        <v>112</v>
      </c>
      <c r="AT176" s="152" t="s">
        <v>509</v>
      </c>
      <c r="AU176" s="166" t="s">
        <v>2264</v>
      </c>
      <c r="AV176" s="247" t="s">
        <v>2234</v>
      </c>
      <c r="BA176" s="272"/>
      <c r="BB176" s="273"/>
      <c r="BC176" s="209" t="e">
        <f t="shared" si="99"/>
        <v>#DIV/0!</v>
      </c>
      <c r="BD176" s="272"/>
      <c r="BE176" s="273"/>
      <c r="BF176" s="209" t="e">
        <f t="shared" si="100"/>
        <v>#DIV/0!</v>
      </c>
      <c r="BG176" s="272"/>
      <c r="BH176" s="273"/>
      <c r="BI176" s="209" t="e">
        <f t="shared" si="101"/>
        <v>#DIV/0!</v>
      </c>
      <c r="BJ176" s="210">
        <f t="shared" si="102"/>
        <v>0</v>
      </c>
      <c r="BK176" s="211">
        <f t="shared" si="103"/>
        <v>0</v>
      </c>
      <c r="BL176" s="209" t="e">
        <f t="shared" si="104"/>
        <v>#DIV/0!</v>
      </c>
      <c r="BM176" s="272"/>
      <c r="BN176" s="273"/>
      <c r="BO176" s="209" t="e">
        <f t="shared" si="129"/>
        <v>#DIV/0!</v>
      </c>
      <c r="BP176" s="272"/>
      <c r="BQ176" s="273"/>
      <c r="BR176" s="209" t="e">
        <f t="shared" si="130"/>
        <v>#DIV/0!</v>
      </c>
      <c r="BS176" s="272"/>
      <c r="BT176" s="272"/>
      <c r="BU176" s="209" t="e">
        <f t="shared" si="131"/>
        <v>#DIV/0!</v>
      </c>
      <c r="BV176" s="210">
        <f t="shared" si="105"/>
        <v>0</v>
      </c>
      <c r="BW176" s="210">
        <f t="shared" si="106"/>
        <v>0</v>
      </c>
      <c r="BX176" s="209" t="e">
        <f t="shared" si="107"/>
        <v>#DIV/0!</v>
      </c>
      <c r="BY176" s="209">
        <f t="shared" si="108"/>
        <v>0</v>
      </c>
      <c r="BZ176" s="209">
        <f t="shared" si="109"/>
        <v>0</v>
      </c>
      <c r="CA176" s="212"/>
      <c r="CB176" s="245"/>
      <c r="CC176" s="183"/>
      <c r="CD176" s="184"/>
      <c r="CE176" s="185" t="e">
        <f t="shared" si="132"/>
        <v>#DIV/0!</v>
      </c>
      <c r="CF176" s="183">
        <v>1</v>
      </c>
      <c r="CG176" s="184">
        <v>1</v>
      </c>
      <c r="CH176" s="185">
        <f t="shared" si="133"/>
        <v>1</v>
      </c>
      <c r="CI176" s="189"/>
      <c r="CJ176" s="190"/>
      <c r="CK176" s="185" t="e">
        <f t="shared" si="134"/>
        <v>#DIV/0!</v>
      </c>
      <c r="CL176" s="187">
        <f t="shared" si="135"/>
        <v>1</v>
      </c>
      <c r="CM176" s="186">
        <f t="shared" si="136"/>
        <v>1</v>
      </c>
      <c r="CN176" s="185">
        <f t="shared" si="137"/>
        <v>1</v>
      </c>
      <c r="CO176" s="245"/>
      <c r="CP176" s="188">
        <f t="shared" si="138"/>
        <v>1</v>
      </c>
      <c r="CQ176" s="188">
        <f t="shared" si="139"/>
        <v>1</v>
      </c>
      <c r="CR176" s="191">
        <f t="shared" si="140"/>
        <v>1</v>
      </c>
      <c r="CS176" s="279">
        <f t="shared" si="110"/>
        <v>3</v>
      </c>
      <c r="CT176" s="245"/>
      <c r="CU176" s="188">
        <f t="shared" si="111"/>
        <v>0.89999999999999991</v>
      </c>
      <c r="CV176" s="277"/>
      <c r="CW176" s="191">
        <f t="shared" si="112"/>
        <v>0</v>
      </c>
      <c r="CX176" s="188">
        <f t="shared" si="113"/>
        <v>0.89999999999999991</v>
      </c>
      <c r="CY176" s="277"/>
      <c r="CZ176" s="191">
        <f t="shared" si="114"/>
        <v>0</v>
      </c>
      <c r="DA176" s="188">
        <f t="shared" si="115"/>
        <v>0.89999999999999991</v>
      </c>
      <c r="DB176" s="277"/>
      <c r="DC176" s="191">
        <f t="shared" si="116"/>
        <v>0</v>
      </c>
      <c r="DD176" s="188">
        <f t="shared" si="117"/>
        <v>0.30000000000000004</v>
      </c>
      <c r="DE176" s="277"/>
      <c r="DF176" s="191">
        <f t="shared" si="118"/>
        <v>0</v>
      </c>
      <c r="DG176" s="245"/>
      <c r="DH176" s="188">
        <f t="shared" si="119"/>
        <v>4</v>
      </c>
      <c r="DI176" s="188">
        <f t="shared" si="120"/>
        <v>1</v>
      </c>
      <c r="DJ176" s="191">
        <f t="shared" si="121"/>
        <v>0.25</v>
      </c>
      <c r="DK176" s="286">
        <f t="shared" si="122"/>
        <v>3</v>
      </c>
      <c r="DL176" s="261">
        <v>172</v>
      </c>
      <c r="DM176" s="244">
        <f>+A176-DL176</f>
        <v>0</v>
      </c>
    </row>
    <row r="177" spans="1:117" ht="37.5" x14ac:dyDescent="0.35">
      <c r="A177" s="263">
        <v>173</v>
      </c>
      <c r="B177" s="102" t="s">
        <v>270</v>
      </c>
      <c r="C177" s="102" t="s">
        <v>118</v>
      </c>
      <c r="D177" s="102" t="s">
        <v>119</v>
      </c>
      <c r="E177" s="102" t="s">
        <v>120</v>
      </c>
      <c r="F177" s="102" t="s">
        <v>350</v>
      </c>
      <c r="G177" s="98" t="s">
        <v>186</v>
      </c>
      <c r="H177" s="98" t="s">
        <v>187</v>
      </c>
      <c r="I177" s="98" t="s">
        <v>592</v>
      </c>
      <c r="J177" s="98" t="s">
        <v>592</v>
      </c>
      <c r="K177" s="96" t="s">
        <v>104</v>
      </c>
      <c r="L177" s="96" t="s">
        <v>105</v>
      </c>
      <c r="M177" s="98" t="s">
        <v>106</v>
      </c>
      <c r="N177" s="98" t="s">
        <v>126</v>
      </c>
      <c r="O177" s="98" t="s">
        <v>127</v>
      </c>
      <c r="P177" s="259" t="s">
        <v>594</v>
      </c>
      <c r="Q177" s="98" t="s">
        <v>129</v>
      </c>
      <c r="R177" s="301">
        <v>5</v>
      </c>
      <c r="S177" s="99" t="s">
        <v>111</v>
      </c>
      <c r="T177" s="81">
        <v>0</v>
      </c>
      <c r="U177" s="81">
        <v>0</v>
      </c>
      <c r="V177" s="25" t="e">
        <f t="shared" si="143"/>
        <v>#DIV/0!</v>
      </c>
      <c r="W177" s="81">
        <v>0</v>
      </c>
      <c r="X177" s="81"/>
      <c r="Y177" s="25" t="e">
        <f t="shared" si="1"/>
        <v>#DIV/0!</v>
      </c>
      <c r="Z177" s="81">
        <v>2</v>
      </c>
      <c r="AA177" s="81"/>
      <c r="AB177" s="25">
        <f t="shared" si="2"/>
        <v>0</v>
      </c>
      <c r="AC177" s="81">
        <v>2</v>
      </c>
      <c r="AD177" s="81"/>
      <c r="AE177" s="25">
        <f t="shared" si="3"/>
        <v>0</v>
      </c>
      <c r="AF177" s="140">
        <f t="shared" si="127"/>
        <v>5</v>
      </c>
      <c r="AG177" s="140">
        <f t="shared" si="128"/>
        <v>0</v>
      </c>
      <c r="AH177" s="138" t="e">
        <f t="shared" si="125"/>
        <v>#DIV/0!</v>
      </c>
      <c r="AI177" s="101">
        <v>46113</v>
      </c>
      <c r="AJ177" s="101">
        <v>46477</v>
      </c>
      <c r="AK177" s="102" t="s">
        <v>112</v>
      </c>
      <c r="AL177" s="102" t="s">
        <v>113</v>
      </c>
      <c r="AM177" s="103" t="s">
        <v>114</v>
      </c>
      <c r="AN177" s="104">
        <v>60000000</v>
      </c>
      <c r="AO177" s="104">
        <v>60000000</v>
      </c>
      <c r="AP177" s="104">
        <v>60000000</v>
      </c>
      <c r="AQ177" s="326">
        <v>0</v>
      </c>
      <c r="AR177" s="102" t="s">
        <v>207</v>
      </c>
      <c r="AS177" s="102" t="s">
        <v>112</v>
      </c>
      <c r="AT177" s="152" t="s">
        <v>509</v>
      </c>
      <c r="AU177" s="166" t="s">
        <v>2264</v>
      </c>
      <c r="AV177" s="247" t="s">
        <v>2234</v>
      </c>
      <c r="BA177" s="272"/>
      <c r="BB177" s="273"/>
      <c r="BC177" s="209" t="e">
        <f t="shared" si="99"/>
        <v>#DIV/0!</v>
      </c>
      <c r="BD177" s="272"/>
      <c r="BE177" s="273"/>
      <c r="BF177" s="209" t="e">
        <f t="shared" si="100"/>
        <v>#DIV/0!</v>
      </c>
      <c r="BG177" s="272"/>
      <c r="BH177" s="273"/>
      <c r="BI177" s="209" t="e">
        <f t="shared" si="101"/>
        <v>#DIV/0!</v>
      </c>
      <c r="BJ177" s="210">
        <f t="shared" si="102"/>
        <v>0</v>
      </c>
      <c r="BK177" s="211">
        <f t="shared" si="103"/>
        <v>0</v>
      </c>
      <c r="BL177" s="209" t="e">
        <f t="shared" si="104"/>
        <v>#DIV/0!</v>
      </c>
      <c r="BM177" s="272"/>
      <c r="BN177" s="273"/>
      <c r="BO177" s="209" t="e">
        <f t="shared" si="129"/>
        <v>#DIV/0!</v>
      </c>
      <c r="BP177" s="272"/>
      <c r="BQ177" s="273"/>
      <c r="BR177" s="209" t="e">
        <f t="shared" si="130"/>
        <v>#DIV/0!</v>
      </c>
      <c r="BS177" s="272"/>
      <c r="BT177" s="272"/>
      <c r="BU177" s="209" t="e">
        <f t="shared" si="131"/>
        <v>#DIV/0!</v>
      </c>
      <c r="BV177" s="210">
        <f t="shared" si="105"/>
        <v>0</v>
      </c>
      <c r="BW177" s="210">
        <f t="shared" si="106"/>
        <v>0</v>
      </c>
      <c r="BX177" s="209" t="e">
        <f t="shared" si="107"/>
        <v>#DIV/0!</v>
      </c>
      <c r="BY177" s="209">
        <f t="shared" si="108"/>
        <v>0</v>
      </c>
      <c r="BZ177" s="209">
        <f t="shared" si="109"/>
        <v>0</v>
      </c>
      <c r="CA177" s="212"/>
      <c r="CB177" s="245"/>
      <c r="CC177" s="183"/>
      <c r="CD177" s="184"/>
      <c r="CE177" s="185" t="e">
        <f t="shared" si="132"/>
        <v>#DIV/0!</v>
      </c>
      <c r="CF177" s="183"/>
      <c r="CG177" s="184"/>
      <c r="CH177" s="185" t="e">
        <f t="shared" si="133"/>
        <v>#DIV/0!</v>
      </c>
      <c r="CI177" s="189"/>
      <c r="CJ177" s="190"/>
      <c r="CK177" s="185" t="e">
        <f t="shared" si="134"/>
        <v>#DIV/0!</v>
      </c>
      <c r="CL177" s="187">
        <f t="shared" si="135"/>
        <v>0</v>
      </c>
      <c r="CM177" s="186">
        <f t="shared" si="136"/>
        <v>0</v>
      </c>
      <c r="CN177" s="185" t="e">
        <f t="shared" si="137"/>
        <v>#DIV/0!</v>
      </c>
      <c r="CO177" s="245"/>
      <c r="CP177" s="188">
        <f t="shared" si="138"/>
        <v>0</v>
      </c>
      <c r="CQ177" s="188">
        <f t="shared" si="139"/>
        <v>0</v>
      </c>
      <c r="CR177" s="191" t="e">
        <f t="shared" si="140"/>
        <v>#DIV/0!</v>
      </c>
      <c r="CS177" s="279">
        <f t="shared" si="110"/>
        <v>5</v>
      </c>
      <c r="CT177" s="245"/>
      <c r="CU177" s="188">
        <f t="shared" si="111"/>
        <v>1.5</v>
      </c>
      <c r="CV177" s="277"/>
      <c r="CW177" s="191">
        <f t="shared" si="112"/>
        <v>0</v>
      </c>
      <c r="CX177" s="188">
        <f t="shared" si="113"/>
        <v>1.5</v>
      </c>
      <c r="CY177" s="277"/>
      <c r="CZ177" s="191">
        <f t="shared" si="114"/>
        <v>0</v>
      </c>
      <c r="DA177" s="188">
        <f t="shared" si="115"/>
        <v>1.5</v>
      </c>
      <c r="DB177" s="277"/>
      <c r="DC177" s="191">
        <f t="shared" si="116"/>
        <v>0</v>
      </c>
      <c r="DD177" s="188">
        <f t="shared" si="117"/>
        <v>0.5</v>
      </c>
      <c r="DE177" s="277"/>
      <c r="DF177" s="191">
        <f t="shared" si="118"/>
        <v>0</v>
      </c>
      <c r="DG177" s="245"/>
      <c r="DH177" s="188">
        <f t="shared" si="119"/>
        <v>5</v>
      </c>
      <c r="DI177" s="188">
        <f t="shared" si="120"/>
        <v>0</v>
      </c>
      <c r="DJ177" s="191">
        <f t="shared" si="121"/>
        <v>0</v>
      </c>
      <c r="DK177" s="286">
        <f t="shared" si="122"/>
        <v>5</v>
      </c>
      <c r="DL177" s="261">
        <v>173</v>
      </c>
      <c r="DM177" s="244">
        <f>+A177-DL177</f>
        <v>0</v>
      </c>
    </row>
    <row r="178" spans="1:117" x14ac:dyDescent="0.35">
      <c r="A178" s="81">
        <v>174</v>
      </c>
      <c r="B178" s="102" t="s">
        <v>270</v>
      </c>
      <c r="C178" s="102" t="s">
        <v>118</v>
      </c>
      <c r="D178" s="102" t="s">
        <v>119</v>
      </c>
      <c r="E178" s="102" t="s">
        <v>120</v>
      </c>
      <c r="F178" s="102" t="s">
        <v>350</v>
      </c>
      <c r="G178" s="98" t="s">
        <v>186</v>
      </c>
      <c r="H178" s="98" t="s">
        <v>187</v>
      </c>
      <c r="I178" s="98" t="s">
        <v>592</v>
      </c>
      <c r="J178" s="98" t="s">
        <v>592</v>
      </c>
      <c r="K178" s="96" t="s">
        <v>104</v>
      </c>
      <c r="L178" s="96" t="s">
        <v>105</v>
      </c>
      <c r="M178" s="98" t="s">
        <v>106</v>
      </c>
      <c r="N178" s="98" t="s">
        <v>126</v>
      </c>
      <c r="O178" s="98" t="s">
        <v>127</v>
      </c>
      <c r="P178" s="98" t="s">
        <v>595</v>
      </c>
      <c r="Q178" s="98" t="s">
        <v>129</v>
      </c>
      <c r="R178" s="301">
        <v>1</v>
      </c>
      <c r="S178" s="99" t="s">
        <v>111</v>
      </c>
      <c r="T178" s="81">
        <v>1</v>
      </c>
      <c r="U178" s="81">
        <v>1</v>
      </c>
      <c r="V178" s="25">
        <f t="shared" si="143"/>
        <v>100</v>
      </c>
      <c r="W178" s="81"/>
      <c r="X178" s="81"/>
      <c r="Y178" s="25" t="e">
        <f t="shared" si="1"/>
        <v>#DIV/0!</v>
      </c>
      <c r="Z178" s="81">
        <v>3</v>
      </c>
      <c r="AA178" s="81"/>
      <c r="AB178" s="25">
        <f t="shared" si="2"/>
        <v>0</v>
      </c>
      <c r="AC178" s="81">
        <v>3</v>
      </c>
      <c r="AD178" s="81"/>
      <c r="AE178" s="25">
        <f t="shared" si="3"/>
        <v>0</v>
      </c>
      <c r="AF178" s="140">
        <f t="shared" si="127"/>
        <v>1</v>
      </c>
      <c r="AG178" s="140">
        <f t="shared" si="128"/>
        <v>1</v>
      </c>
      <c r="AH178" s="138">
        <f t="shared" si="125"/>
        <v>100</v>
      </c>
      <c r="AI178" s="101">
        <v>46113</v>
      </c>
      <c r="AJ178" s="101">
        <v>46477</v>
      </c>
      <c r="AK178" s="102" t="s">
        <v>112</v>
      </c>
      <c r="AL178" s="102" t="s">
        <v>113</v>
      </c>
      <c r="AM178" s="103" t="s">
        <v>114</v>
      </c>
      <c r="AN178" s="104">
        <v>270081900</v>
      </c>
      <c r="AO178" s="104">
        <v>270081900</v>
      </c>
      <c r="AP178" s="104">
        <v>270081900</v>
      </c>
      <c r="AQ178" s="105">
        <f>49677450</f>
        <v>49677450</v>
      </c>
      <c r="AR178" s="322"/>
      <c r="AS178" s="102" t="s">
        <v>112</v>
      </c>
      <c r="AT178" s="152"/>
      <c r="AU178" s="102"/>
      <c r="AV178" s="276" t="s">
        <v>2234</v>
      </c>
      <c r="AW178" s="168" t="s">
        <v>2270</v>
      </c>
      <c r="AX178" s="168" t="s">
        <v>2365</v>
      </c>
      <c r="AY178" s="274" t="s">
        <v>2376</v>
      </c>
      <c r="AZ178" s="271" t="s">
        <v>2371</v>
      </c>
      <c r="BA178" s="272"/>
      <c r="BB178" s="273"/>
      <c r="BC178" s="209" t="e">
        <f t="shared" si="99"/>
        <v>#DIV/0!</v>
      </c>
      <c r="BD178" s="272"/>
      <c r="BE178" s="273"/>
      <c r="BF178" s="209" t="e">
        <f t="shared" si="100"/>
        <v>#DIV/0!</v>
      </c>
      <c r="BG178" s="272"/>
      <c r="BH178" s="273"/>
      <c r="BI178" s="209" t="e">
        <f t="shared" si="101"/>
        <v>#DIV/0!</v>
      </c>
      <c r="BJ178" s="210">
        <f t="shared" si="102"/>
        <v>0</v>
      </c>
      <c r="BK178" s="211">
        <f t="shared" si="103"/>
        <v>0</v>
      </c>
      <c r="BL178" s="209" t="e">
        <f t="shared" si="104"/>
        <v>#DIV/0!</v>
      </c>
      <c r="BM178" s="272"/>
      <c r="BN178" s="273"/>
      <c r="BO178" s="209" t="e">
        <f t="shared" si="129"/>
        <v>#DIV/0!</v>
      </c>
      <c r="BP178" s="272"/>
      <c r="BQ178" s="273"/>
      <c r="BR178" s="209" t="e">
        <f t="shared" si="130"/>
        <v>#DIV/0!</v>
      </c>
      <c r="BS178" s="272"/>
      <c r="BT178" s="272"/>
      <c r="BU178" s="209" t="e">
        <f t="shared" si="131"/>
        <v>#DIV/0!</v>
      </c>
      <c r="BV178" s="210">
        <f t="shared" si="105"/>
        <v>0</v>
      </c>
      <c r="BW178" s="210">
        <f t="shared" si="106"/>
        <v>0</v>
      </c>
      <c r="BX178" s="209" t="e">
        <f t="shared" si="107"/>
        <v>#DIV/0!</v>
      </c>
      <c r="BY178" s="209">
        <f t="shared" si="108"/>
        <v>0</v>
      </c>
      <c r="BZ178" s="209">
        <f t="shared" si="109"/>
        <v>0</v>
      </c>
      <c r="CA178" s="212"/>
      <c r="CB178" s="245"/>
      <c r="CC178" s="183"/>
      <c r="CD178" s="184"/>
      <c r="CE178" s="185" t="e">
        <f t="shared" si="132"/>
        <v>#DIV/0!</v>
      </c>
      <c r="CF178" s="183"/>
      <c r="CG178" s="184"/>
      <c r="CH178" s="185" t="e">
        <f t="shared" si="133"/>
        <v>#DIV/0!</v>
      </c>
      <c r="CI178" s="189"/>
      <c r="CJ178" s="190"/>
      <c r="CK178" s="185" t="e">
        <f t="shared" si="134"/>
        <v>#DIV/0!</v>
      </c>
      <c r="CL178" s="187">
        <f t="shared" si="135"/>
        <v>0</v>
      </c>
      <c r="CM178" s="186">
        <f t="shared" si="136"/>
        <v>0</v>
      </c>
      <c r="CN178" s="185" t="e">
        <f t="shared" si="137"/>
        <v>#DIV/0!</v>
      </c>
      <c r="CO178" s="245"/>
      <c r="CP178" s="188">
        <f t="shared" si="138"/>
        <v>0</v>
      </c>
      <c r="CQ178" s="188">
        <f t="shared" si="139"/>
        <v>0</v>
      </c>
      <c r="CR178" s="191" t="e">
        <f t="shared" si="140"/>
        <v>#DIV/0!</v>
      </c>
      <c r="CS178" s="279">
        <f t="shared" si="110"/>
        <v>1</v>
      </c>
      <c r="CT178" s="245"/>
      <c r="CU178" s="188">
        <f t="shared" si="111"/>
        <v>0.3</v>
      </c>
      <c r="CV178" s="277"/>
      <c r="CW178" s="191">
        <f t="shared" si="112"/>
        <v>0</v>
      </c>
      <c r="CX178" s="188">
        <f t="shared" si="113"/>
        <v>0.3</v>
      </c>
      <c r="CY178" s="277"/>
      <c r="CZ178" s="191">
        <f t="shared" si="114"/>
        <v>0</v>
      </c>
      <c r="DA178" s="188">
        <f t="shared" si="115"/>
        <v>0.3</v>
      </c>
      <c r="DB178" s="277"/>
      <c r="DC178" s="191">
        <f t="shared" si="116"/>
        <v>0</v>
      </c>
      <c r="DD178" s="188">
        <f t="shared" si="117"/>
        <v>0.1</v>
      </c>
      <c r="DE178" s="277"/>
      <c r="DF178" s="191">
        <f t="shared" si="118"/>
        <v>0</v>
      </c>
      <c r="DG178" s="245"/>
      <c r="DH178" s="188">
        <f t="shared" si="119"/>
        <v>1</v>
      </c>
      <c r="DI178" s="188">
        <f t="shared" si="120"/>
        <v>0</v>
      </c>
      <c r="DJ178" s="191">
        <f t="shared" si="121"/>
        <v>0</v>
      </c>
      <c r="DK178" s="286">
        <f t="shared" si="122"/>
        <v>1</v>
      </c>
      <c r="DL178" s="81">
        <v>174</v>
      </c>
      <c r="DM178" s="244">
        <f>+A178-DL178</f>
        <v>0</v>
      </c>
    </row>
    <row r="179" spans="1:117" x14ac:dyDescent="0.35">
      <c r="A179" s="265">
        <v>175</v>
      </c>
      <c r="B179" s="102" t="s">
        <v>270</v>
      </c>
      <c r="C179" s="102" t="s">
        <v>118</v>
      </c>
      <c r="D179" s="102" t="s">
        <v>119</v>
      </c>
      <c r="E179" s="102" t="s">
        <v>120</v>
      </c>
      <c r="F179" s="102" t="s">
        <v>350</v>
      </c>
      <c r="G179" s="98" t="s">
        <v>186</v>
      </c>
      <c r="H179" s="98" t="s">
        <v>187</v>
      </c>
      <c r="I179" s="98" t="s">
        <v>592</v>
      </c>
      <c r="J179" s="98" t="s">
        <v>592</v>
      </c>
      <c r="K179" s="96" t="s">
        <v>104</v>
      </c>
      <c r="L179" s="96" t="s">
        <v>105</v>
      </c>
      <c r="M179" s="98" t="s">
        <v>106</v>
      </c>
      <c r="N179" s="98" t="s">
        <v>126</v>
      </c>
      <c r="O179" s="98" t="s">
        <v>127</v>
      </c>
      <c r="P179" s="98" t="s">
        <v>596</v>
      </c>
      <c r="Q179" s="98" t="s">
        <v>129</v>
      </c>
      <c r="R179" s="301">
        <v>1000</v>
      </c>
      <c r="S179" s="99" t="s">
        <v>111</v>
      </c>
      <c r="T179" s="81">
        <v>0</v>
      </c>
      <c r="U179" s="81">
        <v>0</v>
      </c>
      <c r="V179" s="25" t="e">
        <f t="shared" si="143"/>
        <v>#DIV/0!</v>
      </c>
      <c r="W179" s="81"/>
      <c r="X179" s="81"/>
      <c r="Y179" s="25" t="e">
        <f t="shared" si="1"/>
        <v>#DIV/0!</v>
      </c>
      <c r="Z179" s="81">
        <v>1</v>
      </c>
      <c r="AA179" s="81"/>
      <c r="AB179" s="25">
        <f t="shared" si="2"/>
        <v>0</v>
      </c>
      <c r="AC179" s="81"/>
      <c r="AD179" s="81"/>
      <c r="AE179" s="25" t="e">
        <f t="shared" si="3"/>
        <v>#DIV/0!</v>
      </c>
      <c r="AF179" s="140">
        <f t="shared" si="127"/>
        <v>1000</v>
      </c>
      <c r="AG179" s="140">
        <f t="shared" si="128"/>
        <v>0</v>
      </c>
      <c r="AH179" s="138" t="e">
        <f t="shared" si="125"/>
        <v>#DIV/0!</v>
      </c>
      <c r="AI179" s="101">
        <v>46113</v>
      </c>
      <c r="AJ179" s="101">
        <v>46477</v>
      </c>
      <c r="AK179" s="102" t="s">
        <v>112</v>
      </c>
      <c r="AL179" s="102" t="s">
        <v>113</v>
      </c>
      <c r="AM179" s="103" t="s">
        <v>114</v>
      </c>
      <c r="AN179" s="104">
        <v>20000000</v>
      </c>
      <c r="AO179" s="104">
        <v>20000000</v>
      </c>
      <c r="AP179" s="104">
        <v>20000000</v>
      </c>
      <c r="AQ179" s="326">
        <v>0</v>
      </c>
      <c r="AR179" s="322"/>
      <c r="AS179" s="102" t="s">
        <v>112</v>
      </c>
      <c r="AT179" s="152" t="s">
        <v>131</v>
      </c>
      <c r="AU179" s="166" t="s">
        <v>2264</v>
      </c>
      <c r="AV179" s="247" t="s">
        <v>2234</v>
      </c>
      <c r="AW179" s="136" t="s">
        <v>2258</v>
      </c>
      <c r="AX179" s="136" t="s">
        <v>2347</v>
      </c>
      <c r="AY179" s="136" t="s">
        <v>2376</v>
      </c>
      <c r="BA179" s="272"/>
      <c r="BB179" s="273"/>
      <c r="BC179" s="209" t="e">
        <f t="shared" si="99"/>
        <v>#DIV/0!</v>
      </c>
      <c r="BD179" s="272"/>
      <c r="BE179" s="273"/>
      <c r="BF179" s="209" t="e">
        <f t="shared" si="100"/>
        <v>#DIV/0!</v>
      </c>
      <c r="BG179" s="272"/>
      <c r="BH179" s="273"/>
      <c r="BI179" s="209" t="e">
        <f t="shared" si="101"/>
        <v>#DIV/0!</v>
      </c>
      <c r="BJ179" s="210">
        <f t="shared" si="102"/>
        <v>0</v>
      </c>
      <c r="BK179" s="211">
        <f t="shared" si="103"/>
        <v>0</v>
      </c>
      <c r="BL179" s="209" t="e">
        <f t="shared" si="104"/>
        <v>#DIV/0!</v>
      </c>
      <c r="BM179" s="272"/>
      <c r="BN179" s="273"/>
      <c r="BO179" s="209" t="e">
        <f t="shared" si="129"/>
        <v>#DIV/0!</v>
      </c>
      <c r="BP179" s="272"/>
      <c r="BQ179" s="273"/>
      <c r="BR179" s="209" t="e">
        <f t="shared" si="130"/>
        <v>#DIV/0!</v>
      </c>
      <c r="BS179" s="272"/>
      <c r="BT179" s="272"/>
      <c r="BU179" s="209" t="e">
        <f t="shared" si="131"/>
        <v>#DIV/0!</v>
      </c>
      <c r="BV179" s="210">
        <f t="shared" si="105"/>
        <v>0</v>
      </c>
      <c r="BW179" s="210">
        <f t="shared" si="106"/>
        <v>0</v>
      </c>
      <c r="BX179" s="209" t="e">
        <f t="shared" si="107"/>
        <v>#DIV/0!</v>
      </c>
      <c r="BY179" s="209">
        <f t="shared" si="108"/>
        <v>0</v>
      </c>
      <c r="BZ179" s="209">
        <f t="shared" si="109"/>
        <v>0</v>
      </c>
      <c r="CA179" s="212"/>
      <c r="CB179" s="245"/>
      <c r="CC179" s="183">
        <v>1000</v>
      </c>
      <c r="CD179" s="184">
        <v>1000</v>
      </c>
      <c r="CE179" s="185">
        <f t="shared" si="132"/>
        <v>1</v>
      </c>
      <c r="CF179" s="183"/>
      <c r="CG179" s="184"/>
      <c r="CH179" s="185" t="e">
        <f t="shared" si="133"/>
        <v>#DIV/0!</v>
      </c>
      <c r="CI179" s="189"/>
      <c r="CJ179" s="190"/>
      <c r="CK179" s="185" t="e">
        <f t="shared" si="134"/>
        <v>#DIV/0!</v>
      </c>
      <c r="CL179" s="187">
        <f t="shared" si="135"/>
        <v>1000</v>
      </c>
      <c r="CM179" s="186">
        <f t="shared" si="136"/>
        <v>1000</v>
      </c>
      <c r="CN179" s="185">
        <f t="shared" si="137"/>
        <v>1</v>
      </c>
      <c r="CO179" s="245"/>
      <c r="CP179" s="188">
        <f t="shared" si="138"/>
        <v>1000</v>
      </c>
      <c r="CQ179" s="188">
        <f t="shared" si="139"/>
        <v>1000</v>
      </c>
      <c r="CR179" s="191">
        <f t="shared" si="140"/>
        <v>1</v>
      </c>
      <c r="CS179" s="279">
        <f t="shared" si="110"/>
        <v>0</v>
      </c>
      <c r="CT179" s="245"/>
      <c r="CU179" s="188">
        <f t="shared" si="111"/>
        <v>0</v>
      </c>
      <c r="CV179" s="277"/>
      <c r="CW179" s="191" t="e">
        <f t="shared" si="112"/>
        <v>#DIV/0!</v>
      </c>
      <c r="CX179" s="188">
        <f t="shared" si="113"/>
        <v>0</v>
      </c>
      <c r="CY179" s="277"/>
      <c r="CZ179" s="191" t="e">
        <f t="shared" si="114"/>
        <v>#DIV/0!</v>
      </c>
      <c r="DA179" s="188">
        <f t="shared" si="115"/>
        <v>0</v>
      </c>
      <c r="DB179" s="277"/>
      <c r="DC179" s="191" t="e">
        <f t="shared" si="116"/>
        <v>#DIV/0!</v>
      </c>
      <c r="DD179" s="188">
        <f t="shared" si="117"/>
        <v>0</v>
      </c>
      <c r="DE179" s="277"/>
      <c r="DF179" s="191" t="e">
        <f t="shared" si="118"/>
        <v>#DIV/0!</v>
      </c>
      <c r="DG179" s="245"/>
      <c r="DH179" s="188">
        <f t="shared" si="119"/>
        <v>1000</v>
      </c>
      <c r="DI179" s="188">
        <f t="shared" si="120"/>
        <v>1000</v>
      </c>
      <c r="DJ179" s="191">
        <f t="shared" si="121"/>
        <v>1</v>
      </c>
      <c r="DK179" s="286">
        <f t="shared" si="122"/>
        <v>0</v>
      </c>
      <c r="DL179" s="264">
        <v>175</v>
      </c>
      <c r="DM179" s="244">
        <f>+A179-DL179</f>
        <v>0</v>
      </c>
    </row>
    <row r="180" spans="1:117" x14ac:dyDescent="0.35">
      <c r="A180" s="265">
        <v>176</v>
      </c>
      <c r="B180" s="102" t="s">
        <v>270</v>
      </c>
      <c r="C180" s="102" t="s">
        <v>118</v>
      </c>
      <c r="D180" s="102" t="s">
        <v>119</v>
      </c>
      <c r="E180" s="102" t="s">
        <v>120</v>
      </c>
      <c r="F180" s="102" t="s">
        <v>350</v>
      </c>
      <c r="G180" s="98" t="s">
        <v>186</v>
      </c>
      <c r="H180" s="98" t="s">
        <v>187</v>
      </c>
      <c r="I180" s="98" t="s">
        <v>592</v>
      </c>
      <c r="J180" s="98" t="s">
        <v>592</v>
      </c>
      <c r="K180" s="96" t="s">
        <v>104</v>
      </c>
      <c r="L180" s="96" t="s">
        <v>105</v>
      </c>
      <c r="M180" s="98" t="s">
        <v>106</v>
      </c>
      <c r="N180" s="98" t="s">
        <v>126</v>
      </c>
      <c r="O180" s="98" t="s">
        <v>127</v>
      </c>
      <c r="P180" s="258" t="s">
        <v>597</v>
      </c>
      <c r="Q180" s="98" t="s">
        <v>129</v>
      </c>
      <c r="R180" s="301">
        <v>100</v>
      </c>
      <c r="S180" s="99" t="s">
        <v>111</v>
      </c>
      <c r="T180" s="81">
        <v>0</v>
      </c>
      <c r="U180" s="81">
        <v>0</v>
      </c>
      <c r="V180" s="25" t="e">
        <f t="shared" si="143"/>
        <v>#DIV/0!</v>
      </c>
      <c r="W180" s="81">
        <v>0</v>
      </c>
      <c r="X180" s="81">
        <v>0</v>
      </c>
      <c r="Y180" s="25" t="e">
        <f t="shared" si="1"/>
        <v>#DIV/0!</v>
      </c>
      <c r="Z180" s="81">
        <v>50</v>
      </c>
      <c r="AA180" s="81"/>
      <c r="AB180" s="25">
        <f t="shared" si="2"/>
        <v>0</v>
      </c>
      <c r="AC180" s="81">
        <v>50</v>
      </c>
      <c r="AD180" s="81"/>
      <c r="AE180" s="25">
        <f t="shared" si="3"/>
        <v>0</v>
      </c>
      <c r="AF180" s="140">
        <f t="shared" si="127"/>
        <v>100</v>
      </c>
      <c r="AG180" s="140">
        <f t="shared" si="128"/>
        <v>0</v>
      </c>
      <c r="AH180" s="138" t="e">
        <f t="shared" si="125"/>
        <v>#DIV/0!</v>
      </c>
      <c r="AI180" s="101">
        <v>46113</v>
      </c>
      <c r="AJ180" s="101">
        <v>46477</v>
      </c>
      <c r="AK180" s="102" t="s">
        <v>112</v>
      </c>
      <c r="AL180" s="102" t="s">
        <v>113</v>
      </c>
      <c r="AM180" s="103" t="s">
        <v>114</v>
      </c>
      <c r="AN180" s="104">
        <v>71161000</v>
      </c>
      <c r="AO180" s="104">
        <v>71161000</v>
      </c>
      <c r="AP180" s="104">
        <v>71161000</v>
      </c>
      <c r="AQ180" s="326">
        <v>0</v>
      </c>
      <c r="AR180" s="102" t="s">
        <v>159</v>
      </c>
      <c r="AS180" s="102" t="s">
        <v>112</v>
      </c>
      <c r="AT180" s="152" t="s">
        <v>131</v>
      </c>
      <c r="AU180" s="166" t="s">
        <v>2264</v>
      </c>
      <c r="AV180" s="247" t="s">
        <v>2234</v>
      </c>
      <c r="AW180" s="136" t="s">
        <v>2258</v>
      </c>
      <c r="AX180" s="136" t="s">
        <v>2347</v>
      </c>
      <c r="AY180" s="136" t="s">
        <v>2376</v>
      </c>
      <c r="BA180" s="272"/>
      <c r="BB180" s="273"/>
      <c r="BC180" s="209" t="e">
        <f t="shared" si="99"/>
        <v>#DIV/0!</v>
      </c>
      <c r="BD180" s="272"/>
      <c r="BE180" s="273"/>
      <c r="BF180" s="209" t="e">
        <f t="shared" si="100"/>
        <v>#DIV/0!</v>
      </c>
      <c r="BG180" s="272"/>
      <c r="BH180" s="273"/>
      <c r="BI180" s="209" t="e">
        <f t="shared" si="101"/>
        <v>#DIV/0!</v>
      </c>
      <c r="BJ180" s="210">
        <f t="shared" si="102"/>
        <v>0</v>
      </c>
      <c r="BK180" s="211">
        <f t="shared" si="103"/>
        <v>0</v>
      </c>
      <c r="BL180" s="209" t="e">
        <f t="shared" si="104"/>
        <v>#DIV/0!</v>
      </c>
      <c r="BM180" s="272"/>
      <c r="BN180" s="273"/>
      <c r="BO180" s="209" t="e">
        <f t="shared" si="129"/>
        <v>#DIV/0!</v>
      </c>
      <c r="BP180" s="272"/>
      <c r="BQ180" s="273"/>
      <c r="BR180" s="209" t="e">
        <f t="shared" si="130"/>
        <v>#DIV/0!</v>
      </c>
      <c r="BS180" s="272"/>
      <c r="BT180" s="272"/>
      <c r="BU180" s="209" t="e">
        <f t="shared" si="131"/>
        <v>#DIV/0!</v>
      </c>
      <c r="BV180" s="210">
        <f t="shared" si="105"/>
        <v>0</v>
      </c>
      <c r="BW180" s="210">
        <f t="shared" si="106"/>
        <v>0</v>
      </c>
      <c r="BX180" s="209" t="e">
        <f t="shared" si="107"/>
        <v>#DIV/0!</v>
      </c>
      <c r="BY180" s="209">
        <f t="shared" si="108"/>
        <v>0</v>
      </c>
      <c r="BZ180" s="209">
        <f t="shared" si="109"/>
        <v>0</v>
      </c>
      <c r="CA180" s="212"/>
      <c r="CB180" s="245"/>
      <c r="CC180" s="183"/>
      <c r="CD180" s="184"/>
      <c r="CE180" s="185" t="e">
        <f t="shared" si="132"/>
        <v>#DIV/0!</v>
      </c>
      <c r="CF180" s="183"/>
      <c r="CG180" s="184"/>
      <c r="CH180" s="185" t="e">
        <f t="shared" si="133"/>
        <v>#DIV/0!</v>
      </c>
      <c r="CI180" s="189"/>
      <c r="CJ180" s="190"/>
      <c r="CK180" s="185" t="e">
        <f t="shared" si="134"/>
        <v>#DIV/0!</v>
      </c>
      <c r="CL180" s="187">
        <f t="shared" si="135"/>
        <v>0</v>
      </c>
      <c r="CM180" s="186">
        <f t="shared" si="136"/>
        <v>0</v>
      </c>
      <c r="CN180" s="185" t="e">
        <f t="shared" si="137"/>
        <v>#DIV/0!</v>
      </c>
      <c r="CO180" s="245"/>
      <c r="CP180" s="188">
        <f t="shared" si="138"/>
        <v>0</v>
      </c>
      <c r="CQ180" s="188">
        <f t="shared" si="139"/>
        <v>0</v>
      </c>
      <c r="CR180" s="191" t="e">
        <f t="shared" si="140"/>
        <v>#DIV/0!</v>
      </c>
      <c r="CS180" s="279">
        <f t="shared" si="110"/>
        <v>100</v>
      </c>
      <c r="CT180" s="245"/>
      <c r="CU180" s="188">
        <f t="shared" si="111"/>
        <v>30</v>
      </c>
      <c r="CV180" s="277"/>
      <c r="CW180" s="191">
        <f t="shared" si="112"/>
        <v>0</v>
      </c>
      <c r="CX180" s="188">
        <f t="shared" si="113"/>
        <v>30</v>
      </c>
      <c r="CY180" s="277"/>
      <c r="CZ180" s="191">
        <f t="shared" si="114"/>
        <v>0</v>
      </c>
      <c r="DA180" s="188">
        <f t="shared" si="115"/>
        <v>30</v>
      </c>
      <c r="DB180" s="277"/>
      <c r="DC180" s="191">
        <f t="shared" si="116"/>
        <v>0</v>
      </c>
      <c r="DD180" s="188">
        <f t="shared" si="117"/>
        <v>10</v>
      </c>
      <c r="DE180" s="277"/>
      <c r="DF180" s="191">
        <f t="shared" si="118"/>
        <v>0</v>
      </c>
      <c r="DG180" s="245"/>
      <c r="DH180" s="188">
        <f t="shared" si="119"/>
        <v>100</v>
      </c>
      <c r="DI180" s="188">
        <f t="shared" si="120"/>
        <v>0</v>
      </c>
      <c r="DJ180" s="191">
        <f t="shared" si="121"/>
        <v>0</v>
      </c>
      <c r="DK180" s="286">
        <f t="shared" si="122"/>
        <v>100</v>
      </c>
      <c r="DL180" s="264">
        <v>176</v>
      </c>
      <c r="DM180" s="244">
        <f>+A180-DL180</f>
        <v>0</v>
      </c>
    </row>
    <row r="181" spans="1:117" ht="50" x14ac:dyDescent="0.35">
      <c r="A181" s="266">
        <v>177</v>
      </c>
      <c r="B181" s="102" t="s">
        <v>270</v>
      </c>
      <c r="C181" s="102" t="s">
        <v>118</v>
      </c>
      <c r="D181" s="102" t="s">
        <v>119</v>
      </c>
      <c r="E181" s="102" t="s">
        <v>120</v>
      </c>
      <c r="F181" s="102" t="s">
        <v>598</v>
      </c>
      <c r="G181" s="98" t="s">
        <v>599</v>
      </c>
      <c r="H181" s="98" t="s">
        <v>187</v>
      </c>
      <c r="I181" s="98" t="s">
        <v>103</v>
      </c>
      <c r="J181" s="98" t="s">
        <v>103</v>
      </c>
      <c r="K181" s="96" t="s">
        <v>183</v>
      </c>
      <c r="L181" s="96" t="s">
        <v>424</v>
      </c>
      <c r="M181" s="98" t="s">
        <v>106</v>
      </c>
      <c r="N181" s="98" t="s">
        <v>600</v>
      </c>
      <c r="O181" s="98" t="s">
        <v>127</v>
      </c>
      <c r="P181" s="259" t="s">
        <v>601</v>
      </c>
      <c r="Q181" s="98" t="s">
        <v>129</v>
      </c>
      <c r="R181" s="301">
        <v>22</v>
      </c>
      <c r="S181" s="99" t="s">
        <v>111</v>
      </c>
      <c r="T181" s="81">
        <v>4</v>
      </c>
      <c r="U181" s="81">
        <v>4</v>
      </c>
      <c r="V181" s="25">
        <f t="shared" si="143"/>
        <v>100</v>
      </c>
      <c r="W181" s="81">
        <v>6</v>
      </c>
      <c r="X181" s="81">
        <v>6</v>
      </c>
      <c r="Y181" s="25">
        <f t="shared" si="1"/>
        <v>100</v>
      </c>
      <c r="Z181" s="81">
        <v>6</v>
      </c>
      <c r="AA181" s="81"/>
      <c r="AB181" s="25">
        <f t="shared" si="2"/>
        <v>0</v>
      </c>
      <c r="AC181" s="81">
        <v>6</v>
      </c>
      <c r="AD181" s="81"/>
      <c r="AE181" s="25">
        <f t="shared" si="3"/>
        <v>0</v>
      </c>
      <c r="AF181" s="140">
        <f t="shared" si="127"/>
        <v>22</v>
      </c>
      <c r="AG181" s="140">
        <f t="shared" si="128"/>
        <v>10</v>
      </c>
      <c r="AH181" s="138">
        <f t="shared" si="125"/>
        <v>100</v>
      </c>
      <c r="AI181" s="101">
        <v>46113</v>
      </c>
      <c r="AJ181" s="101">
        <v>46477</v>
      </c>
      <c r="AK181" s="102" t="s">
        <v>112</v>
      </c>
      <c r="AL181" s="102" t="s">
        <v>113</v>
      </c>
      <c r="AM181" s="103" t="s">
        <v>114</v>
      </c>
      <c r="AN181" s="104">
        <v>65000000</v>
      </c>
      <c r="AO181" s="104">
        <v>65000000</v>
      </c>
      <c r="AP181" s="104">
        <v>65000000</v>
      </c>
      <c r="AQ181" s="105">
        <f>AO181</f>
        <v>65000000</v>
      </c>
      <c r="AR181" s="102" t="s">
        <v>159</v>
      </c>
      <c r="AS181" s="102" t="s">
        <v>112</v>
      </c>
      <c r="AT181" s="152" t="s">
        <v>602</v>
      </c>
      <c r="AU181" s="166" t="s">
        <v>2264</v>
      </c>
      <c r="AV181" s="247" t="s">
        <v>2234</v>
      </c>
      <c r="AW181" s="136" t="s">
        <v>2267</v>
      </c>
      <c r="AX181" s="136" t="s">
        <v>2364</v>
      </c>
      <c r="AY181" s="136" t="s">
        <v>2376</v>
      </c>
      <c r="BA181" s="272">
        <v>1</v>
      </c>
      <c r="BB181" s="273">
        <v>1</v>
      </c>
      <c r="BC181" s="209">
        <f t="shared" si="99"/>
        <v>1</v>
      </c>
      <c r="BD181" s="272">
        <v>1</v>
      </c>
      <c r="BE181" s="273">
        <v>1</v>
      </c>
      <c r="BF181" s="209">
        <f t="shared" si="100"/>
        <v>1</v>
      </c>
      <c r="BG181" s="272">
        <v>2</v>
      </c>
      <c r="BH181" s="273">
        <v>2</v>
      </c>
      <c r="BI181" s="209">
        <f t="shared" si="101"/>
        <v>1</v>
      </c>
      <c r="BJ181" s="210">
        <f t="shared" si="102"/>
        <v>4</v>
      </c>
      <c r="BK181" s="211">
        <f t="shared" si="103"/>
        <v>4</v>
      </c>
      <c r="BL181" s="209">
        <f t="shared" si="104"/>
        <v>1</v>
      </c>
      <c r="BM181" s="272">
        <v>2</v>
      </c>
      <c r="BN181" s="273">
        <v>2</v>
      </c>
      <c r="BO181" s="209">
        <f t="shared" si="129"/>
        <v>1</v>
      </c>
      <c r="BP181" s="272">
        <v>2</v>
      </c>
      <c r="BQ181" s="273">
        <v>2</v>
      </c>
      <c r="BR181" s="209">
        <f t="shared" si="130"/>
        <v>1</v>
      </c>
      <c r="BS181" s="272">
        <v>2</v>
      </c>
      <c r="BT181" s="272">
        <v>2</v>
      </c>
      <c r="BU181" s="209">
        <f t="shared" si="131"/>
        <v>1</v>
      </c>
      <c r="BV181" s="210">
        <f t="shared" si="105"/>
        <v>6</v>
      </c>
      <c r="BW181" s="210">
        <f t="shared" si="106"/>
        <v>6</v>
      </c>
      <c r="BX181" s="209">
        <f t="shared" si="107"/>
        <v>1</v>
      </c>
      <c r="BY181" s="209">
        <f t="shared" si="108"/>
        <v>0.45454545454545453</v>
      </c>
      <c r="BZ181" s="209">
        <f t="shared" si="109"/>
        <v>-0.45454545454545453</v>
      </c>
      <c r="CA181" s="212"/>
      <c r="CB181" s="245"/>
      <c r="CC181" s="183">
        <v>2</v>
      </c>
      <c r="CD181" s="184"/>
      <c r="CE181" s="185">
        <f t="shared" si="132"/>
        <v>0</v>
      </c>
      <c r="CF181" s="183">
        <v>2</v>
      </c>
      <c r="CG181" s="184"/>
      <c r="CH181" s="185">
        <f t="shared" si="133"/>
        <v>0</v>
      </c>
      <c r="CI181" s="189"/>
      <c r="CJ181" s="190"/>
      <c r="CK181" s="185" t="e">
        <f t="shared" si="134"/>
        <v>#DIV/0!</v>
      </c>
      <c r="CL181" s="187">
        <f t="shared" si="135"/>
        <v>4</v>
      </c>
      <c r="CM181" s="186">
        <f t="shared" si="136"/>
        <v>0</v>
      </c>
      <c r="CN181" s="185">
        <f t="shared" si="137"/>
        <v>0</v>
      </c>
      <c r="CO181" s="245"/>
      <c r="CP181" s="188">
        <f t="shared" si="138"/>
        <v>14</v>
      </c>
      <c r="CQ181" s="188">
        <f t="shared" si="139"/>
        <v>10</v>
      </c>
      <c r="CR181" s="191">
        <f t="shared" si="140"/>
        <v>0.7142857142857143</v>
      </c>
      <c r="CS181" s="279">
        <f t="shared" si="110"/>
        <v>12</v>
      </c>
      <c r="CT181" s="245"/>
      <c r="CU181" s="188">
        <f t="shared" si="111"/>
        <v>3.5999999999999996</v>
      </c>
      <c r="CV181" s="277"/>
      <c r="CW181" s="191">
        <f t="shared" si="112"/>
        <v>0</v>
      </c>
      <c r="CX181" s="188">
        <f t="shared" si="113"/>
        <v>3.5999999999999996</v>
      </c>
      <c r="CY181" s="277"/>
      <c r="CZ181" s="191">
        <f t="shared" si="114"/>
        <v>0</v>
      </c>
      <c r="DA181" s="188">
        <f t="shared" si="115"/>
        <v>3.5999999999999996</v>
      </c>
      <c r="DB181" s="277"/>
      <c r="DC181" s="191">
        <f t="shared" si="116"/>
        <v>0</v>
      </c>
      <c r="DD181" s="188">
        <f t="shared" si="117"/>
        <v>1.2000000000000002</v>
      </c>
      <c r="DE181" s="277"/>
      <c r="DF181" s="191">
        <f t="shared" si="118"/>
        <v>0</v>
      </c>
      <c r="DG181" s="245"/>
      <c r="DH181" s="188">
        <f t="shared" si="119"/>
        <v>22</v>
      </c>
      <c r="DI181" s="188">
        <f t="shared" si="120"/>
        <v>10</v>
      </c>
      <c r="DJ181" s="191">
        <f t="shared" si="121"/>
        <v>0.45454545454545453</v>
      </c>
      <c r="DK181" s="286">
        <f t="shared" si="122"/>
        <v>12</v>
      </c>
      <c r="DL181" s="264">
        <v>177</v>
      </c>
      <c r="DM181" s="244">
        <f>+A181-DL181</f>
        <v>0</v>
      </c>
    </row>
    <row r="182" spans="1:117" ht="25" x14ac:dyDescent="0.35">
      <c r="A182" s="266">
        <v>178</v>
      </c>
      <c r="B182" s="102" t="s">
        <v>270</v>
      </c>
      <c r="C182" s="102" t="s">
        <v>118</v>
      </c>
      <c r="D182" s="102" t="s">
        <v>119</v>
      </c>
      <c r="E182" s="102" t="s">
        <v>120</v>
      </c>
      <c r="F182" s="102" t="s">
        <v>598</v>
      </c>
      <c r="G182" s="98" t="s">
        <v>186</v>
      </c>
      <c r="H182" s="111" t="s">
        <v>187</v>
      </c>
      <c r="I182" s="98" t="s">
        <v>103</v>
      </c>
      <c r="J182" s="98" t="s">
        <v>103</v>
      </c>
      <c r="K182" s="96" t="s">
        <v>183</v>
      </c>
      <c r="L182" s="96" t="s">
        <v>424</v>
      </c>
      <c r="M182" s="98" t="s">
        <v>106</v>
      </c>
      <c r="N182" s="98" t="s">
        <v>600</v>
      </c>
      <c r="O182" s="98" t="s">
        <v>127</v>
      </c>
      <c r="P182" s="259" t="s">
        <v>603</v>
      </c>
      <c r="Q182" s="98" t="s">
        <v>129</v>
      </c>
      <c r="R182" s="301">
        <v>5</v>
      </c>
      <c r="S182" s="99" t="s">
        <v>111</v>
      </c>
      <c r="T182" s="81">
        <v>0</v>
      </c>
      <c r="U182" s="81">
        <v>0</v>
      </c>
      <c r="V182" s="25" t="e">
        <f t="shared" si="143"/>
        <v>#DIV/0!</v>
      </c>
      <c r="W182" s="81">
        <v>1</v>
      </c>
      <c r="X182" s="81">
        <v>4</v>
      </c>
      <c r="Y182" s="25">
        <f t="shared" si="1"/>
        <v>400</v>
      </c>
      <c r="Z182" s="81">
        <v>4</v>
      </c>
      <c r="AA182" s="81"/>
      <c r="AB182" s="25">
        <f t="shared" si="2"/>
        <v>0</v>
      </c>
      <c r="AC182" s="81">
        <v>0</v>
      </c>
      <c r="AD182" s="81"/>
      <c r="AE182" s="25" t="e">
        <f t="shared" si="3"/>
        <v>#DIV/0!</v>
      </c>
      <c r="AF182" s="140">
        <f t="shared" si="127"/>
        <v>5</v>
      </c>
      <c r="AG182" s="140">
        <f t="shared" si="128"/>
        <v>4</v>
      </c>
      <c r="AH182" s="138">
        <f t="shared" si="125"/>
        <v>400</v>
      </c>
      <c r="AI182" s="101">
        <v>46113</v>
      </c>
      <c r="AJ182" s="101">
        <v>46477</v>
      </c>
      <c r="AK182" s="102" t="s">
        <v>112</v>
      </c>
      <c r="AL182" s="102" t="s">
        <v>604</v>
      </c>
      <c r="AM182" s="103" t="s">
        <v>605</v>
      </c>
      <c r="AN182" s="104">
        <v>218000000</v>
      </c>
      <c r="AO182" s="104">
        <v>218000000</v>
      </c>
      <c r="AP182" s="104">
        <v>218000000</v>
      </c>
      <c r="AQ182" s="326">
        <v>0</v>
      </c>
      <c r="AR182" s="102" t="s">
        <v>159</v>
      </c>
      <c r="AS182" s="102" t="s">
        <v>112</v>
      </c>
      <c r="AT182" s="152" t="s">
        <v>602</v>
      </c>
      <c r="AU182" s="166" t="s">
        <v>2264</v>
      </c>
      <c r="AV182" s="247" t="s">
        <v>2234</v>
      </c>
      <c r="AW182" s="136" t="s">
        <v>2267</v>
      </c>
      <c r="AX182" s="136" t="s">
        <v>2364</v>
      </c>
      <c r="AY182" s="136" t="s">
        <v>2376</v>
      </c>
      <c r="BA182" s="272">
        <v>0</v>
      </c>
      <c r="BB182" s="273">
        <v>0</v>
      </c>
      <c r="BC182" s="209" t="e">
        <f t="shared" si="99"/>
        <v>#DIV/0!</v>
      </c>
      <c r="BD182" s="272">
        <v>0</v>
      </c>
      <c r="BE182" s="273">
        <v>0</v>
      </c>
      <c r="BF182" s="209" t="e">
        <f t="shared" si="100"/>
        <v>#DIV/0!</v>
      </c>
      <c r="BG182" s="272">
        <v>0</v>
      </c>
      <c r="BH182" s="273">
        <v>0</v>
      </c>
      <c r="BI182" s="209" t="e">
        <f t="shared" si="101"/>
        <v>#DIV/0!</v>
      </c>
      <c r="BJ182" s="210">
        <f t="shared" si="102"/>
        <v>0</v>
      </c>
      <c r="BK182" s="211">
        <f t="shared" si="103"/>
        <v>0</v>
      </c>
      <c r="BL182" s="209" t="e">
        <f t="shared" si="104"/>
        <v>#DIV/0!</v>
      </c>
      <c r="BM182" s="272">
        <v>0</v>
      </c>
      <c r="BN182" s="273">
        <v>0</v>
      </c>
      <c r="BO182" s="209" t="e">
        <f t="shared" si="129"/>
        <v>#DIV/0!</v>
      </c>
      <c r="BP182" s="272">
        <v>1</v>
      </c>
      <c r="BQ182" s="273">
        <v>4</v>
      </c>
      <c r="BR182" s="209">
        <f t="shared" si="130"/>
        <v>4</v>
      </c>
      <c r="BS182" s="272">
        <v>0</v>
      </c>
      <c r="BT182" s="272">
        <v>0</v>
      </c>
      <c r="BU182" s="209" t="e">
        <f t="shared" si="131"/>
        <v>#DIV/0!</v>
      </c>
      <c r="BV182" s="210">
        <f t="shared" si="105"/>
        <v>1</v>
      </c>
      <c r="BW182" s="210">
        <f t="shared" si="106"/>
        <v>4</v>
      </c>
      <c r="BX182" s="209">
        <f t="shared" si="107"/>
        <v>4</v>
      </c>
      <c r="BY182" s="209">
        <f t="shared" si="108"/>
        <v>0.8</v>
      </c>
      <c r="BZ182" s="209">
        <f t="shared" si="109"/>
        <v>-0.8</v>
      </c>
      <c r="CA182" s="212"/>
      <c r="CB182" s="245"/>
      <c r="CC182" s="183">
        <v>1</v>
      </c>
      <c r="CD182" s="184"/>
      <c r="CE182" s="185">
        <f t="shared" si="132"/>
        <v>0</v>
      </c>
      <c r="CF182" s="183">
        <v>1</v>
      </c>
      <c r="CG182" s="184"/>
      <c r="CH182" s="185">
        <f t="shared" si="133"/>
        <v>0</v>
      </c>
      <c r="CI182" s="189"/>
      <c r="CJ182" s="190"/>
      <c r="CK182" s="185" t="e">
        <f t="shared" si="134"/>
        <v>#DIV/0!</v>
      </c>
      <c r="CL182" s="187">
        <f t="shared" si="135"/>
        <v>2</v>
      </c>
      <c r="CM182" s="186">
        <f t="shared" si="136"/>
        <v>0</v>
      </c>
      <c r="CN182" s="185">
        <f t="shared" si="137"/>
        <v>0</v>
      </c>
      <c r="CO182" s="245"/>
      <c r="CP182" s="188">
        <f t="shared" si="138"/>
        <v>3</v>
      </c>
      <c r="CQ182" s="188">
        <f t="shared" si="139"/>
        <v>4</v>
      </c>
      <c r="CR182" s="191">
        <f t="shared" si="140"/>
        <v>1.3333333333333333</v>
      </c>
      <c r="CS182" s="279">
        <f t="shared" si="110"/>
        <v>1</v>
      </c>
      <c r="CT182" s="245"/>
      <c r="CU182" s="188">
        <f t="shared" si="111"/>
        <v>0.3</v>
      </c>
      <c r="CV182" s="277"/>
      <c r="CW182" s="191">
        <f t="shared" si="112"/>
        <v>0</v>
      </c>
      <c r="CX182" s="188">
        <f t="shared" si="113"/>
        <v>0.3</v>
      </c>
      <c r="CY182" s="277"/>
      <c r="CZ182" s="191">
        <f t="shared" si="114"/>
        <v>0</v>
      </c>
      <c r="DA182" s="188">
        <f t="shared" si="115"/>
        <v>0.3</v>
      </c>
      <c r="DB182" s="277"/>
      <c r="DC182" s="191">
        <f t="shared" si="116"/>
        <v>0</v>
      </c>
      <c r="DD182" s="188">
        <f t="shared" si="117"/>
        <v>0.1</v>
      </c>
      <c r="DE182" s="277"/>
      <c r="DF182" s="191">
        <f t="shared" si="118"/>
        <v>0</v>
      </c>
      <c r="DG182" s="245"/>
      <c r="DH182" s="188">
        <f t="shared" si="119"/>
        <v>5</v>
      </c>
      <c r="DI182" s="188">
        <f t="shared" si="120"/>
        <v>4</v>
      </c>
      <c r="DJ182" s="191">
        <f t="shared" si="121"/>
        <v>0.8</v>
      </c>
      <c r="DK182" s="286">
        <f t="shared" si="122"/>
        <v>1</v>
      </c>
      <c r="DL182" s="264">
        <v>178</v>
      </c>
      <c r="DM182" s="244">
        <f>+A182-DL182</f>
        <v>0</v>
      </c>
    </row>
    <row r="183" spans="1:117" ht="25" x14ac:dyDescent="0.35">
      <c r="A183" s="266">
        <v>179</v>
      </c>
      <c r="B183" s="102" t="s">
        <v>270</v>
      </c>
      <c r="C183" s="102" t="s">
        <v>118</v>
      </c>
      <c r="D183" s="102" t="s">
        <v>119</v>
      </c>
      <c r="E183" s="102" t="s">
        <v>120</v>
      </c>
      <c r="F183" s="102" t="s">
        <v>240</v>
      </c>
      <c r="G183" s="98" t="s">
        <v>186</v>
      </c>
      <c r="H183" s="98" t="s">
        <v>187</v>
      </c>
      <c r="I183" s="98" t="s">
        <v>103</v>
      </c>
      <c r="J183" s="98" t="s">
        <v>103</v>
      </c>
      <c r="K183" s="96" t="s">
        <v>183</v>
      </c>
      <c r="L183" s="96" t="s">
        <v>424</v>
      </c>
      <c r="M183" s="98" t="s">
        <v>106</v>
      </c>
      <c r="N183" s="98" t="s">
        <v>600</v>
      </c>
      <c r="O183" s="98" t="s">
        <v>127</v>
      </c>
      <c r="P183" s="259" t="s">
        <v>606</v>
      </c>
      <c r="Q183" s="98" t="s">
        <v>129</v>
      </c>
      <c r="R183" s="301">
        <v>1</v>
      </c>
      <c r="S183" s="99" t="s">
        <v>607</v>
      </c>
      <c r="T183" s="81">
        <v>0</v>
      </c>
      <c r="U183" s="81">
        <v>0</v>
      </c>
      <c r="V183" s="25" t="e">
        <f t="shared" si="143"/>
        <v>#DIV/0!</v>
      </c>
      <c r="W183" s="81">
        <v>0</v>
      </c>
      <c r="X183" s="81">
        <v>0</v>
      </c>
      <c r="Y183" s="25" t="e">
        <f t="shared" si="1"/>
        <v>#DIV/0!</v>
      </c>
      <c r="Z183" s="81">
        <v>1</v>
      </c>
      <c r="AA183" s="81"/>
      <c r="AB183" s="25">
        <f t="shared" si="2"/>
        <v>0</v>
      </c>
      <c r="AC183" s="81">
        <v>0</v>
      </c>
      <c r="AD183" s="81"/>
      <c r="AE183" s="25" t="e">
        <f t="shared" si="3"/>
        <v>#DIV/0!</v>
      </c>
      <c r="AF183" s="140">
        <f t="shared" si="127"/>
        <v>1</v>
      </c>
      <c r="AG183" s="140">
        <f t="shared" si="128"/>
        <v>0</v>
      </c>
      <c r="AH183" s="138" t="e">
        <f t="shared" si="125"/>
        <v>#DIV/0!</v>
      </c>
      <c r="AI183" s="101">
        <v>46113</v>
      </c>
      <c r="AJ183" s="101">
        <v>46477</v>
      </c>
      <c r="AK183" s="102" t="s">
        <v>112</v>
      </c>
      <c r="AL183" s="102" t="s">
        <v>604</v>
      </c>
      <c r="AM183" s="103" t="s">
        <v>605</v>
      </c>
      <c r="AN183" s="104">
        <v>190000000</v>
      </c>
      <c r="AO183" s="104">
        <v>190000000</v>
      </c>
      <c r="AP183" s="104">
        <v>190000000</v>
      </c>
      <c r="AQ183" s="326">
        <v>0</v>
      </c>
      <c r="AR183" s="102" t="s">
        <v>159</v>
      </c>
      <c r="AS183" s="102" t="s">
        <v>112</v>
      </c>
      <c r="AT183" s="152" t="s">
        <v>602</v>
      </c>
      <c r="AU183" s="166" t="s">
        <v>2264</v>
      </c>
      <c r="AV183" s="247" t="s">
        <v>2234</v>
      </c>
      <c r="AW183" s="136" t="s">
        <v>2267</v>
      </c>
      <c r="AX183" s="136" t="s">
        <v>2364</v>
      </c>
      <c r="AY183" s="136" t="s">
        <v>2376</v>
      </c>
      <c r="BA183" s="272">
        <v>0</v>
      </c>
      <c r="BB183" s="273">
        <v>0</v>
      </c>
      <c r="BC183" s="209" t="e">
        <f t="shared" si="99"/>
        <v>#DIV/0!</v>
      </c>
      <c r="BD183" s="272">
        <v>0</v>
      </c>
      <c r="BE183" s="273">
        <v>0</v>
      </c>
      <c r="BF183" s="209" t="e">
        <f t="shared" si="100"/>
        <v>#DIV/0!</v>
      </c>
      <c r="BG183" s="272">
        <v>0</v>
      </c>
      <c r="BH183" s="273">
        <v>0</v>
      </c>
      <c r="BI183" s="209" t="e">
        <f t="shared" si="101"/>
        <v>#DIV/0!</v>
      </c>
      <c r="BJ183" s="210">
        <f t="shared" si="102"/>
        <v>0</v>
      </c>
      <c r="BK183" s="211">
        <f t="shared" si="103"/>
        <v>0</v>
      </c>
      <c r="BL183" s="209" t="e">
        <f t="shared" si="104"/>
        <v>#DIV/0!</v>
      </c>
      <c r="BM183" s="272">
        <v>0</v>
      </c>
      <c r="BN183" s="273">
        <v>0</v>
      </c>
      <c r="BO183" s="209" t="e">
        <f t="shared" si="129"/>
        <v>#DIV/0!</v>
      </c>
      <c r="BP183" s="272">
        <v>0</v>
      </c>
      <c r="BQ183" s="273">
        <v>0</v>
      </c>
      <c r="BR183" s="209" t="e">
        <f t="shared" si="130"/>
        <v>#DIV/0!</v>
      </c>
      <c r="BS183" s="272">
        <v>0</v>
      </c>
      <c r="BT183" s="272">
        <v>0</v>
      </c>
      <c r="BU183" s="209" t="e">
        <f t="shared" si="131"/>
        <v>#DIV/0!</v>
      </c>
      <c r="BV183" s="210">
        <f t="shared" si="105"/>
        <v>0</v>
      </c>
      <c r="BW183" s="210">
        <f t="shared" si="106"/>
        <v>0</v>
      </c>
      <c r="BX183" s="209" t="e">
        <f t="shared" si="107"/>
        <v>#DIV/0!</v>
      </c>
      <c r="BY183" s="209">
        <f t="shared" si="108"/>
        <v>0</v>
      </c>
      <c r="BZ183" s="209">
        <f t="shared" si="109"/>
        <v>0</v>
      </c>
      <c r="CA183" s="212"/>
      <c r="CB183" s="245"/>
      <c r="CC183" s="183">
        <v>1</v>
      </c>
      <c r="CD183" s="184">
        <v>0.33</v>
      </c>
      <c r="CE183" s="185">
        <f t="shared" si="132"/>
        <v>0.33</v>
      </c>
      <c r="CF183" s="183">
        <v>0</v>
      </c>
      <c r="CG183" s="184">
        <v>0.33</v>
      </c>
      <c r="CH183" s="185" t="e">
        <f t="shared" si="133"/>
        <v>#DIV/0!</v>
      </c>
      <c r="CI183" s="189"/>
      <c r="CJ183" s="190"/>
      <c r="CK183" s="185" t="e">
        <f t="shared" si="134"/>
        <v>#DIV/0!</v>
      </c>
      <c r="CL183" s="187">
        <f t="shared" si="135"/>
        <v>1</v>
      </c>
      <c r="CM183" s="186">
        <f t="shared" si="136"/>
        <v>0.66</v>
      </c>
      <c r="CN183" s="185">
        <f t="shared" si="137"/>
        <v>0.66</v>
      </c>
      <c r="CO183" s="245"/>
      <c r="CP183" s="188">
        <f t="shared" si="138"/>
        <v>1</v>
      </c>
      <c r="CQ183" s="188">
        <f t="shared" si="139"/>
        <v>0.66</v>
      </c>
      <c r="CR183" s="191">
        <f t="shared" si="140"/>
        <v>0.66</v>
      </c>
      <c r="CS183" s="279">
        <f t="shared" si="110"/>
        <v>0.33999999999999997</v>
      </c>
      <c r="CT183" s="245"/>
      <c r="CU183" s="188">
        <f t="shared" si="111"/>
        <v>0.10199999999999999</v>
      </c>
      <c r="CV183" s="277"/>
      <c r="CW183" s="191">
        <f t="shared" si="112"/>
        <v>0</v>
      </c>
      <c r="CX183" s="188">
        <f t="shared" si="113"/>
        <v>0.10199999999999999</v>
      </c>
      <c r="CY183" s="277"/>
      <c r="CZ183" s="191">
        <f t="shared" si="114"/>
        <v>0</v>
      </c>
      <c r="DA183" s="188">
        <f t="shared" si="115"/>
        <v>0.10199999999999999</v>
      </c>
      <c r="DB183" s="277"/>
      <c r="DC183" s="191">
        <f t="shared" si="116"/>
        <v>0</v>
      </c>
      <c r="DD183" s="188">
        <f t="shared" si="117"/>
        <v>3.3999999999999996E-2</v>
      </c>
      <c r="DE183" s="277"/>
      <c r="DF183" s="191">
        <f t="shared" si="118"/>
        <v>0</v>
      </c>
      <c r="DG183" s="245"/>
      <c r="DH183" s="188">
        <f t="shared" si="119"/>
        <v>1</v>
      </c>
      <c r="DI183" s="188">
        <f t="shared" si="120"/>
        <v>0.66</v>
      </c>
      <c r="DJ183" s="191">
        <f t="shared" si="121"/>
        <v>0.66</v>
      </c>
      <c r="DK183" s="286">
        <f t="shared" si="122"/>
        <v>0.33999999999999997</v>
      </c>
      <c r="DL183" s="264">
        <v>179</v>
      </c>
      <c r="DM183" s="244">
        <f>+A183-DL183</f>
        <v>0</v>
      </c>
    </row>
    <row r="184" spans="1:117" ht="50" x14ac:dyDescent="0.35">
      <c r="A184" s="266">
        <v>180</v>
      </c>
      <c r="B184" s="102" t="s">
        <v>270</v>
      </c>
      <c r="C184" s="102" t="s">
        <v>118</v>
      </c>
      <c r="D184" s="102" t="s">
        <v>119</v>
      </c>
      <c r="E184" s="102" t="s">
        <v>120</v>
      </c>
      <c r="F184" s="102" t="s">
        <v>598</v>
      </c>
      <c r="G184" s="98" t="s">
        <v>186</v>
      </c>
      <c r="H184" s="98" t="s">
        <v>187</v>
      </c>
      <c r="I184" s="98" t="s">
        <v>103</v>
      </c>
      <c r="J184" s="98" t="s">
        <v>103</v>
      </c>
      <c r="K184" s="96" t="s">
        <v>183</v>
      </c>
      <c r="L184" s="96" t="s">
        <v>424</v>
      </c>
      <c r="M184" s="98" t="s">
        <v>106</v>
      </c>
      <c r="N184" s="98" t="s">
        <v>600</v>
      </c>
      <c r="O184" s="98" t="s">
        <v>127</v>
      </c>
      <c r="P184" s="241" t="s">
        <v>608</v>
      </c>
      <c r="Q184" s="98" t="s">
        <v>129</v>
      </c>
      <c r="R184" s="301">
        <v>100</v>
      </c>
      <c r="S184" s="99" t="s">
        <v>158</v>
      </c>
      <c r="T184" s="81">
        <v>10</v>
      </c>
      <c r="U184" s="81">
        <v>92</v>
      </c>
      <c r="V184" s="25">
        <f t="shared" si="143"/>
        <v>919.99999999999989</v>
      </c>
      <c r="W184" s="81">
        <v>30</v>
      </c>
      <c r="X184" s="81">
        <v>84</v>
      </c>
      <c r="Y184" s="25">
        <f t="shared" si="1"/>
        <v>280</v>
      </c>
      <c r="Z184" s="81">
        <v>30</v>
      </c>
      <c r="AA184" s="81"/>
      <c r="AB184" s="25">
        <f t="shared" si="2"/>
        <v>0</v>
      </c>
      <c r="AC184" s="81">
        <v>30</v>
      </c>
      <c r="AD184" s="81"/>
      <c r="AE184" s="25">
        <f t="shared" si="3"/>
        <v>0</v>
      </c>
      <c r="AF184" s="140">
        <f t="shared" si="127"/>
        <v>100</v>
      </c>
      <c r="AG184" s="140">
        <f t="shared" si="128"/>
        <v>176</v>
      </c>
      <c r="AH184" s="138">
        <f t="shared" si="125"/>
        <v>440.00000000000006</v>
      </c>
      <c r="AI184" s="101">
        <v>46113</v>
      </c>
      <c r="AJ184" s="101">
        <v>46477</v>
      </c>
      <c r="AK184" s="102" t="s">
        <v>112</v>
      </c>
      <c r="AL184" s="102" t="s">
        <v>604</v>
      </c>
      <c r="AM184" s="103" t="s">
        <v>605</v>
      </c>
      <c r="AN184" s="324"/>
      <c r="AO184" s="324"/>
      <c r="AP184" s="324"/>
      <c r="AQ184" s="326">
        <v>0</v>
      </c>
      <c r="AR184" s="102" t="s">
        <v>159</v>
      </c>
      <c r="AS184" s="102" t="s">
        <v>112</v>
      </c>
      <c r="AT184" s="152" t="s">
        <v>602</v>
      </c>
      <c r="AU184" s="166" t="s">
        <v>2264</v>
      </c>
      <c r="AV184" s="247" t="s">
        <v>2234</v>
      </c>
      <c r="AW184" s="136" t="s">
        <v>2267</v>
      </c>
      <c r="AX184" s="136" t="s">
        <v>2364</v>
      </c>
      <c r="AY184" s="136" t="s">
        <v>2376</v>
      </c>
      <c r="BA184" s="272">
        <v>2</v>
      </c>
      <c r="BB184" s="273">
        <v>1</v>
      </c>
      <c r="BC184" s="209">
        <f t="shared" si="99"/>
        <v>0.5</v>
      </c>
      <c r="BD184" s="272">
        <v>3</v>
      </c>
      <c r="BE184" s="273">
        <v>30</v>
      </c>
      <c r="BF184" s="209">
        <f t="shared" si="100"/>
        <v>10</v>
      </c>
      <c r="BG184" s="272">
        <v>5</v>
      </c>
      <c r="BH184" s="273">
        <v>34</v>
      </c>
      <c r="BI184" s="209">
        <f t="shared" si="101"/>
        <v>6.8</v>
      </c>
      <c r="BJ184" s="210">
        <f t="shared" si="102"/>
        <v>10</v>
      </c>
      <c r="BK184" s="211">
        <f t="shared" si="103"/>
        <v>65</v>
      </c>
      <c r="BL184" s="209">
        <f t="shared" si="104"/>
        <v>6.5</v>
      </c>
      <c r="BM184" s="272">
        <v>10</v>
      </c>
      <c r="BN184" s="273">
        <v>37</v>
      </c>
      <c r="BO184" s="209">
        <f t="shared" si="129"/>
        <v>3.7</v>
      </c>
      <c r="BP184" s="272">
        <v>10</v>
      </c>
      <c r="BQ184" s="273">
        <v>22</v>
      </c>
      <c r="BR184" s="209">
        <f t="shared" si="130"/>
        <v>2.2000000000000002</v>
      </c>
      <c r="BS184" s="272">
        <v>10</v>
      </c>
      <c r="BT184" s="272">
        <v>25</v>
      </c>
      <c r="BU184" s="209">
        <f t="shared" si="131"/>
        <v>2.5</v>
      </c>
      <c r="BV184" s="210">
        <f t="shared" si="105"/>
        <v>30</v>
      </c>
      <c r="BW184" s="210">
        <f t="shared" si="106"/>
        <v>84</v>
      </c>
      <c r="BX184" s="209">
        <f t="shared" si="107"/>
        <v>2.8</v>
      </c>
      <c r="BY184" s="209">
        <f t="shared" si="108"/>
        <v>1.49</v>
      </c>
      <c r="BZ184" s="209">
        <f t="shared" si="109"/>
        <v>-1.49</v>
      </c>
      <c r="CA184" s="212"/>
      <c r="CB184" s="245"/>
      <c r="CC184" s="183">
        <v>10</v>
      </c>
      <c r="CD184" s="184"/>
      <c r="CE184" s="185">
        <f t="shared" si="132"/>
        <v>0</v>
      </c>
      <c r="CF184" s="183">
        <v>10</v>
      </c>
      <c r="CG184" s="184"/>
      <c r="CH184" s="185">
        <f t="shared" si="133"/>
        <v>0</v>
      </c>
      <c r="CI184" s="189"/>
      <c r="CJ184" s="190"/>
      <c r="CK184" s="185" t="e">
        <f t="shared" si="134"/>
        <v>#DIV/0!</v>
      </c>
      <c r="CL184" s="187">
        <f t="shared" si="135"/>
        <v>20</v>
      </c>
      <c r="CM184" s="186">
        <f t="shared" si="136"/>
        <v>0</v>
      </c>
      <c r="CN184" s="185">
        <f t="shared" si="137"/>
        <v>0</v>
      </c>
      <c r="CO184" s="245"/>
      <c r="CP184" s="188">
        <f t="shared" si="138"/>
        <v>60</v>
      </c>
      <c r="CQ184" s="188">
        <f t="shared" si="139"/>
        <v>149</v>
      </c>
      <c r="CR184" s="191">
        <f t="shared" si="140"/>
        <v>2.4833333333333334</v>
      </c>
      <c r="CS184" s="279">
        <f t="shared" si="110"/>
        <v>-49</v>
      </c>
      <c r="CT184" s="245"/>
      <c r="CU184" s="188">
        <f t="shared" si="111"/>
        <v>-14.7</v>
      </c>
      <c r="CV184" s="277"/>
      <c r="CW184" s="191">
        <f t="shared" si="112"/>
        <v>0</v>
      </c>
      <c r="CX184" s="188">
        <f t="shared" si="113"/>
        <v>-14.7</v>
      </c>
      <c r="CY184" s="277"/>
      <c r="CZ184" s="191">
        <f t="shared" si="114"/>
        <v>0</v>
      </c>
      <c r="DA184" s="188">
        <f t="shared" si="115"/>
        <v>-14.7</v>
      </c>
      <c r="DB184" s="277"/>
      <c r="DC184" s="191">
        <f t="shared" si="116"/>
        <v>0</v>
      </c>
      <c r="DD184" s="188">
        <f t="shared" si="117"/>
        <v>-4.9000000000000004</v>
      </c>
      <c r="DE184" s="277"/>
      <c r="DF184" s="191">
        <f t="shared" si="118"/>
        <v>0</v>
      </c>
      <c r="DG184" s="245"/>
      <c r="DH184" s="188">
        <f t="shared" si="119"/>
        <v>100</v>
      </c>
      <c r="DI184" s="188">
        <f t="shared" si="120"/>
        <v>149</v>
      </c>
      <c r="DJ184" s="191">
        <f t="shared" si="121"/>
        <v>1.49</v>
      </c>
      <c r="DK184" s="286">
        <f t="shared" si="122"/>
        <v>-49</v>
      </c>
      <c r="DL184" s="264">
        <v>180</v>
      </c>
      <c r="DM184" s="244">
        <f>+A184-DL184</f>
        <v>0</v>
      </c>
    </row>
    <row r="185" spans="1:117" ht="50" x14ac:dyDescent="0.35">
      <c r="A185" s="266">
        <v>181</v>
      </c>
      <c r="B185" s="102" t="s">
        <v>270</v>
      </c>
      <c r="C185" s="102" t="s">
        <v>118</v>
      </c>
      <c r="D185" s="102" t="s">
        <v>119</v>
      </c>
      <c r="E185" s="102" t="s">
        <v>212</v>
      </c>
      <c r="F185" s="102" t="s">
        <v>438</v>
      </c>
      <c r="G185" s="98" t="s">
        <v>186</v>
      </c>
      <c r="H185" s="98" t="s">
        <v>187</v>
      </c>
      <c r="I185" s="98" t="s">
        <v>103</v>
      </c>
      <c r="J185" s="98" t="s">
        <v>103</v>
      </c>
      <c r="K185" s="96" t="s">
        <v>183</v>
      </c>
      <c r="L185" s="96" t="s">
        <v>424</v>
      </c>
      <c r="M185" s="98" t="s">
        <v>106</v>
      </c>
      <c r="N185" s="98" t="s">
        <v>600</v>
      </c>
      <c r="O185" s="98" t="s">
        <v>127</v>
      </c>
      <c r="P185" s="259" t="s">
        <v>609</v>
      </c>
      <c r="Q185" s="98" t="s">
        <v>129</v>
      </c>
      <c r="R185" s="301">
        <v>1</v>
      </c>
      <c r="S185" s="99" t="s">
        <v>607</v>
      </c>
      <c r="T185" s="81">
        <v>0</v>
      </c>
      <c r="U185" s="81">
        <v>0</v>
      </c>
      <c r="V185" s="25" t="e">
        <f t="shared" si="143"/>
        <v>#DIV/0!</v>
      </c>
      <c r="W185" s="81">
        <v>0</v>
      </c>
      <c r="X185" s="81">
        <v>0</v>
      </c>
      <c r="Y185" s="25" t="e">
        <f t="shared" si="1"/>
        <v>#DIV/0!</v>
      </c>
      <c r="Z185" s="81">
        <v>0</v>
      </c>
      <c r="AA185" s="81"/>
      <c r="AB185" s="25" t="e">
        <f t="shared" si="2"/>
        <v>#DIV/0!</v>
      </c>
      <c r="AC185" s="81">
        <v>1</v>
      </c>
      <c r="AD185" s="81"/>
      <c r="AE185" s="25">
        <f t="shared" si="3"/>
        <v>0</v>
      </c>
      <c r="AF185" s="140">
        <f t="shared" si="127"/>
        <v>1</v>
      </c>
      <c r="AG185" s="140">
        <f t="shared" si="128"/>
        <v>0</v>
      </c>
      <c r="AH185" s="138" t="e">
        <f t="shared" si="125"/>
        <v>#DIV/0!</v>
      </c>
      <c r="AI185" s="101">
        <v>46113</v>
      </c>
      <c r="AJ185" s="101">
        <v>46477</v>
      </c>
      <c r="AK185" s="102" t="s">
        <v>112</v>
      </c>
      <c r="AL185" s="102" t="s">
        <v>113</v>
      </c>
      <c r="AM185" s="103" t="s">
        <v>114</v>
      </c>
      <c r="AN185" s="104">
        <v>60000000</v>
      </c>
      <c r="AO185" s="104">
        <v>60000000</v>
      </c>
      <c r="AP185" s="104">
        <v>60000000</v>
      </c>
      <c r="AQ185" s="326">
        <v>0</v>
      </c>
      <c r="AR185" s="322"/>
      <c r="AS185" s="102" t="s">
        <v>112</v>
      </c>
      <c r="AT185" s="152" t="s">
        <v>602</v>
      </c>
      <c r="AU185" s="166" t="s">
        <v>2264</v>
      </c>
      <c r="AV185" s="247" t="s">
        <v>2234</v>
      </c>
      <c r="AW185" s="136" t="s">
        <v>2267</v>
      </c>
      <c r="AX185" s="136" t="s">
        <v>2364</v>
      </c>
      <c r="AY185" s="136" t="s">
        <v>2376</v>
      </c>
      <c r="BA185" s="272">
        <v>0</v>
      </c>
      <c r="BB185" s="273">
        <v>0</v>
      </c>
      <c r="BC185" s="209" t="e">
        <f t="shared" si="99"/>
        <v>#DIV/0!</v>
      </c>
      <c r="BD185" s="272">
        <v>0</v>
      </c>
      <c r="BE185" s="273">
        <v>0</v>
      </c>
      <c r="BF185" s="209" t="e">
        <f t="shared" si="100"/>
        <v>#DIV/0!</v>
      </c>
      <c r="BG185" s="272">
        <v>0</v>
      </c>
      <c r="BH185" s="273">
        <v>0</v>
      </c>
      <c r="BI185" s="209" t="e">
        <f t="shared" si="101"/>
        <v>#DIV/0!</v>
      </c>
      <c r="BJ185" s="210">
        <f t="shared" si="102"/>
        <v>0</v>
      </c>
      <c r="BK185" s="211">
        <f t="shared" si="103"/>
        <v>0</v>
      </c>
      <c r="BL185" s="209" t="e">
        <f t="shared" si="104"/>
        <v>#DIV/0!</v>
      </c>
      <c r="BM185" s="272">
        <v>0</v>
      </c>
      <c r="BN185" s="273">
        <v>0</v>
      </c>
      <c r="BO185" s="209" t="e">
        <f t="shared" si="129"/>
        <v>#DIV/0!</v>
      </c>
      <c r="BP185" s="272">
        <v>0</v>
      </c>
      <c r="BQ185" s="273">
        <v>0</v>
      </c>
      <c r="BR185" s="209" t="e">
        <f t="shared" si="130"/>
        <v>#DIV/0!</v>
      </c>
      <c r="BS185" s="272">
        <v>0</v>
      </c>
      <c r="BT185" s="272">
        <v>0</v>
      </c>
      <c r="BU185" s="209" t="e">
        <f t="shared" si="131"/>
        <v>#DIV/0!</v>
      </c>
      <c r="BV185" s="210">
        <f t="shared" si="105"/>
        <v>0</v>
      </c>
      <c r="BW185" s="210">
        <f t="shared" si="106"/>
        <v>0</v>
      </c>
      <c r="BX185" s="209" t="e">
        <f t="shared" si="107"/>
        <v>#DIV/0!</v>
      </c>
      <c r="BY185" s="209">
        <f t="shared" si="108"/>
        <v>0</v>
      </c>
      <c r="BZ185" s="209">
        <f t="shared" si="109"/>
        <v>0</v>
      </c>
      <c r="CA185" s="212"/>
      <c r="CB185" s="245"/>
      <c r="CC185" s="183">
        <v>0</v>
      </c>
      <c r="CD185" s="184">
        <v>0.25</v>
      </c>
      <c r="CE185" s="185" t="e">
        <f t="shared" si="132"/>
        <v>#DIV/0!</v>
      </c>
      <c r="CF185" s="183">
        <v>0</v>
      </c>
      <c r="CG185" s="184">
        <v>0.25</v>
      </c>
      <c r="CH185" s="185" t="e">
        <f t="shared" si="133"/>
        <v>#DIV/0!</v>
      </c>
      <c r="CI185" s="189"/>
      <c r="CJ185" s="190"/>
      <c r="CK185" s="185" t="e">
        <f t="shared" si="134"/>
        <v>#DIV/0!</v>
      </c>
      <c r="CL185" s="187">
        <f t="shared" si="135"/>
        <v>0</v>
      </c>
      <c r="CM185" s="186">
        <f t="shared" si="136"/>
        <v>0.5</v>
      </c>
      <c r="CN185" s="185" t="e">
        <f t="shared" si="137"/>
        <v>#DIV/0!</v>
      </c>
      <c r="CO185" s="245"/>
      <c r="CP185" s="188">
        <f t="shared" si="138"/>
        <v>0</v>
      </c>
      <c r="CQ185" s="188">
        <f t="shared" si="139"/>
        <v>0.5</v>
      </c>
      <c r="CR185" s="191" t="e">
        <f t="shared" si="140"/>
        <v>#DIV/0!</v>
      </c>
      <c r="CS185" s="279">
        <f t="shared" si="110"/>
        <v>0.5</v>
      </c>
      <c r="CT185" s="245"/>
      <c r="CU185" s="188">
        <f t="shared" si="111"/>
        <v>0.15</v>
      </c>
      <c r="CV185" s="277"/>
      <c r="CW185" s="191">
        <f t="shared" si="112"/>
        <v>0</v>
      </c>
      <c r="CX185" s="188">
        <f t="shared" si="113"/>
        <v>0.15</v>
      </c>
      <c r="CY185" s="277"/>
      <c r="CZ185" s="191">
        <f t="shared" si="114"/>
        <v>0</v>
      </c>
      <c r="DA185" s="188">
        <f t="shared" si="115"/>
        <v>0.15</v>
      </c>
      <c r="DB185" s="277"/>
      <c r="DC185" s="191">
        <f t="shared" si="116"/>
        <v>0</v>
      </c>
      <c r="DD185" s="188">
        <f t="shared" si="117"/>
        <v>0.05</v>
      </c>
      <c r="DE185" s="277"/>
      <c r="DF185" s="191">
        <f t="shared" si="118"/>
        <v>0</v>
      </c>
      <c r="DG185" s="245"/>
      <c r="DH185" s="188">
        <f t="shared" si="119"/>
        <v>1</v>
      </c>
      <c r="DI185" s="188">
        <f t="shared" si="120"/>
        <v>0.5</v>
      </c>
      <c r="DJ185" s="191">
        <f t="shared" si="121"/>
        <v>0.5</v>
      </c>
      <c r="DK185" s="286">
        <f t="shared" si="122"/>
        <v>0.5</v>
      </c>
      <c r="DL185" s="264">
        <v>181</v>
      </c>
      <c r="DM185" s="244">
        <f>+A185-DL185</f>
        <v>0</v>
      </c>
    </row>
    <row r="186" spans="1:117" ht="25" x14ac:dyDescent="0.35">
      <c r="A186" s="266">
        <v>182</v>
      </c>
      <c r="B186" s="102" t="s">
        <v>270</v>
      </c>
      <c r="C186" s="102" t="s">
        <v>118</v>
      </c>
      <c r="D186" s="102" t="s">
        <v>119</v>
      </c>
      <c r="E186" s="102" t="s">
        <v>212</v>
      </c>
      <c r="F186" s="102" t="s">
        <v>438</v>
      </c>
      <c r="G186" s="98" t="s">
        <v>186</v>
      </c>
      <c r="H186" s="98" t="s">
        <v>187</v>
      </c>
      <c r="I186" s="98" t="s">
        <v>103</v>
      </c>
      <c r="J186" s="98" t="s">
        <v>103</v>
      </c>
      <c r="K186" s="96" t="s">
        <v>183</v>
      </c>
      <c r="L186" s="96" t="s">
        <v>424</v>
      </c>
      <c r="M186" s="98" t="s">
        <v>106</v>
      </c>
      <c r="N186" s="98" t="s">
        <v>600</v>
      </c>
      <c r="O186" s="98" t="s">
        <v>127</v>
      </c>
      <c r="P186" s="241" t="s">
        <v>610</v>
      </c>
      <c r="Q186" s="98" t="s">
        <v>129</v>
      </c>
      <c r="R186" s="301">
        <v>70</v>
      </c>
      <c r="S186" s="99" t="s">
        <v>158</v>
      </c>
      <c r="T186" s="81">
        <v>8</v>
      </c>
      <c r="U186" s="81">
        <v>15</v>
      </c>
      <c r="V186" s="25">
        <f t="shared" si="143"/>
        <v>187.5</v>
      </c>
      <c r="W186" s="81">
        <v>21</v>
      </c>
      <c r="X186" s="81">
        <v>26</v>
      </c>
      <c r="Y186" s="25">
        <f t="shared" si="1"/>
        <v>123.80952380952381</v>
      </c>
      <c r="Z186" s="81">
        <v>21</v>
      </c>
      <c r="AA186" s="81"/>
      <c r="AB186" s="25">
        <f t="shared" si="2"/>
        <v>0</v>
      </c>
      <c r="AC186" s="81">
        <v>20</v>
      </c>
      <c r="AD186" s="81"/>
      <c r="AE186" s="25">
        <f t="shared" si="3"/>
        <v>0</v>
      </c>
      <c r="AF186" s="140">
        <f t="shared" si="127"/>
        <v>70</v>
      </c>
      <c r="AG186" s="140">
        <f t="shared" si="128"/>
        <v>41</v>
      </c>
      <c r="AH186" s="138">
        <f t="shared" si="125"/>
        <v>141.37931034482759</v>
      </c>
      <c r="AI186" s="101">
        <v>46113</v>
      </c>
      <c r="AJ186" s="101">
        <v>46477</v>
      </c>
      <c r="AK186" s="102" t="s">
        <v>112</v>
      </c>
      <c r="AL186" s="102" t="s">
        <v>113</v>
      </c>
      <c r="AM186" s="103" t="s">
        <v>114</v>
      </c>
      <c r="AN186" s="324"/>
      <c r="AO186" s="324"/>
      <c r="AP186" s="324"/>
      <c r="AQ186" s="326">
        <v>0</v>
      </c>
      <c r="AR186" s="322"/>
      <c r="AS186" s="102" t="s">
        <v>112</v>
      </c>
      <c r="AT186" s="152" t="s">
        <v>602</v>
      </c>
      <c r="AU186" s="166" t="s">
        <v>2264</v>
      </c>
      <c r="AV186" s="247" t="s">
        <v>2234</v>
      </c>
      <c r="AW186" s="136" t="s">
        <v>2267</v>
      </c>
      <c r="AX186" s="136" t="s">
        <v>2364</v>
      </c>
      <c r="AY186" s="136" t="s">
        <v>2376</v>
      </c>
      <c r="BA186" s="272">
        <v>0</v>
      </c>
      <c r="BB186" s="273">
        <v>0</v>
      </c>
      <c r="BC186" s="209" t="e">
        <f t="shared" si="99"/>
        <v>#DIV/0!</v>
      </c>
      <c r="BD186" s="272">
        <v>4</v>
      </c>
      <c r="BE186" s="273">
        <v>0</v>
      </c>
      <c r="BF186" s="209">
        <f t="shared" si="100"/>
        <v>0</v>
      </c>
      <c r="BG186" s="272">
        <v>4</v>
      </c>
      <c r="BH186" s="273">
        <v>15</v>
      </c>
      <c r="BI186" s="209">
        <f t="shared" si="101"/>
        <v>3.75</v>
      </c>
      <c r="BJ186" s="210">
        <f t="shared" si="102"/>
        <v>8</v>
      </c>
      <c r="BK186" s="211">
        <f t="shared" si="103"/>
        <v>15</v>
      </c>
      <c r="BL186" s="209">
        <f t="shared" si="104"/>
        <v>1.875</v>
      </c>
      <c r="BM186" s="272">
        <v>7</v>
      </c>
      <c r="BN186" s="273">
        <v>8</v>
      </c>
      <c r="BO186" s="209">
        <f t="shared" si="129"/>
        <v>1.1428571428571428</v>
      </c>
      <c r="BP186" s="272">
        <v>7</v>
      </c>
      <c r="BQ186" s="273">
        <v>8</v>
      </c>
      <c r="BR186" s="209">
        <f t="shared" si="130"/>
        <v>1.1428571428571428</v>
      </c>
      <c r="BS186" s="272">
        <v>7</v>
      </c>
      <c r="BT186" s="272">
        <v>10</v>
      </c>
      <c r="BU186" s="209">
        <f t="shared" si="131"/>
        <v>1.4285714285714286</v>
      </c>
      <c r="BV186" s="210">
        <f t="shared" si="105"/>
        <v>21</v>
      </c>
      <c r="BW186" s="210">
        <f t="shared" si="106"/>
        <v>26</v>
      </c>
      <c r="BX186" s="209">
        <f t="shared" si="107"/>
        <v>1.2380952380952381</v>
      </c>
      <c r="BY186" s="209">
        <f t="shared" si="108"/>
        <v>0.58571428571428574</v>
      </c>
      <c r="BZ186" s="209">
        <f t="shared" si="109"/>
        <v>-0.58571428571428574</v>
      </c>
      <c r="CA186" s="212"/>
      <c r="CB186" s="245"/>
      <c r="CC186" s="183">
        <v>7</v>
      </c>
      <c r="CD186" s="184"/>
      <c r="CE186" s="185">
        <f t="shared" si="132"/>
        <v>0</v>
      </c>
      <c r="CF186" s="183">
        <v>7</v>
      </c>
      <c r="CG186" s="184"/>
      <c r="CH186" s="185">
        <f t="shared" si="133"/>
        <v>0</v>
      </c>
      <c r="CI186" s="189"/>
      <c r="CJ186" s="190"/>
      <c r="CK186" s="185" t="e">
        <f t="shared" si="134"/>
        <v>#DIV/0!</v>
      </c>
      <c r="CL186" s="187">
        <f t="shared" si="135"/>
        <v>14</v>
      </c>
      <c r="CM186" s="186">
        <f t="shared" si="136"/>
        <v>0</v>
      </c>
      <c r="CN186" s="185">
        <f t="shared" si="137"/>
        <v>0</v>
      </c>
      <c r="CO186" s="245"/>
      <c r="CP186" s="188">
        <f t="shared" si="138"/>
        <v>43</v>
      </c>
      <c r="CQ186" s="188">
        <f t="shared" si="139"/>
        <v>41</v>
      </c>
      <c r="CR186" s="191">
        <f t="shared" si="140"/>
        <v>0.95348837209302328</v>
      </c>
      <c r="CS186" s="279">
        <f t="shared" si="110"/>
        <v>29</v>
      </c>
      <c r="CT186" s="245"/>
      <c r="CU186" s="188">
        <f t="shared" si="111"/>
        <v>8.6999999999999993</v>
      </c>
      <c r="CV186" s="277"/>
      <c r="CW186" s="191">
        <f t="shared" si="112"/>
        <v>0</v>
      </c>
      <c r="CX186" s="188">
        <f t="shared" si="113"/>
        <v>8.6999999999999993</v>
      </c>
      <c r="CY186" s="277"/>
      <c r="CZ186" s="191">
        <f t="shared" si="114"/>
        <v>0</v>
      </c>
      <c r="DA186" s="188">
        <f t="shared" si="115"/>
        <v>8.6999999999999993</v>
      </c>
      <c r="DB186" s="277"/>
      <c r="DC186" s="191">
        <f t="shared" si="116"/>
        <v>0</v>
      </c>
      <c r="DD186" s="188">
        <f t="shared" si="117"/>
        <v>2.9000000000000004</v>
      </c>
      <c r="DE186" s="277"/>
      <c r="DF186" s="191">
        <f t="shared" si="118"/>
        <v>0</v>
      </c>
      <c r="DG186" s="245"/>
      <c r="DH186" s="188">
        <f t="shared" si="119"/>
        <v>70</v>
      </c>
      <c r="DI186" s="188">
        <f t="shared" si="120"/>
        <v>41</v>
      </c>
      <c r="DJ186" s="191">
        <f t="shared" si="121"/>
        <v>0.58571428571428574</v>
      </c>
      <c r="DK186" s="286">
        <f t="shared" si="122"/>
        <v>29</v>
      </c>
      <c r="DL186" s="264">
        <v>182</v>
      </c>
      <c r="DM186" s="244">
        <f>+A186-DL186</f>
        <v>0</v>
      </c>
    </row>
    <row r="187" spans="1:117" ht="50" x14ac:dyDescent="0.35">
      <c r="A187" s="266">
        <v>183</v>
      </c>
      <c r="B187" s="102" t="s">
        <v>270</v>
      </c>
      <c r="C187" s="102" t="s">
        <v>133</v>
      </c>
      <c r="D187" s="102" t="s">
        <v>119</v>
      </c>
      <c r="E187" s="102" t="s">
        <v>465</v>
      </c>
      <c r="F187" s="102" t="s">
        <v>611</v>
      </c>
      <c r="G187" s="98" t="s">
        <v>186</v>
      </c>
      <c r="H187" s="98" t="s">
        <v>187</v>
      </c>
      <c r="I187" s="98" t="s">
        <v>103</v>
      </c>
      <c r="J187" s="98" t="s">
        <v>103</v>
      </c>
      <c r="K187" s="96" t="s">
        <v>183</v>
      </c>
      <c r="L187" s="96" t="s">
        <v>424</v>
      </c>
      <c r="M187" s="98" t="s">
        <v>106</v>
      </c>
      <c r="N187" s="98" t="s">
        <v>600</v>
      </c>
      <c r="O187" s="98" t="s">
        <v>127</v>
      </c>
      <c r="P187" s="259" t="s">
        <v>612</v>
      </c>
      <c r="Q187" s="98" t="s">
        <v>129</v>
      </c>
      <c r="R187" s="301">
        <v>5</v>
      </c>
      <c r="S187" s="99" t="s">
        <v>111</v>
      </c>
      <c r="T187" s="81">
        <v>0</v>
      </c>
      <c r="U187" s="81">
        <v>0</v>
      </c>
      <c r="V187" s="25" t="e">
        <f t="shared" si="143"/>
        <v>#DIV/0!</v>
      </c>
      <c r="W187" s="81">
        <v>1</v>
      </c>
      <c r="X187" s="81">
        <v>4</v>
      </c>
      <c r="Y187" s="25">
        <f t="shared" si="1"/>
        <v>400</v>
      </c>
      <c r="Z187" s="81">
        <v>2</v>
      </c>
      <c r="AA187" s="81"/>
      <c r="AB187" s="25">
        <f t="shared" si="2"/>
        <v>0</v>
      </c>
      <c r="AC187" s="81">
        <v>2</v>
      </c>
      <c r="AD187" s="81"/>
      <c r="AE187" s="25">
        <f t="shared" si="3"/>
        <v>0</v>
      </c>
      <c r="AF187" s="140">
        <f t="shared" si="127"/>
        <v>5</v>
      </c>
      <c r="AG187" s="140">
        <f t="shared" si="128"/>
        <v>4</v>
      </c>
      <c r="AH187" s="138">
        <f t="shared" si="125"/>
        <v>400</v>
      </c>
      <c r="AI187" s="101">
        <v>46113</v>
      </c>
      <c r="AJ187" s="101">
        <v>46477</v>
      </c>
      <c r="AK187" s="102" t="s">
        <v>112</v>
      </c>
      <c r="AL187" s="102" t="s">
        <v>113</v>
      </c>
      <c r="AM187" s="103" t="s">
        <v>114</v>
      </c>
      <c r="AN187" s="104">
        <v>327000000</v>
      </c>
      <c r="AO187" s="104">
        <v>327000000</v>
      </c>
      <c r="AP187" s="104">
        <v>327000000</v>
      </c>
      <c r="AQ187" s="326">
        <v>0</v>
      </c>
      <c r="AR187" s="102" t="s">
        <v>191</v>
      </c>
      <c r="AS187" s="102" t="s">
        <v>112</v>
      </c>
      <c r="AT187" s="152" t="s">
        <v>602</v>
      </c>
      <c r="AU187" s="166" t="s">
        <v>2264</v>
      </c>
      <c r="AV187" s="247" t="s">
        <v>2234</v>
      </c>
      <c r="AW187" s="136" t="s">
        <v>2267</v>
      </c>
      <c r="AX187" s="136" t="s">
        <v>2364</v>
      </c>
      <c r="AY187" s="136" t="s">
        <v>2376</v>
      </c>
      <c r="BA187" s="272">
        <v>0</v>
      </c>
      <c r="BB187" s="273">
        <v>0</v>
      </c>
      <c r="BC187" s="209" t="e">
        <f t="shared" si="99"/>
        <v>#DIV/0!</v>
      </c>
      <c r="BD187" s="272">
        <v>0</v>
      </c>
      <c r="BE187" s="273">
        <v>0</v>
      </c>
      <c r="BF187" s="209" t="e">
        <f t="shared" si="100"/>
        <v>#DIV/0!</v>
      </c>
      <c r="BG187" s="272">
        <v>0</v>
      </c>
      <c r="BH187" s="273">
        <v>0</v>
      </c>
      <c r="BI187" s="209" t="e">
        <f t="shared" si="101"/>
        <v>#DIV/0!</v>
      </c>
      <c r="BJ187" s="210">
        <f t="shared" si="102"/>
        <v>0</v>
      </c>
      <c r="BK187" s="211">
        <f t="shared" si="103"/>
        <v>0</v>
      </c>
      <c r="BL187" s="209" t="e">
        <f t="shared" si="104"/>
        <v>#DIV/0!</v>
      </c>
      <c r="BM187" s="272">
        <v>1</v>
      </c>
      <c r="BN187" s="273">
        <v>1</v>
      </c>
      <c r="BO187" s="209">
        <f t="shared" si="129"/>
        <v>1</v>
      </c>
      <c r="BP187" s="272">
        <v>0</v>
      </c>
      <c r="BQ187" s="273">
        <v>2</v>
      </c>
      <c r="BR187" s="209" t="e">
        <f t="shared" si="130"/>
        <v>#DIV/0!</v>
      </c>
      <c r="BS187" s="272">
        <v>0</v>
      </c>
      <c r="BT187" s="272">
        <v>1</v>
      </c>
      <c r="BU187" s="209" t="e">
        <f t="shared" si="131"/>
        <v>#DIV/0!</v>
      </c>
      <c r="BV187" s="210">
        <f t="shared" si="105"/>
        <v>1</v>
      </c>
      <c r="BW187" s="210">
        <f t="shared" si="106"/>
        <v>4</v>
      </c>
      <c r="BX187" s="209">
        <f t="shared" si="107"/>
        <v>4</v>
      </c>
      <c r="BY187" s="209">
        <f t="shared" si="108"/>
        <v>0.8</v>
      </c>
      <c r="BZ187" s="209">
        <f t="shared" si="109"/>
        <v>-0.8</v>
      </c>
      <c r="CA187" s="212"/>
      <c r="CB187" s="245"/>
      <c r="CC187" s="183">
        <v>2</v>
      </c>
      <c r="CD187" s="184">
        <v>0</v>
      </c>
      <c r="CE187" s="185">
        <f t="shared" si="132"/>
        <v>0</v>
      </c>
      <c r="CF187" s="183">
        <v>0</v>
      </c>
      <c r="CG187" s="184">
        <v>0</v>
      </c>
      <c r="CH187" s="185" t="e">
        <f t="shared" si="133"/>
        <v>#DIV/0!</v>
      </c>
      <c r="CI187" s="189"/>
      <c r="CJ187" s="190"/>
      <c r="CK187" s="185" t="e">
        <f t="shared" si="134"/>
        <v>#DIV/0!</v>
      </c>
      <c r="CL187" s="187">
        <f t="shared" si="135"/>
        <v>2</v>
      </c>
      <c r="CM187" s="186">
        <f t="shared" si="136"/>
        <v>0</v>
      </c>
      <c r="CN187" s="185">
        <f t="shared" si="137"/>
        <v>0</v>
      </c>
      <c r="CO187" s="245"/>
      <c r="CP187" s="188">
        <f t="shared" si="138"/>
        <v>3</v>
      </c>
      <c r="CQ187" s="188">
        <f t="shared" si="139"/>
        <v>4</v>
      </c>
      <c r="CR187" s="191">
        <f t="shared" si="140"/>
        <v>1.3333333333333333</v>
      </c>
      <c r="CS187" s="279">
        <f t="shared" si="110"/>
        <v>1</v>
      </c>
      <c r="CT187" s="245"/>
      <c r="CU187" s="188">
        <f t="shared" si="111"/>
        <v>0.3</v>
      </c>
      <c r="CV187" s="277"/>
      <c r="CW187" s="191">
        <f t="shared" si="112"/>
        <v>0</v>
      </c>
      <c r="CX187" s="188">
        <f t="shared" si="113"/>
        <v>0.3</v>
      </c>
      <c r="CY187" s="277"/>
      <c r="CZ187" s="191">
        <f t="shared" si="114"/>
        <v>0</v>
      </c>
      <c r="DA187" s="188">
        <f t="shared" si="115"/>
        <v>0.3</v>
      </c>
      <c r="DB187" s="277"/>
      <c r="DC187" s="191">
        <f t="shared" si="116"/>
        <v>0</v>
      </c>
      <c r="DD187" s="188">
        <f t="shared" si="117"/>
        <v>0.1</v>
      </c>
      <c r="DE187" s="277"/>
      <c r="DF187" s="191">
        <f t="shared" si="118"/>
        <v>0</v>
      </c>
      <c r="DG187" s="245"/>
      <c r="DH187" s="188">
        <f t="shared" si="119"/>
        <v>5</v>
      </c>
      <c r="DI187" s="188">
        <f t="shared" si="120"/>
        <v>4</v>
      </c>
      <c r="DJ187" s="191">
        <f t="shared" si="121"/>
        <v>0.8</v>
      </c>
      <c r="DK187" s="286">
        <f t="shared" si="122"/>
        <v>1</v>
      </c>
      <c r="DL187" s="264">
        <v>183</v>
      </c>
      <c r="DM187" s="244">
        <f>+A187-DL187</f>
        <v>0</v>
      </c>
    </row>
    <row r="188" spans="1:117" ht="37.5" x14ac:dyDescent="0.35">
      <c r="A188" s="266">
        <v>184</v>
      </c>
      <c r="B188" s="102" t="s">
        <v>270</v>
      </c>
      <c r="C188" s="102" t="s">
        <v>133</v>
      </c>
      <c r="D188" s="102" t="s">
        <v>119</v>
      </c>
      <c r="E188" s="102" t="s">
        <v>613</v>
      </c>
      <c r="F188" s="102" t="s">
        <v>614</v>
      </c>
      <c r="G188" s="98" t="s">
        <v>615</v>
      </c>
      <c r="H188" s="98" t="s">
        <v>616</v>
      </c>
      <c r="I188" s="98" t="s">
        <v>103</v>
      </c>
      <c r="J188" s="98" t="s">
        <v>103</v>
      </c>
      <c r="K188" s="96" t="s">
        <v>183</v>
      </c>
      <c r="L188" s="96" t="s">
        <v>424</v>
      </c>
      <c r="M188" s="98" t="s">
        <v>106</v>
      </c>
      <c r="N188" s="98" t="s">
        <v>600</v>
      </c>
      <c r="O188" s="98" t="s">
        <v>127</v>
      </c>
      <c r="P188" s="259" t="s">
        <v>617</v>
      </c>
      <c r="Q188" s="98" t="s">
        <v>129</v>
      </c>
      <c r="R188" s="301">
        <v>2</v>
      </c>
      <c r="S188" s="99" t="s">
        <v>111</v>
      </c>
      <c r="T188" s="81">
        <v>0</v>
      </c>
      <c r="U188" s="81">
        <v>0</v>
      </c>
      <c r="V188" s="25" t="e">
        <f t="shared" si="143"/>
        <v>#DIV/0!</v>
      </c>
      <c r="W188" s="81">
        <v>2</v>
      </c>
      <c r="X188" s="81">
        <v>2</v>
      </c>
      <c r="Y188" s="25">
        <f t="shared" si="1"/>
        <v>100</v>
      </c>
      <c r="Z188" s="81">
        <v>0</v>
      </c>
      <c r="AA188" s="81"/>
      <c r="AB188" s="25" t="e">
        <f t="shared" si="2"/>
        <v>#DIV/0!</v>
      </c>
      <c r="AC188" s="81">
        <v>0</v>
      </c>
      <c r="AD188" s="81"/>
      <c r="AE188" s="25" t="e">
        <f t="shared" si="3"/>
        <v>#DIV/0!</v>
      </c>
      <c r="AF188" s="140">
        <f t="shared" si="127"/>
        <v>2</v>
      </c>
      <c r="AG188" s="140">
        <f t="shared" si="128"/>
        <v>2</v>
      </c>
      <c r="AH188" s="138">
        <f t="shared" si="125"/>
        <v>100</v>
      </c>
      <c r="AI188" s="101">
        <v>46054</v>
      </c>
      <c r="AJ188" s="101">
        <v>46477</v>
      </c>
      <c r="AK188" s="102" t="s">
        <v>112</v>
      </c>
      <c r="AL188" s="102" t="s">
        <v>113</v>
      </c>
      <c r="AM188" s="103" t="s">
        <v>114</v>
      </c>
      <c r="AN188" s="104">
        <v>80000000</v>
      </c>
      <c r="AO188" s="104">
        <v>80000000</v>
      </c>
      <c r="AP188" s="104">
        <v>80000000</v>
      </c>
      <c r="AQ188" s="105">
        <f>AO188</f>
        <v>80000000</v>
      </c>
      <c r="AR188" s="102" t="s">
        <v>159</v>
      </c>
      <c r="AS188" s="102" t="s">
        <v>112</v>
      </c>
      <c r="AT188" s="152" t="s">
        <v>602</v>
      </c>
      <c r="AU188" s="166" t="s">
        <v>2264</v>
      </c>
      <c r="AV188" s="247" t="s">
        <v>2234</v>
      </c>
      <c r="AW188" s="136" t="s">
        <v>2267</v>
      </c>
      <c r="AX188" s="136" t="s">
        <v>2364</v>
      </c>
      <c r="AY188" s="136" t="s">
        <v>2376</v>
      </c>
      <c r="BA188" s="272">
        <v>0</v>
      </c>
      <c r="BB188" s="273">
        <v>0</v>
      </c>
      <c r="BC188" s="209" t="e">
        <f t="shared" si="99"/>
        <v>#DIV/0!</v>
      </c>
      <c r="BD188" s="272">
        <v>0</v>
      </c>
      <c r="BE188" s="273">
        <v>0</v>
      </c>
      <c r="BF188" s="209" t="e">
        <f t="shared" si="100"/>
        <v>#DIV/0!</v>
      </c>
      <c r="BG188" s="272">
        <v>0</v>
      </c>
      <c r="BH188" s="273">
        <v>0</v>
      </c>
      <c r="BI188" s="209" t="e">
        <f t="shared" si="101"/>
        <v>#DIV/0!</v>
      </c>
      <c r="BJ188" s="210">
        <f t="shared" si="102"/>
        <v>0</v>
      </c>
      <c r="BK188" s="211">
        <f t="shared" si="103"/>
        <v>0</v>
      </c>
      <c r="BL188" s="209" t="e">
        <f t="shared" si="104"/>
        <v>#DIV/0!</v>
      </c>
      <c r="BM188" s="272">
        <v>2</v>
      </c>
      <c r="BN188" s="273">
        <v>2</v>
      </c>
      <c r="BO188" s="209">
        <f t="shared" si="129"/>
        <v>1</v>
      </c>
      <c r="BP188" s="272">
        <v>0</v>
      </c>
      <c r="BQ188" s="273">
        <v>0</v>
      </c>
      <c r="BR188" s="209" t="e">
        <f t="shared" si="130"/>
        <v>#DIV/0!</v>
      </c>
      <c r="BS188" s="272">
        <v>0</v>
      </c>
      <c r="BT188" s="272">
        <v>0</v>
      </c>
      <c r="BU188" s="209" t="e">
        <f t="shared" si="131"/>
        <v>#DIV/0!</v>
      </c>
      <c r="BV188" s="210">
        <f t="shared" si="105"/>
        <v>2</v>
      </c>
      <c r="BW188" s="210">
        <f t="shared" si="106"/>
        <v>2</v>
      </c>
      <c r="BX188" s="209">
        <f t="shared" si="107"/>
        <v>1</v>
      </c>
      <c r="BY188" s="209">
        <f t="shared" si="108"/>
        <v>1</v>
      </c>
      <c r="BZ188" s="209">
        <f t="shared" si="109"/>
        <v>-1</v>
      </c>
      <c r="CA188" s="212"/>
      <c r="CB188" s="245"/>
      <c r="CC188" s="183">
        <v>0</v>
      </c>
      <c r="CD188" s="184">
        <v>0</v>
      </c>
      <c r="CE188" s="185" t="e">
        <f t="shared" si="132"/>
        <v>#DIV/0!</v>
      </c>
      <c r="CF188" s="183">
        <v>0</v>
      </c>
      <c r="CG188" s="184">
        <v>0</v>
      </c>
      <c r="CH188" s="185" t="e">
        <f t="shared" si="133"/>
        <v>#DIV/0!</v>
      </c>
      <c r="CI188" s="189"/>
      <c r="CJ188" s="190"/>
      <c r="CK188" s="185" t="e">
        <f t="shared" si="134"/>
        <v>#DIV/0!</v>
      </c>
      <c r="CL188" s="187">
        <f t="shared" si="135"/>
        <v>0</v>
      </c>
      <c r="CM188" s="186">
        <f t="shared" si="136"/>
        <v>0</v>
      </c>
      <c r="CN188" s="185" t="e">
        <f t="shared" si="137"/>
        <v>#DIV/0!</v>
      </c>
      <c r="CO188" s="245"/>
      <c r="CP188" s="188">
        <f t="shared" si="138"/>
        <v>2</v>
      </c>
      <c r="CQ188" s="188">
        <f t="shared" si="139"/>
        <v>2</v>
      </c>
      <c r="CR188" s="191">
        <f t="shared" si="140"/>
        <v>1</v>
      </c>
      <c r="CS188" s="279">
        <f t="shared" si="110"/>
        <v>0</v>
      </c>
      <c r="CT188" s="245"/>
      <c r="CU188" s="188">
        <f t="shared" si="111"/>
        <v>0</v>
      </c>
      <c r="CV188" s="277"/>
      <c r="CW188" s="191" t="e">
        <f t="shared" si="112"/>
        <v>#DIV/0!</v>
      </c>
      <c r="CX188" s="188">
        <f t="shared" si="113"/>
        <v>0</v>
      </c>
      <c r="CY188" s="277"/>
      <c r="CZ188" s="191" t="e">
        <f t="shared" si="114"/>
        <v>#DIV/0!</v>
      </c>
      <c r="DA188" s="188">
        <f t="shared" si="115"/>
        <v>0</v>
      </c>
      <c r="DB188" s="277"/>
      <c r="DC188" s="191" t="e">
        <f t="shared" si="116"/>
        <v>#DIV/0!</v>
      </c>
      <c r="DD188" s="188">
        <f t="shared" si="117"/>
        <v>0</v>
      </c>
      <c r="DE188" s="277"/>
      <c r="DF188" s="191" t="e">
        <f t="shared" si="118"/>
        <v>#DIV/0!</v>
      </c>
      <c r="DG188" s="245"/>
      <c r="DH188" s="188">
        <f t="shared" si="119"/>
        <v>2</v>
      </c>
      <c r="DI188" s="188">
        <f t="shared" si="120"/>
        <v>2</v>
      </c>
      <c r="DJ188" s="191">
        <f t="shared" si="121"/>
        <v>1</v>
      </c>
      <c r="DK188" s="286">
        <f t="shared" si="122"/>
        <v>0</v>
      </c>
      <c r="DL188" s="264">
        <v>184</v>
      </c>
      <c r="DM188" s="244">
        <f>+A188-DL188</f>
        <v>0</v>
      </c>
    </row>
    <row r="189" spans="1:117" ht="62.5" x14ac:dyDescent="0.35">
      <c r="A189" s="266">
        <v>185</v>
      </c>
      <c r="B189" s="102" t="s">
        <v>270</v>
      </c>
      <c r="C189" s="102" t="s">
        <v>133</v>
      </c>
      <c r="D189" s="102" t="s">
        <v>119</v>
      </c>
      <c r="E189" s="102" t="s">
        <v>212</v>
      </c>
      <c r="F189" s="102" t="s">
        <v>618</v>
      </c>
      <c r="G189" s="98" t="s">
        <v>615</v>
      </c>
      <c r="H189" s="98" t="s">
        <v>616</v>
      </c>
      <c r="I189" s="98" t="s">
        <v>103</v>
      </c>
      <c r="J189" s="98" t="s">
        <v>103</v>
      </c>
      <c r="K189" s="96" t="s">
        <v>183</v>
      </c>
      <c r="L189" s="96" t="s">
        <v>424</v>
      </c>
      <c r="M189" s="98" t="s">
        <v>106</v>
      </c>
      <c r="N189" s="98" t="s">
        <v>600</v>
      </c>
      <c r="O189" s="98" t="s">
        <v>127</v>
      </c>
      <c r="P189" s="241" t="s">
        <v>619</v>
      </c>
      <c r="Q189" s="98" t="s">
        <v>129</v>
      </c>
      <c r="R189" s="301">
        <v>24</v>
      </c>
      <c r="S189" s="99" t="s">
        <v>607</v>
      </c>
      <c r="T189" s="81">
        <v>6</v>
      </c>
      <c r="U189" s="81">
        <v>6</v>
      </c>
      <c r="V189" s="25">
        <f t="shared" si="143"/>
        <v>100</v>
      </c>
      <c r="W189" s="81">
        <v>6</v>
      </c>
      <c r="X189" s="81">
        <v>6</v>
      </c>
      <c r="Y189" s="25">
        <f t="shared" si="1"/>
        <v>100</v>
      </c>
      <c r="Z189" s="81">
        <v>6</v>
      </c>
      <c r="AA189" s="81"/>
      <c r="AB189" s="25">
        <f t="shared" si="2"/>
        <v>0</v>
      </c>
      <c r="AC189" s="81">
        <v>6</v>
      </c>
      <c r="AD189" s="81"/>
      <c r="AE189" s="25">
        <f t="shared" si="3"/>
        <v>0</v>
      </c>
      <c r="AF189" s="140">
        <f t="shared" si="127"/>
        <v>24</v>
      </c>
      <c r="AG189" s="140">
        <f t="shared" si="128"/>
        <v>12</v>
      </c>
      <c r="AH189" s="138">
        <f t="shared" si="125"/>
        <v>100</v>
      </c>
      <c r="AI189" s="101">
        <v>46113</v>
      </c>
      <c r="AJ189" s="101">
        <v>46477</v>
      </c>
      <c r="AK189" s="102" t="s">
        <v>112</v>
      </c>
      <c r="AL189" s="102" t="s">
        <v>113</v>
      </c>
      <c r="AM189" s="103" t="s">
        <v>114</v>
      </c>
      <c r="AN189" s="324"/>
      <c r="AO189" s="324"/>
      <c r="AP189" s="324"/>
      <c r="AQ189" s="326"/>
      <c r="AR189" s="102" t="s">
        <v>159</v>
      </c>
      <c r="AS189" s="102" t="s">
        <v>112</v>
      </c>
      <c r="AT189" s="152" t="s">
        <v>602</v>
      </c>
      <c r="AU189" s="166" t="s">
        <v>2264</v>
      </c>
      <c r="AV189" s="247" t="s">
        <v>2234</v>
      </c>
      <c r="AW189" s="136" t="s">
        <v>2267</v>
      </c>
      <c r="AX189" s="136" t="s">
        <v>2364</v>
      </c>
      <c r="AY189" s="136" t="s">
        <v>2376</v>
      </c>
      <c r="BA189" s="272">
        <v>0</v>
      </c>
      <c r="BB189" s="273">
        <v>0</v>
      </c>
      <c r="BC189" s="209" t="e">
        <f t="shared" si="99"/>
        <v>#DIV/0!</v>
      </c>
      <c r="BD189" s="272">
        <v>2</v>
      </c>
      <c r="BE189" s="273">
        <v>2</v>
      </c>
      <c r="BF189" s="209">
        <f t="shared" si="100"/>
        <v>1</v>
      </c>
      <c r="BG189" s="272">
        <v>4</v>
      </c>
      <c r="BH189" s="273">
        <v>4</v>
      </c>
      <c r="BI189" s="209">
        <f t="shared" si="101"/>
        <v>1</v>
      </c>
      <c r="BJ189" s="210">
        <f t="shared" si="102"/>
        <v>6</v>
      </c>
      <c r="BK189" s="211">
        <f t="shared" si="103"/>
        <v>6</v>
      </c>
      <c r="BL189" s="209">
        <f t="shared" si="104"/>
        <v>1</v>
      </c>
      <c r="BM189" s="272">
        <v>2</v>
      </c>
      <c r="BN189" s="273">
        <v>2</v>
      </c>
      <c r="BO189" s="209">
        <f t="shared" si="129"/>
        <v>1</v>
      </c>
      <c r="BP189" s="272">
        <v>2</v>
      </c>
      <c r="BQ189" s="273">
        <v>2</v>
      </c>
      <c r="BR189" s="209">
        <f t="shared" si="130"/>
        <v>1</v>
      </c>
      <c r="BS189" s="272">
        <v>2</v>
      </c>
      <c r="BT189" s="272">
        <v>2</v>
      </c>
      <c r="BU189" s="209">
        <f t="shared" si="131"/>
        <v>1</v>
      </c>
      <c r="BV189" s="210">
        <f t="shared" si="105"/>
        <v>6</v>
      </c>
      <c r="BW189" s="210">
        <f t="shared" si="106"/>
        <v>6</v>
      </c>
      <c r="BX189" s="209">
        <f t="shared" si="107"/>
        <v>1</v>
      </c>
      <c r="BY189" s="209">
        <f t="shared" si="108"/>
        <v>0.5</v>
      </c>
      <c r="BZ189" s="209">
        <f t="shared" si="109"/>
        <v>-0.5</v>
      </c>
      <c r="CA189" s="212"/>
      <c r="CB189" s="245"/>
      <c r="CC189" s="183">
        <v>2</v>
      </c>
      <c r="CD189" s="184"/>
      <c r="CE189" s="185">
        <f t="shared" si="132"/>
        <v>0</v>
      </c>
      <c r="CF189" s="183">
        <v>2</v>
      </c>
      <c r="CG189" s="184"/>
      <c r="CH189" s="185">
        <f t="shared" si="133"/>
        <v>0</v>
      </c>
      <c r="CI189" s="189"/>
      <c r="CJ189" s="190"/>
      <c r="CK189" s="185" t="e">
        <f t="shared" si="134"/>
        <v>#DIV/0!</v>
      </c>
      <c r="CL189" s="187">
        <f t="shared" si="135"/>
        <v>4</v>
      </c>
      <c r="CM189" s="186">
        <f t="shared" si="136"/>
        <v>0</v>
      </c>
      <c r="CN189" s="185">
        <f t="shared" si="137"/>
        <v>0</v>
      </c>
      <c r="CO189" s="245"/>
      <c r="CP189" s="188">
        <f t="shared" si="138"/>
        <v>16</v>
      </c>
      <c r="CQ189" s="188">
        <f t="shared" si="139"/>
        <v>12</v>
      </c>
      <c r="CR189" s="191">
        <f t="shared" si="140"/>
        <v>0.75</v>
      </c>
      <c r="CS189" s="279">
        <f t="shared" si="110"/>
        <v>12</v>
      </c>
      <c r="CT189" s="245"/>
      <c r="CU189" s="188">
        <f t="shared" si="111"/>
        <v>3.5999999999999996</v>
      </c>
      <c r="CV189" s="277"/>
      <c r="CW189" s="191">
        <f t="shared" si="112"/>
        <v>0</v>
      </c>
      <c r="CX189" s="188">
        <f t="shared" si="113"/>
        <v>3.5999999999999996</v>
      </c>
      <c r="CY189" s="277"/>
      <c r="CZ189" s="191">
        <f t="shared" si="114"/>
        <v>0</v>
      </c>
      <c r="DA189" s="188">
        <f t="shared" si="115"/>
        <v>3.5999999999999996</v>
      </c>
      <c r="DB189" s="277"/>
      <c r="DC189" s="191">
        <f t="shared" si="116"/>
        <v>0</v>
      </c>
      <c r="DD189" s="188">
        <f t="shared" si="117"/>
        <v>1.2000000000000002</v>
      </c>
      <c r="DE189" s="277"/>
      <c r="DF189" s="191">
        <f t="shared" si="118"/>
        <v>0</v>
      </c>
      <c r="DG189" s="245"/>
      <c r="DH189" s="188">
        <f t="shared" si="119"/>
        <v>24</v>
      </c>
      <c r="DI189" s="188">
        <f t="shared" si="120"/>
        <v>12</v>
      </c>
      <c r="DJ189" s="191">
        <f t="shared" si="121"/>
        <v>0.5</v>
      </c>
      <c r="DK189" s="286">
        <f t="shared" si="122"/>
        <v>12</v>
      </c>
      <c r="DL189" s="264">
        <v>185</v>
      </c>
      <c r="DM189" s="244">
        <f>+A189-DL189</f>
        <v>0</v>
      </c>
    </row>
    <row r="190" spans="1:117" ht="62.5" x14ac:dyDescent="0.35">
      <c r="A190" s="266">
        <v>186</v>
      </c>
      <c r="B190" s="102" t="s">
        <v>270</v>
      </c>
      <c r="C190" s="102" t="s">
        <v>118</v>
      </c>
      <c r="D190" s="102" t="s">
        <v>119</v>
      </c>
      <c r="E190" s="102" t="s">
        <v>289</v>
      </c>
      <c r="F190" s="102" t="s">
        <v>251</v>
      </c>
      <c r="G190" s="98" t="s">
        <v>186</v>
      </c>
      <c r="H190" s="98" t="s">
        <v>187</v>
      </c>
      <c r="I190" s="98" t="s">
        <v>103</v>
      </c>
      <c r="J190" s="98" t="s">
        <v>103</v>
      </c>
      <c r="K190" s="96" t="s">
        <v>183</v>
      </c>
      <c r="L190" s="96" t="s">
        <v>424</v>
      </c>
      <c r="M190" s="98" t="s">
        <v>106</v>
      </c>
      <c r="N190" s="98" t="s">
        <v>600</v>
      </c>
      <c r="O190" s="98" t="s">
        <v>127</v>
      </c>
      <c r="P190" s="241" t="s">
        <v>620</v>
      </c>
      <c r="Q190" s="98" t="s">
        <v>129</v>
      </c>
      <c r="R190" s="301">
        <v>55</v>
      </c>
      <c r="S190" s="99" t="s">
        <v>607</v>
      </c>
      <c r="T190" s="81">
        <v>10</v>
      </c>
      <c r="U190" s="81">
        <v>21</v>
      </c>
      <c r="V190" s="25">
        <f t="shared" si="143"/>
        <v>210</v>
      </c>
      <c r="W190" s="81">
        <v>15</v>
      </c>
      <c r="X190" s="81">
        <v>45</v>
      </c>
      <c r="Y190" s="25">
        <f t="shared" si="1"/>
        <v>300</v>
      </c>
      <c r="Z190" s="81">
        <v>15</v>
      </c>
      <c r="AA190" s="81"/>
      <c r="AB190" s="25">
        <f t="shared" si="2"/>
        <v>0</v>
      </c>
      <c r="AC190" s="81">
        <v>15</v>
      </c>
      <c r="AD190" s="81"/>
      <c r="AE190" s="25">
        <f t="shared" si="3"/>
        <v>0</v>
      </c>
      <c r="AF190" s="140">
        <f t="shared" si="127"/>
        <v>55</v>
      </c>
      <c r="AG190" s="140">
        <f t="shared" si="128"/>
        <v>66</v>
      </c>
      <c r="AH190" s="138">
        <f t="shared" si="125"/>
        <v>264</v>
      </c>
      <c r="AI190" s="101">
        <v>46054</v>
      </c>
      <c r="AJ190" s="101">
        <v>46477</v>
      </c>
      <c r="AK190" s="102" t="s">
        <v>112</v>
      </c>
      <c r="AL190" s="102" t="s">
        <v>113</v>
      </c>
      <c r="AM190" s="103" t="s">
        <v>114</v>
      </c>
      <c r="AN190" s="324"/>
      <c r="AO190" s="324"/>
      <c r="AP190" s="324"/>
      <c r="AQ190" s="326"/>
      <c r="AR190" s="102" t="s">
        <v>159</v>
      </c>
      <c r="AS190" s="102" t="s">
        <v>112</v>
      </c>
      <c r="AT190" s="152" t="s">
        <v>602</v>
      </c>
      <c r="AU190" s="166" t="s">
        <v>2264</v>
      </c>
      <c r="AV190" s="247" t="s">
        <v>2234</v>
      </c>
      <c r="AW190" s="136" t="s">
        <v>2267</v>
      </c>
      <c r="AX190" s="136" t="s">
        <v>2364</v>
      </c>
      <c r="AY190" s="136" t="s">
        <v>2376</v>
      </c>
      <c r="BA190" s="272">
        <v>0</v>
      </c>
      <c r="BB190" s="273">
        <v>2</v>
      </c>
      <c r="BC190" s="209" t="e">
        <f t="shared" si="99"/>
        <v>#DIV/0!</v>
      </c>
      <c r="BD190" s="272">
        <v>5</v>
      </c>
      <c r="BE190" s="273">
        <v>8</v>
      </c>
      <c r="BF190" s="209">
        <f t="shared" si="100"/>
        <v>1.6</v>
      </c>
      <c r="BG190" s="272">
        <v>5</v>
      </c>
      <c r="BH190" s="273">
        <v>11</v>
      </c>
      <c r="BI190" s="209">
        <f t="shared" si="101"/>
        <v>2.2000000000000002</v>
      </c>
      <c r="BJ190" s="210">
        <f t="shared" si="102"/>
        <v>10</v>
      </c>
      <c r="BK190" s="211">
        <f t="shared" si="103"/>
        <v>21</v>
      </c>
      <c r="BL190" s="209">
        <f t="shared" si="104"/>
        <v>2.1</v>
      </c>
      <c r="BM190" s="272">
        <v>5</v>
      </c>
      <c r="BN190" s="273">
        <v>15</v>
      </c>
      <c r="BO190" s="209">
        <f t="shared" si="129"/>
        <v>3</v>
      </c>
      <c r="BP190" s="272">
        <v>5</v>
      </c>
      <c r="BQ190" s="273">
        <v>15</v>
      </c>
      <c r="BR190" s="209">
        <f t="shared" si="130"/>
        <v>3</v>
      </c>
      <c r="BS190" s="272">
        <v>5</v>
      </c>
      <c r="BT190" s="272">
        <v>15</v>
      </c>
      <c r="BU190" s="209">
        <f t="shared" si="131"/>
        <v>3</v>
      </c>
      <c r="BV190" s="210">
        <f t="shared" si="105"/>
        <v>15</v>
      </c>
      <c r="BW190" s="210">
        <f t="shared" si="106"/>
        <v>45</v>
      </c>
      <c r="BX190" s="209">
        <f t="shared" si="107"/>
        <v>3</v>
      </c>
      <c r="BY190" s="209">
        <f t="shared" si="108"/>
        <v>1.2</v>
      </c>
      <c r="BZ190" s="209">
        <f t="shared" si="109"/>
        <v>-1.2</v>
      </c>
      <c r="CA190" s="212"/>
      <c r="CB190" s="245"/>
      <c r="CC190" s="183">
        <v>5</v>
      </c>
      <c r="CD190" s="184"/>
      <c r="CE190" s="185">
        <f t="shared" si="132"/>
        <v>0</v>
      </c>
      <c r="CF190" s="183">
        <v>5</v>
      </c>
      <c r="CG190" s="184"/>
      <c r="CH190" s="185">
        <f t="shared" si="133"/>
        <v>0</v>
      </c>
      <c r="CI190" s="189"/>
      <c r="CJ190" s="190"/>
      <c r="CK190" s="185" t="e">
        <f t="shared" si="134"/>
        <v>#DIV/0!</v>
      </c>
      <c r="CL190" s="187">
        <f t="shared" si="135"/>
        <v>10</v>
      </c>
      <c r="CM190" s="186">
        <f t="shared" si="136"/>
        <v>0</v>
      </c>
      <c r="CN190" s="185">
        <f t="shared" si="137"/>
        <v>0</v>
      </c>
      <c r="CO190" s="245"/>
      <c r="CP190" s="188">
        <f t="shared" si="138"/>
        <v>35</v>
      </c>
      <c r="CQ190" s="188">
        <f t="shared" si="139"/>
        <v>66</v>
      </c>
      <c r="CR190" s="191">
        <f t="shared" si="140"/>
        <v>1.8857142857142857</v>
      </c>
      <c r="CS190" s="279">
        <f t="shared" si="110"/>
        <v>-11</v>
      </c>
      <c r="CT190" s="245"/>
      <c r="CU190" s="188">
        <f t="shared" si="111"/>
        <v>-3.3</v>
      </c>
      <c r="CV190" s="277"/>
      <c r="CW190" s="191">
        <f t="shared" si="112"/>
        <v>0</v>
      </c>
      <c r="CX190" s="188">
        <f t="shared" si="113"/>
        <v>-3.3</v>
      </c>
      <c r="CY190" s="277"/>
      <c r="CZ190" s="191">
        <f t="shared" si="114"/>
        <v>0</v>
      </c>
      <c r="DA190" s="188">
        <f t="shared" si="115"/>
        <v>-3.3</v>
      </c>
      <c r="DB190" s="277"/>
      <c r="DC190" s="191">
        <f t="shared" si="116"/>
        <v>0</v>
      </c>
      <c r="DD190" s="188">
        <f t="shared" si="117"/>
        <v>-1.1000000000000001</v>
      </c>
      <c r="DE190" s="277"/>
      <c r="DF190" s="191">
        <f t="shared" si="118"/>
        <v>0</v>
      </c>
      <c r="DG190" s="245"/>
      <c r="DH190" s="188">
        <f t="shared" si="119"/>
        <v>55</v>
      </c>
      <c r="DI190" s="188">
        <f t="shared" si="120"/>
        <v>66</v>
      </c>
      <c r="DJ190" s="191">
        <f t="shared" si="121"/>
        <v>1.2</v>
      </c>
      <c r="DK190" s="286">
        <f t="shared" si="122"/>
        <v>-11</v>
      </c>
      <c r="DL190" s="264">
        <v>186</v>
      </c>
      <c r="DM190" s="244">
        <f>+A190-DL190</f>
        <v>0</v>
      </c>
    </row>
    <row r="191" spans="1:117" x14ac:dyDescent="0.35">
      <c r="A191" s="81">
        <v>187</v>
      </c>
      <c r="B191" s="102" t="s">
        <v>270</v>
      </c>
      <c r="C191" s="102" t="s">
        <v>118</v>
      </c>
      <c r="D191" s="102" t="s">
        <v>119</v>
      </c>
      <c r="E191" s="102" t="s">
        <v>155</v>
      </c>
      <c r="F191" s="102" t="s">
        <v>598</v>
      </c>
      <c r="G191" s="98" t="s">
        <v>186</v>
      </c>
      <c r="H191" s="98" t="s">
        <v>187</v>
      </c>
      <c r="I191" s="98" t="s">
        <v>621</v>
      </c>
      <c r="J191" s="98" t="s">
        <v>621</v>
      </c>
      <c r="K191" s="96" t="s">
        <v>104</v>
      </c>
      <c r="L191" s="96" t="s">
        <v>105</v>
      </c>
      <c r="M191" s="98" t="s">
        <v>106</v>
      </c>
      <c r="N191" s="98" t="s">
        <v>622</v>
      </c>
      <c r="O191" s="98" t="s">
        <v>127</v>
      </c>
      <c r="P191" s="98" t="s">
        <v>623</v>
      </c>
      <c r="Q191" s="98" t="s">
        <v>129</v>
      </c>
      <c r="R191" s="301">
        <v>100</v>
      </c>
      <c r="S191" s="99" t="s">
        <v>158</v>
      </c>
      <c r="T191" s="81">
        <v>0</v>
      </c>
      <c r="U191" s="81"/>
      <c r="V191" s="25" t="e">
        <f t="shared" si="143"/>
        <v>#DIV/0!</v>
      </c>
      <c r="W191" s="81">
        <v>1</v>
      </c>
      <c r="X191" s="81"/>
      <c r="Y191" s="25">
        <f t="shared" si="1"/>
        <v>0</v>
      </c>
      <c r="Z191" s="81">
        <v>2</v>
      </c>
      <c r="AA191" s="81"/>
      <c r="AB191" s="25">
        <f t="shared" si="2"/>
        <v>0</v>
      </c>
      <c r="AC191" s="81">
        <v>2</v>
      </c>
      <c r="AD191" s="81"/>
      <c r="AE191" s="25">
        <f t="shared" si="3"/>
        <v>0</v>
      </c>
      <c r="AF191" s="140">
        <f t="shared" si="127"/>
        <v>100</v>
      </c>
      <c r="AG191" s="140">
        <f t="shared" si="128"/>
        <v>0</v>
      </c>
      <c r="AH191" s="138">
        <f t="shared" si="125"/>
        <v>0</v>
      </c>
      <c r="AI191" s="101">
        <v>46113</v>
      </c>
      <c r="AJ191" s="101">
        <v>46477</v>
      </c>
      <c r="AK191" s="102" t="s">
        <v>112</v>
      </c>
      <c r="AL191" s="102" t="s">
        <v>113</v>
      </c>
      <c r="AM191" s="103" t="s">
        <v>114</v>
      </c>
      <c r="AN191" s="104">
        <v>25000000</v>
      </c>
      <c r="AO191" s="104">
        <v>25000000</v>
      </c>
      <c r="AP191" s="104">
        <v>25000000</v>
      </c>
      <c r="AQ191" s="326">
        <v>0</v>
      </c>
      <c r="AR191" s="102" t="s">
        <v>159</v>
      </c>
      <c r="AS191" s="102" t="s">
        <v>112</v>
      </c>
      <c r="AT191" s="152"/>
      <c r="AU191" s="102"/>
      <c r="AV191" s="276" t="s">
        <v>2234</v>
      </c>
      <c r="AW191" s="168" t="s">
        <v>2266</v>
      </c>
      <c r="AX191" s="168" t="s">
        <v>2363</v>
      </c>
      <c r="AY191" s="274" t="s">
        <v>2376</v>
      </c>
      <c r="AZ191" s="271" t="s">
        <v>2371</v>
      </c>
      <c r="BA191" s="272"/>
      <c r="BB191" s="273"/>
      <c r="BC191" s="209" t="e">
        <f t="shared" si="99"/>
        <v>#DIV/0!</v>
      </c>
      <c r="BD191" s="272"/>
      <c r="BE191" s="273"/>
      <c r="BF191" s="209" t="e">
        <f t="shared" si="100"/>
        <v>#DIV/0!</v>
      </c>
      <c r="BG191" s="272"/>
      <c r="BH191" s="273"/>
      <c r="BI191" s="209" t="e">
        <f t="shared" si="101"/>
        <v>#DIV/0!</v>
      </c>
      <c r="BJ191" s="210">
        <f t="shared" si="102"/>
        <v>0</v>
      </c>
      <c r="BK191" s="211">
        <f t="shared" si="103"/>
        <v>0</v>
      </c>
      <c r="BL191" s="209" t="e">
        <f t="shared" si="104"/>
        <v>#DIV/0!</v>
      </c>
      <c r="BM191" s="272"/>
      <c r="BN191" s="273"/>
      <c r="BO191" s="209" t="e">
        <f t="shared" si="129"/>
        <v>#DIV/0!</v>
      </c>
      <c r="BP191" s="272"/>
      <c r="BQ191" s="273"/>
      <c r="BR191" s="209" t="e">
        <f t="shared" si="130"/>
        <v>#DIV/0!</v>
      </c>
      <c r="BS191" s="272"/>
      <c r="BT191" s="272"/>
      <c r="BU191" s="209" t="e">
        <f t="shared" si="131"/>
        <v>#DIV/0!</v>
      </c>
      <c r="BV191" s="210">
        <f t="shared" si="105"/>
        <v>0</v>
      </c>
      <c r="BW191" s="210">
        <f t="shared" si="106"/>
        <v>0</v>
      </c>
      <c r="BX191" s="209" t="e">
        <f t="shared" si="107"/>
        <v>#DIV/0!</v>
      </c>
      <c r="BY191" s="209">
        <f t="shared" si="108"/>
        <v>0</v>
      </c>
      <c r="BZ191" s="209">
        <f t="shared" si="109"/>
        <v>0</v>
      </c>
      <c r="CA191" s="212"/>
      <c r="CB191" s="245"/>
      <c r="CC191" s="183"/>
      <c r="CD191" s="184"/>
      <c r="CE191" s="185" t="e">
        <f t="shared" si="132"/>
        <v>#DIV/0!</v>
      </c>
      <c r="CF191" s="183"/>
      <c r="CG191" s="184"/>
      <c r="CH191" s="185" t="e">
        <f t="shared" si="133"/>
        <v>#DIV/0!</v>
      </c>
      <c r="CI191" s="189"/>
      <c r="CJ191" s="190"/>
      <c r="CK191" s="185" t="e">
        <f t="shared" si="134"/>
        <v>#DIV/0!</v>
      </c>
      <c r="CL191" s="187">
        <f t="shared" si="135"/>
        <v>0</v>
      </c>
      <c r="CM191" s="186">
        <f t="shared" si="136"/>
        <v>0</v>
      </c>
      <c r="CN191" s="185" t="e">
        <f t="shared" si="137"/>
        <v>#DIV/0!</v>
      </c>
      <c r="CO191" s="245"/>
      <c r="CP191" s="188">
        <f t="shared" si="138"/>
        <v>0</v>
      </c>
      <c r="CQ191" s="188">
        <f t="shared" si="139"/>
        <v>0</v>
      </c>
      <c r="CR191" s="191" t="e">
        <f t="shared" si="140"/>
        <v>#DIV/0!</v>
      </c>
      <c r="CS191" s="279">
        <f t="shared" si="110"/>
        <v>100</v>
      </c>
      <c r="CT191" s="245"/>
      <c r="CU191" s="188">
        <f t="shared" si="111"/>
        <v>30</v>
      </c>
      <c r="CV191" s="277"/>
      <c r="CW191" s="191">
        <f t="shared" si="112"/>
        <v>0</v>
      </c>
      <c r="CX191" s="188">
        <f t="shared" si="113"/>
        <v>30</v>
      </c>
      <c r="CY191" s="277"/>
      <c r="CZ191" s="191">
        <f t="shared" si="114"/>
        <v>0</v>
      </c>
      <c r="DA191" s="188">
        <f t="shared" si="115"/>
        <v>30</v>
      </c>
      <c r="DB191" s="277"/>
      <c r="DC191" s="191">
        <f t="shared" si="116"/>
        <v>0</v>
      </c>
      <c r="DD191" s="188">
        <f t="shared" si="117"/>
        <v>10</v>
      </c>
      <c r="DE191" s="277"/>
      <c r="DF191" s="191">
        <f t="shared" si="118"/>
        <v>0</v>
      </c>
      <c r="DG191" s="245"/>
      <c r="DH191" s="188">
        <f t="shared" si="119"/>
        <v>100</v>
      </c>
      <c r="DI191" s="188">
        <f t="shared" si="120"/>
        <v>0</v>
      </c>
      <c r="DJ191" s="191">
        <f t="shared" si="121"/>
        <v>0</v>
      </c>
      <c r="DK191" s="286">
        <f t="shared" si="122"/>
        <v>100</v>
      </c>
      <c r="DM191" s="244">
        <f>+A191-DL191</f>
        <v>187</v>
      </c>
    </row>
    <row r="192" spans="1:117" x14ac:dyDescent="0.35">
      <c r="A192" s="81">
        <v>188</v>
      </c>
      <c r="B192" s="102" t="s">
        <v>270</v>
      </c>
      <c r="C192" s="102" t="s">
        <v>118</v>
      </c>
      <c r="D192" s="102" t="s">
        <v>119</v>
      </c>
      <c r="E192" s="102" t="s">
        <v>155</v>
      </c>
      <c r="F192" s="102" t="s">
        <v>598</v>
      </c>
      <c r="G192" s="98" t="s">
        <v>186</v>
      </c>
      <c r="H192" s="98" t="s">
        <v>187</v>
      </c>
      <c r="I192" s="98" t="s">
        <v>592</v>
      </c>
      <c r="J192" s="98" t="s">
        <v>592</v>
      </c>
      <c r="K192" s="96" t="s">
        <v>104</v>
      </c>
      <c r="L192" s="96" t="s">
        <v>105</v>
      </c>
      <c r="M192" s="98" t="s">
        <v>106</v>
      </c>
      <c r="N192" s="98" t="s">
        <v>622</v>
      </c>
      <c r="O192" s="98" t="s">
        <v>127</v>
      </c>
      <c r="P192" s="98" t="s">
        <v>624</v>
      </c>
      <c r="Q192" s="98" t="s">
        <v>129</v>
      </c>
      <c r="R192" s="301">
        <v>100</v>
      </c>
      <c r="S192" s="99" t="s">
        <v>158</v>
      </c>
      <c r="T192" s="81">
        <v>0</v>
      </c>
      <c r="U192" s="81"/>
      <c r="V192" s="25" t="e">
        <f t="shared" si="143"/>
        <v>#DIV/0!</v>
      </c>
      <c r="W192" s="81">
        <v>1</v>
      </c>
      <c r="X192" s="81"/>
      <c r="Y192" s="25">
        <f t="shared" si="1"/>
        <v>0</v>
      </c>
      <c r="Z192" s="81">
        <v>2</v>
      </c>
      <c r="AA192" s="81"/>
      <c r="AB192" s="25">
        <f t="shared" si="2"/>
        <v>0</v>
      </c>
      <c r="AC192" s="81">
        <v>1</v>
      </c>
      <c r="AD192" s="81"/>
      <c r="AE192" s="25">
        <f t="shared" si="3"/>
        <v>0</v>
      </c>
      <c r="AF192" s="140">
        <f t="shared" si="127"/>
        <v>100</v>
      </c>
      <c r="AG192" s="140">
        <f t="shared" si="128"/>
        <v>0</v>
      </c>
      <c r="AH192" s="138">
        <f t="shared" si="125"/>
        <v>0</v>
      </c>
      <c r="AI192" s="101">
        <v>46113</v>
      </c>
      <c r="AJ192" s="101">
        <v>46477</v>
      </c>
      <c r="AK192" s="102" t="s">
        <v>112</v>
      </c>
      <c r="AL192" s="102" t="s">
        <v>113</v>
      </c>
      <c r="AM192" s="103" t="s">
        <v>114</v>
      </c>
      <c r="AN192" s="104">
        <v>70000000</v>
      </c>
      <c r="AO192" s="104">
        <v>70000000</v>
      </c>
      <c r="AP192" s="104">
        <v>70000000</v>
      </c>
      <c r="AQ192" s="326">
        <v>0</v>
      </c>
      <c r="AR192" s="102" t="s">
        <v>191</v>
      </c>
      <c r="AS192" s="102" t="s">
        <v>112</v>
      </c>
      <c r="AT192" s="152"/>
      <c r="AU192" s="102"/>
      <c r="AV192" s="276" t="s">
        <v>2234</v>
      </c>
      <c r="AW192" s="168" t="s">
        <v>2266</v>
      </c>
      <c r="AX192" s="168" t="s">
        <v>2363</v>
      </c>
      <c r="AY192" s="274" t="s">
        <v>2376</v>
      </c>
      <c r="AZ192" s="271" t="s">
        <v>2371</v>
      </c>
      <c r="BA192" s="272"/>
      <c r="BB192" s="273"/>
      <c r="BC192" s="209" t="e">
        <f t="shared" si="99"/>
        <v>#DIV/0!</v>
      </c>
      <c r="BD192" s="272"/>
      <c r="BE192" s="273"/>
      <c r="BF192" s="209" t="e">
        <f t="shared" si="100"/>
        <v>#DIV/0!</v>
      </c>
      <c r="BG192" s="272"/>
      <c r="BH192" s="273"/>
      <c r="BI192" s="209" t="e">
        <f t="shared" si="101"/>
        <v>#DIV/0!</v>
      </c>
      <c r="BJ192" s="210">
        <f t="shared" si="102"/>
        <v>0</v>
      </c>
      <c r="BK192" s="211">
        <f t="shared" si="103"/>
        <v>0</v>
      </c>
      <c r="BL192" s="209" t="e">
        <f t="shared" si="104"/>
        <v>#DIV/0!</v>
      </c>
      <c r="BM192" s="272"/>
      <c r="BN192" s="273"/>
      <c r="BO192" s="209" t="e">
        <f t="shared" si="129"/>
        <v>#DIV/0!</v>
      </c>
      <c r="BP192" s="272"/>
      <c r="BQ192" s="273"/>
      <c r="BR192" s="209" t="e">
        <f t="shared" si="130"/>
        <v>#DIV/0!</v>
      </c>
      <c r="BS192" s="272"/>
      <c r="BT192" s="272"/>
      <c r="BU192" s="209" t="e">
        <f t="shared" si="131"/>
        <v>#DIV/0!</v>
      </c>
      <c r="BV192" s="210">
        <f t="shared" si="105"/>
        <v>0</v>
      </c>
      <c r="BW192" s="210">
        <f t="shared" si="106"/>
        <v>0</v>
      </c>
      <c r="BX192" s="209" t="e">
        <f t="shared" si="107"/>
        <v>#DIV/0!</v>
      </c>
      <c r="BY192" s="209">
        <f t="shared" si="108"/>
        <v>0</v>
      </c>
      <c r="BZ192" s="209">
        <f t="shared" si="109"/>
        <v>0</v>
      </c>
      <c r="CA192" s="212"/>
      <c r="CB192" s="245"/>
      <c r="CC192" s="183"/>
      <c r="CD192" s="184"/>
      <c r="CE192" s="185" t="e">
        <f t="shared" si="132"/>
        <v>#DIV/0!</v>
      </c>
      <c r="CF192" s="183"/>
      <c r="CG192" s="184"/>
      <c r="CH192" s="185" t="e">
        <f t="shared" si="133"/>
        <v>#DIV/0!</v>
      </c>
      <c r="CI192" s="189"/>
      <c r="CJ192" s="190"/>
      <c r="CK192" s="185" t="e">
        <f t="shared" si="134"/>
        <v>#DIV/0!</v>
      </c>
      <c r="CL192" s="187">
        <f t="shared" si="135"/>
        <v>0</v>
      </c>
      <c r="CM192" s="186">
        <f t="shared" si="136"/>
        <v>0</v>
      </c>
      <c r="CN192" s="185" t="e">
        <f t="shared" si="137"/>
        <v>#DIV/0!</v>
      </c>
      <c r="CO192" s="245"/>
      <c r="CP192" s="188">
        <f t="shared" si="138"/>
        <v>0</v>
      </c>
      <c r="CQ192" s="188">
        <f t="shared" si="139"/>
        <v>0</v>
      </c>
      <c r="CR192" s="191" t="e">
        <f t="shared" si="140"/>
        <v>#DIV/0!</v>
      </c>
      <c r="CS192" s="279">
        <f t="shared" si="110"/>
        <v>100</v>
      </c>
      <c r="CT192" s="245"/>
      <c r="CU192" s="188">
        <f t="shared" si="111"/>
        <v>30</v>
      </c>
      <c r="CV192" s="277"/>
      <c r="CW192" s="191">
        <f t="shared" si="112"/>
        <v>0</v>
      </c>
      <c r="CX192" s="188">
        <f t="shared" si="113"/>
        <v>30</v>
      </c>
      <c r="CY192" s="277"/>
      <c r="CZ192" s="191">
        <f t="shared" si="114"/>
        <v>0</v>
      </c>
      <c r="DA192" s="188">
        <f t="shared" si="115"/>
        <v>30</v>
      </c>
      <c r="DB192" s="277"/>
      <c r="DC192" s="191">
        <f t="shared" si="116"/>
        <v>0</v>
      </c>
      <c r="DD192" s="188">
        <f t="shared" si="117"/>
        <v>10</v>
      </c>
      <c r="DE192" s="277"/>
      <c r="DF192" s="191">
        <f t="shared" si="118"/>
        <v>0</v>
      </c>
      <c r="DG192" s="245"/>
      <c r="DH192" s="188">
        <f t="shared" si="119"/>
        <v>100</v>
      </c>
      <c r="DI192" s="188">
        <f t="shared" si="120"/>
        <v>0</v>
      </c>
      <c r="DJ192" s="191">
        <f t="shared" si="121"/>
        <v>0</v>
      </c>
      <c r="DK192" s="286">
        <f t="shared" si="122"/>
        <v>100</v>
      </c>
      <c r="DM192" s="244">
        <f>+A192-DL192</f>
        <v>188</v>
      </c>
    </row>
    <row r="193" spans="1:117" ht="37.5" x14ac:dyDescent="0.35">
      <c r="A193" s="81">
        <v>189</v>
      </c>
      <c r="B193" s="102" t="s">
        <v>270</v>
      </c>
      <c r="C193" s="102" t="s">
        <v>118</v>
      </c>
      <c r="D193" s="102" t="s">
        <v>119</v>
      </c>
      <c r="E193" s="102" t="s">
        <v>155</v>
      </c>
      <c r="F193" s="102" t="s">
        <v>598</v>
      </c>
      <c r="G193" s="98" t="s">
        <v>186</v>
      </c>
      <c r="H193" s="98" t="s">
        <v>187</v>
      </c>
      <c r="I193" s="98" t="s">
        <v>592</v>
      </c>
      <c r="J193" s="98" t="s">
        <v>592</v>
      </c>
      <c r="K193" s="96" t="s">
        <v>104</v>
      </c>
      <c r="L193" s="96" t="s">
        <v>105</v>
      </c>
      <c r="M193" s="98" t="s">
        <v>106</v>
      </c>
      <c r="N193" s="98" t="s">
        <v>622</v>
      </c>
      <c r="O193" s="98" t="s">
        <v>127</v>
      </c>
      <c r="P193" s="259" t="s">
        <v>625</v>
      </c>
      <c r="Q193" s="98" t="s">
        <v>129</v>
      </c>
      <c r="R193" s="301">
        <v>5</v>
      </c>
      <c r="S193" s="99" t="s">
        <v>111</v>
      </c>
      <c r="T193" s="81">
        <v>6</v>
      </c>
      <c r="U193" s="81"/>
      <c r="V193" s="25">
        <f t="shared" si="143"/>
        <v>0</v>
      </c>
      <c r="W193" s="81">
        <v>6</v>
      </c>
      <c r="X193" s="81"/>
      <c r="Y193" s="25">
        <f t="shared" si="1"/>
        <v>0</v>
      </c>
      <c r="Z193" s="81">
        <v>6</v>
      </c>
      <c r="AA193" s="81"/>
      <c r="AB193" s="25">
        <f t="shared" si="2"/>
        <v>0</v>
      </c>
      <c r="AC193" s="81">
        <v>6</v>
      </c>
      <c r="AD193" s="81"/>
      <c r="AE193" s="25">
        <f t="shared" si="3"/>
        <v>0</v>
      </c>
      <c r="AF193" s="140">
        <f t="shared" si="127"/>
        <v>5</v>
      </c>
      <c r="AG193" s="140">
        <f t="shared" si="128"/>
        <v>0</v>
      </c>
      <c r="AH193" s="138">
        <f t="shared" si="125"/>
        <v>0</v>
      </c>
      <c r="AI193" s="101">
        <v>46113</v>
      </c>
      <c r="AJ193" s="101">
        <v>46477</v>
      </c>
      <c r="AK193" s="102" t="s">
        <v>112</v>
      </c>
      <c r="AL193" s="102" t="s">
        <v>113</v>
      </c>
      <c r="AM193" s="103" t="s">
        <v>114</v>
      </c>
      <c r="AN193" s="104">
        <v>110000000</v>
      </c>
      <c r="AO193" s="104">
        <v>110000000</v>
      </c>
      <c r="AP193" s="104">
        <v>110000000</v>
      </c>
      <c r="AQ193" s="326">
        <v>0</v>
      </c>
      <c r="AR193" s="102" t="s">
        <v>159</v>
      </c>
      <c r="AS193" s="102" t="s">
        <v>112</v>
      </c>
      <c r="AT193" s="152"/>
      <c r="AU193" s="102"/>
      <c r="AV193" s="276" t="s">
        <v>2234</v>
      </c>
      <c r="BA193" s="272"/>
      <c r="BB193" s="273"/>
      <c r="BC193" s="209" t="e">
        <f t="shared" si="99"/>
        <v>#DIV/0!</v>
      </c>
      <c r="BD193" s="272"/>
      <c r="BE193" s="273"/>
      <c r="BF193" s="209" t="e">
        <f t="shared" si="100"/>
        <v>#DIV/0!</v>
      </c>
      <c r="BG193" s="272"/>
      <c r="BH193" s="273"/>
      <c r="BI193" s="209" t="e">
        <f t="shared" si="101"/>
        <v>#DIV/0!</v>
      </c>
      <c r="BJ193" s="210">
        <f t="shared" si="102"/>
        <v>0</v>
      </c>
      <c r="BK193" s="211">
        <f t="shared" si="103"/>
        <v>0</v>
      </c>
      <c r="BL193" s="209" t="e">
        <f t="shared" si="104"/>
        <v>#DIV/0!</v>
      </c>
      <c r="BM193" s="272"/>
      <c r="BN193" s="273"/>
      <c r="BO193" s="209" t="e">
        <f t="shared" si="129"/>
        <v>#DIV/0!</v>
      </c>
      <c r="BP193" s="272"/>
      <c r="BQ193" s="273"/>
      <c r="BR193" s="209" t="e">
        <f t="shared" si="130"/>
        <v>#DIV/0!</v>
      </c>
      <c r="BS193" s="272"/>
      <c r="BT193" s="272"/>
      <c r="BU193" s="209" t="e">
        <f t="shared" si="131"/>
        <v>#DIV/0!</v>
      </c>
      <c r="BV193" s="210">
        <f t="shared" si="105"/>
        <v>0</v>
      </c>
      <c r="BW193" s="210">
        <f t="shared" si="106"/>
        <v>0</v>
      </c>
      <c r="BX193" s="209" t="e">
        <f t="shared" si="107"/>
        <v>#DIV/0!</v>
      </c>
      <c r="BY193" s="209">
        <f t="shared" si="108"/>
        <v>0</v>
      </c>
      <c r="BZ193" s="209">
        <f t="shared" si="109"/>
        <v>0</v>
      </c>
      <c r="CA193" s="212"/>
      <c r="CB193" s="245"/>
      <c r="CC193" s="183"/>
      <c r="CD193" s="184"/>
      <c r="CE193" s="185" t="e">
        <f t="shared" si="132"/>
        <v>#DIV/0!</v>
      </c>
      <c r="CF193" s="183"/>
      <c r="CG193" s="184"/>
      <c r="CH193" s="185" t="e">
        <f t="shared" si="133"/>
        <v>#DIV/0!</v>
      </c>
      <c r="CI193" s="189"/>
      <c r="CJ193" s="190"/>
      <c r="CK193" s="185" t="e">
        <f t="shared" si="134"/>
        <v>#DIV/0!</v>
      </c>
      <c r="CL193" s="187">
        <f t="shared" si="135"/>
        <v>0</v>
      </c>
      <c r="CM193" s="186">
        <f t="shared" si="136"/>
        <v>0</v>
      </c>
      <c r="CN193" s="185" t="e">
        <f t="shared" si="137"/>
        <v>#DIV/0!</v>
      </c>
      <c r="CO193" s="245"/>
      <c r="CP193" s="188">
        <f t="shared" si="138"/>
        <v>0</v>
      </c>
      <c r="CQ193" s="188">
        <f t="shared" si="139"/>
        <v>0</v>
      </c>
      <c r="CR193" s="191" t="e">
        <f t="shared" si="140"/>
        <v>#DIV/0!</v>
      </c>
      <c r="CS193" s="279">
        <f t="shared" si="110"/>
        <v>5</v>
      </c>
      <c r="CT193" s="245"/>
      <c r="CU193" s="188">
        <f t="shared" si="111"/>
        <v>1.5</v>
      </c>
      <c r="CV193" s="277"/>
      <c r="CW193" s="191">
        <f t="shared" si="112"/>
        <v>0</v>
      </c>
      <c r="CX193" s="188">
        <f t="shared" si="113"/>
        <v>1.5</v>
      </c>
      <c r="CY193" s="277"/>
      <c r="CZ193" s="191">
        <f t="shared" si="114"/>
        <v>0</v>
      </c>
      <c r="DA193" s="188">
        <f t="shared" si="115"/>
        <v>1.5</v>
      </c>
      <c r="DB193" s="277"/>
      <c r="DC193" s="191">
        <f t="shared" si="116"/>
        <v>0</v>
      </c>
      <c r="DD193" s="188">
        <f t="shared" si="117"/>
        <v>0.5</v>
      </c>
      <c r="DE193" s="277"/>
      <c r="DF193" s="191">
        <f t="shared" si="118"/>
        <v>0</v>
      </c>
      <c r="DG193" s="245"/>
      <c r="DH193" s="188">
        <f t="shared" si="119"/>
        <v>5</v>
      </c>
      <c r="DI193" s="188">
        <f t="shared" si="120"/>
        <v>0</v>
      </c>
      <c r="DJ193" s="191">
        <f t="shared" si="121"/>
        <v>0</v>
      </c>
      <c r="DK193" s="286">
        <f t="shared" si="122"/>
        <v>5</v>
      </c>
      <c r="DM193" s="244">
        <f>+A193-DL193</f>
        <v>189</v>
      </c>
    </row>
    <row r="194" spans="1:117" ht="25" x14ac:dyDescent="0.35">
      <c r="A194" s="81">
        <v>190</v>
      </c>
      <c r="B194" s="102" t="s">
        <v>270</v>
      </c>
      <c r="C194" s="102" t="s">
        <v>118</v>
      </c>
      <c r="D194" s="102" t="s">
        <v>119</v>
      </c>
      <c r="E194" s="102" t="s">
        <v>155</v>
      </c>
      <c r="F194" s="102" t="s">
        <v>598</v>
      </c>
      <c r="G194" s="98" t="s">
        <v>186</v>
      </c>
      <c r="H194" s="98" t="s">
        <v>187</v>
      </c>
      <c r="I194" s="98" t="s">
        <v>103</v>
      </c>
      <c r="J194" s="98" t="s">
        <v>103</v>
      </c>
      <c r="K194" s="96" t="s">
        <v>104</v>
      </c>
      <c r="L194" s="96" t="s">
        <v>105</v>
      </c>
      <c r="M194" s="98" t="s">
        <v>106</v>
      </c>
      <c r="N194" s="98" t="s">
        <v>622</v>
      </c>
      <c r="O194" s="98" t="s">
        <v>127</v>
      </c>
      <c r="P194" s="259" t="s">
        <v>626</v>
      </c>
      <c r="Q194" s="98" t="s">
        <v>129</v>
      </c>
      <c r="R194" s="301">
        <v>4</v>
      </c>
      <c r="S194" s="99" t="s">
        <v>111</v>
      </c>
      <c r="T194" s="81">
        <v>10</v>
      </c>
      <c r="U194" s="81"/>
      <c r="V194" s="25">
        <f t="shared" si="143"/>
        <v>0</v>
      </c>
      <c r="W194" s="81">
        <v>15</v>
      </c>
      <c r="X194" s="81"/>
      <c r="Y194" s="25">
        <f t="shared" si="1"/>
        <v>0</v>
      </c>
      <c r="Z194" s="81">
        <v>15</v>
      </c>
      <c r="AA194" s="81"/>
      <c r="AB194" s="25">
        <f t="shared" si="2"/>
        <v>0</v>
      </c>
      <c r="AC194" s="81">
        <v>15</v>
      </c>
      <c r="AD194" s="81"/>
      <c r="AE194" s="25">
        <f t="shared" si="3"/>
        <v>0</v>
      </c>
      <c r="AF194" s="140">
        <f t="shared" si="127"/>
        <v>4</v>
      </c>
      <c r="AG194" s="140">
        <f t="shared" si="128"/>
        <v>0</v>
      </c>
      <c r="AH194" s="138">
        <f t="shared" si="125"/>
        <v>0</v>
      </c>
      <c r="AI194" s="101">
        <v>46054</v>
      </c>
      <c r="AJ194" s="101">
        <v>46477</v>
      </c>
      <c r="AK194" s="102" t="s">
        <v>112</v>
      </c>
      <c r="AL194" s="102" t="s">
        <v>113</v>
      </c>
      <c r="AM194" s="103" t="s">
        <v>114</v>
      </c>
      <c r="AN194" s="104">
        <v>80000000</v>
      </c>
      <c r="AO194" s="104">
        <v>80000000</v>
      </c>
      <c r="AP194" s="104">
        <v>80000000</v>
      </c>
      <c r="AQ194" s="326">
        <v>0</v>
      </c>
      <c r="AR194" s="102" t="s">
        <v>159</v>
      </c>
      <c r="AS194" s="102" t="s">
        <v>112</v>
      </c>
      <c r="AT194" s="152"/>
      <c r="AU194" s="102"/>
      <c r="AV194" s="276" t="s">
        <v>2234</v>
      </c>
      <c r="BA194" s="272"/>
      <c r="BB194" s="273"/>
      <c r="BC194" s="209" t="e">
        <f t="shared" si="99"/>
        <v>#DIV/0!</v>
      </c>
      <c r="BD194" s="272"/>
      <c r="BE194" s="273"/>
      <c r="BF194" s="209" t="e">
        <f t="shared" si="100"/>
        <v>#DIV/0!</v>
      </c>
      <c r="BG194" s="272"/>
      <c r="BH194" s="273"/>
      <c r="BI194" s="209" t="e">
        <f t="shared" si="101"/>
        <v>#DIV/0!</v>
      </c>
      <c r="BJ194" s="210">
        <f t="shared" si="102"/>
        <v>0</v>
      </c>
      <c r="BK194" s="211">
        <f t="shared" si="103"/>
        <v>0</v>
      </c>
      <c r="BL194" s="209" t="e">
        <f t="shared" si="104"/>
        <v>#DIV/0!</v>
      </c>
      <c r="BM194" s="272"/>
      <c r="BN194" s="273"/>
      <c r="BO194" s="209" t="e">
        <f t="shared" si="129"/>
        <v>#DIV/0!</v>
      </c>
      <c r="BP194" s="272"/>
      <c r="BQ194" s="273"/>
      <c r="BR194" s="209" t="e">
        <f t="shared" si="130"/>
        <v>#DIV/0!</v>
      </c>
      <c r="BS194" s="272"/>
      <c r="BT194" s="272"/>
      <c r="BU194" s="209" t="e">
        <f t="shared" si="131"/>
        <v>#DIV/0!</v>
      </c>
      <c r="BV194" s="210">
        <f t="shared" si="105"/>
        <v>0</v>
      </c>
      <c r="BW194" s="210">
        <f t="shared" si="106"/>
        <v>0</v>
      </c>
      <c r="BX194" s="209" t="e">
        <f t="shared" si="107"/>
        <v>#DIV/0!</v>
      </c>
      <c r="BY194" s="209">
        <f t="shared" si="108"/>
        <v>0</v>
      </c>
      <c r="BZ194" s="209">
        <f t="shared" si="109"/>
        <v>0</v>
      </c>
      <c r="CA194" s="212"/>
      <c r="CB194" s="245"/>
      <c r="CC194" s="183"/>
      <c r="CD194" s="184"/>
      <c r="CE194" s="185" t="e">
        <f t="shared" si="132"/>
        <v>#DIV/0!</v>
      </c>
      <c r="CF194" s="183"/>
      <c r="CG194" s="184"/>
      <c r="CH194" s="185" t="e">
        <f t="shared" si="133"/>
        <v>#DIV/0!</v>
      </c>
      <c r="CI194" s="189"/>
      <c r="CJ194" s="190"/>
      <c r="CK194" s="185" t="e">
        <f t="shared" si="134"/>
        <v>#DIV/0!</v>
      </c>
      <c r="CL194" s="187">
        <f t="shared" si="135"/>
        <v>0</v>
      </c>
      <c r="CM194" s="186">
        <f t="shared" si="136"/>
        <v>0</v>
      </c>
      <c r="CN194" s="185" t="e">
        <f t="shared" si="137"/>
        <v>#DIV/0!</v>
      </c>
      <c r="CO194" s="245"/>
      <c r="CP194" s="188">
        <f t="shared" si="138"/>
        <v>0</v>
      </c>
      <c r="CQ194" s="188">
        <f t="shared" si="139"/>
        <v>0</v>
      </c>
      <c r="CR194" s="191" t="e">
        <f t="shared" si="140"/>
        <v>#DIV/0!</v>
      </c>
      <c r="CS194" s="279">
        <f t="shared" si="110"/>
        <v>4</v>
      </c>
      <c r="CT194" s="245"/>
      <c r="CU194" s="188">
        <f t="shared" si="111"/>
        <v>1.2</v>
      </c>
      <c r="CV194" s="277"/>
      <c r="CW194" s="191">
        <f t="shared" si="112"/>
        <v>0</v>
      </c>
      <c r="CX194" s="188">
        <f t="shared" si="113"/>
        <v>1.2</v>
      </c>
      <c r="CY194" s="277"/>
      <c r="CZ194" s="191">
        <f t="shared" si="114"/>
        <v>0</v>
      </c>
      <c r="DA194" s="188">
        <f t="shared" si="115"/>
        <v>1.2</v>
      </c>
      <c r="DB194" s="277"/>
      <c r="DC194" s="191">
        <f t="shared" si="116"/>
        <v>0</v>
      </c>
      <c r="DD194" s="188">
        <f t="shared" si="117"/>
        <v>0.4</v>
      </c>
      <c r="DE194" s="277"/>
      <c r="DF194" s="191">
        <f t="shared" si="118"/>
        <v>0</v>
      </c>
      <c r="DG194" s="245"/>
      <c r="DH194" s="188">
        <f t="shared" si="119"/>
        <v>4</v>
      </c>
      <c r="DI194" s="188">
        <f t="shared" si="120"/>
        <v>0</v>
      </c>
      <c r="DJ194" s="191">
        <f t="shared" si="121"/>
        <v>0</v>
      </c>
      <c r="DK194" s="286">
        <f t="shared" si="122"/>
        <v>4</v>
      </c>
      <c r="DM194" s="244">
        <f>+A194-DL194</f>
        <v>190</v>
      </c>
    </row>
    <row r="195" spans="1:117" x14ac:dyDescent="0.35">
      <c r="A195" s="267">
        <v>191</v>
      </c>
      <c r="B195" s="102" t="s">
        <v>270</v>
      </c>
      <c r="C195" s="102" t="s">
        <v>118</v>
      </c>
      <c r="D195" s="102" t="s">
        <v>119</v>
      </c>
      <c r="E195" s="102" t="s">
        <v>155</v>
      </c>
      <c r="F195" s="102" t="s">
        <v>598</v>
      </c>
      <c r="G195" s="98" t="s">
        <v>186</v>
      </c>
      <c r="H195" s="98" t="s">
        <v>187</v>
      </c>
      <c r="I195" s="98" t="s">
        <v>103</v>
      </c>
      <c r="J195" s="98" t="s">
        <v>103</v>
      </c>
      <c r="K195" s="96" t="s">
        <v>104</v>
      </c>
      <c r="L195" s="96" t="s">
        <v>105</v>
      </c>
      <c r="M195" s="98" t="s">
        <v>106</v>
      </c>
      <c r="N195" s="98" t="s">
        <v>622</v>
      </c>
      <c r="O195" s="98" t="s">
        <v>127</v>
      </c>
      <c r="P195" s="258" t="s">
        <v>627</v>
      </c>
      <c r="Q195" s="98" t="s">
        <v>129</v>
      </c>
      <c r="R195" s="301">
        <v>100</v>
      </c>
      <c r="S195" s="99" t="s">
        <v>158</v>
      </c>
      <c r="T195" s="81">
        <v>25</v>
      </c>
      <c r="U195" s="81"/>
      <c r="V195" s="25">
        <f t="shared" si="143"/>
        <v>0</v>
      </c>
      <c r="W195" s="81">
        <v>25</v>
      </c>
      <c r="X195" s="81"/>
      <c r="Y195" s="25">
        <f t="shared" si="1"/>
        <v>0</v>
      </c>
      <c r="Z195" s="81">
        <v>25</v>
      </c>
      <c r="AA195" s="81"/>
      <c r="AB195" s="25">
        <f t="shared" si="2"/>
        <v>0</v>
      </c>
      <c r="AC195" s="81">
        <v>25</v>
      </c>
      <c r="AD195" s="81"/>
      <c r="AE195" s="25">
        <f t="shared" si="3"/>
        <v>0</v>
      </c>
      <c r="AF195" s="140">
        <f t="shared" si="127"/>
        <v>100</v>
      </c>
      <c r="AG195" s="140">
        <f t="shared" si="128"/>
        <v>0</v>
      </c>
      <c r="AH195" s="138">
        <f t="shared" si="125"/>
        <v>0</v>
      </c>
      <c r="AI195" s="101">
        <v>46113</v>
      </c>
      <c r="AJ195" s="101">
        <v>46477</v>
      </c>
      <c r="AK195" s="102" t="s">
        <v>112</v>
      </c>
      <c r="AL195" s="102" t="s">
        <v>113</v>
      </c>
      <c r="AM195" s="103" t="s">
        <v>114</v>
      </c>
      <c r="AN195" s="104">
        <v>500000000</v>
      </c>
      <c r="AO195" s="104">
        <v>500000000</v>
      </c>
      <c r="AP195" s="104">
        <v>500000000</v>
      </c>
      <c r="AQ195" s="326">
        <v>0</v>
      </c>
      <c r="AR195" s="102" t="s">
        <v>159</v>
      </c>
      <c r="AS195" s="102" t="s">
        <v>112</v>
      </c>
      <c r="AT195" s="152" t="s">
        <v>628</v>
      </c>
      <c r="AU195" s="166" t="s">
        <v>2264</v>
      </c>
      <c r="AV195" s="247" t="s">
        <v>2234</v>
      </c>
      <c r="AW195" s="136" t="s">
        <v>2266</v>
      </c>
      <c r="AX195" s="136" t="s">
        <v>2363</v>
      </c>
      <c r="AY195" s="136" t="s">
        <v>2376</v>
      </c>
      <c r="BA195" s="272">
        <v>0</v>
      </c>
      <c r="BB195" s="273">
        <v>0</v>
      </c>
      <c r="BC195" s="209" t="e">
        <f t="shared" si="99"/>
        <v>#DIV/0!</v>
      </c>
      <c r="BD195" s="272">
        <v>0</v>
      </c>
      <c r="BE195" s="273">
        <v>0</v>
      </c>
      <c r="BF195" s="209" t="e">
        <f t="shared" si="100"/>
        <v>#DIV/0!</v>
      </c>
      <c r="BG195" s="272">
        <v>0</v>
      </c>
      <c r="BH195" s="273">
        <v>0</v>
      </c>
      <c r="BI195" s="209" t="e">
        <f t="shared" si="101"/>
        <v>#DIV/0!</v>
      </c>
      <c r="BJ195" s="210">
        <f t="shared" si="102"/>
        <v>0</v>
      </c>
      <c r="BK195" s="211">
        <f t="shared" si="103"/>
        <v>0</v>
      </c>
      <c r="BL195" s="209" t="e">
        <f t="shared" si="104"/>
        <v>#DIV/0!</v>
      </c>
      <c r="BM195" s="272">
        <v>0</v>
      </c>
      <c r="BN195" s="273">
        <v>0</v>
      </c>
      <c r="BO195" s="209" t="e">
        <f t="shared" si="129"/>
        <v>#DIV/0!</v>
      </c>
      <c r="BP195" s="272">
        <v>0</v>
      </c>
      <c r="BQ195" s="273">
        <v>0</v>
      </c>
      <c r="BR195" s="209" t="e">
        <f t="shared" si="130"/>
        <v>#DIV/0!</v>
      </c>
      <c r="BS195" s="272">
        <v>15</v>
      </c>
      <c r="BT195" s="272">
        <v>15</v>
      </c>
      <c r="BU195" s="209">
        <f t="shared" si="131"/>
        <v>1</v>
      </c>
      <c r="BV195" s="210">
        <f t="shared" si="105"/>
        <v>15</v>
      </c>
      <c r="BW195" s="210">
        <f t="shared" si="106"/>
        <v>15</v>
      </c>
      <c r="BX195" s="209">
        <f t="shared" si="107"/>
        <v>1</v>
      </c>
      <c r="BY195" s="209">
        <f t="shared" si="108"/>
        <v>0.15</v>
      </c>
      <c r="BZ195" s="209">
        <f t="shared" si="109"/>
        <v>-0.15</v>
      </c>
      <c r="CA195" s="212"/>
      <c r="CB195" s="245"/>
      <c r="CC195" s="183">
        <v>15</v>
      </c>
      <c r="CD195" s="184">
        <v>15</v>
      </c>
      <c r="CE195" s="185">
        <f t="shared" si="132"/>
        <v>1</v>
      </c>
      <c r="CF195" s="183">
        <v>20</v>
      </c>
      <c r="CG195" s="184">
        <v>20</v>
      </c>
      <c r="CH195" s="185">
        <f t="shared" si="133"/>
        <v>1</v>
      </c>
      <c r="CI195" s="189"/>
      <c r="CJ195" s="190"/>
      <c r="CK195" s="185" t="e">
        <f t="shared" si="134"/>
        <v>#DIV/0!</v>
      </c>
      <c r="CL195" s="187">
        <f t="shared" si="135"/>
        <v>35</v>
      </c>
      <c r="CM195" s="186">
        <f t="shared" si="136"/>
        <v>35</v>
      </c>
      <c r="CN195" s="185">
        <f t="shared" si="137"/>
        <v>1</v>
      </c>
      <c r="CO195" s="245"/>
      <c r="CP195" s="188">
        <f t="shared" si="138"/>
        <v>50</v>
      </c>
      <c r="CQ195" s="188">
        <f t="shared" si="139"/>
        <v>50</v>
      </c>
      <c r="CR195" s="191">
        <f t="shared" si="140"/>
        <v>1</v>
      </c>
      <c r="CS195" s="279">
        <f t="shared" si="110"/>
        <v>50</v>
      </c>
      <c r="CT195" s="245"/>
      <c r="CU195" s="188">
        <f t="shared" si="111"/>
        <v>15</v>
      </c>
      <c r="CV195" s="277"/>
      <c r="CW195" s="191">
        <f t="shared" si="112"/>
        <v>0</v>
      </c>
      <c r="CX195" s="188">
        <f t="shared" si="113"/>
        <v>15</v>
      </c>
      <c r="CY195" s="277"/>
      <c r="CZ195" s="191">
        <f t="shared" si="114"/>
        <v>0</v>
      </c>
      <c r="DA195" s="188">
        <f t="shared" si="115"/>
        <v>15</v>
      </c>
      <c r="DB195" s="277"/>
      <c r="DC195" s="191">
        <f t="shared" si="116"/>
        <v>0</v>
      </c>
      <c r="DD195" s="188">
        <f t="shared" si="117"/>
        <v>5</v>
      </c>
      <c r="DE195" s="277"/>
      <c r="DF195" s="191">
        <f t="shared" si="118"/>
        <v>0</v>
      </c>
      <c r="DG195" s="245"/>
      <c r="DH195" s="188">
        <f t="shared" si="119"/>
        <v>100</v>
      </c>
      <c r="DI195" s="188">
        <f t="shared" si="120"/>
        <v>50</v>
      </c>
      <c r="DJ195" s="191">
        <f t="shared" si="121"/>
        <v>0.5</v>
      </c>
      <c r="DK195" s="286">
        <f t="shared" si="122"/>
        <v>50</v>
      </c>
      <c r="DM195" s="244">
        <f>+A195-DL195</f>
        <v>191</v>
      </c>
    </row>
    <row r="196" spans="1:117" x14ac:dyDescent="0.35">
      <c r="A196" s="267">
        <v>192</v>
      </c>
      <c r="B196" s="102" t="s">
        <v>270</v>
      </c>
      <c r="C196" s="102" t="s">
        <v>118</v>
      </c>
      <c r="D196" s="102" t="s">
        <v>119</v>
      </c>
      <c r="E196" s="102" t="s">
        <v>155</v>
      </c>
      <c r="F196" s="102" t="s">
        <v>598</v>
      </c>
      <c r="G196" s="98" t="s">
        <v>186</v>
      </c>
      <c r="H196" s="98" t="s">
        <v>187</v>
      </c>
      <c r="I196" s="98" t="s">
        <v>103</v>
      </c>
      <c r="J196" s="98" t="s">
        <v>103</v>
      </c>
      <c r="K196" s="96" t="s">
        <v>104</v>
      </c>
      <c r="L196" s="96" t="s">
        <v>105</v>
      </c>
      <c r="M196" s="98" t="s">
        <v>106</v>
      </c>
      <c r="N196" s="98" t="s">
        <v>622</v>
      </c>
      <c r="O196" s="98" t="s">
        <v>127</v>
      </c>
      <c r="P196" s="98" t="s">
        <v>629</v>
      </c>
      <c r="Q196" s="98" t="s">
        <v>129</v>
      </c>
      <c r="R196" s="301">
        <v>100</v>
      </c>
      <c r="S196" s="99" t="s">
        <v>158</v>
      </c>
      <c r="T196" s="81">
        <v>25</v>
      </c>
      <c r="U196" s="81"/>
      <c r="V196" s="25">
        <f t="shared" si="143"/>
        <v>0</v>
      </c>
      <c r="W196" s="81">
        <v>25</v>
      </c>
      <c r="X196" s="81"/>
      <c r="Y196" s="25">
        <f t="shared" si="1"/>
        <v>0</v>
      </c>
      <c r="Z196" s="81">
        <v>25</v>
      </c>
      <c r="AA196" s="81"/>
      <c r="AB196" s="25">
        <f t="shared" si="2"/>
        <v>0</v>
      </c>
      <c r="AC196" s="81">
        <v>25</v>
      </c>
      <c r="AD196" s="81"/>
      <c r="AE196" s="25">
        <f t="shared" si="3"/>
        <v>0</v>
      </c>
      <c r="AF196" s="140">
        <f t="shared" si="127"/>
        <v>100</v>
      </c>
      <c r="AG196" s="140">
        <f t="shared" si="128"/>
        <v>0</v>
      </c>
      <c r="AH196" s="138">
        <f t="shared" si="125"/>
        <v>0</v>
      </c>
      <c r="AI196" s="101">
        <v>46113</v>
      </c>
      <c r="AJ196" s="101">
        <v>46477</v>
      </c>
      <c r="AK196" s="102" t="s">
        <v>112</v>
      </c>
      <c r="AL196" s="102" t="s">
        <v>113</v>
      </c>
      <c r="AM196" s="103" t="s">
        <v>114</v>
      </c>
      <c r="AN196" s="104">
        <v>40000000</v>
      </c>
      <c r="AO196" s="104">
        <v>40000000</v>
      </c>
      <c r="AP196" s="104">
        <v>40000000</v>
      </c>
      <c r="AQ196" s="326">
        <v>0</v>
      </c>
      <c r="AR196" s="102" t="s">
        <v>159</v>
      </c>
      <c r="AS196" s="102" t="s">
        <v>112</v>
      </c>
      <c r="AT196" s="152" t="s">
        <v>628</v>
      </c>
      <c r="AU196" s="166" t="s">
        <v>2264</v>
      </c>
      <c r="AV196" s="247" t="s">
        <v>2234</v>
      </c>
      <c r="AW196" s="136" t="s">
        <v>2266</v>
      </c>
      <c r="AX196" s="136" t="s">
        <v>2363</v>
      </c>
      <c r="AY196" s="136" t="s">
        <v>2376</v>
      </c>
      <c r="BA196" s="272">
        <v>0</v>
      </c>
      <c r="BB196" s="273">
        <v>0</v>
      </c>
      <c r="BC196" s="209" t="e">
        <f t="shared" si="99"/>
        <v>#DIV/0!</v>
      </c>
      <c r="BD196" s="272">
        <v>0</v>
      </c>
      <c r="BE196" s="273">
        <v>0</v>
      </c>
      <c r="BF196" s="209" t="e">
        <f t="shared" si="100"/>
        <v>#DIV/0!</v>
      </c>
      <c r="BG196" s="272">
        <v>0</v>
      </c>
      <c r="BH196" s="273">
        <v>0</v>
      </c>
      <c r="BI196" s="209" t="e">
        <f t="shared" si="101"/>
        <v>#DIV/0!</v>
      </c>
      <c r="BJ196" s="210">
        <f t="shared" si="102"/>
        <v>0</v>
      </c>
      <c r="BK196" s="211">
        <f t="shared" si="103"/>
        <v>0</v>
      </c>
      <c r="BL196" s="209" t="e">
        <f t="shared" si="104"/>
        <v>#DIV/0!</v>
      </c>
      <c r="BM196" s="272">
        <v>0</v>
      </c>
      <c r="BN196" s="273">
        <v>0</v>
      </c>
      <c r="BO196" s="209" t="e">
        <f t="shared" si="129"/>
        <v>#DIV/0!</v>
      </c>
      <c r="BP196" s="272">
        <v>25</v>
      </c>
      <c r="BQ196" s="273">
        <v>0</v>
      </c>
      <c r="BR196" s="209">
        <f t="shared" si="130"/>
        <v>0</v>
      </c>
      <c r="BS196" s="272">
        <v>25</v>
      </c>
      <c r="BT196" s="272">
        <v>0</v>
      </c>
      <c r="BU196" s="209">
        <f t="shared" si="131"/>
        <v>0</v>
      </c>
      <c r="BV196" s="210">
        <f t="shared" si="105"/>
        <v>50</v>
      </c>
      <c r="BW196" s="210">
        <f t="shared" si="106"/>
        <v>0</v>
      </c>
      <c r="BX196" s="209">
        <f t="shared" si="107"/>
        <v>0</v>
      </c>
      <c r="BY196" s="209">
        <f t="shared" si="108"/>
        <v>0</v>
      </c>
      <c r="BZ196" s="209">
        <f t="shared" si="109"/>
        <v>0</v>
      </c>
      <c r="CA196" s="212"/>
      <c r="CB196" s="245"/>
      <c r="CC196" s="183">
        <v>0</v>
      </c>
      <c r="CD196" s="184">
        <v>0</v>
      </c>
      <c r="CE196" s="185" t="e">
        <f t="shared" si="132"/>
        <v>#DIV/0!</v>
      </c>
      <c r="CF196" s="183">
        <v>0</v>
      </c>
      <c r="CG196" s="184">
        <v>0</v>
      </c>
      <c r="CH196" s="185" t="e">
        <f t="shared" si="133"/>
        <v>#DIV/0!</v>
      </c>
      <c r="CI196" s="189"/>
      <c r="CJ196" s="190"/>
      <c r="CK196" s="185" t="e">
        <f t="shared" si="134"/>
        <v>#DIV/0!</v>
      </c>
      <c r="CL196" s="187">
        <f t="shared" si="135"/>
        <v>0</v>
      </c>
      <c r="CM196" s="186">
        <f t="shared" si="136"/>
        <v>0</v>
      </c>
      <c r="CN196" s="185" t="e">
        <f t="shared" si="137"/>
        <v>#DIV/0!</v>
      </c>
      <c r="CO196" s="245"/>
      <c r="CP196" s="188">
        <f t="shared" si="138"/>
        <v>50</v>
      </c>
      <c r="CQ196" s="188">
        <f t="shared" si="139"/>
        <v>0</v>
      </c>
      <c r="CR196" s="191">
        <f t="shared" si="140"/>
        <v>0</v>
      </c>
      <c r="CS196" s="279">
        <f t="shared" si="110"/>
        <v>100</v>
      </c>
      <c r="CT196" s="245"/>
      <c r="CU196" s="188">
        <f t="shared" si="111"/>
        <v>30</v>
      </c>
      <c r="CV196" s="277"/>
      <c r="CW196" s="191">
        <f t="shared" si="112"/>
        <v>0</v>
      </c>
      <c r="CX196" s="188">
        <f t="shared" si="113"/>
        <v>30</v>
      </c>
      <c r="CY196" s="277"/>
      <c r="CZ196" s="191">
        <f t="shared" si="114"/>
        <v>0</v>
      </c>
      <c r="DA196" s="188">
        <f t="shared" si="115"/>
        <v>30</v>
      </c>
      <c r="DB196" s="277"/>
      <c r="DC196" s="191">
        <f t="shared" si="116"/>
        <v>0</v>
      </c>
      <c r="DD196" s="188">
        <f t="shared" si="117"/>
        <v>10</v>
      </c>
      <c r="DE196" s="277"/>
      <c r="DF196" s="191">
        <f t="shared" si="118"/>
        <v>0</v>
      </c>
      <c r="DG196" s="245"/>
      <c r="DH196" s="188">
        <f t="shared" si="119"/>
        <v>100</v>
      </c>
      <c r="DI196" s="188">
        <f t="shared" si="120"/>
        <v>0</v>
      </c>
      <c r="DJ196" s="191">
        <f t="shared" si="121"/>
        <v>0</v>
      </c>
      <c r="DK196" s="286">
        <f t="shared" si="122"/>
        <v>100</v>
      </c>
      <c r="DM196" s="244">
        <f>+A196-DL196</f>
        <v>192</v>
      </c>
    </row>
    <row r="197" spans="1:117" x14ac:dyDescent="0.35">
      <c r="A197" s="267">
        <v>193</v>
      </c>
      <c r="B197" s="102" t="s">
        <v>270</v>
      </c>
      <c r="C197" s="102" t="s">
        <v>118</v>
      </c>
      <c r="D197" s="102" t="s">
        <v>119</v>
      </c>
      <c r="E197" s="102" t="s">
        <v>155</v>
      </c>
      <c r="F197" s="102" t="s">
        <v>598</v>
      </c>
      <c r="G197" s="98" t="s">
        <v>186</v>
      </c>
      <c r="H197" s="98" t="s">
        <v>187</v>
      </c>
      <c r="I197" s="98" t="s">
        <v>592</v>
      </c>
      <c r="J197" s="98" t="s">
        <v>592</v>
      </c>
      <c r="K197" s="96" t="s">
        <v>104</v>
      </c>
      <c r="L197" s="96" t="s">
        <v>105</v>
      </c>
      <c r="M197" s="98" t="s">
        <v>106</v>
      </c>
      <c r="N197" s="98" t="s">
        <v>622</v>
      </c>
      <c r="O197" s="98" t="s">
        <v>127</v>
      </c>
      <c r="P197" s="258" t="s">
        <v>630</v>
      </c>
      <c r="Q197" s="98" t="s">
        <v>129</v>
      </c>
      <c r="R197" s="301">
        <v>100</v>
      </c>
      <c r="S197" s="99" t="s">
        <v>158</v>
      </c>
      <c r="T197" s="81">
        <v>1</v>
      </c>
      <c r="U197" s="81"/>
      <c r="V197" s="25">
        <f t="shared" si="143"/>
        <v>0</v>
      </c>
      <c r="W197" s="81">
        <v>2</v>
      </c>
      <c r="X197" s="81"/>
      <c r="Y197" s="25">
        <f t="shared" si="1"/>
        <v>0</v>
      </c>
      <c r="Z197" s="81">
        <v>1</v>
      </c>
      <c r="AA197" s="81"/>
      <c r="AB197" s="25">
        <f t="shared" si="2"/>
        <v>0</v>
      </c>
      <c r="AC197" s="81">
        <v>1</v>
      </c>
      <c r="AD197" s="81"/>
      <c r="AE197" s="25">
        <f t="shared" si="3"/>
        <v>0</v>
      </c>
      <c r="AF197" s="140">
        <f t="shared" si="127"/>
        <v>100</v>
      </c>
      <c r="AG197" s="140">
        <f t="shared" si="128"/>
        <v>0</v>
      </c>
      <c r="AH197" s="138">
        <f t="shared" si="125"/>
        <v>0</v>
      </c>
      <c r="AI197" s="101">
        <v>46113</v>
      </c>
      <c r="AJ197" s="101">
        <v>46477</v>
      </c>
      <c r="AK197" s="102" t="s">
        <v>112</v>
      </c>
      <c r="AL197" s="102" t="s">
        <v>113</v>
      </c>
      <c r="AM197" s="103" t="s">
        <v>114</v>
      </c>
      <c r="AN197" s="104">
        <v>500000000</v>
      </c>
      <c r="AO197" s="104">
        <v>500000000</v>
      </c>
      <c r="AP197" s="104">
        <v>500000000</v>
      </c>
      <c r="AQ197" s="326">
        <v>0</v>
      </c>
      <c r="AR197" s="102" t="s">
        <v>159</v>
      </c>
      <c r="AS197" s="102" t="s">
        <v>112</v>
      </c>
      <c r="AT197" s="152" t="s">
        <v>628</v>
      </c>
      <c r="AU197" s="166" t="s">
        <v>2264</v>
      </c>
      <c r="AV197" s="247" t="s">
        <v>2234</v>
      </c>
      <c r="AW197" s="136" t="s">
        <v>2266</v>
      </c>
      <c r="AX197" s="136" t="s">
        <v>2363</v>
      </c>
      <c r="AY197" s="136" t="s">
        <v>2376</v>
      </c>
      <c r="BA197" s="272">
        <v>0</v>
      </c>
      <c r="BB197" s="273">
        <v>0</v>
      </c>
      <c r="BC197" s="209" t="e">
        <f t="shared" si="99"/>
        <v>#DIV/0!</v>
      </c>
      <c r="BD197" s="272">
        <v>0</v>
      </c>
      <c r="BE197" s="273">
        <v>0</v>
      </c>
      <c r="BF197" s="209" t="e">
        <f t="shared" si="100"/>
        <v>#DIV/0!</v>
      </c>
      <c r="BG197" s="272">
        <v>0</v>
      </c>
      <c r="BH197" s="273">
        <v>0</v>
      </c>
      <c r="BI197" s="209" t="e">
        <f t="shared" si="101"/>
        <v>#DIV/0!</v>
      </c>
      <c r="BJ197" s="210">
        <f t="shared" si="102"/>
        <v>0</v>
      </c>
      <c r="BK197" s="211">
        <f t="shared" si="103"/>
        <v>0</v>
      </c>
      <c r="BL197" s="209" t="e">
        <f t="shared" si="104"/>
        <v>#DIV/0!</v>
      </c>
      <c r="BM197" s="272">
        <v>0</v>
      </c>
      <c r="BN197" s="273">
        <v>0</v>
      </c>
      <c r="BO197" s="209" t="e">
        <f t="shared" si="129"/>
        <v>#DIV/0!</v>
      </c>
      <c r="BP197" s="272">
        <v>50</v>
      </c>
      <c r="BQ197" s="273">
        <v>0</v>
      </c>
      <c r="BR197" s="209">
        <f t="shared" si="130"/>
        <v>0</v>
      </c>
      <c r="BS197" s="272">
        <v>50</v>
      </c>
      <c r="BT197" s="272">
        <v>0</v>
      </c>
      <c r="BU197" s="209">
        <f t="shared" si="131"/>
        <v>0</v>
      </c>
      <c r="BV197" s="210">
        <f t="shared" si="105"/>
        <v>100</v>
      </c>
      <c r="BW197" s="210">
        <f t="shared" si="106"/>
        <v>0</v>
      </c>
      <c r="BX197" s="209">
        <f t="shared" si="107"/>
        <v>0</v>
      </c>
      <c r="BY197" s="209">
        <f t="shared" si="108"/>
        <v>0</v>
      </c>
      <c r="BZ197" s="209">
        <f t="shared" si="109"/>
        <v>0</v>
      </c>
      <c r="CA197" s="212"/>
      <c r="CB197" s="245"/>
      <c r="CC197" s="183">
        <v>0</v>
      </c>
      <c r="CD197" s="184">
        <v>0</v>
      </c>
      <c r="CE197" s="185" t="e">
        <f t="shared" si="132"/>
        <v>#DIV/0!</v>
      </c>
      <c r="CF197" s="183">
        <v>0</v>
      </c>
      <c r="CG197" s="184">
        <v>0</v>
      </c>
      <c r="CH197" s="185" t="e">
        <f t="shared" si="133"/>
        <v>#DIV/0!</v>
      </c>
      <c r="CI197" s="189"/>
      <c r="CJ197" s="190"/>
      <c r="CK197" s="185" t="e">
        <f t="shared" si="134"/>
        <v>#DIV/0!</v>
      </c>
      <c r="CL197" s="187">
        <f t="shared" si="135"/>
        <v>0</v>
      </c>
      <c r="CM197" s="186">
        <f t="shared" si="136"/>
        <v>0</v>
      </c>
      <c r="CN197" s="185" t="e">
        <f t="shared" si="137"/>
        <v>#DIV/0!</v>
      </c>
      <c r="CO197" s="245"/>
      <c r="CP197" s="188">
        <f t="shared" si="138"/>
        <v>100</v>
      </c>
      <c r="CQ197" s="188">
        <f t="shared" si="139"/>
        <v>0</v>
      </c>
      <c r="CR197" s="191">
        <f t="shared" si="140"/>
        <v>0</v>
      </c>
      <c r="CS197" s="279">
        <f t="shared" si="110"/>
        <v>100</v>
      </c>
      <c r="CT197" s="245"/>
      <c r="CU197" s="188">
        <f t="shared" si="111"/>
        <v>30</v>
      </c>
      <c r="CV197" s="277"/>
      <c r="CW197" s="191">
        <f t="shared" si="112"/>
        <v>0</v>
      </c>
      <c r="CX197" s="188">
        <f t="shared" si="113"/>
        <v>30</v>
      </c>
      <c r="CY197" s="277"/>
      <c r="CZ197" s="191">
        <f t="shared" si="114"/>
        <v>0</v>
      </c>
      <c r="DA197" s="188">
        <f t="shared" si="115"/>
        <v>30</v>
      </c>
      <c r="DB197" s="277"/>
      <c r="DC197" s="191">
        <f t="shared" si="116"/>
        <v>0</v>
      </c>
      <c r="DD197" s="188">
        <f t="shared" si="117"/>
        <v>10</v>
      </c>
      <c r="DE197" s="277"/>
      <c r="DF197" s="191">
        <f t="shared" si="118"/>
        <v>0</v>
      </c>
      <c r="DG197" s="245"/>
      <c r="DH197" s="188">
        <f t="shared" si="119"/>
        <v>100</v>
      </c>
      <c r="DI197" s="188">
        <f t="shared" si="120"/>
        <v>0</v>
      </c>
      <c r="DJ197" s="191">
        <f t="shared" si="121"/>
        <v>0</v>
      </c>
      <c r="DK197" s="286">
        <f t="shared" si="122"/>
        <v>100</v>
      </c>
      <c r="DM197" s="244">
        <f>+A197-DL197</f>
        <v>193</v>
      </c>
    </row>
    <row r="198" spans="1:117" x14ac:dyDescent="0.35">
      <c r="A198" s="267">
        <v>194</v>
      </c>
      <c r="B198" s="102" t="s">
        <v>270</v>
      </c>
      <c r="C198" s="102" t="s">
        <v>118</v>
      </c>
      <c r="D198" s="102" t="s">
        <v>119</v>
      </c>
      <c r="E198" s="102" t="s">
        <v>155</v>
      </c>
      <c r="F198" s="102" t="s">
        <v>598</v>
      </c>
      <c r="G198" s="98" t="s">
        <v>186</v>
      </c>
      <c r="H198" s="98" t="s">
        <v>187</v>
      </c>
      <c r="I198" s="98" t="s">
        <v>592</v>
      </c>
      <c r="J198" s="98" t="s">
        <v>592</v>
      </c>
      <c r="K198" s="96" t="s">
        <v>104</v>
      </c>
      <c r="L198" s="96" t="s">
        <v>105</v>
      </c>
      <c r="M198" s="98" t="s">
        <v>106</v>
      </c>
      <c r="N198" s="98" t="s">
        <v>622</v>
      </c>
      <c r="O198" s="98" t="s">
        <v>127</v>
      </c>
      <c r="P198" s="258" t="s">
        <v>631</v>
      </c>
      <c r="Q198" s="98" t="s">
        <v>129</v>
      </c>
      <c r="R198" s="301">
        <v>100</v>
      </c>
      <c r="S198" s="99" t="s">
        <v>158</v>
      </c>
      <c r="T198" s="81">
        <v>1</v>
      </c>
      <c r="U198" s="81"/>
      <c r="V198" s="25">
        <f t="shared" si="143"/>
        <v>0</v>
      </c>
      <c r="W198" s="81">
        <v>1</v>
      </c>
      <c r="X198" s="81"/>
      <c r="Y198" s="25">
        <f t="shared" si="1"/>
        <v>0</v>
      </c>
      <c r="Z198" s="81">
        <v>1</v>
      </c>
      <c r="AA198" s="81"/>
      <c r="AB198" s="25">
        <f t="shared" si="2"/>
        <v>0</v>
      </c>
      <c r="AC198" s="81">
        <v>1</v>
      </c>
      <c r="AD198" s="81"/>
      <c r="AE198" s="25">
        <f t="shared" si="3"/>
        <v>0</v>
      </c>
      <c r="AF198" s="140">
        <f t="shared" si="127"/>
        <v>100</v>
      </c>
      <c r="AG198" s="140">
        <f t="shared" si="128"/>
        <v>0</v>
      </c>
      <c r="AH198" s="138">
        <f t="shared" si="125"/>
        <v>0</v>
      </c>
      <c r="AI198" s="101">
        <v>46113</v>
      </c>
      <c r="AJ198" s="101">
        <v>46477</v>
      </c>
      <c r="AK198" s="102" t="s">
        <v>112</v>
      </c>
      <c r="AL198" s="102" t="s">
        <v>113</v>
      </c>
      <c r="AM198" s="103" t="s">
        <v>114</v>
      </c>
      <c r="AN198" s="104">
        <v>1000000000</v>
      </c>
      <c r="AO198" s="104">
        <v>1000000000</v>
      </c>
      <c r="AP198" s="104">
        <v>1000000000</v>
      </c>
      <c r="AQ198" s="326">
        <v>0</v>
      </c>
      <c r="AR198" s="102" t="s">
        <v>159</v>
      </c>
      <c r="AS198" s="102" t="s">
        <v>112</v>
      </c>
      <c r="AT198" s="152" t="s">
        <v>628</v>
      </c>
      <c r="AU198" s="166" t="s">
        <v>2264</v>
      </c>
      <c r="AV198" s="247" t="s">
        <v>2234</v>
      </c>
      <c r="AW198" s="136" t="s">
        <v>2266</v>
      </c>
      <c r="AX198" s="136" t="s">
        <v>2363</v>
      </c>
      <c r="AY198" s="136" t="s">
        <v>2376</v>
      </c>
      <c r="BA198" s="272">
        <v>0</v>
      </c>
      <c r="BB198" s="273">
        <v>0</v>
      </c>
      <c r="BC198" s="209" t="e">
        <f t="shared" ref="BC198:BC261" si="144">+BB198/BA198</f>
        <v>#DIV/0!</v>
      </c>
      <c r="BD198" s="272">
        <v>0</v>
      </c>
      <c r="BE198" s="273">
        <v>0</v>
      </c>
      <c r="BF198" s="209" t="e">
        <f t="shared" ref="BF198:BF261" si="145">+BE198/BD198</f>
        <v>#DIV/0!</v>
      </c>
      <c r="BG198" s="272">
        <v>0</v>
      </c>
      <c r="BH198" s="273">
        <v>0</v>
      </c>
      <c r="BI198" s="209" t="e">
        <f t="shared" ref="BI198:BI261" si="146">+BH198/BG198</f>
        <v>#DIV/0!</v>
      </c>
      <c r="BJ198" s="210">
        <f t="shared" ref="BJ198:BJ261" si="147">+BA198+BD198+BG198</f>
        <v>0</v>
      </c>
      <c r="BK198" s="211">
        <f t="shared" ref="BK198:BK261" si="148">+BB198+BE198+BH198</f>
        <v>0</v>
      </c>
      <c r="BL198" s="209" t="e">
        <f t="shared" ref="BL198:BL261" si="149">+BK198/BJ198</f>
        <v>#DIV/0!</v>
      </c>
      <c r="BM198" s="272">
        <v>0</v>
      </c>
      <c r="BN198" s="273">
        <v>0</v>
      </c>
      <c r="BO198" s="209" t="e">
        <f t="shared" si="129"/>
        <v>#DIV/0!</v>
      </c>
      <c r="BP198" s="272">
        <v>20</v>
      </c>
      <c r="BQ198" s="273">
        <v>20</v>
      </c>
      <c r="BR198" s="209">
        <f t="shared" si="130"/>
        <v>1</v>
      </c>
      <c r="BS198" s="272">
        <v>10</v>
      </c>
      <c r="BT198" s="272">
        <v>10</v>
      </c>
      <c r="BU198" s="209">
        <f t="shared" si="131"/>
        <v>1</v>
      </c>
      <c r="BV198" s="210">
        <f t="shared" ref="BV198:BV261" si="150">+BM198+BP198+BS198</f>
        <v>30</v>
      </c>
      <c r="BW198" s="210">
        <f t="shared" ref="BW198:BW261" si="151">+BN198+BQ198+BT198</f>
        <v>30</v>
      </c>
      <c r="BX198" s="209">
        <f t="shared" ref="BX198:BX261" si="152">+BW198/BV198</f>
        <v>1</v>
      </c>
      <c r="BY198" s="209">
        <f t="shared" ref="BY198:BY261" si="153">+(BK198+BW198)/R198</f>
        <v>0.3</v>
      </c>
      <c r="BZ198" s="209">
        <f t="shared" ref="BZ198:BZ261" si="154">+$BZ$2-BY198</f>
        <v>-0.3</v>
      </c>
      <c r="CA198" s="212"/>
      <c r="CB198" s="245"/>
      <c r="CC198" s="183">
        <v>10</v>
      </c>
      <c r="CD198" s="184">
        <v>10</v>
      </c>
      <c r="CE198" s="185">
        <f t="shared" si="132"/>
        <v>1</v>
      </c>
      <c r="CF198" s="183">
        <v>10</v>
      </c>
      <c r="CG198" s="184">
        <v>10</v>
      </c>
      <c r="CH198" s="185">
        <f t="shared" si="133"/>
        <v>1</v>
      </c>
      <c r="CI198" s="189"/>
      <c r="CJ198" s="190"/>
      <c r="CK198" s="185" t="e">
        <f t="shared" si="134"/>
        <v>#DIV/0!</v>
      </c>
      <c r="CL198" s="187">
        <f t="shared" si="135"/>
        <v>20</v>
      </c>
      <c r="CM198" s="186">
        <f t="shared" si="136"/>
        <v>20</v>
      </c>
      <c r="CN198" s="185">
        <f t="shared" si="137"/>
        <v>1</v>
      </c>
      <c r="CO198" s="245"/>
      <c r="CP198" s="188">
        <f t="shared" si="138"/>
        <v>50</v>
      </c>
      <c r="CQ198" s="188">
        <f t="shared" si="139"/>
        <v>50</v>
      </c>
      <c r="CR198" s="191">
        <f t="shared" si="140"/>
        <v>1</v>
      </c>
      <c r="CS198" s="279">
        <f t="shared" ref="CS198:CS261" si="155">+R198-CQ198</f>
        <v>50</v>
      </c>
      <c r="CT198" s="245"/>
      <c r="CU198" s="188">
        <f t="shared" ref="CU198:CU261" si="156">+CS198*$CU$3</f>
        <v>15</v>
      </c>
      <c r="CV198" s="277"/>
      <c r="CW198" s="191">
        <f t="shared" ref="CW198:CW261" si="157">+CV198/CU198</f>
        <v>0</v>
      </c>
      <c r="CX198" s="188">
        <f t="shared" ref="CX198:CX261" si="158">+CS198*$CX$3</f>
        <v>15</v>
      </c>
      <c r="CY198" s="277"/>
      <c r="CZ198" s="191">
        <f t="shared" ref="CZ198:CZ261" si="159">+CY198/CX198</f>
        <v>0</v>
      </c>
      <c r="DA198" s="188">
        <f t="shared" ref="DA198:DA261" si="160">+CS198*$DA$3</f>
        <v>15</v>
      </c>
      <c r="DB198" s="277"/>
      <c r="DC198" s="191">
        <f t="shared" ref="DC198:DC261" si="161">+DB198/DA198</f>
        <v>0</v>
      </c>
      <c r="DD198" s="188">
        <f t="shared" ref="DD198:DD261" si="162">+CS198*$DD$3</f>
        <v>5</v>
      </c>
      <c r="DE198" s="277"/>
      <c r="DF198" s="191">
        <f t="shared" ref="DF198:DF261" si="163">+DE198/DD198</f>
        <v>0</v>
      </c>
      <c r="DG198" s="245"/>
      <c r="DH198" s="188">
        <f t="shared" ref="DH198:DH261" si="164">R198</f>
        <v>100</v>
      </c>
      <c r="DI198" s="188">
        <f t="shared" ref="DI198:DI261" si="165">+CQ198+CV198+CY198+DB198+DE198</f>
        <v>50</v>
      </c>
      <c r="DJ198" s="191">
        <f t="shared" ref="DJ198:DJ261" si="166">+DI198/DH198</f>
        <v>0.5</v>
      </c>
      <c r="DK198" s="286">
        <f t="shared" ref="DK198:DK261" si="167">+DH198-DI198</f>
        <v>50</v>
      </c>
      <c r="DM198" s="244">
        <f>+A198-DL198</f>
        <v>194</v>
      </c>
    </row>
    <row r="199" spans="1:117" ht="28.5" customHeight="1" x14ac:dyDescent="0.35">
      <c r="A199" s="267">
        <v>195</v>
      </c>
      <c r="B199" s="102" t="s">
        <v>270</v>
      </c>
      <c r="C199" s="102" t="s">
        <v>118</v>
      </c>
      <c r="D199" s="102" t="s">
        <v>119</v>
      </c>
      <c r="E199" s="102" t="s">
        <v>155</v>
      </c>
      <c r="F199" s="102" t="s">
        <v>598</v>
      </c>
      <c r="G199" s="98" t="s">
        <v>186</v>
      </c>
      <c r="H199" s="98" t="s">
        <v>187</v>
      </c>
      <c r="I199" s="98" t="s">
        <v>592</v>
      </c>
      <c r="J199" s="98" t="s">
        <v>592</v>
      </c>
      <c r="K199" s="96" t="s">
        <v>104</v>
      </c>
      <c r="L199" s="96" t="s">
        <v>105</v>
      </c>
      <c r="M199" s="98" t="s">
        <v>106</v>
      </c>
      <c r="N199" s="98" t="s">
        <v>622</v>
      </c>
      <c r="O199" s="98" t="s">
        <v>127</v>
      </c>
      <c r="P199" s="258" t="s">
        <v>632</v>
      </c>
      <c r="Q199" s="98" t="s">
        <v>129</v>
      </c>
      <c r="R199" s="301">
        <v>100</v>
      </c>
      <c r="S199" s="99" t="s">
        <v>158</v>
      </c>
      <c r="T199" s="81">
        <v>25</v>
      </c>
      <c r="U199" s="81"/>
      <c r="V199" s="25">
        <f t="shared" si="143"/>
        <v>0</v>
      </c>
      <c r="W199" s="81">
        <v>25</v>
      </c>
      <c r="X199" s="81"/>
      <c r="Y199" s="25">
        <f t="shared" si="1"/>
        <v>0</v>
      </c>
      <c r="Z199" s="81">
        <v>25</v>
      </c>
      <c r="AA199" s="81"/>
      <c r="AB199" s="25">
        <f t="shared" si="2"/>
        <v>0</v>
      </c>
      <c r="AC199" s="81">
        <v>25</v>
      </c>
      <c r="AD199" s="81"/>
      <c r="AE199" s="25">
        <f t="shared" si="3"/>
        <v>0</v>
      </c>
      <c r="AF199" s="140">
        <f t="shared" si="127"/>
        <v>100</v>
      </c>
      <c r="AG199" s="140">
        <f t="shared" si="128"/>
        <v>0</v>
      </c>
      <c r="AH199" s="138">
        <f t="shared" si="125"/>
        <v>0</v>
      </c>
      <c r="AI199" s="101">
        <v>46113</v>
      </c>
      <c r="AJ199" s="101">
        <v>46477</v>
      </c>
      <c r="AK199" s="102" t="s">
        <v>112</v>
      </c>
      <c r="AL199" s="102" t="s">
        <v>113</v>
      </c>
      <c r="AM199" s="103" t="s">
        <v>114</v>
      </c>
      <c r="AN199" s="104">
        <v>100000000</v>
      </c>
      <c r="AO199" s="104">
        <v>100000000</v>
      </c>
      <c r="AP199" s="104">
        <v>100000000</v>
      </c>
      <c r="AQ199" s="326">
        <v>0</v>
      </c>
      <c r="AR199" s="102" t="s">
        <v>159</v>
      </c>
      <c r="AS199" s="102" t="s">
        <v>112</v>
      </c>
      <c r="AT199" s="152" t="s">
        <v>628</v>
      </c>
      <c r="AU199" s="166" t="s">
        <v>2264</v>
      </c>
      <c r="AV199" s="247" t="s">
        <v>2234</v>
      </c>
      <c r="AW199" s="136" t="s">
        <v>2266</v>
      </c>
      <c r="AX199" s="136" t="s">
        <v>2363</v>
      </c>
      <c r="AY199" s="136" t="s">
        <v>2376</v>
      </c>
      <c r="BA199" s="272">
        <v>0</v>
      </c>
      <c r="BB199" s="273">
        <v>0</v>
      </c>
      <c r="BC199" s="209" t="e">
        <f t="shared" si="144"/>
        <v>#DIV/0!</v>
      </c>
      <c r="BD199" s="272">
        <v>0</v>
      </c>
      <c r="BE199" s="273">
        <v>0</v>
      </c>
      <c r="BF199" s="209" t="e">
        <f t="shared" si="145"/>
        <v>#DIV/0!</v>
      </c>
      <c r="BG199" s="272">
        <v>0</v>
      </c>
      <c r="BH199" s="273">
        <v>0</v>
      </c>
      <c r="BI199" s="209" t="e">
        <f t="shared" si="146"/>
        <v>#DIV/0!</v>
      </c>
      <c r="BJ199" s="210">
        <f t="shared" si="147"/>
        <v>0</v>
      </c>
      <c r="BK199" s="211">
        <f t="shared" si="148"/>
        <v>0</v>
      </c>
      <c r="BL199" s="209" t="e">
        <f t="shared" si="149"/>
        <v>#DIV/0!</v>
      </c>
      <c r="BM199" s="272">
        <v>40</v>
      </c>
      <c r="BN199" s="273">
        <v>20</v>
      </c>
      <c r="BO199" s="209">
        <f t="shared" si="129"/>
        <v>0.5</v>
      </c>
      <c r="BP199" s="272">
        <v>50</v>
      </c>
      <c r="BQ199" s="273">
        <v>40</v>
      </c>
      <c r="BR199" s="209">
        <f t="shared" si="130"/>
        <v>0.8</v>
      </c>
      <c r="BS199" s="272">
        <v>20</v>
      </c>
      <c r="BT199" s="272">
        <v>10</v>
      </c>
      <c r="BU199" s="209">
        <f t="shared" si="131"/>
        <v>0.5</v>
      </c>
      <c r="BV199" s="210">
        <f t="shared" si="150"/>
        <v>110</v>
      </c>
      <c r="BW199" s="210">
        <f t="shared" si="151"/>
        <v>70</v>
      </c>
      <c r="BX199" s="209">
        <f t="shared" si="152"/>
        <v>0.63636363636363635</v>
      </c>
      <c r="BY199" s="209">
        <f t="shared" si="153"/>
        <v>0.7</v>
      </c>
      <c r="BZ199" s="209">
        <f t="shared" si="154"/>
        <v>-0.7</v>
      </c>
      <c r="CA199" s="212"/>
      <c r="CB199" s="245"/>
      <c r="CC199" s="183">
        <v>0</v>
      </c>
      <c r="CD199" s="184">
        <v>0</v>
      </c>
      <c r="CE199" s="185" t="e">
        <f t="shared" si="132"/>
        <v>#DIV/0!</v>
      </c>
      <c r="CF199" s="183">
        <v>0</v>
      </c>
      <c r="CG199" s="184">
        <v>0</v>
      </c>
      <c r="CH199" s="185" t="e">
        <f t="shared" si="133"/>
        <v>#DIV/0!</v>
      </c>
      <c r="CI199" s="189"/>
      <c r="CJ199" s="190"/>
      <c r="CK199" s="185" t="e">
        <f t="shared" si="134"/>
        <v>#DIV/0!</v>
      </c>
      <c r="CL199" s="187">
        <f t="shared" si="135"/>
        <v>0</v>
      </c>
      <c r="CM199" s="186">
        <f t="shared" si="136"/>
        <v>0</v>
      </c>
      <c r="CN199" s="185" t="e">
        <f t="shared" si="137"/>
        <v>#DIV/0!</v>
      </c>
      <c r="CO199" s="245"/>
      <c r="CP199" s="188">
        <f t="shared" si="138"/>
        <v>110</v>
      </c>
      <c r="CQ199" s="188">
        <f t="shared" si="139"/>
        <v>70</v>
      </c>
      <c r="CR199" s="191">
        <f t="shared" si="140"/>
        <v>0.63636363636363635</v>
      </c>
      <c r="CS199" s="279">
        <f t="shared" si="155"/>
        <v>30</v>
      </c>
      <c r="CT199" s="245"/>
      <c r="CU199" s="188">
        <f t="shared" si="156"/>
        <v>9</v>
      </c>
      <c r="CV199" s="277"/>
      <c r="CW199" s="191">
        <f t="shared" si="157"/>
        <v>0</v>
      </c>
      <c r="CX199" s="188">
        <f t="shared" si="158"/>
        <v>9</v>
      </c>
      <c r="CY199" s="277"/>
      <c r="CZ199" s="191">
        <f t="shared" si="159"/>
        <v>0</v>
      </c>
      <c r="DA199" s="188">
        <f t="shared" si="160"/>
        <v>9</v>
      </c>
      <c r="DB199" s="277"/>
      <c r="DC199" s="191">
        <f t="shared" si="161"/>
        <v>0</v>
      </c>
      <c r="DD199" s="188">
        <f t="shared" si="162"/>
        <v>3</v>
      </c>
      <c r="DE199" s="277"/>
      <c r="DF199" s="191">
        <f t="shared" si="163"/>
        <v>0</v>
      </c>
      <c r="DG199" s="245"/>
      <c r="DH199" s="188">
        <f t="shared" si="164"/>
        <v>100</v>
      </c>
      <c r="DI199" s="188">
        <f t="shared" si="165"/>
        <v>70</v>
      </c>
      <c r="DJ199" s="191">
        <f t="shared" si="166"/>
        <v>0.7</v>
      </c>
      <c r="DK199" s="286">
        <f t="shared" si="167"/>
        <v>30</v>
      </c>
      <c r="DM199" s="244">
        <f>+A199-DL199</f>
        <v>195</v>
      </c>
    </row>
    <row r="200" spans="1:117" ht="28.5" customHeight="1" x14ac:dyDescent="0.35">
      <c r="A200" s="267">
        <v>196</v>
      </c>
      <c r="B200" s="102" t="s">
        <v>270</v>
      </c>
      <c r="C200" s="102" t="s">
        <v>118</v>
      </c>
      <c r="D200" s="102" t="s">
        <v>119</v>
      </c>
      <c r="E200" s="102" t="s">
        <v>155</v>
      </c>
      <c r="F200" s="102" t="s">
        <v>598</v>
      </c>
      <c r="G200" s="98" t="s">
        <v>186</v>
      </c>
      <c r="H200" s="98" t="s">
        <v>187</v>
      </c>
      <c r="I200" s="98" t="s">
        <v>592</v>
      </c>
      <c r="J200" s="98" t="s">
        <v>592</v>
      </c>
      <c r="K200" s="96" t="s">
        <v>104</v>
      </c>
      <c r="L200" s="96" t="s">
        <v>105</v>
      </c>
      <c r="M200" s="98" t="s">
        <v>106</v>
      </c>
      <c r="N200" s="98" t="s">
        <v>622</v>
      </c>
      <c r="O200" s="98" t="s">
        <v>127</v>
      </c>
      <c r="P200" s="258" t="s">
        <v>633</v>
      </c>
      <c r="Q200" s="98" t="s">
        <v>129</v>
      </c>
      <c r="R200" s="301">
        <v>1</v>
      </c>
      <c r="S200" s="99" t="s">
        <v>111</v>
      </c>
      <c r="T200" s="81">
        <v>25</v>
      </c>
      <c r="U200" s="81"/>
      <c r="V200" s="25">
        <f t="shared" si="143"/>
        <v>0</v>
      </c>
      <c r="W200" s="81">
        <v>25</v>
      </c>
      <c r="X200" s="81"/>
      <c r="Y200" s="25">
        <f t="shared" si="1"/>
        <v>0</v>
      </c>
      <c r="Z200" s="81">
        <v>25</v>
      </c>
      <c r="AA200" s="81"/>
      <c r="AB200" s="25">
        <f t="shared" si="2"/>
        <v>0</v>
      </c>
      <c r="AC200" s="81">
        <v>25</v>
      </c>
      <c r="AD200" s="81"/>
      <c r="AE200" s="25">
        <f t="shared" si="3"/>
        <v>0</v>
      </c>
      <c r="AF200" s="140">
        <f t="shared" si="127"/>
        <v>1</v>
      </c>
      <c r="AG200" s="140">
        <f t="shared" si="128"/>
        <v>0</v>
      </c>
      <c r="AH200" s="138">
        <f t="shared" si="125"/>
        <v>0</v>
      </c>
      <c r="AI200" s="101">
        <v>46113</v>
      </c>
      <c r="AJ200" s="101">
        <v>46477</v>
      </c>
      <c r="AK200" s="102" t="s">
        <v>112</v>
      </c>
      <c r="AL200" s="102" t="s">
        <v>113</v>
      </c>
      <c r="AM200" s="103" t="s">
        <v>114</v>
      </c>
      <c r="AN200" s="104">
        <v>200000000</v>
      </c>
      <c r="AO200" s="104">
        <v>200000000</v>
      </c>
      <c r="AP200" s="104">
        <v>200000000</v>
      </c>
      <c r="AQ200" s="326">
        <v>0</v>
      </c>
      <c r="AR200" s="102" t="s">
        <v>159</v>
      </c>
      <c r="AS200" s="102" t="s">
        <v>112</v>
      </c>
      <c r="AT200" s="152" t="s">
        <v>628</v>
      </c>
      <c r="AU200" s="166" t="s">
        <v>2264</v>
      </c>
      <c r="AV200" s="247" t="s">
        <v>2234</v>
      </c>
      <c r="AW200" s="136" t="s">
        <v>2266</v>
      </c>
      <c r="AX200" s="136" t="s">
        <v>2363</v>
      </c>
      <c r="AY200" s="136" t="s">
        <v>2376</v>
      </c>
      <c r="BA200" s="272">
        <v>0</v>
      </c>
      <c r="BB200" s="273">
        <v>0</v>
      </c>
      <c r="BC200" s="209" t="e">
        <f t="shared" si="144"/>
        <v>#DIV/0!</v>
      </c>
      <c r="BD200" s="272">
        <v>0</v>
      </c>
      <c r="BE200" s="273">
        <v>0</v>
      </c>
      <c r="BF200" s="209" t="e">
        <f t="shared" si="145"/>
        <v>#DIV/0!</v>
      </c>
      <c r="BG200" s="272">
        <v>0</v>
      </c>
      <c r="BH200" s="273">
        <v>0</v>
      </c>
      <c r="BI200" s="209" t="e">
        <f t="shared" si="146"/>
        <v>#DIV/0!</v>
      </c>
      <c r="BJ200" s="210">
        <f t="shared" si="147"/>
        <v>0</v>
      </c>
      <c r="BK200" s="211">
        <f t="shared" si="148"/>
        <v>0</v>
      </c>
      <c r="BL200" s="209" t="e">
        <f t="shared" si="149"/>
        <v>#DIV/0!</v>
      </c>
      <c r="BM200" s="272">
        <v>0</v>
      </c>
      <c r="BN200" s="273">
        <v>0</v>
      </c>
      <c r="BO200" s="209" t="e">
        <f t="shared" si="129"/>
        <v>#DIV/0!</v>
      </c>
      <c r="BP200" s="272">
        <v>20</v>
      </c>
      <c r="BQ200" s="273">
        <v>0</v>
      </c>
      <c r="BR200" s="209">
        <f t="shared" si="130"/>
        <v>0</v>
      </c>
      <c r="BS200" s="272">
        <v>20</v>
      </c>
      <c r="BT200" s="272">
        <v>0</v>
      </c>
      <c r="BU200" s="209">
        <f t="shared" si="131"/>
        <v>0</v>
      </c>
      <c r="BV200" s="210">
        <f t="shared" si="150"/>
        <v>40</v>
      </c>
      <c r="BW200" s="210">
        <f t="shared" si="151"/>
        <v>0</v>
      </c>
      <c r="BX200" s="209">
        <f t="shared" si="152"/>
        <v>0</v>
      </c>
      <c r="BY200" s="209">
        <f t="shared" si="153"/>
        <v>0</v>
      </c>
      <c r="BZ200" s="209">
        <f t="shared" si="154"/>
        <v>0</v>
      </c>
      <c r="CA200" s="212"/>
      <c r="CB200" s="245"/>
      <c r="CC200" s="183">
        <v>20</v>
      </c>
      <c r="CD200" s="184">
        <v>0</v>
      </c>
      <c r="CE200" s="185">
        <f t="shared" si="132"/>
        <v>0</v>
      </c>
      <c r="CF200" s="183">
        <v>20</v>
      </c>
      <c r="CG200" s="184">
        <v>0</v>
      </c>
      <c r="CH200" s="185">
        <f t="shared" si="133"/>
        <v>0</v>
      </c>
      <c r="CI200" s="189"/>
      <c r="CJ200" s="190"/>
      <c r="CK200" s="185" t="e">
        <f t="shared" si="134"/>
        <v>#DIV/0!</v>
      </c>
      <c r="CL200" s="187">
        <f t="shared" si="135"/>
        <v>40</v>
      </c>
      <c r="CM200" s="186">
        <f t="shared" si="136"/>
        <v>0</v>
      </c>
      <c r="CN200" s="185">
        <f t="shared" si="137"/>
        <v>0</v>
      </c>
      <c r="CO200" s="245"/>
      <c r="CP200" s="188">
        <f t="shared" si="138"/>
        <v>80</v>
      </c>
      <c r="CQ200" s="188">
        <f t="shared" si="139"/>
        <v>0</v>
      </c>
      <c r="CR200" s="191">
        <f t="shared" si="140"/>
        <v>0</v>
      </c>
      <c r="CS200" s="279">
        <f t="shared" si="155"/>
        <v>1</v>
      </c>
      <c r="CT200" s="245"/>
      <c r="CU200" s="188">
        <f t="shared" si="156"/>
        <v>0.3</v>
      </c>
      <c r="CV200" s="277"/>
      <c r="CW200" s="191">
        <f t="shared" si="157"/>
        <v>0</v>
      </c>
      <c r="CX200" s="188">
        <f t="shared" si="158"/>
        <v>0.3</v>
      </c>
      <c r="CY200" s="277"/>
      <c r="CZ200" s="191">
        <f t="shared" si="159"/>
        <v>0</v>
      </c>
      <c r="DA200" s="188">
        <f t="shared" si="160"/>
        <v>0.3</v>
      </c>
      <c r="DB200" s="277"/>
      <c r="DC200" s="191">
        <f t="shared" si="161"/>
        <v>0</v>
      </c>
      <c r="DD200" s="188">
        <f t="shared" si="162"/>
        <v>0.1</v>
      </c>
      <c r="DE200" s="277"/>
      <c r="DF200" s="191">
        <f t="shared" si="163"/>
        <v>0</v>
      </c>
      <c r="DG200" s="245"/>
      <c r="DH200" s="188">
        <f t="shared" si="164"/>
        <v>1</v>
      </c>
      <c r="DI200" s="188">
        <f t="shared" si="165"/>
        <v>0</v>
      </c>
      <c r="DJ200" s="191">
        <f t="shared" si="166"/>
        <v>0</v>
      </c>
      <c r="DK200" s="286">
        <f t="shared" si="167"/>
        <v>1</v>
      </c>
      <c r="DM200" s="244">
        <f>+A200-DL200</f>
        <v>196</v>
      </c>
    </row>
    <row r="201" spans="1:117" x14ac:dyDescent="0.35">
      <c r="A201" s="267">
        <v>197</v>
      </c>
      <c r="B201" s="102" t="s">
        <v>270</v>
      </c>
      <c r="C201" s="102" t="s">
        <v>118</v>
      </c>
      <c r="D201" s="102" t="s">
        <v>119</v>
      </c>
      <c r="E201" s="102" t="s">
        <v>155</v>
      </c>
      <c r="F201" s="102" t="s">
        <v>598</v>
      </c>
      <c r="G201" s="98" t="s">
        <v>186</v>
      </c>
      <c r="H201" s="98" t="s">
        <v>187</v>
      </c>
      <c r="I201" s="98" t="s">
        <v>592</v>
      </c>
      <c r="J201" s="98" t="s">
        <v>592</v>
      </c>
      <c r="K201" s="96" t="s">
        <v>104</v>
      </c>
      <c r="L201" s="96" t="s">
        <v>105</v>
      </c>
      <c r="M201" s="98" t="s">
        <v>106</v>
      </c>
      <c r="N201" s="98" t="s">
        <v>622</v>
      </c>
      <c r="O201" s="98" t="s">
        <v>127</v>
      </c>
      <c r="P201" s="258" t="s">
        <v>634</v>
      </c>
      <c r="Q201" s="98" t="s">
        <v>129</v>
      </c>
      <c r="R201" s="301">
        <v>100</v>
      </c>
      <c r="S201" s="99" t="s">
        <v>158</v>
      </c>
      <c r="T201" s="81">
        <v>25</v>
      </c>
      <c r="U201" s="81"/>
      <c r="V201" s="25">
        <f t="shared" si="143"/>
        <v>0</v>
      </c>
      <c r="W201" s="81">
        <v>25</v>
      </c>
      <c r="X201" s="81"/>
      <c r="Y201" s="25">
        <f t="shared" si="1"/>
        <v>0</v>
      </c>
      <c r="Z201" s="81">
        <v>25</v>
      </c>
      <c r="AA201" s="81"/>
      <c r="AB201" s="25">
        <f t="shared" si="2"/>
        <v>0</v>
      </c>
      <c r="AC201" s="81">
        <v>25</v>
      </c>
      <c r="AD201" s="81"/>
      <c r="AE201" s="25">
        <f t="shared" si="3"/>
        <v>0</v>
      </c>
      <c r="AF201" s="140">
        <f t="shared" si="127"/>
        <v>100</v>
      </c>
      <c r="AG201" s="140">
        <f t="shared" si="128"/>
        <v>0</v>
      </c>
      <c r="AH201" s="138">
        <f t="shared" si="125"/>
        <v>0</v>
      </c>
      <c r="AI201" s="101">
        <v>46113</v>
      </c>
      <c r="AJ201" s="101">
        <v>46477</v>
      </c>
      <c r="AK201" s="102" t="s">
        <v>112</v>
      </c>
      <c r="AL201" s="102" t="s">
        <v>113</v>
      </c>
      <c r="AM201" s="103" t="s">
        <v>114</v>
      </c>
      <c r="AN201" s="104">
        <v>10000000</v>
      </c>
      <c r="AO201" s="104">
        <v>10000000</v>
      </c>
      <c r="AP201" s="104">
        <v>10000000</v>
      </c>
      <c r="AQ201" s="326">
        <v>0</v>
      </c>
      <c r="AR201" s="102" t="s">
        <v>159</v>
      </c>
      <c r="AS201" s="102" t="s">
        <v>112</v>
      </c>
      <c r="AT201" s="152" t="s">
        <v>628</v>
      </c>
      <c r="AU201" s="166" t="s">
        <v>2264</v>
      </c>
      <c r="AV201" s="247" t="s">
        <v>2234</v>
      </c>
      <c r="AW201" s="136" t="s">
        <v>2266</v>
      </c>
      <c r="AX201" s="136" t="s">
        <v>2363</v>
      </c>
      <c r="AY201" s="136" t="s">
        <v>2376</v>
      </c>
      <c r="BA201" s="272">
        <v>0</v>
      </c>
      <c r="BB201" s="273">
        <v>0</v>
      </c>
      <c r="BC201" s="209" t="e">
        <f t="shared" si="144"/>
        <v>#DIV/0!</v>
      </c>
      <c r="BD201" s="272">
        <v>0</v>
      </c>
      <c r="BE201" s="273">
        <v>0</v>
      </c>
      <c r="BF201" s="209" t="e">
        <f t="shared" si="145"/>
        <v>#DIV/0!</v>
      </c>
      <c r="BG201" s="272">
        <v>0</v>
      </c>
      <c r="BH201" s="273">
        <v>0</v>
      </c>
      <c r="BI201" s="209" t="e">
        <f t="shared" si="146"/>
        <v>#DIV/0!</v>
      </c>
      <c r="BJ201" s="210">
        <f t="shared" si="147"/>
        <v>0</v>
      </c>
      <c r="BK201" s="211">
        <f t="shared" si="148"/>
        <v>0</v>
      </c>
      <c r="BL201" s="209" t="e">
        <f t="shared" si="149"/>
        <v>#DIV/0!</v>
      </c>
      <c r="BM201" s="272">
        <v>0</v>
      </c>
      <c r="BN201" s="273">
        <v>0</v>
      </c>
      <c r="BO201" s="209" t="e">
        <f t="shared" si="129"/>
        <v>#DIV/0!</v>
      </c>
      <c r="BP201" s="272">
        <v>50</v>
      </c>
      <c r="BQ201" s="273">
        <v>0</v>
      </c>
      <c r="BR201" s="209">
        <f t="shared" si="130"/>
        <v>0</v>
      </c>
      <c r="BS201" s="272">
        <v>0</v>
      </c>
      <c r="BT201" s="272">
        <v>0</v>
      </c>
      <c r="BU201" s="209" t="e">
        <f t="shared" si="131"/>
        <v>#DIV/0!</v>
      </c>
      <c r="BV201" s="210">
        <f t="shared" si="150"/>
        <v>50</v>
      </c>
      <c r="BW201" s="210">
        <f t="shared" si="151"/>
        <v>0</v>
      </c>
      <c r="BX201" s="209">
        <f t="shared" si="152"/>
        <v>0</v>
      </c>
      <c r="BY201" s="209">
        <f t="shared" si="153"/>
        <v>0</v>
      </c>
      <c r="BZ201" s="209">
        <f t="shared" si="154"/>
        <v>0</v>
      </c>
      <c r="CA201" s="212"/>
      <c r="CB201" s="245"/>
      <c r="CC201" s="183">
        <v>0</v>
      </c>
      <c r="CD201" s="184">
        <v>0</v>
      </c>
      <c r="CE201" s="185" t="e">
        <f t="shared" si="132"/>
        <v>#DIV/0!</v>
      </c>
      <c r="CF201" s="183">
        <v>0</v>
      </c>
      <c r="CG201" s="184">
        <v>0</v>
      </c>
      <c r="CH201" s="185" t="e">
        <f t="shared" si="133"/>
        <v>#DIV/0!</v>
      </c>
      <c r="CI201" s="189"/>
      <c r="CJ201" s="190"/>
      <c r="CK201" s="185" t="e">
        <f t="shared" si="134"/>
        <v>#DIV/0!</v>
      </c>
      <c r="CL201" s="187">
        <f t="shared" si="135"/>
        <v>0</v>
      </c>
      <c r="CM201" s="186">
        <f t="shared" si="136"/>
        <v>0</v>
      </c>
      <c r="CN201" s="185" t="e">
        <f t="shared" si="137"/>
        <v>#DIV/0!</v>
      </c>
      <c r="CO201" s="245"/>
      <c r="CP201" s="188">
        <f t="shared" si="138"/>
        <v>50</v>
      </c>
      <c r="CQ201" s="188">
        <f t="shared" si="139"/>
        <v>0</v>
      </c>
      <c r="CR201" s="191">
        <f t="shared" si="140"/>
        <v>0</v>
      </c>
      <c r="CS201" s="279">
        <f t="shared" si="155"/>
        <v>100</v>
      </c>
      <c r="CT201" s="245"/>
      <c r="CU201" s="188">
        <f t="shared" si="156"/>
        <v>30</v>
      </c>
      <c r="CV201" s="277"/>
      <c r="CW201" s="191">
        <f t="shared" si="157"/>
        <v>0</v>
      </c>
      <c r="CX201" s="188">
        <f t="shared" si="158"/>
        <v>30</v>
      </c>
      <c r="CY201" s="277"/>
      <c r="CZ201" s="191">
        <f t="shared" si="159"/>
        <v>0</v>
      </c>
      <c r="DA201" s="188">
        <f t="shared" si="160"/>
        <v>30</v>
      </c>
      <c r="DB201" s="277"/>
      <c r="DC201" s="191">
        <f t="shared" si="161"/>
        <v>0</v>
      </c>
      <c r="DD201" s="188">
        <f t="shared" si="162"/>
        <v>10</v>
      </c>
      <c r="DE201" s="277"/>
      <c r="DF201" s="191">
        <f t="shared" si="163"/>
        <v>0</v>
      </c>
      <c r="DG201" s="245"/>
      <c r="DH201" s="188">
        <f t="shared" si="164"/>
        <v>100</v>
      </c>
      <c r="DI201" s="188">
        <f t="shared" si="165"/>
        <v>0</v>
      </c>
      <c r="DJ201" s="191">
        <f t="shared" si="166"/>
        <v>0</v>
      </c>
      <c r="DK201" s="286">
        <f t="shared" si="167"/>
        <v>100</v>
      </c>
      <c r="DM201" s="244">
        <f>+A201-DL201</f>
        <v>197</v>
      </c>
    </row>
    <row r="202" spans="1:117" x14ac:dyDescent="0.35">
      <c r="A202" s="267">
        <v>198</v>
      </c>
      <c r="B202" s="102" t="s">
        <v>270</v>
      </c>
      <c r="C202" s="102" t="s">
        <v>118</v>
      </c>
      <c r="D202" s="102" t="s">
        <v>119</v>
      </c>
      <c r="E202" s="102" t="s">
        <v>155</v>
      </c>
      <c r="F202" s="102" t="s">
        <v>598</v>
      </c>
      <c r="G202" s="98" t="s">
        <v>186</v>
      </c>
      <c r="H202" s="98" t="s">
        <v>187</v>
      </c>
      <c r="I202" s="98" t="s">
        <v>592</v>
      </c>
      <c r="J202" s="98" t="s">
        <v>592</v>
      </c>
      <c r="K202" s="96" t="s">
        <v>104</v>
      </c>
      <c r="L202" s="96" t="s">
        <v>105</v>
      </c>
      <c r="M202" s="98" t="s">
        <v>106</v>
      </c>
      <c r="N202" s="98" t="s">
        <v>622</v>
      </c>
      <c r="O202" s="98" t="s">
        <v>127</v>
      </c>
      <c r="P202" s="258" t="s">
        <v>635</v>
      </c>
      <c r="Q202" s="98" t="s">
        <v>129</v>
      </c>
      <c r="R202" s="301">
        <v>100</v>
      </c>
      <c r="S202" s="99" t="s">
        <v>158</v>
      </c>
      <c r="T202" s="81">
        <v>25</v>
      </c>
      <c r="U202" s="81"/>
      <c r="V202" s="25">
        <f t="shared" si="143"/>
        <v>0</v>
      </c>
      <c r="W202" s="81">
        <v>25</v>
      </c>
      <c r="X202" s="81"/>
      <c r="Y202" s="25">
        <f t="shared" si="1"/>
        <v>0</v>
      </c>
      <c r="Z202" s="81">
        <v>25</v>
      </c>
      <c r="AA202" s="81"/>
      <c r="AB202" s="25">
        <f t="shared" si="2"/>
        <v>0</v>
      </c>
      <c r="AC202" s="81">
        <v>25</v>
      </c>
      <c r="AD202" s="81"/>
      <c r="AE202" s="25">
        <f t="shared" si="3"/>
        <v>0</v>
      </c>
      <c r="AF202" s="140">
        <f t="shared" si="127"/>
        <v>100</v>
      </c>
      <c r="AG202" s="140">
        <f t="shared" si="128"/>
        <v>0</v>
      </c>
      <c r="AH202" s="138">
        <f t="shared" si="125"/>
        <v>0</v>
      </c>
      <c r="AI202" s="101">
        <v>46113</v>
      </c>
      <c r="AJ202" s="101">
        <v>46477</v>
      </c>
      <c r="AK202" s="102" t="s">
        <v>112</v>
      </c>
      <c r="AL202" s="102" t="s">
        <v>113</v>
      </c>
      <c r="AM202" s="103" t="s">
        <v>114</v>
      </c>
      <c r="AN202" s="104">
        <v>10000000</v>
      </c>
      <c r="AO202" s="104">
        <v>10000000</v>
      </c>
      <c r="AP202" s="104">
        <v>10000000</v>
      </c>
      <c r="AQ202" s="326">
        <v>0</v>
      </c>
      <c r="AR202" s="102" t="s">
        <v>159</v>
      </c>
      <c r="AS202" s="102" t="s">
        <v>112</v>
      </c>
      <c r="AT202" s="152" t="s">
        <v>628</v>
      </c>
      <c r="AU202" s="166" t="s">
        <v>2264</v>
      </c>
      <c r="AV202" s="247" t="s">
        <v>2234</v>
      </c>
      <c r="AW202" s="136" t="s">
        <v>2266</v>
      </c>
      <c r="AX202" s="136" t="s">
        <v>2363</v>
      </c>
      <c r="AY202" s="136" t="s">
        <v>2376</v>
      </c>
      <c r="BA202" s="272">
        <v>0</v>
      </c>
      <c r="BB202" s="273">
        <v>0</v>
      </c>
      <c r="BC202" s="209" t="e">
        <f t="shared" si="144"/>
        <v>#DIV/0!</v>
      </c>
      <c r="BD202" s="272">
        <v>0</v>
      </c>
      <c r="BE202" s="273">
        <v>0</v>
      </c>
      <c r="BF202" s="209" t="e">
        <f t="shared" si="145"/>
        <v>#DIV/0!</v>
      </c>
      <c r="BG202" s="272">
        <v>0</v>
      </c>
      <c r="BH202" s="273">
        <v>0</v>
      </c>
      <c r="BI202" s="209" t="e">
        <f t="shared" si="146"/>
        <v>#DIV/0!</v>
      </c>
      <c r="BJ202" s="210">
        <f t="shared" si="147"/>
        <v>0</v>
      </c>
      <c r="BK202" s="211">
        <f t="shared" si="148"/>
        <v>0</v>
      </c>
      <c r="BL202" s="209" t="e">
        <f t="shared" si="149"/>
        <v>#DIV/0!</v>
      </c>
      <c r="BM202" s="272">
        <v>0</v>
      </c>
      <c r="BN202" s="273">
        <v>0</v>
      </c>
      <c r="BO202" s="209" t="e">
        <f t="shared" si="129"/>
        <v>#DIV/0!</v>
      </c>
      <c r="BP202" s="272">
        <v>0</v>
      </c>
      <c r="BQ202" s="273">
        <v>0</v>
      </c>
      <c r="BR202" s="209" t="e">
        <f t="shared" si="130"/>
        <v>#DIV/0!</v>
      </c>
      <c r="BS202" s="272">
        <v>100</v>
      </c>
      <c r="BT202" s="272">
        <v>100</v>
      </c>
      <c r="BU202" s="209">
        <f t="shared" si="131"/>
        <v>1</v>
      </c>
      <c r="BV202" s="210">
        <f t="shared" si="150"/>
        <v>100</v>
      </c>
      <c r="BW202" s="210">
        <f t="shared" si="151"/>
        <v>100</v>
      </c>
      <c r="BX202" s="209">
        <f t="shared" si="152"/>
        <v>1</v>
      </c>
      <c r="BY202" s="209">
        <f t="shared" si="153"/>
        <v>1</v>
      </c>
      <c r="BZ202" s="209">
        <f t="shared" si="154"/>
        <v>-1</v>
      </c>
      <c r="CA202" s="212"/>
      <c r="CB202" s="245"/>
      <c r="CC202" s="183">
        <v>0</v>
      </c>
      <c r="CD202" s="184">
        <v>0</v>
      </c>
      <c r="CE202" s="185" t="e">
        <f t="shared" si="132"/>
        <v>#DIV/0!</v>
      </c>
      <c r="CF202" s="183">
        <v>0</v>
      </c>
      <c r="CG202" s="184">
        <v>0</v>
      </c>
      <c r="CH202" s="185" t="e">
        <f t="shared" si="133"/>
        <v>#DIV/0!</v>
      </c>
      <c r="CI202" s="189"/>
      <c r="CJ202" s="190"/>
      <c r="CK202" s="185" t="e">
        <f t="shared" si="134"/>
        <v>#DIV/0!</v>
      </c>
      <c r="CL202" s="187">
        <f t="shared" si="135"/>
        <v>0</v>
      </c>
      <c r="CM202" s="186">
        <f t="shared" si="136"/>
        <v>0</v>
      </c>
      <c r="CN202" s="185" t="e">
        <f t="shared" si="137"/>
        <v>#DIV/0!</v>
      </c>
      <c r="CO202" s="245"/>
      <c r="CP202" s="188">
        <f t="shared" si="138"/>
        <v>100</v>
      </c>
      <c r="CQ202" s="188">
        <f t="shared" si="139"/>
        <v>100</v>
      </c>
      <c r="CR202" s="191">
        <f t="shared" si="140"/>
        <v>1</v>
      </c>
      <c r="CS202" s="279">
        <f t="shared" si="155"/>
        <v>0</v>
      </c>
      <c r="CT202" s="245"/>
      <c r="CU202" s="188">
        <f t="shared" si="156"/>
        <v>0</v>
      </c>
      <c r="CV202" s="277"/>
      <c r="CW202" s="191" t="e">
        <f t="shared" si="157"/>
        <v>#DIV/0!</v>
      </c>
      <c r="CX202" s="188">
        <f t="shared" si="158"/>
        <v>0</v>
      </c>
      <c r="CY202" s="277"/>
      <c r="CZ202" s="191" t="e">
        <f t="shared" si="159"/>
        <v>#DIV/0!</v>
      </c>
      <c r="DA202" s="188">
        <f t="shared" si="160"/>
        <v>0</v>
      </c>
      <c r="DB202" s="277"/>
      <c r="DC202" s="191" t="e">
        <f t="shared" si="161"/>
        <v>#DIV/0!</v>
      </c>
      <c r="DD202" s="188">
        <f t="shared" si="162"/>
        <v>0</v>
      </c>
      <c r="DE202" s="277"/>
      <c r="DF202" s="191" t="e">
        <f t="shared" si="163"/>
        <v>#DIV/0!</v>
      </c>
      <c r="DG202" s="245"/>
      <c r="DH202" s="188">
        <f t="shared" si="164"/>
        <v>100</v>
      </c>
      <c r="DI202" s="188">
        <f t="shared" si="165"/>
        <v>100</v>
      </c>
      <c r="DJ202" s="191">
        <f t="shared" si="166"/>
        <v>1</v>
      </c>
      <c r="DK202" s="286">
        <f t="shared" si="167"/>
        <v>0</v>
      </c>
      <c r="DM202" s="244">
        <f>+A202-DL202</f>
        <v>198</v>
      </c>
    </row>
    <row r="203" spans="1:117" x14ac:dyDescent="0.35">
      <c r="A203" s="267">
        <v>199</v>
      </c>
      <c r="B203" s="102" t="s">
        <v>270</v>
      </c>
      <c r="C203" s="102" t="s">
        <v>118</v>
      </c>
      <c r="D203" s="102" t="s">
        <v>119</v>
      </c>
      <c r="E203" s="102" t="s">
        <v>155</v>
      </c>
      <c r="F203" s="102" t="s">
        <v>598</v>
      </c>
      <c r="G203" s="98" t="s">
        <v>186</v>
      </c>
      <c r="H203" s="98" t="s">
        <v>187</v>
      </c>
      <c r="I203" s="98" t="s">
        <v>124</v>
      </c>
      <c r="J203" s="98" t="s">
        <v>124</v>
      </c>
      <c r="K203" s="96" t="s">
        <v>104</v>
      </c>
      <c r="L203" s="96" t="s">
        <v>105</v>
      </c>
      <c r="M203" s="98" t="s">
        <v>106</v>
      </c>
      <c r="N203" s="98" t="s">
        <v>622</v>
      </c>
      <c r="O203" s="98" t="s">
        <v>127</v>
      </c>
      <c r="P203" s="258" t="s">
        <v>636</v>
      </c>
      <c r="Q203" s="98" t="s">
        <v>129</v>
      </c>
      <c r="R203" s="301">
        <v>100</v>
      </c>
      <c r="S203" s="99" t="s">
        <v>158</v>
      </c>
      <c r="T203" s="81">
        <v>25</v>
      </c>
      <c r="U203" s="81"/>
      <c r="V203" s="25">
        <f t="shared" si="143"/>
        <v>0</v>
      </c>
      <c r="W203" s="81">
        <v>25</v>
      </c>
      <c r="X203" s="81"/>
      <c r="Y203" s="25">
        <f t="shared" si="1"/>
        <v>0</v>
      </c>
      <c r="Z203" s="81">
        <v>25</v>
      </c>
      <c r="AA203" s="81"/>
      <c r="AB203" s="25">
        <f t="shared" si="2"/>
        <v>0</v>
      </c>
      <c r="AC203" s="81">
        <v>25</v>
      </c>
      <c r="AD203" s="81"/>
      <c r="AE203" s="25">
        <f t="shared" si="3"/>
        <v>0</v>
      </c>
      <c r="AF203" s="140">
        <f t="shared" si="127"/>
        <v>100</v>
      </c>
      <c r="AG203" s="140">
        <f t="shared" si="128"/>
        <v>0</v>
      </c>
      <c r="AH203" s="138">
        <f t="shared" si="125"/>
        <v>0</v>
      </c>
      <c r="AI203" s="101">
        <v>46113</v>
      </c>
      <c r="AJ203" s="101">
        <v>46477</v>
      </c>
      <c r="AK203" s="102" t="s">
        <v>112</v>
      </c>
      <c r="AL203" s="102" t="s">
        <v>113</v>
      </c>
      <c r="AM203" s="103" t="s">
        <v>114</v>
      </c>
      <c r="AN203" s="104">
        <v>15000000</v>
      </c>
      <c r="AO203" s="104">
        <v>15000000</v>
      </c>
      <c r="AP203" s="104">
        <v>15000000</v>
      </c>
      <c r="AQ203" s="326">
        <v>0</v>
      </c>
      <c r="AR203" s="102" t="s">
        <v>159</v>
      </c>
      <c r="AS203" s="102" t="s">
        <v>112</v>
      </c>
      <c r="AT203" s="152" t="s">
        <v>628</v>
      </c>
      <c r="AU203" s="166" t="s">
        <v>2264</v>
      </c>
      <c r="AV203" s="247" t="s">
        <v>2234</v>
      </c>
      <c r="AW203" s="136" t="s">
        <v>2266</v>
      </c>
      <c r="AX203" s="136" t="s">
        <v>2363</v>
      </c>
      <c r="AY203" s="136" t="s">
        <v>2376</v>
      </c>
      <c r="BA203" s="272">
        <v>0</v>
      </c>
      <c r="BB203" s="273">
        <v>0</v>
      </c>
      <c r="BC203" s="209" t="e">
        <f t="shared" si="144"/>
        <v>#DIV/0!</v>
      </c>
      <c r="BD203" s="272">
        <v>0</v>
      </c>
      <c r="BE203" s="273">
        <v>0</v>
      </c>
      <c r="BF203" s="209" t="e">
        <f t="shared" si="145"/>
        <v>#DIV/0!</v>
      </c>
      <c r="BG203" s="272">
        <v>0</v>
      </c>
      <c r="BH203" s="273">
        <v>0</v>
      </c>
      <c r="BI203" s="209" t="e">
        <f t="shared" si="146"/>
        <v>#DIV/0!</v>
      </c>
      <c r="BJ203" s="210">
        <f t="shared" si="147"/>
        <v>0</v>
      </c>
      <c r="BK203" s="211">
        <f t="shared" si="148"/>
        <v>0</v>
      </c>
      <c r="BL203" s="209" t="e">
        <f t="shared" si="149"/>
        <v>#DIV/0!</v>
      </c>
      <c r="BM203" s="272">
        <v>0</v>
      </c>
      <c r="BN203" s="273">
        <v>0</v>
      </c>
      <c r="BO203" s="209" t="e">
        <f t="shared" si="129"/>
        <v>#DIV/0!</v>
      </c>
      <c r="BP203" s="272">
        <v>0</v>
      </c>
      <c r="BQ203" s="273">
        <v>0</v>
      </c>
      <c r="BR203" s="209" t="e">
        <f t="shared" si="130"/>
        <v>#DIV/0!</v>
      </c>
      <c r="BS203" s="272">
        <v>50</v>
      </c>
      <c r="BT203" s="272">
        <v>0</v>
      </c>
      <c r="BU203" s="209">
        <f t="shared" si="131"/>
        <v>0</v>
      </c>
      <c r="BV203" s="210">
        <f t="shared" si="150"/>
        <v>50</v>
      </c>
      <c r="BW203" s="210">
        <f t="shared" si="151"/>
        <v>0</v>
      </c>
      <c r="BX203" s="209">
        <f t="shared" si="152"/>
        <v>0</v>
      </c>
      <c r="BY203" s="209">
        <f t="shared" si="153"/>
        <v>0</v>
      </c>
      <c r="BZ203" s="209">
        <f t="shared" si="154"/>
        <v>0</v>
      </c>
      <c r="CA203" s="212"/>
      <c r="CB203" s="245"/>
      <c r="CC203" s="183">
        <v>50</v>
      </c>
      <c r="CD203" s="184">
        <v>0</v>
      </c>
      <c r="CE203" s="185">
        <f t="shared" si="132"/>
        <v>0</v>
      </c>
      <c r="CF203" s="183">
        <v>0</v>
      </c>
      <c r="CG203" s="184">
        <v>0</v>
      </c>
      <c r="CH203" s="185" t="e">
        <f t="shared" si="133"/>
        <v>#DIV/0!</v>
      </c>
      <c r="CI203" s="189"/>
      <c r="CJ203" s="190"/>
      <c r="CK203" s="185" t="e">
        <f t="shared" si="134"/>
        <v>#DIV/0!</v>
      </c>
      <c r="CL203" s="187">
        <f t="shared" si="135"/>
        <v>50</v>
      </c>
      <c r="CM203" s="186">
        <f t="shared" si="136"/>
        <v>0</v>
      </c>
      <c r="CN203" s="185">
        <f t="shared" si="137"/>
        <v>0</v>
      </c>
      <c r="CO203" s="245"/>
      <c r="CP203" s="188">
        <f t="shared" si="138"/>
        <v>100</v>
      </c>
      <c r="CQ203" s="188">
        <f t="shared" si="139"/>
        <v>0</v>
      </c>
      <c r="CR203" s="191">
        <f t="shared" si="140"/>
        <v>0</v>
      </c>
      <c r="CS203" s="279">
        <f t="shared" si="155"/>
        <v>100</v>
      </c>
      <c r="CT203" s="245"/>
      <c r="CU203" s="188">
        <f t="shared" si="156"/>
        <v>30</v>
      </c>
      <c r="CV203" s="277"/>
      <c r="CW203" s="191">
        <f t="shared" si="157"/>
        <v>0</v>
      </c>
      <c r="CX203" s="188">
        <f t="shared" si="158"/>
        <v>30</v>
      </c>
      <c r="CY203" s="277"/>
      <c r="CZ203" s="191">
        <f t="shared" si="159"/>
        <v>0</v>
      </c>
      <c r="DA203" s="188">
        <f t="shared" si="160"/>
        <v>30</v>
      </c>
      <c r="DB203" s="277"/>
      <c r="DC203" s="191">
        <f t="shared" si="161"/>
        <v>0</v>
      </c>
      <c r="DD203" s="188">
        <f t="shared" si="162"/>
        <v>10</v>
      </c>
      <c r="DE203" s="277"/>
      <c r="DF203" s="191">
        <f t="shared" si="163"/>
        <v>0</v>
      </c>
      <c r="DG203" s="245"/>
      <c r="DH203" s="188">
        <f t="shared" si="164"/>
        <v>100</v>
      </c>
      <c r="DI203" s="188">
        <f t="shared" si="165"/>
        <v>0</v>
      </c>
      <c r="DJ203" s="191">
        <f t="shared" si="166"/>
        <v>0</v>
      </c>
      <c r="DK203" s="286">
        <f t="shared" si="167"/>
        <v>100</v>
      </c>
      <c r="DM203" s="244">
        <f>+A203-DL203</f>
        <v>199</v>
      </c>
    </row>
    <row r="204" spans="1:117" x14ac:dyDescent="0.35">
      <c r="A204" s="267">
        <v>200</v>
      </c>
      <c r="B204" s="102" t="s">
        <v>270</v>
      </c>
      <c r="C204" s="102" t="s">
        <v>118</v>
      </c>
      <c r="D204" s="102" t="s">
        <v>119</v>
      </c>
      <c r="E204" s="102" t="s">
        <v>155</v>
      </c>
      <c r="F204" s="102" t="s">
        <v>598</v>
      </c>
      <c r="G204" s="98" t="s">
        <v>186</v>
      </c>
      <c r="H204" s="98" t="s">
        <v>187</v>
      </c>
      <c r="I204" s="98" t="s">
        <v>103</v>
      </c>
      <c r="J204" s="98" t="s">
        <v>103</v>
      </c>
      <c r="K204" s="96" t="s">
        <v>104</v>
      </c>
      <c r="L204" s="96" t="s">
        <v>105</v>
      </c>
      <c r="M204" s="98" t="s">
        <v>106</v>
      </c>
      <c r="N204" s="98" t="s">
        <v>622</v>
      </c>
      <c r="O204" s="98" t="s">
        <v>127</v>
      </c>
      <c r="P204" s="258" t="s">
        <v>637</v>
      </c>
      <c r="Q204" s="98" t="s">
        <v>129</v>
      </c>
      <c r="R204" s="301">
        <v>100</v>
      </c>
      <c r="S204" s="99" t="s">
        <v>158</v>
      </c>
      <c r="T204" s="81"/>
      <c r="U204" s="81"/>
      <c r="V204" s="25" t="e">
        <f t="shared" si="143"/>
        <v>#DIV/0!</v>
      </c>
      <c r="W204" s="81"/>
      <c r="X204" s="81"/>
      <c r="Y204" s="25" t="e">
        <f t="shared" si="1"/>
        <v>#DIV/0!</v>
      </c>
      <c r="Z204" s="81"/>
      <c r="AA204" s="81"/>
      <c r="AB204" s="25" t="e">
        <f t="shared" si="2"/>
        <v>#DIV/0!</v>
      </c>
      <c r="AC204" s="81">
        <v>1</v>
      </c>
      <c r="AD204" s="81"/>
      <c r="AE204" s="25">
        <f t="shared" si="3"/>
        <v>0</v>
      </c>
      <c r="AF204" s="140">
        <f t="shared" si="127"/>
        <v>100</v>
      </c>
      <c r="AG204" s="140">
        <f t="shared" si="128"/>
        <v>0</v>
      </c>
      <c r="AH204" s="138">
        <f t="shared" si="125"/>
        <v>0</v>
      </c>
      <c r="AI204" s="101">
        <v>46113</v>
      </c>
      <c r="AJ204" s="101">
        <v>46477</v>
      </c>
      <c r="AK204" s="102" t="s">
        <v>112</v>
      </c>
      <c r="AL204" s="102" t="s">
        <v>113</v>
      </c>
      <c r="AM204" s="103" t="s">
        <v>114</v>
      </c>
      <c r="AN204" s="104">
        <v>70000000</v>
      </c>
      <c r="AO204" s="104">
        <v>70000000</v>
      </c>
      <c r="AP204" s="104">
        <v>70000000</v>
      </c>
      <c r="AQ204" s="326">
        <v>0</v>
      </c>
      <c r="AR204" s="102" t="s">
        <v>159</v>
      </c>
      <c r="AS204" s="102" t="s">
        <v>112</v>
      </c>
      <c r="AT204" s="152" t="s">
        <v>628</v>
      </c>
      <c r="AU204" s="166" t="s">
        <v>2264</v>
      </c>
      <c r="AV204" s="247" t="s">
        <v>2234</v>
      </c>
      <c r="AW204" s="136" t="s">
        <v>2266</v>
      </c>
      <c r="AX204" s="136" t="s">
        <v>2363</v>
      </c>
      <c r="AY204" s="136" t="s">
        <v>2376</v>
      </c>
      <c r="BA204" s="272"/>
      <c r="BB204" s="273"/>
      <c r="BC204" s="209" t="e">
        <f t="shared" si="144"/>
        <v>#DIV/0!</v>
      </c>
      <c r="BD204" s="272"/>
      <c r="BE204" s="273"/>
      <c r="BF204" s="209" t="e">
        <f t="shared" si="145"/>
        <v>#DIV/0!</v>
      </c>
      <c r="BG204" s="272"/>
      <c r="BH204" s="273"/>
      <c r="BI204" s="209" t="e">
        <f t="shared" si="146"/>
        <v>#DIV/0!</v>
      </c>
      <c r="BJ204" s="210">
        <f t="shared" si="147"/>
        <v>0</v>
      </c>
      <c r="BK204" s="211">
        <f t="shared" si="148"/>
        <v>0</v>
      </c>
      <c r="BL204" s="209" t="e">
        <f t="shared" si="149"/>
        <v>#DIV/0!</v>
      </c>
      <c r="BM204" s="272"/>
      <c r="BN204" s="273"/>
      <c r="BO204" s="209" t="e">
        <f t="shared" si="129"/>
        <v>#DIV/0!</v>
      </c>
      <c r="BP204" s="272"/>
      <c r="BQ204" s="273"/>
      <c r="BR204" s="209" t="e">
        <f t="shared" si="130"/>
        <v>#DIV/0!</v>
      </c>
      <c r="BS204" s="272"/>
      <c r="BT204" s="272"/>
      <c r="BU204" s="209" t="e">
        <f t="shared" si="131"/>
        <v>#DIV/0!</v>
      </c>
      <c r="BV204" s="210">
        <f t="shared" si="150"/>
        <v>0</v>
      </c>
      <c r="BW204" s="210">
        <f t="shared" si="151"/>
        <v>0</v>
      </c>
      <c r="BX204" s="209" t="e">
        <f t="shared" si="152"/>
        <v>#DIV/0!</v>
      </c>
      <c r="BY204" s="209">
        <f t="shared" si="153"/>
        <v>0</v>
      </c>
      <c r="BZ204" s="209">
        <f t="shared" si="154"/>
        <v>0</v>
      </c>
      <c r="CA204" s="212"/>
      <c r="CB204" s="245"/>
      <c r="CC204" s="183"/>
      <c r="CD204" s="184"/>
      <c r="CE204" s="185" t="e">
        <f t="shared" si="132"/>
        <v>#DIV/0!</v>
      </c>
      <c r="CF204" s="183"/>
      <c r="CG204" s="184"/>
      <c r="CH204" s="185" t="e">
        <f t="shared" si="133"/>
        <v>#DIV/0!</v>
      </c>
      <c r="CI204" s="189"/>
      <c r="CJ204" s="190"/>
      <c r="CK204" s="185" t="e">
        <f t="shared" si="134"/>
        <v>#DIV/0!</v>
      </c>
      <c r="CL204" s="187">
        <f t="shared" si="135"/>
        <v>0</v>
      </c>
      <c r="CM204" s="186">
        <f t="shared" si="136"/>
        <v>0</v>
      </c>
      <c r="CN204" s="185" t="e">
        <f t="shared" si="137"/>
        <v>#DIV/0!</v>
      </c>
      <c r="CO204" s="245"/>
      <c r="CP204" s="188">
        <f t="shared" si="138"/>
        <v>0</v>
      </c>
      <c r="CQ204" s="188">
        <f t="shared" si="139"/>
        <v>0</v>
      </c>
      <c r="CR204" s="191" t="e">
        <f t="shared" si="140"/>
        <v>#DIV/0!</v>
      </c>
      <c r="CS204" s="279">
        <f t="shared" si="155"/>
        <v>100</v>
      </c>
      <c r="CT204" s="245"/>
      <c r="CU204" s="188">
        <f t="shared" si="156"/>
        <v>30</v>
      </c>
      <c r="CV204" s="277"/>
      <c r="CW204" s="191">
        <f t="shared" si="157"/>
        <v>0</v>
      </c>
      <c r="CX204" s="188">
        <f t="shared" si="158"/>
        <v>30</v>
      </c>
      <c r="CY204" s="277"/>
      <c r="CZ204" s="191">
        <f t="shared" si="159"/>
        <v>0</v>
      </c>
      <c r="DA204" s="188">
        <f t="shared" si="160"/>
        <v>30</v>
      </c>
      <c r="DB204" s="277"/>
      <c r="DC204" s="191">
        <f t="shared" si="161"/>
        <v>0</v>
      </c>
      <c r="DD204" s="188">
        <f t="shared" si="162"/>
        <v>10</v>
      </c>
      <c r="DE204" s="277"/>
      <c r="DF204" s="191">
        <f t="shared" si="163"/>
        <v>0</v>
      </c>
      <c r="DG204" s="245"/>
      <c r="DH204" s="188">
        <f t="shared" si="164"/>
        <v>100</v>
      </c>
      <c r="DI204" s="188">
        <f t="shared" si="165"/>
        <v>0</v>
      </c>
      <c r="DJ204" s="191">
        <f t="shared" si="166"/>
        <v>0</v>
      </c>
      <c r="DK204" s="286">
        <f t="shared" si="167"/>
        <v>100</v>
      </c>
      <c r="DM204" s="244">
        <f>+A204-DL204</f>
        <v>200</v>
      </c>
    </row>
    <row r="205" spans="1:117" x14ac:dyDescent="0.35">
      <c r="A205" s="267">
        <v>201</v>
      </c>
      <c r="B205" s="102" t="s">
        <v>270</v>
      </c>
      <c r="C205" s="102" t="s">
        <v>118</v>
      </c>
      <c r="D205" s="102" t="s">
        <v>119</v>
      </c>
      <c r="E205" s="102" t="s">
        <v>155</v>
      </c>
      <c r="F205" s="102" t="s">
        <v>598</v>
      </c>
      <c r="G205" s="98" t="s">
        <v>186</v>
      </c>
      <c r="H205" s="98" t="s">
        <v>187</v>
      </c>
      <c r="I205" s="98" t="s">
        <v>592</v>
      </c>
      <c r="J205" s="98" t="s">
        <v>592</v>
      </c>
      <c r="K205" s="96" t="s">
        <v>104</v>
      </c>
      <c r="L205" s="96" t="s">
        <v>105</v>
      </c>
      <c r="M205" s="98" t="s">
        <v>106</v>
      </c>
      <c r="N205" s="98" t="s">
        <v>622</v>
      </c>
      <c r="O205" s="98" t="s">
        <v>127</v>
      </c>
      <c r="P205" s="258" t="s">
        <v>638</v>
      </c>
      <c r="Q205" s="98" t="s">
        <v>129</v>
      </c>
      <c r="R205" s="301">
        <v>1</v>
      </c>
      <c r="S205" s="99" t="s">
        <v>111</v>
      </c>
      <c r="T205" s="81">
        <v>25</v>
      </c>
      <c r="U205" s="81"/>
      <c r="V205" s="25">
        <f t="shared" si="143"/>
        <v>0</v>
      </c>
      <c r="W205" s="81">
        <v>25</v>
      </c>
      <c r="X205" s="81"/>
      <c r="Y205" s="25">
        <f t="shared" si="1"/>
        <v>0</v>
      </c>
      <c r="Z205" s="81">
        <v>25</v>
      </c>
      <c r="AA205" s="81"/>
      <c r="AB205" s="25">
        <f t="shared" si="2"/>
        <v>0</v>
      </c>
      <c r="AC205" s="81">
        <v>25</v>
      </c>
      <c r="AD205" s="81"/>
      <c r="AE205" s="25">
        <f t="shared" si="3"/>
        <v>0</v>
      </c>
      <c r="AF205" s="140">
        <f t="shared" si="127"/>
        <v>1</v>
      </c>
      <c r="AG205" s="140">
        <f t="shared" si="128"/>
        <v>0</v>
      </c>
      <c r="AH205" s="138">
        <f t="shared" si="125"/>
        <v>0</v>
      </c>
      <c r="AI205" s="101">
        <v>46113</v>
      </c>
      <c r="AJ205" s="101">
        <v>46477</v>
      </c>
      <c r="AK205" s="102" t="s">
        <v>112</v>
      </c>
      <c r="AL205" s="102" t="s">
        <v>113</v>
      </c>
      <c r="AM205" s="103" t="s">
        <v>114</v>
      </c>
      <c r="AN205" s="104">
        <v>50000000</v>
      </c>
      <c r="AO205" s="104">
        <v>50000000</v>
      </c>
      <c r="AP205" s="104">
        <v>50000000</v>
      </c>
      <c r="AQ205" s="326">
        <v>0</v>
      </c>
      <c r="AR205" s="102" t="s">
        <v>159</v>
      </c>
      <c r="AS205" s="102" t="s">
        <v>112</v>
      </c>
      <c r="AT205" s="152" t="s">
        <v>628</v>
      </c>
      <c r="AU205" s="166" t="s">
        <v>2264</v>
      </c>
      <c r="AV205" s="247" t="s">
        <v>2234</v>
      </c>
      <c r="AW205" s="136" t="s">
        <v>2266</v>
      </c>
      <c r="AX205" s="136" t="s">
        <v>2363</v>
      </c>
      <c r="AY205" s="136" t="s">
        <v>2376</v>
      </c>
      <c r="BA205" s="272">
        <v>0</v>
      </c>
      <c r="BB205" s="273">
        <v>0</v>
      </c>
      <c r="BC205" s="209" t="e">
        <f t="shared" si="144"/>
        <v>#DIV/0!</v>
      </c>
      <c r="BD205" s="272">
        <v>0</v>
      </c>
      <c r="BE205" s="273">
        <v>0</v>
      </c>
      <c r="BF205" s="209" t="e">
        <f t="shared" si="145"/>
        <v>#DIV/0!</v>
      </c>
      <c r="BG205" s="272">
        <v>0</v>
      </c>
      <c r="BH205" s="273">
        <v>0</v>
      </c>
      <c r="BI205" s="209" t="e">
        <f t="shared" si="146"/>
        <v>#DIV/0!</v>
      </c>
      <c r="BJ205" s="210">
        <f t="shared" si="147"/>
        <v>0</v>
      </c>
      <c r="BK205" s="211">
        <f t="shared" si="148"/>
        <v>0</v>
      </c>
      <c r="BL205" s="209" t="e">
        <f t="shared" si="149"/>
        <v>#DIV/0!</v>
      </c>
      <c r="BM205" s="272">
        <v>0</v>
      </c>
      <c r="BN205" s="273">
        <v>0</v>
      </c>
      <c r="BO205" s="209" t="e">
        <f t="shared" si="129"/>
        <v>#DIV/0!</v>
      </c>
      <c r="BP205" s="272">
        <v>0</v>
      </c>
      <c r="BQ205" s="273">
        <v>0</v>
      </c>
      <c r="BR205" s="209" t="e">
        <f t="shared" si="130"/>
        <v>#DIV/0!</v>
      </c>
      <c r="BS205" s="272">
        <v>100</v>
      </c>
      <c r="BT205" s="272">
        <v>100</v>
      </c>
      <c r="BU205" s="209">
        <f t="shared" si="131"/>
        <v>1</v>
      </c>
      <c r="BV205" s="210">
        <f t="shared" si="150"/>
        <v>100</v>
      </c>
      <c r="BW205" s="210">
        <f t="shared" si="151"/>
        <v>100</v>
      </c>
      <c r="BX205" s="209">
        <f t="shared" si="152"/>
        <v>1</v>
      </c>
      <c r="BY205" s="209">
        <f t="shared" si="153"/>
        <v>100</v>
      </c>
      <c r="BZ205" s="209">
        <f t="shared" si="154"/>
        <v>-100</v>
      </c>
      <c r="CA205" s="212"/>
      <c r="CB205" s="245"/>
      <c r="CC205" s="183">
        <v>0</v>
      </c>
      <c r="CD205" s="184">
        <v>0</v>
      </c>
      <c r="CE205" s="185" t="e">
        <f t="shared" si="132"/>
        <v>#DIV/0!</v>
      </c>
      <c r="CF205" s="183">
        <v>0</v>
      </c>
      <c r="CG205" s="184">
        <v>0</v>
      </c>
      <c r="CH205" s="185" t="e">
        <f t="shared" si="133"/>
        <v>#DIV/0!</v>
      </c>
      <c r="CI205" s="189"/>
      <c r="CJ205" s="190"/>
      <c r="CK205" s="185" t="e">
        <f t="shared" si="134"/>
        <v>#DIV/0!</v>
      </c>
      <c r="CL205" s="187">
        <f t="shared" si="135"/>
        <v>0</v>
      </c>
      <c r="CM205" s="186">
        <f t="shared" si="136"/>
        <v>0</v>
      </c>
      <c r="CN205" s="185" t="e">
        <f t="shared" si="137"/>
        <v>#DIV/0!</v>
      </c>
      <c r="CO205" s="245"/>
      <c r="CP205" s="188">
        <f t="shared" si="138"/>
        <v>100</v>
      </c>
      <c r="CQ205" s="188">
        <f t="shared" si="139"/>
        <v>100</v>
      </c>
      <c r="CR205" s="191">
        <f t="shared" si="140"/>
        <v>1</v>
      </c>
      <c r="CS205" s="279">
        <f t="shared" si="155"/>
        <v>-99</v>
      </c>
      <c r="CT205" s="245"/>
      <c r="CU205" s="188">
        <f t="shared" si="156"/>
        <v>-29.7</v>
      </c>
      <c r="CV205" s="277"/>
      <c r="CW205" s="191">
        <f t="shared" si="157"/>
        <v>0</v>
      </c>
      <c r="CX205" s="188">
        <f t="shared" si="158"/>
        <v>-29.7</v>
      </c>
      <c r="CY205" s="277"/>
      <c r="CZ205" s="191">
        <f t="shared" si="159"/>
        <v>0</v>
      </c>
      <c r="DA205" s="188">
        <f t="shared" si="160"/>
        <v>-29.7</v>
      </c>
      <c r="DB205" s="277"/>
      <c r="DC205" s="191">
        <f t="shared" si="161"/>
        <v>0</v>
      </c>
      <c r="DD205" s="188">
        <f t="shared" si="162"/>
        <v>-9.9</v>
      </c>
      <c r="DE205" s="277"/>
      <c r="DF205" s="191">
        <f t="shared" si="163"/>
        <v>0</v>
      </c>
      <c r="DG205" s="245"/>
      <c r="DH205" s="188">
        <f t="shared" si="164"/>
        <v>1</v>
      </c>
      <c r="DI205" s="188">
        <f t="shared" si="165"/>
        <v>100</v>
      </c>
      <c r="DJ205" s="191">
        <f t="shared" si="166"/>
        <v>100</v>
      </c>
      <c r="DK205" s="286">
        <f t="shared" si="167"/>
        <v>-99</v>
      </c>
      <c r="DM205" s="244">
        <f>+A205-DL205</f>
        <v>201</v>
      </c>
    </row>
    <row r="206" spans="1:117" x14ac:dyDescent="0.35">
      <c r="A206" s="267">
        <v>202</v>
      </c>
      <c r="B206" s="102" t="s">
        <v>270</v>
      </c>
      <c r="C206" s="102" t="s">
        <v>118</v>
      </c>
      <c r="D206" s="102" t="s">
        <v>119</v>
      </c>
      <c r="E206" s="102" t="s">
        <v>155</v>
      </c>
      <c r="F206" s="102" t="s">
        <v>598</v>
      </c>
      <c r="G206" s="98" t="s">
        <v>186</v>
      </c>
      <c r="H206" s="98" t="s">
        <v>187</v>
      </c>
      <c r="I206" s="98" t="s">
        <v>639</v>
      </c>
      <c r="J206" s="98" t="s">
        <v>639</v>
      </c>
      <c r="K206" s="96" t="s">
        <v>104</v>
      </c>
      <c r="L206" s="96" t="s">
        <v>105</v>
      </c>
      <c r="M206" s="98" t="s">
        <v>106</v>
      </c>
      <c r="N206" s="98" t="s">
        <v>622</v>
      </c>
      <c r="O206" s="98" t="s">
        <v>127</v>
      </c>
      <c r="P206" s="98" t="s">
        <v>640</v>
      </c>
      <c r="Q206" s="98" t="s">
        <v>129</v>
      </c>
      <c r="R206" s="301">
        <v>100</v>
      </c>
      <c r="S206" s="99" t="s">
        <v>158</v>
      </c>
      <c r="T206" s="81">
        <v>25</v>
      </c>
      <c r="U206" s="81"/>
      <c r="V206" s="25">
        <f t="shared" si="143"/>
        <v>0</v>
      </c>
      <c r="W206" s="81">
        <v>25</v>
      </c>
      <c r="X206" s="81"/>
      <c r="Y206" s="25">
        <f t="shared" si="1"/>
        <v>0</v>
      </c>
      <c r="Z206" s="81">
        <v>25</v>
      </c>
      <c r="AA206" s="81"/>
      <c r="AB206" s="25">
        <f t="shared" si="2"/>
        <v>0</v>
      </c>
      <c r="AC206" s="81">
        <v>25</v>
      </c>
      <c r="AD206" s="81"/>
      <c r="AE206" s="25">
        <f t="shared" si="3"/>
        <v>0</v>
      </c>
      <c r="AF206" s="140">
        <f t="shared" si="127"/>
        <v>100</v>
      </c>
      <c r="AG206" s="140">
        <f t="shared" si="128"/>
        <v>0</v>
      </c>
      <c r="AH206" s="138">
        <f t="shared" si="125"/>
        <v>0</v>
      </c>
      <c r="AI206" s="101">
        <v>46113</v>
      </c>
      <c r="AJ206" s="101">
        <v>46477</v>
      </c>
      <c r="AK206" s="102" t="s">
        <v>112</v>
      </c>
      <c r="AL206" s="102" t="s">
        <v>113</v>
      </c>
      <c r="AM206" s="103" t="s">
        <v>114</v>
      </c>
      <c r="AN206" s="324"/>
      <c r="AO206" s="324"/>
      <c r="AP206" s="324"/>
      <c r="AQ206" s="326"/>
      <c r="AR206" s="102" t="s">
        <v>159</v>
      </c>
      <c r="AS206" s="102" t="s">
        <v>112</v>
      </c>
      <c r="AT206" s="152" t="s">
        <v>628</v>
      </c>
      <c r="AU206" s="166" t="s">
        <v>2264</v>
      </c>
      <c r="AV206" s="247" t="s">
        <v>2234</v>
      </c>
      <c r="AW206" s="136" t="s">
        <v>2266</v>
      </c>
      <c r="AX206" s="136" t="s">
        <v>2363</v>
      </c>
      <c r="AY206" s="136" t="s">
        <v>2376</v>
      </c>
      <c r="BA206" s="272">
        <v>0</v>
      </c>
      <c r="BB206" s="273">
        <v>0</v>
      </c>
      <c r="BC206" s="209" t="e">
        <f t="shared" si="144"/>
        <v>#DIV/0!</v>
      </c>
      <c r="BD206" s="272">
        <v>10</v>
      </c>
      <c r="BE206" s="273">
        <v>10</v>
      </c>
      <c r="BF206" s="209">
        <f t="shared" si="145"/>
        <v>1</v>
      </c>
      <c r="BG206" s="272">
        <v>10</v>
      </c>
      <c r="BH206" s="273">
        <v>10</v>
      </c>
      <c r="BI206" s="209">
        <f t="shared" si="146"/>
        <v>1</v>
      </c>
      <c r="BJ206" s="210">
        <f t="shared" si="147"/>
        <v>20</v>
      </c>
      <c r="BK206" s="211">
        <f t="shared" si="148"/>
        <v>20</v>
      </c>
      <c r="BL206" s="209">
        <f t="shared" si="149"/>
        <v>1</v>
      </c>
      <c r="BM206" s="272">
        <v>10</v>
      </c>
      <c r="BN206" s="273">
        <v>10</v>
      </c>
      <c r="BO206" s="209">
        <f t="shared" si="129"/>
        <v>1</v>
      </c>
      <c r="BP206" s="272">
        <v>10</v>
      </c>
      <c r="BQ206" s="273">
        <v>10</v>
      </c>
      <c r="BR206" s="209">
        <f t="shared" si="130"/>
        <v>1</v>
      </c>
      <c r="BS206" s="272">
        <v>20</v>
      </c>
      <c r="BT206" s="272">
        <v>20</v>
      </c>
      <c r="BU206" s="209">
        <f t="shared" si="131"/>
        <v>1</v>
      </c>
      <c r="BV206" s="210">
        <f t="shared" si="150"/>
        <v>40</v>
      </c>
      <c r="BW206" s="210">
        <f t="shared" si="151"/>
        <v>40</v>
      </c>
      <c r="BX206" s="209">
        <f t="shared" si="152"/>
        <v>1</v>
      </c>
      <c r="BY206" s="209">
        <f t="shared" si="153"/>
        <v>0.6</v>
      </c>
      <c r="BZ206" s="209">
        <f t="shared" si="154"/>
        <v>-0.6</v>
      </c>
      <c r="CA206" s="212"/>
      <c r="CB206" s="245"/>
      <c r="CC206" s="183">
        <v>10</v>
      </c>
      <c r="CD206" s="184">
        <v>10</v>
      </c>
      <c r="CE206" s="185">
        <f t="shared" si="132"/>
        <v>1</v>
      </c>
      <c r="CF206" s="183">
        <v>10</v>
      </c>
      <c r="CG206" s="184">
        <v>10</v>
      </c>
      <c r="CH206" s="185">
        <f t="shared" si="133"/>
        <v>1</v>
      </c>
      <c r="CI206" s="189"/>
      <c r="CJ206" s="190"/>
      <c r="CK206" s="185" t="e">
        <f t="shared" si="134"/>
        <v>#DIV/0!</v>
      </c>
      <c r="CL206" s="187">
        <f t="shared" si="135"/>
        <v>20</v>
      </c>
      <c r="CM206" s="186">
        <f t="shared" si="136"/>
        <v>20</v>
      </c>
      <c r="CN206" s="185">
        <f t="shared" si="137"/>
        <v>1</v>
      </c>
      <c r="CO206" s="245"/>
      <c r="CP206" s="188">
        <f t="shared" si="138"/>
        <v>80</v>
      </c>
      <c r="CQ206" s="188">
        <f t="shared" si="139"/>
        <v>80</v>
      </c>
      <c r="CR206" s="191">
        <f t="shared" si="140"/>
        <v>1</v>
      </c>
      <c r="CS206" s="279">
        <f t="shared" si="155"/>
        <v>20</v>
      </c>
      <c r="CT206" s="245"/>
      <c r="CU206" s="188">
        <f t="shared" si="156"/>
        <v>6</v>
      </c>
      <c r="CV206" s="277"/>
      <c r="CW206" s="191">
        <f t="shared" si="157"/>
        <v>0</v>
      </c>
      <c r="CX206" s="188">
        <f t="shared" si="158"/>
        <v>6</v>
      </c>
      <c r="CY206" s="277"/>
      <c r="CZ206" s="191">
        <f t="shared" si="159"/>
        <v>0</v>
      </c>
      <c r="DA206" s="188">
        <f t="shared" si="160"/>
        <v>6</v>
      </c>
      <c r="DB206" s="277"/>
      <c r="DC206" s="191">
        <f t="shared" si="161"/>
        <v>0</v>
      </c>
      <c r="DD206" s="188">
        <f t="shared" si="162"/>
        <v>2</v>
      </c>
      <c r="DE206" s="277"/>
      <c r="DF206" s="191">
        <f t="shared" si="163"/>
        <v>0</v>
      </c>
      <c r="DG206" s="245"/>
      <c r="DH206" s="188">
        <f t="shared" si="164"/>
        <v>100</v>
      </c>
      <c r="DI206" s="188">
        <f t="shared" si="165"/>
        <v>80</v>
      </c>
      <c r="DJ206" s="191">
        <f t="shared" si="166"/>
        <v>0.8</v>
      </c>
      <c r="DK206" s="286">
        <f t="shared" si="167"/>
        <v>20</v>
      </c>
      <c r="DM206" s="244">
        <f>+A206-DL206</f>
        <v>202</v>
      </c>
    </row>
    <row r="207" spans="1:117" x14ac:dyDescent="0.35">
      <c r="A207" s="267">
        <v>203</v>
      </c>
      <c r="B207" s="102" t="s">
        <v>270</v>
      </c>
      <c r="C207" s="102" t="s">
        <v>118</v>
      </c>
      <c r="D207" s="102" t="s">
        <v>119</v>
      </c>
      <c r="E207" s="102" t="s">
        <v>155</v>
      </c>
      <c r="F207" s="102" t="s">
        <v>598</v>
      </c>
      <c r="G207" s="98" t="s">
        <v>186</v>
      </c>
      <c r="H207" s="98" t="s">
        <v>187</v>
      </c>
      <c r="I207" s="98" t="s">
        <v>124</v>
      </c>
      <c r="J207" s="98" t="s">
        <v>124</v>
      </c>
      <c r="K207" s="96" t="s">
        <v>104</v>
      </c>
      <c r="L207" s="96" t="s">
        <v>105</v>
      </c>
      <c r="M207" s="98" t="s">
        <v>106</v>
      </c>
      <c r="N207" s="98" t="s">
        <v>622</v>
      </c>
      <c r="O207" s="98" t="s">
        <v>127</v>
      </c>
      <c r="P207" s="98" t="s">
        <v>641</v>
      </c>
      <c r="Q207" s="98" t="s">
        <v>129</v>
      </c>
      <c r="R207" s="301">
        <v>120</v>
      </c>
      <c r="S207" s="99" t="s">
        <v>111</v>
      </c>
      <c r="T207" s="81">
        <v>25</v>
      </c>
      <c r="U207" s="81"/>
      <c r="V207" s="25">
        <f t="shared" si="143"/>
        <v>0</v>
      </c>
      <c r="W207" s="81">
        <v>25</v>
      </c>
      <c r="X207" s="81"/>
      <c r="Y207" s="25">
        <f t="shared" si="1"/>
        <v>0</v>
      </c>
      <c r="Z207" s="81">
        <v>25</v>
      </c>
      <c r="AA207" s="81"/>
      <c r="AB207" s="25">
        <f t="shared" si="2"/>
        <v>0</v>
      </c>
      <c r="AC207" s="81">
        <v>25</v>
      </c>
      <c r="AD207" s="81"/>
      <c r="AE207" s="25">
        <f t="shared" si="3"/>
        <v>0</v>
      </c>
      <c r="AF207" s="140">
        <f t="shared" si="127"/>
        <v>120</v>
      </c>
      <c r="AG207" s="140">
        <f t="shared" si="128"/>
        <v>0</v>
      </c>
      <c r="AH207" s="138">
        <f t="shared" si="125"/>
        <v>0</v>
      </c>
      <c r="AI207" s="101">
        <v>46113</v>
      </c>
      <c r="AJ207" s="101">
        <v>46477</v>
      </c>
      <c r="AK207" s="102" t="s">
        <v>112</v>
      </c>
      <c r="AL207" s="102" t="s">
        <v>113</v>
      </c>
      <c r="AM207" s="103" t="s">
        <v>114</v>
      </c>
      <c r="AN207" s="324"/>
      <c r="AO207" s="324"/>
      <c r="AP207" s="324"/>
      <c r="AQ207" s="326"/>
      <c r="AR207" s="102" t="s">
        <v>159</v>
      </c>
      <c r="AS207" s="102" t="s">
        <v>112</v>
      </c>
      <c r="AT207" s="152" t="s">
        <v>628</v>
      </c>
      <c r="AU207" s="166" t="s">
        <v>2264</v>
      </c>
      <c r="AV207" s="247" t="s">
        <v>2234</v>
      </c>
      <c r="AW207" s="136" t="s">
        <v>2266</v>
      </c>
      <c r="AX207" s="136" t="s">
        <v>2363</v>
      </c>
      <c r="AY207" s="136" t="s">
        <v>2376</v>
      </c>
      <c r="BA207" s="272">
        <v>10</v>
      </c>
      <c r="BB207" s="273">
        <v>10</v>
      </c>
      <c r="BC207" s="209">
        <f t="shared" si="144"/>
        <v>1</v>
      </c>
      <c r="BD207" s="272">
        <v>10</v>
      </c>
      <c r="BE207" s="273">
        <v>10</v>
      </c>
      <c r="BF207" s="209">
        <f t="shared" si="145"/>
        <v>1</v>
      </c>
      <c r="BG207" s="272">
        <v>10</v>
      </c>
      <c r="BH207" s="273">
        <v>10</v>
      </c>
      <c r="BI207" s="209">
        <f t="shared" si="146"/>
        <v>1</v>
      </c>
      <c r="BJ207" s="210">
        <f t="shared" si="147"/>
        <v>30</v>
      </c>
      <c r="BK207" s="211">
        <f t="shared" si="148"/>
        <v>30</v>
      </c>
      <c r="BL207" s="209">
        <f t="shared" si="149"/>
        <v>1</v>
      </c>
      <c r="BM207" s="272">
        <v>10</v>
      </c>
      <c r="BN207" s="273">
        <v>10</v>
      </c>
      <c r="BO207" s="209">
        <f t="shared" si="129"/>
        <v>1</v>
      </c>
      <c r="BP207" s="272">
        <v>10</v>
      </c>
      <c r="BQ207" s="273">
        <v>10</v>
      </c>
      <c r="BR207" s="209">
        <f t="shared" si="130"/>
        <v>1</v>
      </c>
      <c r="BS207" s="272">
        <v>10</v>
      </c>
      <c r="BT207" s="272">
        <v>10</v>
      </c>
      <c r="BU207" s="209">
        <f t="shared" si="131"/>
        <v>1</v>
      </c>
      <c r="BV207" s="210">
        <f t="shared" si="150"/>
        <v>30</v>
      </c>
      <c r="BW207" s="210">
        <f t="shared" si="151"/>
        <v>30</v>
      </c>
      <c r="BX207" s="209">
        <f t="shared" si="152"/>
        <v>1</v>
      </c>
      <c r="BY207" s="209">
        <f t="shared" si="153"/>
        <v>0.5</v>
      </c>
      <c r="BZ207" s="209">
        <f t="shared" si="154"/>
        <v>-0.5</v>
      </c>
      <c r="CA207" s="212"/>
      <c r="CB207" s="245"/>
      <c r="CC207" s="183">
        <v>10</v>
      </c>
      <c r="CD207" s="184">
        <v>10</v>
      </c>
      <c r="CE207" s="185">
        <f t="shared" si="132"/>
        <v>1</v>
      </c>
      <c r="CF207" s="183">
        <v>10</v>
      </c>
      <c r="CG207" s="184">
        <v>10</v>
      </c>
      <c r="CH207" s="185">
        <f t="shared" si="133"/>
        <v>1</v>
      </c>
      <c r="CI207" s="189"/>
      <c r="CJ207" s="190"/>
      <c r="CK207" s="185" t="e">
        <f t="shared" si="134"/>
        <v>#DIV/0!</v>
      </c>
      <c r="CL207" s="187">
        <f t="shared" si="135"/>
        <v>20</v>
      </c>
      <c r="CM207" s="186">
        <f t="shared" si="136"/>
        <v>20</v>
      </c>
      <c r="CN207" s="185">
        <f t="shared" si="137"/>
        <v>1</v>
      </c>
      <c r="CO207" s="245"/>
      <c r="CP207" s="188">
        <f t="shared" si="138"/>
        <v>80</v>
      </c>
      <c r="CQ207" s="188">
        <f t="shared" si="139"/>
        <v>80</v>
      </c>
      <c r="CR207" s="191">
        <f t="shared" si="140"/>
        <v>1</v>
      </c>
      <c r="CS207" s="279">
        <f t="shared" si="155"/>
        <v>40</v>
      </c>
      <c r="CT207" s="245"/>
      <c r="CU207" s="188">
        <f t="shared" si="156"/>
        <v>12</v>
      </c>
      <c r="CV207" s="277"/>
      <c r="CW207" s="191">
        <f t="shared" si="157"/>
        <v>0</v>
      </c>
      <c r="CX207" s="188">
        <f t="shared" si="158"/>
        <v>12</v>
      </c>
      <c r="CY207" s="277"/>
      <c r="CZ207" s="191">
        <f t="shared" si="159"/>
        <v>0</v>
      </c>
      <c r="DA207" s="188">
        <f t="shared" si="160"/>
        <v>12</v>
      </c>
      <c r="DB207" s="277"/>
      <c r="DC207" s="191">
        <f t="shared" si="161"/>
        <v>0</v>
      </c>
      <c r="DD207" s="188">
        <f t="shared" si="162"/>
        <v>4</v>
      </c>
      <c r="DE207" s="277"/>
      <c r="DF207" s="191">
        <f t="shared" si="163"/>
        <v>0</v>
      </c>
      <c r="DG207" s="245"/>
      <c r="DH207" s="188">
        <f t="shared" si="164"/>
        <v>120</v>
      </c>
      <c r="DI207" s="188">
        <f t="shared" si="165"/>
        <v>80</v>
      </c>
      <c r="DJ207" s="191">
        <f t="shared" si="166"/>
        <v>0.66666666666666663</v>
      </c>
      <c r="DK207" s="286">
        <f t="shared" si="167"/>
        <v>40</v>
      </c>
      <c r="DM207" s="244">
        <f>+A207-DL207</f>
        <v>203</v>
      </c>
    </row>
    <row r="208" spans="1:117" x14ac:dyDescent="0.35">
      <c r="A208" s="267">
        <v>204</v>
      </c>
      <c r="B208" s="102" t="s">
        <v>270</v>
      </c>
      <c r="C208" s="102" t="s">
        <v>118</v>
      </c>
      <c r="D208" s="102" t="s">
        <v>119</v>
      </c>
      <c r="E208" s="102" t="s">
        <v>155</v>
      </c>
      <c r="F208" s="102" t="s">
        <v>598</v>
      </c>
      <c r="G208" s="98" t="s">
        <v>186</v>
      </c>
      <c r="H208" s="98" t="s">
        <v>187</v>
      </c>
      <c r="I208" s="98" t="s">
        <v>173</v>
      </c>
      <c r="J208" s="98" t="s">
        <v>173</v>
      </c>
      <c r="K208" s="96" t="s">
        <v>104</v>
      </c>
      <c r="L208" s="96" t="s">
        <v>105</v>
      </c>
      <c r="M208" s="98" t="s">
        <v>106</v>
      </c>
      <c r="N208" s="98" t="s">
        <v>622</v>
      </c>
      <c r="O208" s="98" t="s">
        <v>127</v>
      </c>
      <c r="P208" s="98" t="s">
        <v>642</v>
      </c>
      <c r="Q208" s="98" t="s">
        <v>129</v>
      </c>
      <c r="R208" s="301">
        <v>12</v>
      </c>
      <c r="S208" s="99" t="s">
        <v>111</v>
      </c>
      <c r="T208" s="81">
        <v>25</v>
      </c>
      <c r="U208" s="81"/>
      <c r="V208" s="25">
        <f t="shared" si="143"/>
        <v>0</v>
      </c>
      <c r="W208" s="81">
        <v>25</v>
      </c>
      <c r="X208" s="81"/>
      <c r="Y208" s="25">
        <f t="shared" si="1"/>
        <v>0</v>
      </c>
      <c r="Z208" s="81">
        <v>25</v>
      </c>
      <c r="AA208" s="81"/>
      <c r="AB208" s="25">
        <f t="shared" si="2"/>
        <v>0</v>
      </c>
      <c r="AC208" s="81">
        <v>25</v>
      </c>
      <c r="AD208" s="81"/>
      <c r="AE208" s="25">
        <f t="shared" si="3"/>
        <v>0</v>
      </c>
      <c r="AF208" s="140">
        <f t="shared" si="127"/>
        <v>12</v>
      </c>
      <c r="AG208" s="140">
        <f t="shared" si="128"/>
        <v>0</v>
      </c>
      <c r="AH208" s="138">
        <f t="shared" si="125"/>
        <v>0</v>
      </c>
      <c r="AI208" s="101">
        <v>46113</v>
      </c>
      <c r="AJ208" s="101">
        <v>46477</v>
      </c>
      <c r="AK208" s="102" t="s">
        <v>112</v>
      </c>
      <c r="AL208" s="102" t="s">
        <v>113</v>
      </c>
      <c r="AM208" s="103" t="s">
        <v>114</v>
      </c>
      <c r="AN208" s="324"/>
      <c r="AO208" s="324"/>
      <c r="AP208" s="324"/>
      <c r="AQ208" s="326"/>
      <c r="AR208" s="102" t="s">
        <v>159</v>
      </c>
      <c r="AS208" s="102" t="s">
        <v>112</v>
      </c>
      <c r="AT208" s="152" t="s">
        <v>628</v>
      </c>
      <c r="AU208" s="166" t="s">
        <v>2264</v>
      </c>
      <c r="AV208" s="247" t="s">
        <v>2234</v>
      </c>
      <c r="AW208" s="136" t="s">
        <v>2266</v>
      </c>
      <c r="AX208" s="136" t="s">
        <v>2363</v>
      </c>
      <c r="AY208" s="136" t="s">
        <v>2376</v>
      </c>
      <c r="BA208" s="272">
        <v>1</v>
      </c>
      <c r="BB208" s="273">
        <v>1</v>
      </c>
      <c r="BC208" s="209">
        <f t="shared" si="144"/>
        <v>1</v>
      </c>
      <c r="BD208" s="272">
        <v>1</v>
      </c>
      <c r="BE208" s="273">
        <v>1</v>
      </c>
      <c r="BF208" s="209">
        <f t="shared" si="145"/>
        <v>1</v>
      </c>
      <c r="BG208" s="272">
        <v>1</v>
      </c>
      <c r="BH208" s="273">
        <v>1</v>
      </c>
      <c r="BI208" s="209">
        <f t="shared" si="146"/>
        <v>1</v>
      </c>
      <c r="BJ208" s="210">
        <f t="shared" si="147"/>
        <v>3</v>
      </c>
      <c r="BK208" s="211">
        <f t="shared" si="148"/>
        <v>3</v>
      </c>
      <c r="BL208" s="209">
        <f t="shared" si="149"/>
        <v>1</v>
      </c>
      <c r="BM208" s="272">
        <v>1</v>
      </c>
      <c r="BN208" s="273">
        <v>1</v>
      </c>
      <c r="BO208" s="209">
        <f t="shared" si="129"/>
        <v>1</v>
      </c>
      <c r="BP208" s="272">
        <v>1</v>
      </c>
      <c r="BQ208" s="273">
        <v>1</v>
      </c>
      <c r="BR208" s="209">
        <f t="shared" si="130"/>
        <v>1</v>
      </c>
      <c r="BS208" s="272">
        <v>1</v>
      </c>
      <c r="BT208" s="272">
        <v>1</v>
      </c>
      <c r="BU208" s="209">
        <f t="shared" si="131"/>
        <v>1</v>
      </c>
      <c r="BV208" s="210">
        <f t="shared" si="150"/>
        <v>3</v>
      </c>
      <c r="BW208" s="210">
        <f t="shared" si="151"/>
        <v>3</v>
      </c>
      <c r="BX208" s="209">
        <f t="shared" si="152"/>
        <v>1</v>
      </c>
      <c r="BY208" s="209">
        <f t="shared" si="153"/>
        <v>0.5</v>
      </c>
      <c r="BZ208" s="209">
        <f t="shared" si="154"/>
        <v>-0.5</v>
      </c>
      <c r="CA208" s="212"/>
      <c r="CB208" s="245"/>
      <c r="CC208" s="183">
        <v>10</v>
      </c>
      <c r="CD208" s="184">
        <v>10</v>
      </c>
      <c r="CE208" s="185">
        <f t="shared" si="132"/>
        <v>1</v>
      </c>
      <c r="CF208" s="183">
        <v>10</v>
      </c>
      <c r="CG208" s="184">
        <v>10</v>
      </c>
      <c r="CH208" s="185">
        <f t="shared" si="133"/>
        <v>1</v>
      </c>
      <c r="CI208" s="189"/>
      <c r="CJ208" s="190"/>
      <c r="CK208" s="185" t="e">
        <f t="shared" si="134"/>
        <v>#DIV/0!</v>
      </c>
      <c r="CL208" s="187">
        <f t="shared" si="135"/>
        <v>20</v>
      </c>
      <c r="CM208" s="186">
        <f t="shared" si="136"/>
        <v>20</v>
      </c>
      <c r="CN208" s="185">
        <f t="shared" si="137"/>
        <v>1</v>
      </c>
      <c r="CO208" s="245"/>
      <c r="CP208" s="188">
        <f t="shared" si="138"/>
        <v>26</v>
      </c>
      <c r="CQ208" s="188">
        <f t="shared" si="139"/>
        <v>26</v>
      </c>
      <c r="CR208" s="191">
        <f t="shared" si="140"/>
        <v>1</v>
      </c>
      <c r="CS208" s="279">
        <f t="shared" si="155"/>
        <v>-14</v>
      </c>
      <c r="CT208" s="245"/>
      <c r="CU208" s="188">
        <f t="shared" si="156"/>
        <v>-4.2</v>
      </c>
      <c r="CV208" s="277"/>
      <c r="CW208" s="191">
        <f t="shared" si="157"/>
        <v>0</v>
      </c>
      <c r="CX208" s="188">
        <f t="shared" si="158"/>
        <v>-4.2</v>
      </c>
      <c r="CY208" s="277"/>
      <c r="CZ208" s="191">
        <f t="shared" si="159"/>
        <v>0</v>
      </c>
      <c r="DA208" s="188">
        <f t="shared" si="160"/>
        <v>-4.2</v>
      </c>
      <c r="DB208" s="277"/>
      <c r="DC208" s="191">
        <f t="shared" si="161"/>
        <v>0</v>
      </c>
      <c r="DD208" s="188">
        <f t="shared" si="162"/>
        <v>-1.4000000000000001</v>
      </c>
      <c r="DE208" s="277"/>
      <c r="DF208" s="191">
        <f t="shared" si="163"/>
        <v>0</v>
      </c>
      <c r="DG208" s="245"/>
      <c r="DH208" s="188">
        <f t="shared" si="164"/>
        <v>12</v>
      </c>
      <c r="DI208" s="188">
        <f t="shared" si="165"/>
        <v>26</v>
      </c>
      <c r="DJ208" s="191">
        <f t="shared" si="166"/>
        <v>2.1666666666666665</v>
      </c>
      <c r="DK208" s="286">
        <f t="shared" si="167"/>
        <v>-14</v>
      </c>
      <c r="DM208" s="244">
        <f>+A208-DL208</f>
        <v>204</v>
      </c>
    </row>
    <row r="209" spans="1:117" x14ac:dyDescent="0.35">
      <c r="A209" s="267">
        <v>205</v>
      </c>
      <c r="B209" s="102" t="s">
        <v>270</v>
      </c>
      <c r="C209" s="102" t="s">
        <v>118</v>
      </c>
      <c r="D209" s="102" t="s">
        <v>119</v>
      </c>
      <c r="E209" s="102" t="s">
        <v>155</v>
      </c>
      <c r="F209" s="102" t="s">
        <v>598</v>
      </c>
      <c r="G209" s="98" t="s">
        <v>186</v>
      </c>
      <c r="H209" s="98" t="s">
        <v>187</v>
      </c>
      <c r="I209" s="98" t="s">
        <v>621</v>
      </c>
      <c r="J209" s="98" t="s">
        <v>621</v>
      </c>
      <c r="K209" s="96" t="s">
        <v>104</v>
      </c>
      <c r="L209" s="96" t="s">
        <v>105</v>
      </c>
      <c r="M209" s="98" t="s">
        <v>106</v>
      </c>
      <c r="N209" s="98" t="s">
        <v>622</v>
      </c>
      <c r="O209" s="98" t="s">
        <v>127</v>
      </c>
      <c r="P209" s="98" t="s">
        <v>643</v>
      </c>
      <c r="Q209" s="98" t="s">
        <v>129</v>
      </c>
      <c r="R209" s="301">
        <v>4</v>
      </c>
      <c r="S209" s="99" t="s">
        <v>111</v>
      </c>
      <c r="T209" s="81"/>
      <c r="U209" s="81"/>
      <c r="V209" s="25" t="e">
        <f t="shared" si="143"/>
        <v>#DIV/0!</v>
      </c>
      <c r="W209" s="81"/>
      <c r="X209" s="81"/>
      <c r="Y209" s="25" t="e">
        <f t="shared" si="1"/>
        <v>#DIV/0!</v>
      </c>
      <c r="Z209" s="81">
        <v>1</v>
      </c>
      <c r="AA209" s="81"/>
      <c r="AB209" s="25">
        <f t="shared" si="2"/>
        <v>0</v>
      </c>
      <c r="AC209" s="81"/>
      <c r="AD209" s="81"/>
      <c r="AE209" s="25" t="e">
        <f t="shared" si="3"/>
        <v>#DIV/0!</v>
      </c>
      <c r="AF209" s="140">
        <f t="shared" si="127"/>
        <v>4</v>
      </c>
      <c r="AG209" s="140">
        <f t="shared" si="128"/>
        <v>0</v>
      </c>
      <c r="AH209" s="138">
        <f t="shared" si="125"/>
        <v>0</v>
      </c>
      <c r="AI209" s="101">
        <v>46113</v>
      </c>
      <c r="AJ209" s="101">
        <v>46477</v>
      </c>
      <c r="AK209" s="102" t="s">
        <v>112</v>
      </c>
      <c r="AL209" s="102" t="s">
        <v>113</v>
      </c>
      <c r="AM209" s="103" t="s">
        <v>114</v>
      </c>
      <c r="AN209" s="324"/>
      <c r="AO209" s="324"/>
      <c r="AP209" s="324"/>
      <c r="AQ209" s="326"/>
      <c r="AR209" s="102" t="s">
        <v>159</v>
      </c>
      <c r="AS209" s="102" t="s">
        <v>112</v>
      </c>
      <c r="AT209" s="152" t="s">
        <v>628</v>
      </c>
      <c r="AU209" s="166" t="s">
        <v>2264</v>
      </c>
      <c r="AV209" s="247" t="s">
        <v>2234</v>
      </c>
      <c r="AW209" s="136" t="s">
        <v>2266</v>
      </c>
      <c r="AX209" s="136" t="s">
        <v>2363</v>
      </c>
      <c r="AY209" s="136" t="s">
        <v>2376</v>
      </c>
      <c r="BA209" s="272">
        <v>0</v>
      </c>
      <c r="BB209" s="273">
        <v>0</v>
      </c>
      <c r="BC209" s="209" t="e">
        <f t="shared" si="144"/>
        <v>#DIV/0!</v>
      </c>
      <c r="BD209" s="272">
        <v>0</v>
      </c>
      <c r="BE209" s="273">
        <v>0</v>
      </c>
      <c r="BF209" s="209" t="e">
        <f t="shared" si="145"/>
        <v>#DIV/0!</v>
      </c>
      <c r="BG209" s="272">
        <v>0</v>
      </c>
      <c r="BH209" s="273">
        <v>0</v>
      </c>
      <c r="BI209" s="209" t="e">
        <f t="shared" si="146"/>
        <v>#DIV/0!</v>
      </c>
      <c r="BJ209" s="210">
        <f t="shared" si="147"/>
        <v>0</v>
      </c>
      <c r="BK209" s="211">
        <f t="shared" si="148"/>
        <v>0</v>
      </c>
      <c r="BL209" s="209" t="e">
        <f t="shared" si="149"/>
        <v>#DIV/0!</v>
      </c>
      <c r="BM209" s="272">
        <v>0</v>
      </c>
      <c r="BN209" s="273">
        <v>0</v>
      </c>
      <c r="BO209" s="209" t="e">
        <f t="shared" si="129"/>
        <v>#DIV/0!</v>
      </c>
      <c r="BP209" s="272">
        <v>0</v>
      </c>
      <c r="BQ209" s="273">
        <v>0</v>
      </c>
      <c r="BR209" s="209" t="e">
        <f t="shared" si="130"/>
        <v>#DIV/0!</v>
      </c>
      <c r="BS209" s="272">
        <v>0</v>
      </c>
      <c r="BT209" s="272">
        <v>0</v>
      </c>
      <c r="BU209" s="209" t="e">
        <f t="shared" si="131"/>
        <v>#DIV/0!</v>
      </c>
      <c r="BV209" s="210">
        <f t="shared" si="150"/>
        <v>0</v>
      </c>
      <c r="BW209" s="210">
        <f t="shared" si="151"/>
        <v>0</v>
      </c>
      <c r="BX209" s="209" t="e">
        <f t="shared" si="152"/>
        <v>#DIV/0!</v>
      </c>
      <c r="BY209" s="209">
        <f t="shared" si="153"/>
        <v>0</v>
      </c>
      <c r="BZ209" s="209">
        <f t="shared" si="154"/>
        <v>0</v>
      </c>
      <c r="CA209" s="212"/>
      <c r="CB209" s="245"/>
      <c r="CC209" s="183">
        <v>0</v>
      </c>
      <c r="CD209" s="184">
        <v>0</v>
      </c>
      <c r="CE209" s="185" t="e">
        <f t="shared" si="132"/>
        <v>#DIV/0!</v>
      </c>
      <c r="CF209" s="183">
        <v>0</v>
      </c>
      <c r="CG209" s="184">
        <v>0</v>
      </c>
      <c r="CH209" s="185" t="e">
        <f t="shared" si="133"/>
        <v>#DIV/0!</v>
      </c>
      <c r="CI209" s="189"/>
      <c r="CJ209" s="190"/>
      <c r="CK209" s="185" t="e">
        <f t="shared" si="134"/>
        <v>#DIV/0!</v>
      </c>
      <c r="CL209" s="187">
        <f t="shared" si="135"/>
        <v>0</v>
      </c>
      <c r="CM209" s="186">
        <f t="shared" si="136"/>
        <v>0</v>
      </c>
      <c r="CN209" s="185" t="e">
        <f t="shared" si="137"/>
        <v>#DIV/0!</v>
      </c>
      <c r="CO209" s="245"/>
      <c r="CP209" s="188">
        <f t="shared" si="138"/>
        <v>0</v>
      </c>
      <c r="CQ209" s="188">
        <f t="shared" si="139"/>
        <v>0</v>
      </c>
      <c r="CR209" s="191" t="e">
        <f t="shared" si="140"/>
        <v>#DIV/0!</v>
      </c>
      <c r="CS209" s="279">
        <f t="shared" si="155"/>
        <v>4</v>
      </c>
      <c r="CT209" s="245"/>
      <c r="CU209" s="188">
        <f t="shared" si="156"/>
        <v>1.2</v>
      </c>
      <c r="CV209" s="277"/>
      <c r="CW209" s="191">
        <f t="shared" si="157"/>
        <v>0</v>
      </c>
      <c r="CX209" s="188">
        <f t="shared" si="158"/>
        <v>1.2</v>
      </c>
      <c r="CY209" s="277"/>
      <c r="CZ209" s="191">
        <f t="shared" si="159"/>
        <v>0</v>
      </c>
      <c r="DA209" s="188">
        <f t="shared" si="160"/>
        <v>1.2</v>
      </c>
      <c r="DB209" s="277"/>
      <c r="DC209" s="191">
        <f t="shared" si="161"/>
        <v>0</v>
      </c>
      <c r="DD209" s="188">
        <f t="shared" si="162"/>
        <v>0.4</v>
      </c>
      <c r="DE209" s="277"/>
      <c r="DF209" s="191">
        <f t="shared" si="163"/>
        <v>0</v>
      </c>
      <c r="DG209" s="245"/>
      <c r="DH209" s="188">
        <f t="shared" si="164"/>
        <v>4</v>
      </c>
      <c r="DI209" s="188">
        <f t="shared" si="165"/>
        <v>0</v>
      </c>
      <c r="DJ209" s="191">
        <f t="shared" si="166"/>
        <v>0</v>
      </c>
      <c r="DK209" s="286">
        <f t="shared" si="167"/>
        <v>4</v>
      </c>
      <c r="DM209" s="244">
        <f>+A209-DL209</f>
        <v>205</v>
      </c>
    </row>
    <row r="210" spans="1:117" x14ac:dyDescent="0.35">
      <c r="A210" s="267">
        <v>206</v>
      </c>
      <c r="B210" s="102" t="s">
        <v>270</v>
      </c>
      <c r="C210" s="102" t="s">
        <v>118</v>
      </c>
      <c r="D210" s="102" t="s">
        <v>119</v>
      </c>
      <c r="E210" s="102" t="s">
        <v>155</v>
      </c>
      <c r="F210" s="102" t="s">
        <v>598</v>
      </c>
      <c r="G210" s="98" t="s">
        <v>186</v>
      </c>
      <c r="H210" s="98" t="s">
        <v>187</v>
      </c>
      <c r="I210" s="98" t="s">
        <v>103</v>
      </c>
      <c r="J210" s="98" t="s">
        <v>103</v>
      </c>
      <c r="K210" s="96" t="s">
        <v>104</v>
      </c>
      <c r="L210" s="96" t="s">
        <v>105</v>
      </c>
      <c r="M210" s="98" t="s">
        <v>106</v>
      </c>
      <c r="N210" s="98" t="s">
        <v>622</v>
      </c>
      <c r="O210" s="98" t="s">
        <v>127</v>
      </c>
      <c r="P210" s="98" t="s">
        <v>644</v>
      </c>
      <c r="Q210" s="98" t="s">
        <v>129</v>
      </c>
      <c r="R210" s="301">
        <v>400</v>
      </c>
      <c r="S210" s="99" t="s">
        <v>158</v>
      </c>
      <c r="T210" s="81">
        <v>25</v>
      </c>
      <c r="U210" s="81"/>
      <c r="V210" s="25">
        <f t="shared" si="143"/>
        <v>0</v>
      </c>
      <c r="W210" s="81">
        <v>25</v>
      </c>
      <c r="X210" s="81"/>
      <c r="Y210" s="25">
        <f t="shared" si="1"/>
        <v>0</v>
      </c>
      <c r="Z210" s="81">
        <v>25</v>
      </c>
      <c r="AA210" s="81"/>
      <c r="AB210" s="25">
        <f t="shared" si="2"/>
        <v>0</v>
      </c>
      <c r="AC210" s="81">
        <v>25</v>
      </c>
      <c r="AD210" s="81"/>
      <c r="AE210" s="25">
        <f t="shared" si="3"/>
        <v>0</v>
      </c>
      <c r="AF210" s="140">
        <f t="shared" si="127"/>
        <v>400</v>
      </c>
      <c r="AG210" s="140">
        <f t="shared" si="128"/>
        <v>0</v>
      </c>
      <c r="AH210" s="138">
        <f t="shared" si="125"/>
        <v>0</v>
      </c>
      <c r="AI210" s="101">
        <v>46054</v>
      </c>
      <c r="AJ210" s="101">
        <v>46477</v>
      </c>
      <c r="AK210" s="102" t="s">
        <v>112</v>
      </c>
      <c r="AL210" s="102" t="s">
        <v>113</v>
      </c>
      <c r="AM210" s="103" t="s">
        <v>114</v>
      </c>
      <c r="AN210" s="324"/>
      <c r="AO210" s="324"/>
      <c r="AP210" s="324"/>
      <c r="AQ210" s="326"/>
      <c r="AR210" s="102" t="s">
        <v>159</v>
      </c>
      <c r="AS210" s="102" t="s">
        <v>112</v>
      </c>
      <c r="AT210" s="152" t="s">
        <v>628</v>
      </c>
      <c r="AU210" s="166" t="s">
        <v>2264</v>
      </c>
      <c r="AV210" s="247" t="s">
        <v>2234</v>
      </c>
      <c r="AW210" s="136" t="s">
        <v>2266</v>
      </c>
      <c r="AX210" s="136" t="s">
        <v>2363</v>
      </c>
      <c r="AY210" s="136" t="s">
        <v>2376</v>
      </c>
      <c r="BA210" s="272">
        <v>30</v>
      </c>
      <c r="BB210" s="273">
        <v>30</v>
      </c>
      <c r="BC210" s="209">
        <f t="shared" si="144"/>
        <v>1</v>
      </c>
      <c r="BD210" s="272">
        <v>30</v>
      </c>
      <c r="BE210" s="273">
        <v>30</v>
      </c>
      <c r="BF210" s="209">
        <f t="shared" si="145"/>
        <v>1</v>
      </c>
      <c r="BG210" s="272">
        <v>30</v>
      </c>
      <c r="BH210" s="273">
        <v>30</v>
      </c>
      <c r="BI210" s="209">
        <f t="shared" si="146"/>
        <v>1</v>
      </c>
      <c r="BJ210" s="210">
        <f t="shared" si="147"/>
        <v>90</v>
      </c>
      <c r="BK210" s="211">
        <f t="shared" si="148"/>
        <v>90</v>
      </c>
      <c r="BL210" s="209">
        <f t="shared" si="149"/>
        <v>1</v>
      </c>
      <c r="BM210" s="272">
        <v>30</v>
      </c>
      <c r="BN210" s="273">
        <v>30</v>
      </c>
      <c r="BO210" s="209">
        <f t="shared" si="129"/>
        <v>1</v>
      </c>
      <c r="BP210" s="272">
        <v>30</v>
      </c>
      <c r="BQ210" s="273">
        <v>30</v>
      </c>
      <c r="BR210" s="209">
        <f t="shared" si="130"/>
        <v>1</v>
      </c>
      <c r="BS210" s="272">
        <v>30</v>
      </c>
      <c r="BT210" s="272">
        <v>30</v>
      </c>
      <c r="BU210" s="209">
        <f t="shared" si="131"/>
        <v>1</v>
      </c>
      <c r="BV210" s="210">
        <f t="shared" si="150"/>
        <v>90</v>
      </c>
      <c r="BW210" s="210">
        <f t="shared" si="151"/>
        <v>90</v>
      </c>
      <c r="BX210" s="209">
        <f t="shared" si="152"/>
        <v>1</v>
      </c>
      <c r="BY210" s="209">
        <f t="shared" si="153"/>
        <v>0.45</v>
      </c>
      <c r="BZ210" s="209">
        <f t="shared" si="154"/>
        <v>-0.45</v>
      </c>
      <c r="CA210" s="212"/>
      <c r="CB210" s="245"/>
      <c r="CC210" s="183">
        <v>0</v>
      </c>
      <c r="CD210" s="184">
        <v>0</v>
      </c>
      <c r="CE210" s="185" t="e">
        <f t="shared" si="132"/>
        <v>#DIV/0!</v>
      </c>
      <c r="CF210" s="183">
        <v>0</v>
      </c>
      <c r="CG210" s="184">
        <v>0</v>
      </c>
      <c r="CH210" s="185" t="e">
        <f t="shared" si="133"/>
        <v>#DIV/0!</v>
      </c>
      <c r="CI210" s="189"/>
      <c r="CJ210" s="190"/>
      <c r="CK210" s="185" t="e">
        <f t="shared" si="134"/>
        <v>#DIV/0!</v>
      </c>
      <c r="CL210" s="187">
        <f t="shared" si="135"/>
        <v>0</v>
      </c>
      <c r="CM210" s="186">
        <f t="shared" si="136"/>
        <v>0</v>
      </c>
      <c r="CN210" s="185" t="e">
        <f t="shared" si="137"/>
        <v>#DIV/0!</v>
      </c>
      <c r="CO210" s="245"/>
      <c r="CP210" s="188">
        <f t="shared" si="138"/>
        <v>180</v>
      </c>
      <c r="CQ210" s="188">
        <f t="shared" si="139"/>
        <v>180</v>
      </c>
      <c r="CR210" s="191">
        <f t="shared" si="140"/>
        <v>1</v>
      </c>
      <c r="CS210" s="279">
        <f t="shared" si="155"/>
        <v>220</v>
      </c>
      <c r="CT210" s="245"/>
      <c r="CU210" s="188">
        <f t="shared" si="156"/>
        <v>66</v>
      </c>
      <c r="CV210" s="277"/>
      <c r="CW210" s="191">
        <f t="shared" si="157"/>
        <v>0</v>
      </c>
      <c r="CX210" s="188">
        <f t="shared" si="158"/>
        <v>66</v>
      </c>
      <c r="CY210" s="277"/>
      <c r="CZ210" s="191">
        <f t="shared" si="159"/>
        <v>0</v>
      </c>
      <c r="DA210" s="188">
        <f t="shared" si="160"/>
        <v>66</v>
      </c>
      <c r="DB210" s="277"/>
      <c r="DC210" s="191">
        <f t="shared" si="161"/>
        <v>0</v>
      </c>
      <c r="DD210" s="188">
        <f t="shared" si="162"/>
        <v>22</v>
      </c>
      <c r="DE210" s="277"/>
      <c r="DF210" s="191">
        <f t="shared" si="163"/>
        <v>0</v>
      </c>
      <c r="DG210" s="245"/>
      <c r="DH210" s="188">
        <f t="shared" si="164"/>
        <v>400</v>
      </c>
      <c r="DI210" s="188">
        <f t="shared" si="165"/>
        <v>180</v>
      </c>
      <c r="DJ210" s="191">
        <f t="shared" si="166"/>
        <v>0.45</v>
      </c>
      <c r="DK210" s="286">
        <f t="shared" si="167"/>
        <v>220</v>
      </c>
      <c r="DM210" s="244">
        <f>+A210-DL210</f>
        <v>206</v>
      </c>
    </row>
    <row r="211" spans="1:117" x14ac:dyDescent="0.35">
      <c r="A211" s="267">
        <v>207</v>
      </c>
      <c r="B211" s="102" t="s">
        <v>270</v>
      </c>
      <c r="C211" s="102" t="s">
        <v>118</v>
      </c>
      <c r="D211" s="102" t="s">
        <v>119</v>
      </c>
      <c r="E211" s="102" t="s">
        <v>155</v>
      </c>
      <c r="F211" s="102" t="s">
        <v>598</v>
      </c>
      <c r="G211" s="98" t="s">
        <v>186</v>
      </c>
      <c r="H211" s="98" t="s">
        <v>187</v>
      </c>
      <c r="I211" s="98" t="s">
        <v>645</v>
      </c>
      <c r="J211" s="98" t="s">
        <v>645</v>
      </c>
      <c r="K211" s="96" t="s">
        <v>104</v>
      </c>
      <c r="L211" s="96" t="s">
        <v>105</v>
      </c>
      <c r="M211" s="98" t="s">
        <v>106</v>
      </c>
      <c r="N211" s="98" t="s">
        <v>622</v>
      </c>
      <c r="O211" s="98" t="s">
        <v>127</v>
      </c>
      <c r="P211" s="98" t="s">
        <v>646</v>
      </c>
      <c r="Q211" s="98" t="s">
        <v>129</v>
      </c>
      <c r="R211" s="301">
        <v>9</v>
      </c>
      <c r="S211" s="99" t="s">
        <v>111</v>
      </c>
      <c r="T211" s="81">
        <v>30</v>
      </c>
      <c r="U211" s="81"/>
      <c r="V211" s="25">
        <f t="shared" si="143"/>
        <v>0</v>
      </c>
      <c r="W211" s="81">
        <v>30</v>
      </c>
      <c r="X211" s="81"/>
      <c r="Y211" s="25">
        <f t="shared" si="1"/>
        <v>0</v>
      </c>
      <c r="Z211" s="81">
        <v>30</v>
      </c>
      <c r="AA211" s="81"/>
      <c r="AB211" s="25">
        <f t="shared" si="2"/>
        <v>0</v>
      </c>
      <c r="AC211" s="81">
        <v>30</v>
      </c>
      <c r="AD211" s="81"/>
      <c r="AE211" s="25">
        <f t="shared" si="3"/>
        <v>0</v>
      </c>
      <c r="AF211" s="140">
        <f t="shared" si="127"/>
        <v>9</v>
      </c>
      <c r="AG211" s="140">
        <f t="shared" si="128"/>
        <v>0</v>
      </c>
      <c r="AH211" s="138">
        <f t="shared" si="125"/>
        <v>0</v>
      </c>
      <c r="AI211" s="101">
        <v>46054</v>
      </c>
      <c r="AJ211" s="101">
        <v>46477</v>
      </c>
      <c r="AK211" s="102" t="s">
        <v>112</v>
      </c>
      <c r="AL211" s="102" t="s">
        <v>113</v>
      </c>
      <c r="AM211" s="103" t="s">
        <v>114</v>
      </c>
      <c r="AN211" s="324"/>
      <c r="AO211" s="324"/>
      <c r="AP211" s="324"/>
      <c r="AQ211" s="326"/>
      <c r="AR211" s="102" t="s">
        <v>159</v>
      </c>
      <c r="AS211" s="102" t="s">
        <v>112</v>
      </c>
      <c r="AT211" s="152" t="s">
        <v>628</v>
      </c>
      <c r="AU211" s="166" t="s">
        <v>2264</v>
      </c>
      <c r="AV211" s="247" t="s">
        <v>2234</v>
      </c>
      <c r="AW211" s="136" t="s">
        <v>2266</v>
      </c>
      <c r="AX211" s="136" t="s">
        <v>2363</v>
      </c>
      <c r="AY211" s="136" t="s">
        <v>2376</v>
      </c>
      <c r="BA211" s="272">
        <v>0</v>
      </c>
      <c r="BB211" s="273">
        <v>0</v>
      </c>
      <c r="BC211" s="209" t="e">
        <f t="shared" si="144"/>
        <v>#DIV/0!</v>
      </c>
      <c r="BD211" s="272">
        <v>0</v>
      </c>
      <c r="BE211" s="273">
        <v>0</v>
      </c>
      <c r="BF211" s="209" t="e">
        <f t="shared" si="145"/>
        <v>#DIV/0!</v>
      </c>
      <c r="BG211" s="272">
        <v>0</v>
      </c>
      <c r="BH211" s="273">
        <v>0</v>
      </c>
      <c r="BI211" s="209" t="e">
        <f t="shared" si="146"/>
        <v>#DIV/0!</v>
      </c>
      <c r="BJ211" s="210">
        <f t="shared" si="147"/>
        <v>0</v>
      </c>
      <c r="BK211" s="211">
        <f t="shared" si="148"/>
        <v>0</v>
      </c>
      <c r="BL211" s="209" t="e">
        <f t="shared" si="149"/>
        <v>#DIV/0!</v>
      </c>
      <c r="BM211" s="272">
        <v>0</v>
      </c>
      <c r="BN211" s="273">
        <v>0</v>
      </c>
      <c r="BO211" s="209" t="e">
        <f t="shared" si="129"/>
        <v>#DIV/0!</v>
      </c>
      <c r="BP211" s="272">
        <v>3</v>
      </c>
      <c r="BQ211" s="273">
        <v>3</v>
      </c>
      <c r="BR211" s="209">
        <f t="shared" si="130"/>
        <v>1</v>
      </c>
      <c r="BS211" s="272">
        <v>3</v>
      </c>
      <c r="BT211" s="272">
        <v>3</v>
      </c>
      <c r="BU211" s="209">
        <f t="shared" si="131"/>
        <v>1</v>
      </c>
      <c r="BV211" s="210">
        <f t="shared" si="150"/>
        <v>6</v>
      </c>
      <c r="BW211" s="210">
        <f t="shared" si="151"/>
        <v>6</v>
      </c>
      <c r="BX211" s="209">
        <f t="shared" si="152"/>
        <v>1</v>
      </c>
      <c r="BY211" s="209">
        <f t="shared" si="153"/>
        <v>0.66666666666666663</v>
      </c>
      <c r="BZ211" s="209">
        <f t="shared" si="154"/>
        <v>-0.66666666666666663</v>
      </c>
      <c r="CA211" s="212"/>
      <c r="CB211" s="245"/>
      <c r="CC211" s="183">
        <v>3</v>
      </c>
      <c r="CD211" s="184">
        <v>3</v>
      </c>
      <c r="CE211" s="185">
        <f t="shared" si="132"/>
        <v>1</v>
      </c>
      <c r="CF211" s="183">
        <v>0</v>
      </c>
      <c r="CG211" s="184">
        <v>0</v>
      </c>
      <c r="CH211" s="185" t="e">
        <f t="shared" si="133"/>
        <v>#DIV/0!</v>
      </c>
      <c r="CI211" s="189"/>
      <c r="CJ211" s="190"/>
      <c r="CK211" s="185" t="e">
        <f t="shared" si="134"/>
        <v>#DIV/0!</v>
      </c>
      <c r="CL211" s="187">
        <f t="shared" si="135"/>
        <v>3</v>
      </c>
      <c r="CM211" s="186">
        <f t="shared" si="136"/>
        <v>3</v>
      </c>
      <c r="CN211" s="185">
        <f t="shared" si="137"/>
        <v>1</v>
      </c>
      <c r="CO211" s="245"/>
      <c r="CP211" s="188">
        <f t="shared" si="138"/>
        <v>9</v>
      </c>
      <c r="CQ211" s="188">
        <f t="shared" si="139"/>
        <v>9</v>
      </c>
      <c r="CR211" s="191">
        <f t="shared" si="140"/>
        <v>1</v>
      </c>
      <c r="CS211" s="279">
        <f t="shared" si="155"/>
        <v>0</v>
      </c>
      <c r="CT211" s="245"/>
      <c r="CU211" s="188">
        <f t="shared" si="156"/>
        <v>0</v>
      </c>
      <c r="CV211" s="277"/>
      <c r="CW211" s="191" t="e">
        <f t="shared" si="157"/>
        <v>#DIV/0!</v>
      </c>
      <c r="CX211" s="188">
        <f t="shared" si="158"/>
        <v>0</v>
      </c>
      <c r="CY211" s="277"/>
      <c r="CZ211" s="191" t="e">
        <f t="shared" si="159"/>
        <v>#DIV/0!</v>
      </c>
      <c r="DA211" s="188">
        <f t="shared" si="160"/>
        <v>0</v>
      </c>
      <c r="DB211" s="277"/>
      <c r="DC211" s="191" t="e">
        <f t="shared" si="161"/>
        <v>#DIV/0!</v>
      </c>
      <c r="DD211" s="188">
        <f t="shared" si="162"/>
        <v>0</v>
      </c>
      <c r="DE211" s="277"/>
      <c r="DF211" s="191" t="e">
        <f t="shared" si="163"/>
        <v>#DIV/0!</v>
      </c>
      <c r="DG211" s="245"/>
      <c r="DH211" s="188">
        <f t="shared" si="164"/>
        <v>9</v>
      </c>
      <c r="DI211" s="188">
        <f t="shared" si="165"/>
        <v>9</v>
      </c>
      <c r="DJ211" s="191">
        <f t="shared" si="166"/>
        <v>1</v>
      </c>
      <c r="DK211" s="286">
        <f t="shared" si="167"/>
        <v>0</v>
      </c>
      <c r="DM211" s="244">
        <f>+A211-DL211</f>
        <v>207</v>
      </c>
    </row>
    <row r="212" spans="1:117" x14ac:dyDescent="0.35">
      <c r="A212" s="267">
        <v>208</v>
      </c>
      <c r="B212" s="102" t="s">
        <v>270</v>
      </c>
      <c r="C212" s="102" t="s">
        <v>436</v>
      </c>
      <c r="D212" s="102" t="s">
        <v>437</v>
      </c>
      <c r="E212" s="102" t="s">
        <v>120</v>
      </c>
      <c r="F212" s="102" t="s">
        <v>438</v>
      </c>
      <c r="G212" s="98" t="s">
        <v>186</v>
      </c>
      <c r="H212" s="98" t="s">
        <v>187</v>
      </c>
      <c r="I212" s="98" t="s">
        <v>103</v>
      </c>
      <c r="J212" s="98" t="s">
        <v>103</v>
      </c>
      <c r="K212" s="96" t="s">
        <v>104</v>
      </c>
      <c r="L212" s="96" t="s">
        <v>105</v>
      </c>
      <c r="M212" s="98" t="s">
        <v>106</v>
      </c>
      <c r="N212" s="98" t="s">
        <v>429</v>
      </c>
      <c r="O212" s="98" t="s">
        <v>127</v>
      </c>
      <c r="P212" s="98" t="s">
        <v>647</v>
      </c>
      <c r="Q212" s="98" t="s">
        <v>129</v>
      </c>
      <c r="R212" s="301">
        <v>100</v>
      </c>
      <c r="S212" s="99" t="s">
        <v>158</v>
      </c>
      <c r="T212" s="81">
        <v>3</v>
      </c>
      <c r="U212" s="81"/>
      <c r="V212" s="25">
        <f t="shared" si="143"/>
        <v>0</v>
      </c>
      <c r="W212" s="81">
        <v>3</v>
      </c>
      <c r="X212" s="81"/>
      <c r="Y212" s="25">
        <f t="shared" si="1"/>
        <v>0</v>
      </c>
      <c r="Z212" s="81">
        <v>3</v>
      </c>
      <c r="AA212" s="81"/>
      <c r="AB212" s="25">
        <f t="shared" si="2"/>
        <v>0</v>
      </c>
      <c r="AC212" s="81">
        <v>3</v>
      </c>
      <c r="AD212" s="81"/>
      <c r="AE212" s="25">
        <f t="shared" si="3"/>
        <v>0</v>
      </c>
      <c r="AF212" s="140">
        <f t="shared" si="127"/>
        <v>100</v>
      </c>
      <c r="AG212" s="140">
        <f t="shared" si="128"/>
        <v>0</v>
      </c>
      <c r="AH212" s="138">
        <f t="shared" si="125"/>
        <v>0</v>
      </c>
      <c r="AI212" s="101">
        <v>46054</v>
      </c>
      <c r="AJ212" s="101">
        <v>46477</v>
      </c>
      <c r="AK212" s="102" t="s">
        <v>112</v>
      </c>
      <c r="AL212" s="102" t="s">
        <v>113</v>
      </c>
      <c r="AM212" s="103" t="s">
        <v>114</v>
      </c>
      <c r="AN212" s="104">
        <v>6174978000</v>
      </c>
      <c r="AO212" s="104">
        <v>6174978000</v>
      </c>
      <c r="AP212" s="104">
        <v>6174978000</v>
      </c>
      <c r="AQ212" s="326">
        <v>0</v>
      </c>
      <c r="AR212" s="102" t="s">
        <v>159</v>
      </c>
      <c r="AS212" s="102" t="s">
        <v>112</v>
      </c>
      <c r="AT212" s="152" t="s">
        <v>628</v>
      </c>
      <c r="AU212" s="166" t="s">
        <v>2264</v>
      </c>
      <c r="AV212" s="247" t="s">
        <v>2234</v>
      </c>
      <c r="AW212" s="136" t="s">
        <v>2266</v>
      </c>
      <c r="AX212" s="136" t="s">
        <v>2363</v>
      </c>
      <c r="AY212" s="136" t="s">
        <v>2376</v>
      </c>
      <c r="BA212" s="272">
        <v>10</v>
      </c>
      <c r="BB212" s="273">
        <v>10</v>
      </c>
      <c r="BC212" s="209">
        <f t="shared" si="144"/>
        <v>1</v>
      </c>
      <c r="BD212" s="272">
        <v>10</v>
      </c>
      <c r="BE212" s="273">
        <v>10</v>
      </c>
      <c r="BF212" s="209">
        <f t="shared" si="145"/>
        <v>1</v>
      </c>
      <c r="BG212" s="272">
        <v>10</v>
      </c>
      <c r="BH212" s="273">
        <v>10</v>
      </c>
      <c r="BI212" s="209">
        <f t="shared" si="146"/>
        <v>1</v>
      </c>
      <c r="BJ212" s="210">
        <f t="shared" si="147"/>
        <v>30</v>
      </c>
      <c r="BK212" s="211">
        <f t="shared" si="148"/>
        <v>30</v>
      </c>
      <c r="BL212" s="209">
        <f t="shared" si="149"/>
        <v>1</v>
      </c>
      <c r="BM212" s="272">
        <v>10</v>
      </c>
      <c r="BN212" s="273">
        <v>10</v>
      </c>
      <c r="BO212" s="209">
        <f t="shared" si="129"/>
        <v>1</v>
      </c>
      <c r="BP212" s="272">
        <v>10</v>
      </c>
      <c r="BQ212" s="273">
        <v>10</v>
      </c>
      <c r="BR212" s="209">
        <f t="shared" si="130"/>
        <v>1</v>
      </c>
      <c r="BS212" s="272">
        <v>10</v>
      </c>
      <c r="BT212" s="272">
        <v>10</v>
      </c>
      <c r="BU212" s="209">
        <f t="shared" si="131"/>
        <v>1</v>
      </c>
      <c r="BV212" s="210">
        <f t="shared" si="150"/>
        <v>30</v>
      </c>
      <c r="BW212" s="210">
        <f t="shared" si="151"/>
        <v>30</v>
      </c>
      <c r="BX212" s="209">
        <f t="shared" si="152"/>
        <v>1</v>
      </c>
      <c r="BY212" s="209">
        <f t="shared" si="153"/>
        <v>0.6</v>
      </c>
      <c r="BZ212" s="209">
        <f t="shared" si="154"/>
        <v>-0.6</v>
      </c>
      <c r="CA212" s="212"/>
      <c r="CB212" s="245"/>
      <c r="CC212" s="183">
        <v>10</v>
      </c>
      <c r="CD212" s="184">
        <v>10</v>
      </c>
      <c r="CE212" s="185">
        <f t="shared" si="132"/>
        <v>1</v>
      </c>
      <c r="CF212" s="183">
        <v>0</v>
      </c>
      <c r="CG212" s="184">
        <v>0</v>
      </c>
      <c r="CH212" s="185" t="e">
        <f t="shared" si="133"/>
        <v>#DIV/0!</v>
      </c>
      <c r="CI212" s="189"/>
      <c r="CJ212" s="190"/>
      <c r="CK212" s="185" t="e">
        <f t="shared" si="134"/>
        <v>#DIV/0!</v>
      </c>
      <c r="CL212" s="187">
        <f t="shared" si="135"/>
        <v>10</v>
      </c>
      <c r="CM212" s="186">
        <f t="shared" si="136"/>
        <v>10</v>
      </c>
      <c r="CN212" s="185">
        <f t="shared" si="137"/>
        <v>1</v>
      </c>
      <c r="CO212" s="245"/>
      <c r="CP212" s="188">
        <f t="shared" si="138"/>
        <v>70</v>
      </c>
      <c r="CQ212" s="188">
        <f t="shared" si="139"/>
        <v>70</v>
      </c>
      <c r="CR212" s="191">
        <f t="shared" si="140"/>
        <v>1</v>
      </c>
      <c r="CS212" s="279">
        <f t="shared" si="155"/>
        <v>30</v>
      </c>
      <c r="CT212" s="245"/>
      <c r="CU212" s="188">
        <f t="shared" si="156"/>
        <v>9</v>
      </c>
      <c r="CV212" s="277"/>
      <c r="CW212" s="191">
        <f t="shared" si="157"/>
        <v>0</v>
      </c>
      <c r="CX212" s="188">
        <f t="shared" si="158"/>
        <v>9</v>
      </c>
      <c r="CY212" s="277"/>
      <c r="CZ212" s="191">
        <f t="shared" si="159"/>
        <v>0</v>
      </c>
      <c r="DA212" s="188">
        <f t="shared" si="160"/>
        <v>9</v>
      </c>
      <c r="DB212" s="277"/>
      <c r="DC212" s="191">
        <f t="shared" si="161"/>
        <v>0</v>
      </c>
      <c r="DD212" s="188">
        <f t="shared" si="162"/>
        <v>3</v>
      </c>
      <c r="DE212" s="277"/>
      <c r="DF212" s="191">
        <f t="shared" si="163"/>
        <v>0</v>
      </c>
      <c r="DG212" s="245"/>
      <c r="DH212" s="188">
        <f t="shared" si="164"/>
        <v>100</v>
      </c>
      <c r="DI212" s="188">
        <f t="shared" si="165"/>
        <v>70</v>
      </c>
      <c r="DJ212" s="191">
        <f t="shared" si="166"/>
        <v>0.7</v>
      </c>
      <c r="DK212" s="286">
        <f t="shared" si="167"/>
        <v>30</v>
      </c>
      <c r="DM212" s="244">
        <f>+A212-DL212</f>
        <v>208</v>
      </c>
    </row>
    <row r="213" spans="1:117" x14ac:dyDescent="0.35">
      <c r="A213" s="267">
        <v>209</v>
      </c>
      <c r="B213" s="102" t="s">
        <v>270</v>
      </c>
      <c r="C213" s="102" t="s">
        <v>133</v>
      </c>
      <c r="D213" s="102" t="s">
        <v>119</v>
      </c>
      <c r="E213" s="102" t="s">
        <v>212</v>
      </c>
      <c r="F213" s="102" t="s">
        <v>438</v>
      </c>
      <c r="G213" s="98" t="s">
        <v>186</v>
      </c>
      <c r="H213" s="98" t="s">
        <v>187</v>
      </c>
      <c r="I213" s="98" t="s">
        <v>103</v>
      </c>
      <c r="J213" s="98" t="s">
        <v>103</v>
      </c>
      <c r="K213" s="96" t="s">
        <v>104</v>
      </c>
      <c r="L213" s="96" t="s">
        <v>105</v>
      </c>
      <c r="M213" s="98" t="s">
        <v>106</v>
      </c>
      <c r="N213" s="98" t="s">
        <v>429</v>
      </c>
      <c r="O213" s="98" t="s">
        <v>127</v>
      </c>
      <c r="P213" s="258" t="s">
        <v>648</v>
      </c>
      <c r="Q213" s="98" t="s">
        <v>129</v>
      </c>
      <c r="R213" s="301">
        <v>2</v>
      </c>
      <c r="S213" s="99" t="s">
        <v>111</v>
      </c>
      <c r="T213" s="81">
        <v>0</v>
      </c>
      <c r="U213" s="81"/>
      <c r="V213" s="25" t="e">
        <f t="shared" si="143"/>
        <v>#DIV/0!</v>
      </c>
      <c r="W213" s="81">
        <v>1</v>
      </c>
      <c r="X213" s="81"/>
      <c r="Y213" s="25">
        <f t="shared" si="1"/>
        <v>0</v>
      </c>
      <c r="Z213" s="81">
        <v>2</v>
      </c>
      <c r="AA213" s="81"/>
      <c r="AB213" s="25">
        <f t="shared" si="2"/>
        <v>0</v>
      </c>
      <c r="AC213" s="81">
        <v>1</v>
      </c>
      <c r="AD213" s="81"/>
      <c r="AE213" s="25">
        <f t="shared" si="3"/>
        <v>0</v>
      </c>
      <c r="AF213" s="140">
        <f t="shared" si="127"/>
        <v>2</v>
      </c>
      <c r="AG213" s="140">
        <f t="shared" si="128"/>
        <v>0</v>
      </c>
      <c r="AH213" s="138">
        <f t="shared" si="125"/>
        <v>0</v>
      </c>
      <c r="AI213" s="101">
        <v>46054</v>
      </c>
      <c r="AJ213" s="101">
        <v>46477</v>
      </c>
      <c r="AK213" s="102" t="s">
        <v>112</v>
      </c>
      <c r="AL213" s="102" t="s">
        <v>113</v>
      </c>
      <c r="AM213" s="103" t="s">
        <v>114</v>
      </c>
      <c r="AN213" s="104">
        <v>100000000</v>
      </c>
      <c r="AO213" s="104">
        <v>100000000</v>
      </c>
      <c r="AP213" s="104">
        <v>100000000</v>
      </c>
      <c r="AQ213" s="326">
        <v>0</v>
      </c>
      <c r="AR213" s="102" t="s">
        <v>159</v>
      </c>
      <c r="AS213" s="102" t="s">
        <v>112</v>
      </c>
      <c r="AT213" s="152" t="s">
        <v>628</v>
      </c>
      <c r="AU213" s="166" t="s">
        <v>2264</v>
      </c>
      <c r="AV213" s="247" t="s">
        <v>2234</v>
      </c>
      <c r="AW213" s="136" t="s">
        <v>2266</v>
      </c>
      <c r="AX213" s="136" t="s">
        <v>2363</v>
      </c>
      <c r="AY213" s="136" t="s">
        <v>2376</v>
      </c>
      <c r="BA213" s="272"/>
      <c r="BB213" s="273"/>
      <c r="BC213" s="209" t="e">
        <f t="shared" si="144"/>
        <v>#DIV/0!</v>
      </c>
      <c r="BD213" s="272"/>
      <c r="BE213" s="273"/>
      <c r="BF213" s="209" t="e">
        <f t="shared" si="145"/>
        <v>#DIV/0!</v>
      </c>
      <c r="BG213" s="272"/>
      <c r="BH213" s="273"/>
      <c r="BI213" s="209" t="e">
        <f t="shared" si="146"/>
        <v>#DIV/0!</v>
      </c>
      <c r="BJ213" s="210">
        <f t="shared" si="147"/>
        <v>0</v>
      </c>
      <c r="BK213" s="211">
        <f t="shared" si="148"/>
        <v>0</v>
      </c>
      <c r="BL213" s="209" t="e">
        <f t="shared" si="149"/>
        <v>#DIV/0!</v>
      </c>
      <c r="BM213" s="272"/>
      <c r="BN213" s="273"/>
      <c r="BO213" s="209" t="e">
        <f t="shared" si="129"/>
        <v>#DIV/0!</v>
      </c>
      <c r="BP213" s="272"/>
      <c r="BQ213" s="273"/>
      <c r="BR213" s="209" t="e">
        <f t="shared" si="130"/>
        <v>#DIV/0!</v>
      </c>
      <c r="BS213" s="272"/>
      <c r="BT213" s="272"/>
      <c r="BU213" s="209" t="e">
        <f t="shared" si="131"/>
        <v>#DIV/0!</v>
      </c>
      <c r="BV213" s="210">
        <f t="shared" si="150"/>
        <v>0</v>
      </c>
      <c r="BW213" s="210">
        <f t="shared" si="151"/>
        <v>0</v>
      </c>
      <c r="BX213" s="209" t="e">
        <f t="shared" si="152"/>
        <v>#DIV/0!</v>
      </c>
      <c r="BY213" s="209">
        <f t="shared" si="153"/>
        <v>0</v>
      </c>
      <c r="BZ213" s="209">
        <f t="shared" si="154"/>
        <v>0</v>
      </c>
      <c r="CA213" s="212"/>
      <c r="CB213" s="245"/>
      <c r="CC213" s="183"/>
      <c r="CD213" s="184"/>
      <c r="CE213" s="185" t="e">
        <f t="shared" si="132"/>
        <v>#DIV/0!</v>
      </c>
      <c r="CF213" s="183"/>
      <c r="CG213" s="184"/>
      <c r="CH213" s="185" t="e">
        <f t="shared" si="133"/>
        <v>#DIV/0!</v>
      </c>
      <c r="CI213" s="189"/>
      <c r="CJ213" s="190"/>
      <c r="CK213" s="185" t="e">
        <f t="shared" si="134"/>
        <v>#DIV/0!</v>
      </c>
      <c r="CL213" s="187">
        <f t="shared" si="135"/>
        <v>0</v>
      </c>
      <c r="CM213" s="186">
        <f t="shared" si="136"/>
        <v>0</v>
      </c>
      <c r="CN213" s="185" t="e">
        <f t="shared" si="137"/>
        <v>#DIV/0!</v>
      </c>
      <c r="CO213" s="245"/>
      <c r="CP213" s="188">
        <f t="shared" si="138"/>
        <v>0</v>
      </c>
      <c r="CQ213" s="188">
        <f t="shared" si="139"/>
        <v>0</v>
      </c>
      <c r="CR213" s="191" t="e">
        <f t="shared" si="140"/>
        <v>#DIV/0!</v>
      </c>
      <c r="CS213" s="279">
        <f t="shared" si="155"/>
        <v>2</v>
      </c>
      <c r="CT213" s="245"/>
      <c r="CU213" s="188">
        <f t="shared" si="156"/>
        <v>0.6</v>
      </c>
      <c r="CV213" s="277"/>
      <c r="CW213" s="191">
        <f t="shared" si="157"/>
        <v>0</v>
      </c>
      <c r="CX213" s="188">
        <f t="shared" si="158"/>
        <v>0.6</v>
      </c>
      <c r="CY213" s="277"/>
      <c r="CZ213" s="191">
        <f t="shared" si="159"/>
        <v>0</v>
      </c>
      <c r="DA213" s="188">
        <f t="shared" si="160"/>
        <v>0.6</v>
      </c>
      <c r="DB213" s="277"/>
      <c r="DC213" s="191">
        <f t="shared" si="161"/>
        <v>0</v>
      </c>
      <c r="DD213" s="188">
        <f t="shared" si="162"/>
        <v>0.2</v>
      </c>
      <c r="DE213" s="277"/>
      <c r="DF213" s="191">
        <f t="shared" si="163"/>
        <v>0</v>
      </c>
      <c r="DG213" s="245"/>
      <c r="DH213" s="188">
        <f t="shared" si="164"/>
        <v>2</v>
      </c>
      <c r="DI213" s="188">
        <f t="shared" si="165"/>
        <v>0</v>
      </c>
      <c r="DJ213" s="191">
        <f t="shared" si="166"/>
        <v>0</v>
      </c>
      <c r="DK213" s="286">
        <f t="shared" si="167"/>
        <v>2</v>
      </c>
      <c r="DM213" s="244">
        <f>+A213-DL213</f>
        <v>209</v>
      </c>
    </row>
    <row r="214" spans="1:117" x14ac:dyDescent="0.35">
      <c r="A214" s="267">
        <v>210</v>
      </c>
      <c r="B214" s="102" t="s">
        <v>270</v>
      </c>
      <c r="C214" s="102" t="s">
        <v>133</v>
      </c>
      <c r="D214" s="102" t="s">
        <v>119</v>
      </c>
      <c r="E214" s="102" t="s">
        <v>212</v>
      </c>
      <c r="F214" s="102" t="s">
        <v>438</v>
      </c>
      <c r="G214" s="98" t="s">
        <v>186</v>
      </c>
      <c r="H214" s="98" t="s">
        <v>187</v>
      </c>
      <c r="I214" s="98" t="s">
        <v>103</v>
      </c>
      <c r="J214" s="98" t="s">
        <v>103</v>
      </c>
      <c r="K214" s="96" t="s">
        <v>104</v>
      </c>
      <c r="L214" s="96" t="s">
        <v>105</v>
      </c>
      <c r="M214" s="98" t="s">
        <v>106</v>
      </c>
      <c r="N214" s="98" t="s">
        <v>429</v>
      </c>
      <c r="O214" s="98" t="s">
        <v>127</v>
      </c>
      <c r="P214" s="258" t="s">
        <v>649</v>
      </c>
      <c r="Q214" s="98" t="s">
        <v>129</v>
      </c>
      <c r="R214" s="301">
        <v>2</v>
      </c>
      <c r="S214" s="99" t="s">
        <v>111</v>
      </c>
      <c r="T214" s="81">
        <v>100</v>
      </c>
      <c r="U214" s="81"/>
      <c r="V214" s="25">
        <f t="shared" si="143"/>
        <v>0</v>
      </c>
      <c r="W214" s="81">
        <v>100</v>
      </c>
      <c r="X214" s="81"/>
      <c r="Y214" s="25">
        <f t="shared" si="1"/>
        <v>0</v>
      </c>
      <c r="Z214" s="81">
        <v>100</v>
      </c>
      <c r="AA214" s="81"/>
      <c r="AB214" s="25">
        <f t="shared" si="2"/>
        <v>0</v>
      </c>
      <c r="AC214" s="81">
        <v>100</v>
      </c>
      <c r="AD214" s="81"/>
      <c r="AE214" s="25">
        <f t="shared" si="3"/>
        <v>0</v>
      </c>
      <c r="AF214" s="140">
        <f t="shared" si="127"/>
        <v>2</v>
      </c>
      <c r="AG214" s="140">
        <f t="shared" si="128"/>
        <v>0</v>
      </c>
      <c r="AH214" s="138">
        <f t="shared" si="125"/>
        <v>0</v>
      </c>
      <c r="AI214" s="101">
        <v>46054</v>
      </c>
      <c r="AJ214" s="101">
        <v>46477</v>
      </c>
      <c r="AK214" s="102" t="s">
        <v>112</v>
      </c>
      <c r="AL214" s="102" t="s">
        <v>113</v>
      </c>
      <c r="AM214" s="103" t="s">
        <v>114</v>
      </c>
      <c r="AN214" s="104">
        <v>100000000</v>
      </c>
      <c r="AO214" s="104">
        <v>100000000</v>
      </c>
      <c r="AP214" s="104">
        <v>100000000</v>
      </c>
      <c r="AQ214" s="326">
        <v>0</v>
      </c>
      <c r="AR214" s="102" t="s">
        <v>159</v>
      </c>
      <c r="AS214" s="102" t="s">
        <v>112</v>
      </c>
      <c r="AT214" s="152" t="s">
        <v>628</v>
      </c>
      <c r="AU214" s="166" t="s">
        <v>2264</v>
      </c>
      <c r="AV214" s="247" t="s">
        <v>2234</v>
      </c>
      <c r="AW214" s="136" t="s">
        <v>2266</v>
      </c>
      <c r="AX214" s="136" t="s">
        <v>2363</v>
      </c>
      <c r="AY214" s="136" t="s">
        <v>2376</v>
      </c>
      <c r="BA214" s="272"/>
      <c r="BB214" s="273"/>
      <c r="BC214" s="209" t="e">
        <f t="shared" si="144"/>
        <v>#DIV/0!</v>
      </c>
      <c r="BD214" s="272"/>
      <c r="BE214" s="273"/>
      <c r="BF214" s="209" t="e">
        <f t="shared" si="145"/>
        <v>#DIV/0!</v>
      </c>
      <c r="BG214" s="272"/>
      <c r="BH214" s="273"/>
      <c r="BI214" s="209" t="e">
        <f t="shared" si="146"/>
        <v>#DIV/0!</v>
      </c>
      <c r="BJ214" s="210">
        <f t="shared" si="147"/>
        <v>0</v>
      </c>
      <c r="BK214" s="211">
        <f t="shared" si="148"/>
        <v>0</v>
      </c>
      <c r="BL214" s="209" t="e">
        <f t="shared" si="149"/>
        <v>#DIV/0!</v>
      </c>
      <c r="BM214" s="272"/>
      <c r="BN214" s="273"/>
      <c r="BO214" s="209" t="e">
        <f t="shared" si="129"/>
        <v>#DIV/0!</v>
      </c>
      <c r="BP214" s="272"/>
      <c r="BQ214" s="273"/>
      <c r="BR214" s="209" t="e">
        <f t="shared" si="130"/>
        <v>#DIV/0!</v>
      </c>
      <c r="BS214" s="272"/>
      <c r="BT214" s="272"/>
      <c r="BU214" s="209" t="e">
        <f t="shared" si="131"/>
        <v>#DIV/0!</v>
      </c>
      <c r="BV214" s="210">
        <f t="shared" si="150"/>
        <v>0</v>
      </c>
      <c r="BW214" s="210">
        <f t="shared" si="151"/>
        <v>0</v>
      </c>
      <c r="BX214" s="209" t="e">
        <f t="shared" si="152"/>
        <v>#DIV/0!</v>
      </c>
      <c r="BY214" s="209">
        <f t="shared" si="153"/>
        <v>0</v>
      </c>
      <c r="BZ214" s="209">
        <f t="shared" si="154"/>
        <v>0</v>
      </c>
      <c r="CA214" s="212"/>
      <c r="CB214" s="245"/>
      <c r="CC214" s="183"/>
      <c r="CD214" s="184"/>
      <c r="CE214" s="185" t="e">
        <f t="shared" si="132"/>
        <v>#DIV/0!</v>
      </c>
      <c r="CF214" s="183"/>
      <c r="CG214" s="184"/>
      <c r="CH214" s="185" t="e">
        <f t="shared" si="133"/>
        <v>#DIV/0!</v>
      </c>
      <c r="CI214" s="189"/>
      <c r="CJ214" s="190"/>
      <c r="CK214" s="185" t="e">
        <f t="shared" si="134"/>
        <v>#DIV/0!</v>
      </c>
      <c r="CL214" s="187">
        <f t="shared" si="135"/>
        <v>0</v>
      </c>
      <c r="CM214" s="186">
        <f t="shared" si="136"/>
        <v>0</v>
      </c>
      <c r="CN214" s="185" t="e">
        <f t="shared" si="137"/>
        <v>#DIV/0!</v>
      </c>
      <c r="CO214" s="245"/>
      <c r="CP214" s="188">
        <f t="shared" si="138"/>
        <v>0</v>
      </c>
      <c r="CQ214" s="188">
        <f t="shared" si="139"/>
        <v>0</v>
      </c>
      <c r="CR214" s="191" t="e">
        <f t="shared" si="140"/>
        <v>#DIV/0!</v>
      </c>
      <c r="CS214" s="279">
        <f t="shared" si="155"/>
        <v>2</v>
      </c>
      <c r="CT214" s="245"/>
      <c r="CU214" s="188">
        <f t="shared" si="156"/>
        <v>0.6</v>
      </c>
      <c r="CV214" s="277"/>
      <c r="CW214" s="191">
        <f t="shared" si="157"/>
        <v>0</v>
      </c>
      <c r="CX214" s="188">
        <f t="shared" si="158"/>
        <v>0.6</v>
      </c>
      <c r="CY214" s="277"/>
      <c r="CZ214" s="191">
        <f t="shared" si="159"/>
        <v>0</v>
      </c>
      <c r="DA214" s="188">
        <f t="shared" si="160"/>
        <v>0.6</v>
      </c>
      <c r="DB214" s="277"/>
      <c r="DC214" s="191">
        <f t="shared" si="161"/>
        <v>0</v>
      </c>
      <c r="DD214" s="188">
        <f t="shared" si="162"/>
        <v>0.2</v>
      </c>
      <c r="DE214" s="277"/>
      <c r="DF214" s="191">
        <f t="shared" si="163"/>
        <v>0</v>
      </c>
      <c r="DG214" s="245"/>
      <c r="DH214" s="188">
        <f t="shared" si="164"/>
        <v>2</v>
      </c>
      <c r="DI214" s="188">
        <f t="shared" si="165"/>
        <v>0</v>
      </c>
      <c r="DJ214" s="191">
        <f t="shared" si="166"/>
        <v>0</v>
      </c>
      <c r="DK214" s="286">
        <f t="shared" si="167"/>
        <v>2</v>
      </c>
      <c r="DM214" s="244">
        <f>+A214-DL214</f>
        <v>210</v>
      </c>
    </row>
    <row r="215" spans="1:117" x14ac:dyDescent="0.35">
      <c r="A215" s="267">
        <v>211</v>
      </c>
      <c r="B215" s="102" t="s">
        <v>270</v>
      </c>
      <c r="C215" s="102" t="s">
        <v>133</v>
      </c>
      <c r="D215" s="102" t="s">
        <v>119</v>
      </c>
      <c r="E215" s="102" t="s">
        <v>212</v>
      </c>
      <c r="F215" s="102" t="s">
        <v>438</v>
      </c>
      <c r="G215" s="98" t="s">
        <v>186</v>
      </c>
      <c r="H215" s="98" t="s">
        <v>187</v>
      </c>
      <c r="I215" s="98" t="s">
        <v>103</v>
      </c>
      <c r="J215" s="98" t="s">
        <v>103</v>
      </c>
      <c r="K215" s="96" t="s">
        <v>104</v>
      </c>
      <c r="L215" s="96" t="s">
        <v>105</v>
      </c>
      <c r="M215" s="98" t="s">
        <v>106</v>
      </c>
      <c r="N215" s="98" t="s">
        <v>429</v>
      </c>
      <c r="O215" s="98" t="s">
        <v>127</v>
      </c>
      <c r="P215" s="258" t="s">
        <v>650</v>
      </c>
      <c r="Q215" s="98" t="s">
        <v>129</v>
      </c>
      <c r="R215" s="301">
        <v>4</v>
      </c>
      <c r="S215" s="99" t="s">
        <v>111</v>
      </c>
      <c r="T215" s="81">
        <v>0</v>
      </c>
      <c r="U215" s="81"/>
      <c r="V215" s="25" t="e">
        <f t="shared" si="143"/>
        <v>#DIV/0!</v>
      </c>
      <c r="W215" s="81">
        <v>3</v>
      </c>
      <c r="X215" s="81"/>
      <c r="Y215" s="25">
        <f t="shared" si="1"/>
        <v>0</v>
      </c>
      <c r="Z215" s="81">
        <v>3</v>
      </c>
      <c r="AA215" s="81"/>
      <c r="AB215" s="25">
        <f t="shared" si="2"/>
        <v>0</v>
      </c>
      <c r="AC215" s="81">
        <v>3</v>
      </c>
      <c r="AD215" s="81"/>
      <c r="AE215" s="25">
        <f t="shared" si="3"/>
        <v>0</v>
      </c>
      <c r="AF215" s="140">
        <f t="shared" si="127"/>
        <v>4</v>
      </c>
      <c r="AG215" s="140">
        <f t="shared" si="128"/>
        <v>0</v>
      </c>
      <c r="AH215" s="138">
        <f t="shared" si="125"/>
        <v>0</v>
      </c>
      <c r="AI215" s="101">
        <v>46054</v>
      </c>
      <c r="AJ215" s="101">
        <v>46477</v>
      </c>
      <c r="AK215" s="102" t="s">
        <v>112</v>
      </c>
      <c r="AL215" s="102" t="s">
        <v>113</v>
      </c>
      <c r="AM215" s="103" t="s">
        <v>114</v>
      </c>
      <c r="AN215" s="104">
        <v>80000000</v>
      </c>
      <c r="AO215" s="104">
        <v>80000000</v>
      </c>
      <c r="AP215" s="104">
        <v>80000000</v>
      </c>
      <c r="AQ215" s="326">
        <v>0</v>
      </c>
      <c r="AR215" s="102" t="s">
        <v>159</v>
      </c>
      <c r="AS215" s="102" t="s">
        <v>112</v>
      </c>
      <c r="AT215" s="152" t="s">
        <v>628</v>
      </c>
      <c r="AU215" s="166" t="s">
        <v>2264</v>
      </c>
      <c r="AV215" s="247" t="s">
        <v>2234</v>
      </c>
      <c r="AW215" s="136" t="s">
        <v>2266</v>
      </c>
      <c r="AX215" s="136" t="s">
        <v>2363</v>
      </c>
      <c r="AY215" s="136" t="s">
        <v>2376</v>
      </c>
      <c r="BA215" s="272"/>
      <c r="BB215" s="273"/>
      <c r="BC215" s="209" t="e">
        <f t="shared" si="144"/>
        <v>#DIV/0!</v>
      </c>
      <c r="BD215" s="272"/>
      <c r="BE215" s="273"/>
      <c r="BF215" s="209" t="e">
        <f t="shared" si="145"/>
        <v>#DIV/0!</v>
      </c>
      <c r="BG215" s="272"/>
      <c r="BH215" s="273"/>
      <c r="BI215" s="209" t="e">
        <f t="shared" si="146"/>
        <v>#DIV/0!</v>
      </c>
      <c r="BJ215" s="210">
        <f t="shared" si="147"/>
        <v>0</v>
      </c>
      <c r="BK215" s="211">
        <f t="shared" si="148"/>
        <v>0</v>
      </c>
      <c r="BL215" s="209" t="e">
        <f t="shared" si="149"/>
        <v>#DIV/0!</v>
      </c>
      <c r="BM215" s="272"/>
      <c r="BN215" s="273"/>
      <c r="BO215" s="209" t="e">
        <f t="shared" si="129"/>
        <v>#DIV/0!</v>
      </c>
      <c r="BP215" s="272"/>
      <c r="BQ215" s="273"/>
      <c r="BR215" s="209" t="e">
        <f t="shared" si="130"/>
        <v>#DIV/0!</v>
      </c>
      <c r="BS215" s="272"/>
      <c r="BT215" s="272"/>
      <c r="BU215" s="209" t="e">
        <f t="shared" si="131"/>
        <v>#DIV/0!</v>
      </c>
      <c r="BV215" s="210">
        <f t="shared" si="150"/>
        <v>0</v>
      </c>
      <c r="BW215" s="210">
        <f t="shared" si="151"/>
        <v>0</v>
      </c>
      <c r="BX215" s="209" t="e">
        <f t="shared" si="152"/>
        <v>#DIV/0!</v>
      </c>
      <c r="BY215" s="209">
        <f t="shared" si="153"/>
        <v>0</v>
      </c>
      <c r="BZ215" s="209">
        <f t="shared" si="154"/>
        <v>0</v>
      </c>
      <c r="CA215" s="212"/>
      <c r="CB215" s="245"/>
      <c r="CC215" s="183"/>
      <c r="CD215" s="184"/>
      <c r="CE215" s="185" t="e">
        <f t="shared" si="132"/>
        <v>#DIV/0!</v>
      </c>
      <c r="CF215" s="183"/>
      <c r="CG215" s="184"/>
      <c r="CH215" s="185" t="e">
        <f t="shared" si="133"/>
        <v>#DIV/0!</v>
      </c>
      <c r="CI215" s="189"/>
      <c r="CJ215" s="190"/>
      <c r="CK215" s="185" t="e">
        <f t="shared" si="134"/>
        <v>#DIV/0!</v>
      </c>
      <c r="CL215" s="187">
        <f t="shared" si="135"/>
        <v>0</v>
      </c>
      <c r="CM215" s="186">
        <f t="shared" si="136"/>
        <v>0</v>
      </c>
      <c r="CN215" s="185" t="e">
        <f t="shared" si="137"/>
        <v>#DIV/0!</v>
      </c>
      <c r="CO215" s="245"/>
      <c r="CP215" s="188">
        <f t="shared" si="138"/>
        <v>0</v>
      </c>
      <c r="CQ215" s="188">
        <f t="shared" si="139"/>
        <v>0</v>
      </c>
      <c r="CR215" s="191" t="e">
        <f t="shared" si="140"/>
        <v>#DIV/0!</v>
      </c>
      <c r="CS215" s="279">
        <f t="shared" si="155"/>
        <v>4</v>
      </c>
      <c r="CT215" s="245"/>
      <c r="CU215" s="188">
        <f t="shared" si="156"/>
        <v>1.2</v>
      </c>
      <c r="CV215" s="277"/>
      <c r="CW215" s="191">
        <f t="shared" si="157"/>
        <v>0</v>
      </c>
      <c r="CX215" s="188">
        <f t="shared" si="158"/>
        <v>1.2</v>
      </c>
      <c r="CY215" s="277"/>
      <c r="CZ215" s="191">
        <f t="shared" si="159"/>
        <v>0</v>
      </c>
      <c r="DA215" s="188">
        <f t="shared" si="160"/>
        <v>1.2</v>
      </c>
      <c r="DB215" s="277"/>
      <c r="DC215" s="191">
        <f t="shared" si="161"/>
        <v>0</v>
      </c>
      <c r="DD215" s="188">
        <f t="shared" si="162"/>
        <v>0.4</v>
      </c>
      <c r="DE215" s="277"/>
      <c r="DF215" s="191">
        <f t="shared" si="163"/>
        <v>0</v>
      </c>
      <c r="DG215" s="245"/>
      <c r="DH215" s="188">
        <f t="shared" si="164"/>
        <v>4</v>
      </c>
      <c r="DI215" s="188">
        <f t="shared" si="165"/>
        <v>0</v>
      </c>
      <c r="DJ215" s="191">
        <f t="shared" si="166"/>
        <v>0</v>
      </c>
      <c r="DK215" s="286">
        <f t="shared" si="167"/>
        <v>4</v>
      </c>
      <c r="DM215" s="244">
        <f>+A215-DL215</f>
        <v>211</v>
      </c>
    </row>
    <row r="216" spans="1:117" x14ac:dyDescent="0.35">
      <c r="A216" s="81">
        <v>212</v>
      </c>
      <c r="B216" s="102" t="s">
        <v>270</v>
      </c>
      <c r="C216" s="102" t="s">
        <v>118</v>
      </c>
      <c r="D216" s="102" t="s">
        <v>119</v>
      </c>
      <c r="E216" s="102" t="s">
        <v>120</v>
      </c>
      <c r="F216" s="102" t="s">
        <v>350</v>
      </c>
      <c r="G216" s="98" t="s">
        <v>186</v>
      </c>
      <c r="H216" s="98" t="s">
        <v>187</v>
      </c>
      <c r="I216" s="98" t="s">
        <v>592</v>
      </c>
      <c r="J216" s="98" t="s">
        <v>592</v>
      </c>
      <c r="K216" s="96" t="s">
        <v>104</v>
      </c>
      <c r="L216" s="96" t="s">
        <v>105</v>
      </c>
      <c r="M216" s="98" t="s">
        <v>106</v>
      </c>
      <c r="N216" s="98" t="s">
        <v>126</v>
      </c>
      <c r="O216" s="98" t="s">
        <v>127</v>
      </c>
      <c r="P216" s="98" t="s">
        <v>651</v>
      </c>
      <c r="Q216" s="98" t="s">
        <v>129</v>
      </c>
      <c r="R216" s="301">
        <v>100</v>
      </c>
      <c r="S216" s="99" t="s">
        <v>111</v>
      </c>
      <c r="T216" s="81"/>
      <c r="U216" s="81"/>
      <c r="V216" s="25" t="e">
        <f t="shared" si="143"/>
        <v>#DIV/0!</v>
      </c>
      <c r="W216" s="81">
        <v>60</v>
      </c>
      <c r="X216" s="81"/>
      <c r="Y216" s="25">
        <f t="shared" si="1"/>
        <v>0</v>
      </c>
      <c r="Z216" s="81">
        <v>20</v>
      </c>
      <c r="AA216" s="81"/>
      <c r="AB216" s="25">
        <f t="shared" si="2"/>
        <v>0</v>
      </c>
      <c r="AC216" s="81">
        <v>20</v>
      </c>
      <c r="AD216" s="81"/>
      <c r="AE216" s="25">
        <f t="shared" si="3"/>
        <v>0</v>
      </c>
      <c r="AF216" s="140">
        <f t="shared" ref="AF216:AF279" si="168">R216</f>
        <v>100</v>
      </c>
      <c r="AG216" s="140">
        <f t="shared" ref="AG216:AG279" si="169">U216+X216+AA216+AD216</f>
        <v>0</v>
      </c>
      <c r="AH216" s="138">
        <f t="shared" si="125"/>
        <v>0</v>
      </c>
      <c r="AI216" s="101">
        <v>46054</v>
      </c>
      <c r="AJ216" s="101">
        <v>46477</v>
      </c>
      <c r="AK216" s="102" t="s">
        <v>112</v>
      </c>
      <c r="AL216" s="102" t="s">
        <v>113</v>
      </c>
      <c r="AM216" s="103" t="s">
        <v>114</v>
      </c>
      <c r="AN216" s="104">
        <v>30000000</v>
      </c>
      <c r="AO216" s="104">
        <v>30000000</v>
      </c>
      <c r="AP216" s="104">
        <v>30000000</v>
      </c>
      <c r="AQ216" s="326">
        <v>0</v>
      </c>
      <c r="AR216" s="102" t="s">
        <v>159</v>
      </c>
      <c r="AS216" s="102" t="s">
        <v>112</v>
      </c>
      <c r="AT216" s="152" t="s">
        <v>652</v>
      </c>
      <c r="AU216" s="102" t="s">
        <v>2264</v>
      </c>
      <c r="AV216" s="136" t="s">
        <v>2235</v>
      </c>
      <c r="BA216" s="183"/>
      <c r="BB216" s="184"/>
      <c r="BC216" s="209" t="e">
        <f t="shared" si="144"/>
        <v>#DIV/0!</v>
      </c>
      <c r="BD216" s="183"/>
      <c r="BE216" s="184"/>
      <c r="BF216" s="209" t="e">
        <f t="shared" si="145"/>
        <v>#DIV/0!</v>
      </c>
      <c r="BG216" s="183"/>
      <c r="BH216" s="184"/>
      <c r="BI216" s="209" t="e">
        <f t="shared" si="146"/>
        <v>#DIV/0!</v>
      </c>
      <c r="BJ216" s="210">
        <f t="shared" si="147"/>
        <v>0</v>
      </c>
      <c r="BK216" s="211">
        <f t="shared" si="148"/>
        <v>0</v>
      </c>
      <c r="BL216" s="209" t="e">
        <f t="shared" si="149"/>
        <v>#DIV/0!</v>
      </c>
      <c r="BM216" s="183"/>
      <c r="BN216" s="184"/>
      <c r="BO216" s="185" t="e">
        <f t="shared" ref="BO216:BO279" si="170">+BN216/BM216</f>
        <v>#DIV/0!</v>
      </c>
      <c r="BP216" s="183"/>
      <c r="BQ216" s="184"/>
      <c r="BR216" s="185" t="e">
        <f t="shared" ref="BR216:BR279" si="171">+BQ216/BP216</f>
        <v>#DIV/0!</v>
      </c>
      <c r="BS216" s="183"/>
      <c r="BT216" s="184"/>
      <c r="BU216" s="185" t="e">
        <f t="shared" ref="BU216:BU279" si="172">+BT216/BS216</f>
        <v>#DIV/0!</v>
      </c>
      <c r="BV216" s="210">
        <f t="shared" si="150"/>
        <v>0</v>
      </c>
      <c r="BW216" s="210">
        <f t="shared" si="151"/>
        <v>0</v>
      </c>
      <c r="BX216" s="209" t="e">
        <f t="shared" si="152"/>
        <v>#DIV/0!</v>
      </c>
      <c r="BY216" s="209">
        <f t="shared" si="153"/>
        <v>0</v>
      </c>
      <c r="BZ216" s="209">
        <f t="shared" si="154"/>
        <v>0</v>
      </c>
      <c r="CA216" s="188"/>
      <c r="CB216" s="245"/>
      <c r="CC216" s="183"/>
      <c r="CD216" s="184"/>
      <c r="CE216" s="185" t="e">
        <f t="shared" ref="CE216:CE279" si="173">+CD216/CC216</f>
        <v>#DIV/0!</v>
      </c>
      <c r="CF216" s="183"/>
      <c r="CG216" s="184"/>
      <c r="CH216" s="185" t="e">
        <f t="shared" ref="CH216:CH279" si="174">+CG216/CF216</f>
        <v>#DIV/0!</v>
      </c>
      <c r="CI216" s="189"/>
      <c r="CJ216" s="190"/>
      <c r="CK216" s="185" t="e">
        <f t="shared" ref="CK216:CK279" si="175">+CJ216/CI216</f>
        <v>#DIV/0!</v>
      </c>
      <c r="CL216" s="187">
        <f t="shared" ref="CL216:CL279" si="176">+CC216+CF216+CI216</f>
        <v>0</v>
      </c>
      <c r="CM216" s="186">
        <f t="shared" ref="CM216:CM279" si="177">+CD216+CG216+CJ216</f>
        <v>0</v>
      </c>
      <c r="CN216" s="185" t="e">
        <f t="shared" ref="CN216:CN279" si="178">+CM216/CL216</f>
        <v>#DIV/0!</v>
      </c>
      <c r="CO216" s="245"/>
      <c r="CP216" s="188">
        <f t="shared" ref="CP216:CP279" si="179">+BJ216+BV216+CL216</f>
        <v>0</v>
      </c>
      <c r="CQ216" s="188">
        <f t="shared" ref="CQ216:CQ279" si="180">+BK216+BW216+CM216</f>
        <v>0</v>
      </c>
      <c r="CR216" s="191" t="e">
        <f t="shared" ref="CR216:CR279" si="181">+CQ216/CP216</f>
        <v>#DIV/0!</v>
      </c>
      <c r="CS216" s="279">
        <f t="shared" si="155"/>
        <v>100</v>
      </c>
      <c r="CT216" s="245"/>
      <c r="CU216" s="188">
        <f t="shared" si="156"/>
        <v>30</v>
      </c>
      <c r="CV216" s="277"/>
      <c r="CW216" s="191">
        <f t="shared" si="157"/>
        <v>0</v>
      </c>
      <c r="CX216" s="188">
        <f t="shared" si="158"/>
        <v>30</v>
      </c>
      <c r="CY216" s="277"/>
      <c r="CZ216" s="191">
        <f t="shared" si="159"/>
        <v>0</v>
      </c>
      <c r="DA216" s="188">
        <f t="shared" si="160"/>
        <v>30</v>
      </c>
      <c r="DB216" s="277"/>
      <c r="DC216" s="191">
        <f t="shared" si="161"/>
        <v>0</v>
      </c>
      <c r="DD216" s="188">
        <f t="shared" si="162"/>
        <v>10</v>
      </c>
      <c r="DE216" s="277"/>
      <c r="DF216" s="191">
        <f t="shared" si="163"/>
        <v>0</v>
      </c>
      <c r="DG216" s="245"/>
      <c r="DH216" s="188">
        <f t="shared" si="164"/>
        <v>100</v>
      </c>
      <c r="DI216" s="188">
        <f t="shared" si="165"/>
        <v>0</v>
      </c>
      <c r="DJ216" s="191">
        <f t="shared" si="166"/>
        <v>0</v>
      </c>
      <c r="DK216" s="286">
        <f t="shared" si="167"/>
        <v>100</v>
      </c>
    </row>
    <row r="217" spans="1:117" x14ac:dyDescent="0.35">
      <c r="A217" s="268">
        <v>213</v>
      </c>
      <c r="B217" s="102" t="s">
        <v>239</v>
      </c>
      <c r="C217" s="102" t="s">
        <v>653</v>
      </c>
      <c r="D217" s="102" t="s">
        <v>119</v>
      </c>
      <c r="E217" s="102" t="s">
        <v>654</v>
      </c>
      <c r="F217" s="102" t="s">
        <v>655</v>
      </c>
      <c r="G217" s="98" t="s">
        <v>599</v>
      </c>
      <c r="H217" s="98" t="s">
        <v>656</v>
      </c>
      <c r="I217" s="98" t="s">
        <v>243</v>
      </c>
      <c r="J217" s="98" t="s">
        <v>657</v>
      </c>
      <c r="K217" s="96" t="s">
        <v>104</v>
      </c>
      <c r="L217" s="96" t="s">
        <v>105</v>
      </c>
      <c r="M217" s="98" t="s">
        <v>106</v>
      </c>
      <c r="N217" s="98" t="s">
        <v>658</v>
      </c>
      <c r="O217" s="98" t="s">
        <v>659</v>
      </c>
      <c r="P217" s="98" t="s">
        <v>660</v>
      </c>
      <c r="Q217" s="98" t="s">
        <v>129</v>
      </c>
      <c r="R217" s="301">
        <v>1</v>
      </c>
      <c r="S217" s="99" t="s">
        <v>607</v>
      </c>
      <c r="T217" s="81"/>
      <c r="U217" s="81"/>
      <c r="V217" s="25" t="e">
        <f t="shared" si="143"/>
        <v>#DIV/0!</v>
      </c>
      <c r="W217" s="81"/>
      <c r="X217" s="81"/>
      <c r="Y217" s="25" t="e">
        <f t="shared" si="1"/>
        <v>#DIV/0!</v>
      </c>
      <c r="Z217" s="81">
        <v>2</v>
      </c>
      <c r="AA217" s="81"/>
      <c r="AB217" s="25">
        <f t="shared" si="2"/>
        <v>0</v>
      </c>
      <c r="AC217" s="81"/>
      <c r="AD217" s="81"/>
      <c r="AE217" s="25" t="e">
        <f t="shared" si="3"/>
        <v>#DIV/0!</v>
      </c>
      <c r="AF217" s="140">
        <f t="shared" si="168"/>
        <v>1</v>
      </c>
      <c r="AG217" s="140">
        <f t="shared" si="169"/>
        <v>0</v>
      </c>
      <c r="AH217" s="138">
        <f t="shared" si="125"/>
        <v>0</v>
      </c>
      <c r="AI217" s="101">
        <v>46113</v>
      </c>
      <c r="AJ217" s="101">
        <v>46477</v>
      </c>
      <c r="AK217" s="102" t="s">
        <v>112</v>
      </c>
      <c r="AL217" s="102" t="s">
        <v>113</v>
      </c>
      <c r="AM217" s="103" t="s">
        <v>114</v>
      </c>
      <c r="AN217" s="104">
        <v>15000000</v>
      </c>
      <c r="AO217" s="104">
        <v>15000000</v>
      </c>
      <c r="AP217" s="104">
        <v>15000000</v>
      </c>
      <c r="AQ217" s="326">
        <v>0</v>
      </c>
      <c r="AR217" s="102" t="s">
        <v>159</v>
      </c>
      <c r="AS217" s="102" t="s">
        <v>112</v>
      </c>
      <c r="AT217" s="152" t="s">
        <v>247</v>
      </c>
      <c r="AU217" s="166" t="s">
        <v>2264</v>
      </c>
      <c r="AV217" s="247" t="s">
        <v>2234</v>
      </c>
      <c r="AW217" s="136" t="s">
        <v>2243</v>
      </c>
      <c r="AX217" s="136" t="s">
        <v>2346</v>
      </c>
      <c r="AY217" s="136" t="s">
        <v>2376</v>
      </c>
      <c r="BA217" s="272"/>
      <c r="BB217" s="273"/>
      <c r="BC217" s="209" t="e">
        <f t="shared" si="144"/>
        <v>#DIV/0!</v>
      </c>
      <c r="BD217" s="272"/>
      <c r="BE217" s="273"/>
      <c r="BF217" s="209" t="e">
        <f t="shared" si="145"/>
        <v>#DIV/0!</v>
      </c>
      <c r="BG217" s="272"/>
      <c r="BH217" s="273"/>
      <c r="BI217" s="209" t="e">
        <f t="shared" si="146"/>
        <v>#DIV/0!</v>
      </c>
      <c r="BJ217" s="210">
        <f t="shared" si="147"/>
        <v>0</v>
      </c>
      <c r="BK217" s="211">
        <f t="shared" si="148"/>
        <v>0</v>
      </c>
      <c r="BL217" s="209" t="e">
        <f t="shared" si="149"/>
        <v>#DIV/0!</v>
      </c>
      <c r="BM217" s="272"/>
      <c r="BN217" s="273"/>
      <c r="BO217" s="209" t="e">
        <f t="shared" si="170"/>
        <v>#DIV/0!</v>
      </c>
      <c r="BP217" s="272"/>
      <c r="BQ217" s="273"/>
      <c r="BR217" s="209" t="e">
        <f t="shared" si="171"/>
        <v>#DIV/0!</v>
      </c>
      <c r="BS217" s="272"/>
      <c r="BT217" s="272"/>
      <c r="BU217" s="209" t="e">
        <f t="shared" si="172"/>
        <v>#DIV/0!</v>
      </c>
      <c r="BV217" s="210">
        <f t="shared" si="150"/>
        <v>0</v>
      </c>
      <c r="BW217" s="210">
        <f t="shared" si="151"/>
        <v>0</v>
      </c>
      <c r="BX217" s="209" t="e">
        <f t="shared" si="152"/>
        <v>#DIV/0!</v>
      </c>
      <c r="BY217" s="209">
        <f t="shared" si="153"/>
        <v>0</v>
      </c>
      <c r="BZ217" s="209">
        <f t="shared" si="154"/>
        <v>0</v>
      </c>
      <c r="CA217" s="212"/>
      <c r="CB217" s="245"/>
      <c r="CC217" s="183"/>
      <c r="CD217" s="184"/>
      <c r="CE217" s="185" t="e">
        <f t="shared" si="173"/>
        <v>#DIV/0!</v>
      </c>
      <c r="CF217" s="183"/>
      <c r="CG217" s="184"/>
      <c r="CH217" s="185" t="e">
        <f t="shared" si="174"/>
        <v>#DIV/0!</v>
      </c>
      <c r="CI217" s="189"/>
      <c r="CJ217" s="190"/>
      <c r="CK217" s="185" t="e">
        <f t="shared" si="175"/>
        <v>#DIV/0!</v>
      </c>
      <c r="CL217" s="187">
        <f t="shared" si="176"/>
        <v>0</v>
      </c>
      <c r="CM217" s="186">
        <f t="shared" si="177"/>
        <v>0</v>
      </c>
      <c r="CN217" s="185" t="e">
        <f t="shared" si="178"/>
        <v>#DIV/0!</v>
      </c>
      <c r="CO217" s="245"/>
      <c r="CP217" s="188">
        <f t="shared" si="179"/>
        <v>0</v>
      </c>
      <c r="CQ217" s="188">
        <f t="shared" si="180"/>
        <v>0</v>
      </c>
      <c r="CR217" s="191" t="e">
        <f t="shared" si="181"/>
        <v>#DIV/0!</v>
      </c>
      <c r="CS217" s="279">
        <f t="shared" si="155"/>
        <v>1</v>
      </c>
      <c r="CT217" s="245"/>
      <c r="CU217" s="188">
        <f t="shared" si="156"/>
        <v>0.3</v>
      </c>
      <c r="CV217" s="277"/>
      <c r="CW217" s="191">
        <f t="shared" si="157"/>
        <v>0</v>
      </c>
      <c r="CX217" s="188">
        <f t="shared" si="158"/>
        <v>0.3</v>
      </c>
      <c r="CY217" s="277"/>
      <c r="CZ217" s="191">
        <f t="shared" si="159"/>
        <v>0</v>
      </c>
      <c r="DA217" s="188">
        <f t="shared" si="160"/>
        <v>0.3</v>
      </c>
      <c r="DB217" s="277"/>
      <c r="DC217" s="191">
        <f t="shared" si="161"/>
        <v>0</v>
      </c>
      <c r="DD217" s="188">
        <f t="shared" si="162"/>
        <v>0.1</v>
      </c>
      <c r="DE217" s="277"/>
      <c r="DF217" s="191">
        <f t="shared" si="163"/>
        <v>0</v>
      </c>
      <c r="DG217" s="245"/>
      <c r="DH217" s="188">
        <f t="shared" si="164"/>
        <v>1</v>
      </c>
      <c r="DI217" s="188">
        <f t="shared" si="165"/>
        <v>0</v>
      </c>
      <c r="DJ217" s="191">
        <f t="shared" si="166"/>
        <v>0</v>
      </c>
      <c r="DK217" s="286">
        <f t="shared" si="167"/>
        <v>1</v>
      </c>
      <c r="DM217" s="244">
        <f>+A217-DL217</f>
        <v>213</v>
      </c>
    </row>
    <row r="218" spans="1:117" customFormat="1" ht="50" x14ac:dyDescent="0.35">
      <c r="A218" s="268">
        <v>214</v>
      </c>
      <c r="B218" s="102" t="s">
        <v>239</v>
      </c>
      <c r="C218" s="102" t="s">
        <v>653</v>
      </c>
      <c r="D218" s="102" t="s">
        <v>119</v>
      </c>
      <c r="E218" s="102" t="s">
        <v>654</v>
      </c>
      <c r="F218" s="102" t="s">
        <v>655</v>
      </c>
      <c r="G218" s="98" t="s">
        <v>599</v>
      </c>
      <c r="H218" s="98" t="s">
        <v>656</v>
      </c>
      <c r="I218" s="98" t="s">
        <v>243</v>
      </c>
      <c r="J218" s="98" t="s">
        <v>657</v>
      </c>
      <c r="K218" s="96" t="s">
        <v>104</v>
      </c>
      <c r="L218" s="96" t="s">
        <v>105</v>
      </c>
      <c r="M218" s="98" t="s">
        <v>106</v>
      </c>
      <c r="N218" s="98" t="s">
        <v>658</v>
      </c>
      <c r="O218" s="98" t="s">
        <v>662</v>
      </c>
      <c r="P218" s="241" t="s">
        <v>663</v>
      </c>
      <c r="Q218" s="98" t="s">
        <v>129</v>
      </c>
      <c r="R218" s="301">
        <v>100</v>
      </c>
      <c r="S218" s="99" t="s">
        <v>664</v>
      </c>
      <c r="T218" s="81"/>
      <c r="U218" s="81"/>
      <c r="V218" s="25" t="e">
        <f t="shared" si="143"/>
        <v>#DIV/0!</v>
      </c>
      <c r="W218" s="81">
        <v>2</v>
      </c>
      <c r="X218" s="81"/>
      <c r="Y218" s="25">
        <f t="shared" si="1"/>
        <v>0</v>
      </c>
      <c r="Z218" s="81">
        <v>2</v>
      </c>
      <c r="AA218" s="81"/>
      <c r="AB218" s="25">
        <f t="shared" si="2"/>
        <v>0</v>
      </c>
      <c r="AC218" s="81"/>
      <c r="AD218" s="81"/>
      <c r="AE218" s="25" t="e">
        <f t="shared" si="3"/>
        <v>#DIV/0!</v>
      </c>
      <c r="AF218" s="140">
        <f t="shared" si="168"/>
        <v>100</v>
      </c>
      <c r="AG218" s="140">
        <f t="shared" si="169"/>
        <v>0</v>
      </c>
      <c r="AH218" s="138">
        <f t="shared" si="125"/>
        <v>0</v>
      </c>
      <c r="AI218" s="101">
        <v>46113</v>
      </c>
      <c r="AJ218" s="101">
        <v>46112</v>
      </c>
      <c r="AK218" s="102" t="s">
        <v>112</v>
      </c>
      <c r="AL218" s="102" t="s">
        <v>113</v>
      </c>
      <c r="AM218" s="103" t="s">
        <v>114</v>
      </c>
      <c r="AN218" s="104">
        <v>58000000</v>
      </c>
      <c r="AO218" s="104">
        <v>58000000</v>
      </c>
      <c r="AP218" s="104">
        <v>58000000</v>
      </c>
      <c r="AQ218" s="326">
        <v>0</v>
      </c>
      <c r="AR218" s="102" t="s">
        <v>159</v>
      </c>
      <c r="AS218" s="102" t="s">
        <v>112</v>
      </c>
      <c r="AT218" s="152" t="s">
        <v>247</v>
      </c>
      <c r="AU218" s="166" t="s">
        <v>2264</v>
      </c>
      <c r="AV218" s="247" t="s">
        <v>2234</v>
      </c>
      <c r="AW218" s="136" t="s">
        <v>2243</v>
      </c>
      <c r="AX218" s="136" t="s">
        <v>2346</v>
      </c>
      <c r="AY218" s="136" t="s">
        <v>2376</v>
      </c>
      <c r="AZ218" s="271"/>
      <c r="BA218" s="272"/>
      <c r="BB218" s="273"/>
      <c r="BC218" s="209" t="e">
        <f t="shared" si="144"/>
        <v>#DIV/0!</v>
      </c>
      <c r="BD218" s="272"/>
      <c r="BE218" s="273"/>
      <c r="BF218" s="209" t="e">
        <f t="shared" si="145"/>
        <v>#DIV/0!</v>
      </c>
      <c r="BG218" s="272"/>
      <c r="BH218" s="273"/>
      <c r="BI218" s="209" t="e">
        <f t="shared" si="146"/>
        <v>#DIV/0!</v>
      </c>
      <c r="BJ218" s="210">
        <f t="shared" si="147"/>
        <v>0</v>
      </c>
      <c r="BK218" s="211">
        <f t="shared" si="148"/>
        <v>0</v>
      </c>
      <c r="BL218" s="209" t="e">
        <f t="shared" si="149"/>
        <v>#DIV/0!</v>
      </c>
      <c r="BM218" s="272"/>
      <c r="BN218" s="273"/>
      <c r="BO218" s="209" t="e">
        <f t="shared" si="170"/>
        <v>#DIV/0!</v>
      </c>
      <c r="BP218" s="272"/>
      <c r="BQ218" s="273"/>
      <c r="BR218" s="209" t="e">
        <f t="shared" si="171"/>
        <v>#DIV/0!</v>
      </c>
      <c r="BS218" s="272"/>
      <c r="BT218" s="272"/>
      <c r="BU218" s="209" t="e">
        <f t="shared" si="172"/>
        <v>#DIV/0!</v>
      </c>
      <c r="BV218" s="210">
        <f t="shared" si="150"/>
        <v>0</v>
      </c>
      <c r="BW218" s="210">
        <f t="shared" si="151"/>
        <v>0</v>
      </c>
      <c r="BX218" s="209" t="e">
        <f t="shared" si="152"/>
        <v>#DIV/0!</v>
      </c>
      <c r="BY218" s="209">
        <f t="shared" si="153"/>
        <v>0</v>
      </c>
      <c r="BZ218" s="209">
        <f t="shared" si="154"/>
        <v>0</v>
      </c>
      <c r="CA218" s="212"/>
      <c r="CB218" s="173"/>
      <c r="CC218" s="183"/>
      <c r="CD218" s="184"/>
      <c r="CE218" s="185" t="e">
        <f t="shared" si="173"/>
        <v>#DIV/0!</v>
      </c>
      <c r="CF218" s="183"/>
      <c r="CG218" s="184"/>
      <c r="CH218" s="185" t="e">
        <f t="shared" si="174"/>
        <v>#DIV/0!</v>
      </c>
      <c r="CI218" s="189"/>
      <c r="CJ218" s="190"/>
      <c r="CK218" s="185" t="e">
        <f t="shared" si="175"/>
        <v>#DIV/0!</v>
      </c>
      <c r="CL218" s="187">
        <f t="shared" si="176"/>
        <v>0</v>
      </c>
      <c r="CM218" s="186">
        <f t="shared" si="177"/>
        <v>0</v>
      </c>
      <c r="CN218" s="185" t="e">
        <f t="shared" si="178"/>
        <v>#DIV/0!</v>
      </c>
      <c r="CO218" s="173"/>
      <c r="CP218" s="188">
        <f t="shared" si="179"/>
        <v>0</v>
      </c>
      <c r="CQ218" s="188">
        <f t="shared" si="180"/>
        <v>0</v>
      </c>
      <c r="CR218" s="191" t="e">
        <f t="shared" si="181"/>
        <v>#DIV/0!</v>
      </c>
      <c r="CS218" s="279">
        <f t="shared" si="155"/>
        <v>100</v>
      </c>
      <c r="CT218" s="173"/>
      <c r="CU218" s="188">
        <f t="shared" si="156"/>
        <v>30</v>
      </c>
      <c r="CV218" s="277"/>
      <c r="CW218" s="191">
        <f t="shared" si="157"/>
        <v>0</v>
      </c>
      <c r="CX218" s="188">
        <f t="shared" si="158"/>
        <v>30</v>
      </c>
      <c r="CY218" s="277"/>
      <c r="CZ218" s="191">
        <f t="shared" si="159"/>
        <v>0</v>
      </c>
      <c r="DA218" s="188">
        <f t="shared" si="160"/>
        <v>30</v>
      </c>
      <c r="DB218" s="277"/>
      <c r="DC218" s="191">
        <f t="shared" si="161"/>
        <v>0</v>
      </c>
      <c r="DD218" s="188">
        <f t="shared" si="162"/>
        <v>10</v>
      </c>
      <c r="DE218" s="277"/>
      <c r="DF218" s="191">
        <f t="shared" si="163"/>
        <v>0</v>
      </c>
      <c r="DG218" s="173"/>
      <c r="DH218" s="188">
        <f t="shared" si="164"/>
        <v>100</v>
      </c>
      <c r="DI218" s="188">
        <f t="shared" si="165"/>
        <v>0</v>
      </c>
      <c r="DJ218" s="191">
        <f t="shared" si="166"/>
        <v>0</v>
      </c>
      <c r="DK218" s="286">
        <f t="shared" si="167"/>
        <v>100</v>
      </c>
      <c r="DM218">
        <f>+A218-DL218</f>
        <v>214</v>
      </c>
    </row>
    <row r="219" spans="1:117" x14ac:dyDescent="0.35">
      <c r="A219" s="268">
        <v>215</v>
      </c>
      <c r="B219" s="102" t="s">
        <v>239</v>
      </c>
      <c r="C219" s="102" t="s">
        <v>653</v>
      </c>
      <c r="D219" s="102" t="s">
        <v>119</v>
      </c>
      <c r="E219" s="102" t="s">
        <v>654</v>
      </c>
      <c r="F219" s="102" t="s">
        <v>655</v>
      </c>
      <c r="G219" s="98" t="s">
        <v>599</v>
      </c>
      <c r="H219" s="98" t="s">
        <v>656</v>
      </c>
      <c r="I219" s="98" t="s">
        <v>243</v>
      </c>
      <c r="J219" s="98" t="s">
        <v>657</v>
      </c>
      <c r="K219" s="96" t="s">
        <v>104</v>
      </c>
      <c r="L219" s="96" t="s">
        <v>105</v>
      </c>
      <c r="M219" s="98" t="s">
        <v>106</v>
      </c>
      <c r="N219" s="98" t="s">
        <v>658</v>
      </c>
      <c r="O219" s="98" t="s">
        <v>665</v>
      </c>
      <c r="P219" s="98" t="s">
        <v>666</v>
      </c>
      <c r="Q219" s="98" t="s">
        <v>129</v>
      </c>
      <c r="R219" s="301">
        <v>360</v>
      </c>
      <c r="S219" s="99" t="s">
        <v>667</v>
      </c>
      <c r="T219" s="81"/>
      <c r="U219" s="81"/>
      <c r="V219" s="25" t="e">
        <f t="shared" si="143"/>
        <v>#DIV/0!</v>
      </c>
      <c r="W219" s="81"/>
      <c r="X219" s="81"/>
      <c r="Y219" s="25" t="e">
        <f t="shared" si="1"/>
        <v>#DIV/0!</v>
      </c>
      <c r="Z219" s="81">
        <v>2</v>
      </c>
      <c r="AA219" s="81"/>
      <c r="AB219" s="25">
        <f t="shared" si="2"/>
        <v>0</v>
      </c>
      <c r="AC219" s="81">
        <v>2</v>
      </c>
      <c r="AD219" s="81"/>
      <c r="AE219" s="25">
        <f t="shared" si="3"/>
        <v>0</v>
      </c>
      <c r="AF219" s="140">
        <f t="shared" si="168"/>
        <v>360</v>
      </c>
      <c r="AG219" s="140">
        <f t="shared" si="169"/>
        <v>0</v>
      </c>
      <c r="AH219" s="138">
        <f t="shared" si="125"/>
        <v>0</v>
      </c>
      <c r="AI219" s="101">
        <v>46113</v>
      </c>
      <c r="AJ219" s="101">
        <v>46477</v>
      </c>
      <c r="AK219" s="102" t="s">
        <v>112</v>
      </c>
      <c r="AL219" s="102" t="s">
        <v>113</v>
      </c>
      <c r="AM219" s="103" t="s">
        <v>114</v>
      </c>
      <c r="AN219" s="104">
        <v>60000000</v>
      </c>
      <c r="AO219" s="104">
        <v>60000000</v>
      </c>
      <c r="AP219" s="104">
        <v>60000000</v>
      </c>
      <c r="AQ219" s="326">
        <v>0</v>
      </c>
      <c r="AR219" s="102" t="s">
        <v>159</v>
      </c>
      <c r="AS219" s="102" t="s">
        <v>112</v>
      </c>
      <c r="AT219" s="152" t="s">
        <v>247</v>
      </c>
      <c r="AU219" s="166" t="s">
        <v>2264</v>
      </c>
      <c r="AV219" s="247" t="s">
        <v>2234</v>
      </c>
      <c r="AW219" s="136" t="s">
        <v>2243</v>
      </c>
      <c r="AX219" s="136" t="s">
        <v>2346</v>
      </c>
      <c r="AY219" s="136" t="s">
        <v>2376</v>
      </c>
      <c r="BA219" s="272"/>
      <c r="BB219" s="273"/>
      <c r="BC219" s="209" t="e">
        <f t="shared" si="144"/>
        <v>#DIV/0!</v>
      </c>
      <c r="BD219" s="272"/>
      <c r="BE219" s="273"/>
      <c r="BF219" s="209" t="e">
        <f t="shared" si="145"/>
        <v>#DIV/0!</v>
      </c>
      <c r="BG219" s="272"/>
      <c r="BH219" s="273"/>
      <c r="BI219" s="209" t="e">
        <f t="shared" si="146"/>
        <v>#DIV/0!</v>
      </c>
      <c r="BJ219" s="210">
        <f t="shared" si="147"/>
        <v>0</v>
      </c>
      <c r="BK219" s="211">
        <f t="shared" si="148"/>
        <v>0</v>
      </c>
      <c r="BL219" s="209" t="e">
        <f t="shared" si="149"/>
        <v>#DIV/0!</v>
      </c>
      <c r="BM219" s="272"/>
      <c r="BN219" s="273"/>
      <c r="BO219" s="209" t="e">
        <f t="shared" si="170"/>
        <v>#DIV/0!</v>
      </c>
      <c r="BP219" s="272"/>
      <c r="BQ219" s="273"/>
      <c r="BR219" s="209" t="e">
        <f t="shared" si="171"/>
        <v>#DIV/0!</v>
      </c>
      <c r="BS219" s="272"/>
      <c r="BT219" s="272"/>
      <c r="BU219" s="209" t="e">
        <f t="shared" si="172"/>
        <v>#DIV/0!</v>
      </c>
      <c r="BV219" s="210">
        <f t="shared" si="150"/>
        <v>0</v>
      </c>
      <c r="BW219" s="210">
        <f t="shared" si="151"/>
        <v>0</v>
      </c>
      <c r="BX219" s="209" t="e">
        <f t="shared" si="152"/>
        <v>#DIV/0!</v>
      </c>
      <c r="BY219" s="209">
        <f t="shared" si="153"/>
        <v>0</v>
      </c>
      <c r="BZ219" s="209">
        <f t="shared" si="154"/>
        <v>0</v>
      </c>
      <c r="CA219" s="212"/>
      <c r="CB219" s="245"/>
      <c r="CC219" s="183"/>
      <c r="CD219" s="184"/>
      <c r="CE219" s="185" t="e">
        <f t="shared" si="173"/>
        <v>#DIV/0!</v>
      </c>
      <c r="CF219" s="183"/>
      <c r="CG219" s="184"/>
      <c r="CH219" s="185" t="e">
        <f t="shared" si="174"/>
        <v>#DIV/0!</v>
      </c>
      <c r="CI219" s="189"/>
      <c r="CJ219" s="190"/>
      <c r="CK219" s="185" t="e">
        <f t="shared" si="175"/>
        <v>#DIV/0!</v>
      </c>
      <c r="CL219" s="187">
        <f t="shared" si="176"/>
        <v>0</v>
      </c>
      <c r="CM219" s="186">
        <f t="shared" si="177"/>
        <v>0</v>
      </c>
      <c r="CN219" s="185" t="e">
        <f t="shared" si="178"/>
        <v>#DIV/0!</v>
      </c>
      <c r="CO219" s="245"/>
      <c r="CP219" s="188">
        <f t="shared" si="179"/>
        <v>0</v>
      </c>
      <c r="CQ219" s="188">
        <f t="shared" si="180"/>
        <v>0</v>
      </c>
      <c r="CR219" s="191" t="e">
        <f t="shared" si="181"/>
        <v>#DIV/0!</v>
      </c>
      <c r="CS219" s="279">
        <f t="shared" si="155"/>
        <v>360</v>
      </c>
      <c r="CT219" s="245"/>
      <c r="CU219" s="188">
        <f t="shared" si="156"/>
        <v>108</v>
      </c>
      <c r="CV219" s="277"/>
      <c r="CW219" s="191">
        <f t="shared" si="157"/>
        <v>0</v>
      </c>
      <c r="CX219" s="188">
        <f t="shared" si="158"/>
        <v>108</v>
      </c>
      <c r="CY219" s="277"/>
      <c r="CZ219" s="191">
        <f t="shared" si="159"/>
        <v>0</v>
      </c>
      <c r="DA219" s="188">
        <f t="shared" si="160"/>
        <v>108</v>
      </c>
      <c r="DB219" s="277"/>
      <c r="DC219" s="191">
        <f t="shared" si="161"/>
        <v>0</v>
      </c>
      <c r="DD219" s="188">
        <f t="shared" si="162"/>
        <v>36</v>
      </c>
      <c r="DE219" s="277"/>
      <c r="DF219" s="191">
        <f t="shared" si="163"/>
        <v>0</v>
      </c>
      <c r="DG219" s="245"/>
      <c r="DH219" s="188">
        <f t="shared" si="164"/>
        <v>360</v>
      </c>
      <c r="DI219" s="188">
        <f t="shared" si="165"/>
        <v>0</v>
      </c>
      <c r="DJ219" s="191">
        <f t="shared" si="166"/>
        <v>0</v>
      </c>
      <c r="DK219" s="286">
        <f t="shared" si="167"/>
        <v>360</v>
      </c>
      <c r="DM219" s="244">
        <f>+A219-DL219</f>
        <v>215</v>
      </c>
    </row>
    <row r="220" spans="1:117" x14ac:dyDescent="0.35">
      <c r="A220" s="268">
        <v>216</v>
      </c>
      <c r="B220" s="102" t="s">
        <v>239</v>
      </c>
      <c r="C220" s="102" t="s">
        <v>653</v>
      </c>
      <c r="D220" s="102" t="s">
        <v>119</v>
      </c>
      <c r="E220" s="102" t="s">
        <v>654</v>
      </c>
      <c r="F220" s="102" t="s">
        <v>655</v>
      </c>
      <c r="G220" s="98" t="s">
        <v>599</v>
      </c>
      <c r="H220" s="98" t="s">
        <v>656</v>
      </c>
      <c r="I220" s="98" t="s">
        <v>173</v>
      </c>
      <c r="J220" s="98" t="s">
        <v>668</v>
      </c>
      <c r="K220" s="96" t="s">
        <v>104</v>
      </c>
      <c r="L220" s="96" t="s">
        <v>105</v>
      </c>
      <c r="M220" s="98" t="s">
        <v>106</v>
      </c>
      <c r="N220" s="98" t="s">
        <v>669</v>
      </c>
      <c r="O220" s="98" t="s">
        <v>659</v>
      </c>
      <c r="P220" s="98" t="s">
        <v>670</v>
      </c>
      <c r="Q220" s="98" t="s">
        <v>129</v>
      </c>
      <c r="R220" s="301">
        <v>1</v>
      </c>
      <c r="S220" s="99" t="s">
        <v>671</v>
      </c>
      <c r="T220" s="81">
        <v>0</v>
      </c>
      <c r="U220" s="81">
        <v>0</v>
      </c>
      <c r="V220" s="25" t="e">
        <f t="shared" si="143"/>
        <v>#DIV/0!</v>
      </c>
      <c r="W220" s="81">
        <v>0</v>
      </c>
      <c r="X220" s="81">
        <v>0</v>
      </c>
      <c r="Y220" s="25" t="e">
        <f t="shared" si="1"/>
        <v>#DIV/0!</v>
      </c>
      <c r="Z220" s="81">
        <v>1</v>
      </c>
      <c r="AA220" s="81"/>
      <c r="AB220" s="25">
        <f t="shared" si="2"/>
        <v>0</v>
      </c>
      <c r="AC220" s="81">
        <v>0</v>
      </c>
      <c r="AD220" s="81"/>
      <c r="AE220" s="25" t="e">
        <f t="shared" si="3"/>
        <v>#DIV/0!</v>
      </c>
      <c r="AF220" s="140">
        <f t="shared" si="168"/>
        <v>1</v>
      </c>
      <c r="AG220" s="140">
        <f t="shared" si="169"/>
        <v>0</v>
      </c>
      <c r="AH220" s="138" t="e">
        <f t="shared" si="125"/>
        <v>#DIV/0!</v>
      </c>
      <c r="AI220" s="101">
        <v>46113</v>
      </c>
      <c r="AJ220" s="101">
        <v>46477</v>
      </c>
      <c r="AK220" s="102" t="s">
        <v>112</v>
      </c>
      <c r="AL220" s="102" t="s">
        <v>113</v>
      </c>
      <c r="AM220" s="103" t="s">
        <v>114</v>
      </c>
      <c r="AN220" s="324"/>
      <c r="AO220" s="324"/>
      <c r="AP220" s="324"/>
      <c r="AQ220" s="326"/>
      <c r="AR220" s="102" t="s">
        <v>159</v>
      </c>
      <c r="AS220" s="102" t="s">
        <v>112</v>
      </c>
      <c r="AT220" s="152" t="s">
        <v>131</v>
      </c>
      <c r="AU220" s="166" t="s">
        <v>2264</v>
      </c>
      <c r="AV220" s="247" t="s">
        <v>2234</v>
      </c>
      <c r="AW220" s="136" t="s">
        <v>2258</v>
      </c>
      <c r="AX220" s="136" t="s">
        <v>2347</v>
      </c>
      <c r="AY220" s="136" t="s">
        <v>2376</v>
      </c>
      <c r="BA220" s="272"/>
      <c r="BB220" s="273"/>
      <c r="BC220" s="209" t="e">
        <f t="shared" si="144"/>
        <v>#DIV/0!</v>
      </c>
      <c r="BD220" s="272"/>
      <c r="BE220" s="273"/>
      <c r="BF220" s="209" t="e">
        <f t="shared" si="145"/>
        <v>#DIV/0!</v>
      </c>
      <c r="BG220" s="272"/>
      <c r="BH220" s="273"/>
      <c r="BI220" s="209" t="e">
        <f t="shared" si="146"/>
        <v>#DIV/0!</v>
      </c>
      <c r="BJ220" s="210">
        <f t="shared" si="147"/>
        <v>0</v>
      </c>
      <c r="BK220" s="211">
        <f t="shared" si="148"/>
        <v>0</v>
      </c>
      <c r="BL220" s="209" t="e">
        <f t="shared" si="149"/>
        <v>#DIV/0!</v>
      </c>
      <c r="BM220" s="272"/>
      <c r="BN220" s="273"/>
      <c r="BO220" s="209" t="e">
        <f t="shared" si="170"/>
        <v>#DIV/0!</v>
      </c>
      <c r="BP220" s="272"/>
      <c r="BQ220" s="273"/>
      <c r="BR220" s="209" t="e">
        <f t="shared" si="171"/>
        <v>#DIV/0!</v>
      </c>
      <c r="BS220" s="272"/>
      <c r="BT220" s="272"/>
      <c r="BU220" s="209" t="e">
        <f t="shared" si="172"/>
        <v>#DIV/0!</v>
      </c>
      <c r="BV220" s="210">
        <f t="shared" si="150"/>
        <v>0</v>
      </c>
      <c r="BW220" s="210">
        <f t="shared" si="151"/>
        <v>0</v>
      </c>
      <c r="BX220" s="209" t="e">
        <f t="shared" si="152"/>
        <v>#DIV/0!</v>
      </c>
      <c r="BY220" s="209">
        <f t="shared" si="153"/>
        <v>0</v>
      </c>
      <c r="BZ220" s="209">
        <f t="shared" si="154"/>
        <v>0</v>
      </c>
      <c r="CA220" s="212"/>
      <c r="CB220" s="245"/>
      <c r="CC220" s="183"/>
      <c r="CD220" s="184"/>
      <c r="CE220" s="185" t="e">
        <f t="shared" si="173"/>
        <v>#DIV/0!</v>
      </c>
      <c r="CF220" s="183"/>
      <c r="CG220" s="184"/>
      <c r="CH220" s="185" t="e">
        <f t="shared" si="174"/>
        <v>#DIV/0!</v>
      </c>
      <c r="CI220" s="189"/>
      <c r="CJ220" s="190"/>
      <c r="CK220" s="185" t="e">
        <f t="shared" si="175"/>
        <v>#DIV/0!</v>
      </c>
      <c r="CL220" s="187">
        <f t="shared" si="176"/>
        <v>0</v>
      </c>
      <c r="CM220" s="186">
        <f t="shared" si="177"/>
        <v>0</v>
      </c>
      <c r="CN220" s="185" t="e">
        <f t="shared" si="178"/>
        <v>#DIV/0!</v>
      </c>
      <c r="CO220" s="245"/>
      <c r="CP220" s="188">
        <f t="shared" si="179"/>
        <v>0</v>
      </c>
      <c r="CQ220" s="188">
        <f t="shared" si="180"/>
        <v>0</v>
      </c>
      <c r="CR220" s="191" t="e">
        <f t="shared" si="181"/>
        <v>#DIV/0!</v>
      </c>
      <c r="CS220" s="279">
        <f t="shared" si="155"/>
        <v>1</v>
      </c>
      <c r="CT220" s="245"/>
      <c r="CU220" s="188">
        <f t="shared" si="156"/>
        <v>0.3</v>
      </c>
      <c r="CV220" s="277"/>
      <c r="CW220" s="191">
        <f t="shared" si="157"/>
        <v>0</v>
      </c>
      <c r="CX220" s="188">
        <f t="shared" si="158"/>
        <v>0.3</v>
      </c>
      <c r="CY220" s="277"/>
      <c r="CZ220" s="191">
        <f t="shared" si="159"/>
        <v>0</v>
      </c>
      <c r="DA220" s="188">
        <f t="shared" si="160"/>
        <v>0.3</v>
      </c>
      <c r="DB220" s="277"/>
      <c r="DC220" s="191">
        <f t="shared" si="161"/>
        <v>0</v>
      </c>
      <c r="DD220" s="188">
        <f t="shared" si="162"/>
        <v>0.1</v>
      </c>
      <c r="DE220" s="277"/>
      <c r="DF220" s="191">
        <f t="shared" si="163"/>
        <v>0</v>
      </c>
      <c r="DG220" s="245"/>
      <c r="DH220" s="188">
        <f t="shared" si="164"/>
        <v>1</v>
      </c>
      <c r="DI220" s="188">
        <f t="shared" si="165"/>
        <v>0</v>
      </c>
      <c r="DJ220" s="191">
        <f t="shared" si="166"/>
        <v>0</v>
      </c>
      <c r="DK220" s="286">
        <f t="shared" si="167"/>
        <v>1</v>
      </c>
      <c r="DM220" s="244">
        <f>+A220-DL220</f>
        <v>216</v>
      </c>
    </row>
    <row r="221" spans="1:117" x14ac:dyDescent="0.35">
      <c r="A221" s="268">
        <v>217</v>
      </c>
      <c r="B221" s="102" t="s">
        <v>239</v>
      </c>
      <c r="C221" s="102" t="s">
        <v>653</v>
      </c>
      <c r="D221" s="102" t="s">
        <v>119</v>
      </c>
      <c r="E221" s="102" t="s">
        <v>654</v>
      </c>
      <c r="F221" s="102" t="s">
        <v>655</v>
      </c>
      <c r="G221" s="98" t="s">
        <v>599</v>
      </c>
      <c r="H221" s="98" t="s">
        <v>656</v>
      </c>
      <c r="I221" s="98" t="s">
        <v>173</v>
      </c>
      <c r="J221" s="98" t="s">
        <v>668</v>
      </c>
      <c r="K221" s="96" t="s">
        <v>104</v>
      </c>
      <c r="L221" s="96" t="s">
        <v>105</v>
      </c>
      <c r="M221" s="98" t="s">
        <v>106</v>
      </c>
      <c r="N221" s="98" t="s">
        <v>669</v>
      </c>
      <c r="O221" s="98" t="s">
        <v>662</v>
      </c>
      <c r="P221" s="98" t="s">
        <v>672</v>
      </c>
      <c r="Q221" s="98" t="s">
        <v>129</v>
      </c>
      <c r="R221" s="301">
        <v>29</v>
      </c>
      <c r="S221" s="99" t="s">
        <v>673</v>
      </c>
      <c r="T221" s="81"/>
      <c r="U221" s="81"/>
      <c r="V221" s="25" t="e">
        <f t="shared" si="143"/>
        <v>#DIV/0!</v>
      </c>
      <c r="W221" s="81"/>
      <c r="X221" s="81"/>
      <c r="Y221" s="25" t="e">
        <f t="shared" si="1"/>
        <v>#DIV/0!</v>
      </c>
      <c r="Z221" s="81">
        <v>1</v>
      </c>
      <c r="AA221" s="81"/>
      <c r="AB221" s="25">
        <f t="shared" si="2"/>
        <v>0</v>
      </c>
      <c r="AC221" s="81"/>
      <c r="AD221" s="81"/>
      <c r="AE221" s="25" t="e">
        <f t="shared" si="3"/>
        <v>#DIV/0!</v>
      </c>
      <c r="AF221" s="140">
        <f t="shared" si="168"/>
        <v>29</v>
      </c>
      <c r="AG221" s="140">
        <f t="shared" si="169"/>
        <v>0</v>
      </c>
      <c r="AH221" s="138">
        <f t="shared" si="125"/>
        <v>0</v>
      </c>
      <c r="AI221" s="101">
        <v>46113</v>
      </c>
      <c r="AJ221" s="101">
        <v>46477</v>
      </c>
      <c r="AK221" s="102"/>
      <c r="AL221" s="102" t="s">
        <v>113</v>
      </c>
      <c r="AM221" s="103" t="s">
        <v>114</v>
      </c>
      <c r="AN221" s="104">
        <v>30000000</v>
      </c>
      <c r="AO221" s="104">
        <v>30000000</v>
      </c>
      <c r="AP221" s="104">
        <v>30000000</v>
      </c>
      <c r="AQ221" s="326">
        <v>0</v>
      </c>
      <c r="AR221" s="102" t="s">
        <v>115</v>
      </c>
      <c r="AS221" s="102" t="s">
        <v>112</v>
      </c>
      <c r="AT221" s="152" t="s">
        <v>674</v>
      </c>
      <c r="AU221" s="166" t="s">
        <v>2264</v>
      </c>
      <c r="AV221" s="247" t="s">
        <v>2234</v>
      </c>
      <c r="AW221" s="136" t="s">
        <v>2248</v>
      </c>
      <c r="AX221" s="136" t="s">
        <v>2386</v>
      </c>
      <c r="AY221" s="136" t="s">
        <v>2308</v>
      </c>
      <c r="BA221" s="272"/>
      <c r="BB221" s="273"/>
      <c r="BC221" s="209" t="e">
        <f t="shared" si="144"/>
        <v>#DIV/0!</v>
      </c>
      <c r="BD221" s="272"/>
      <c r="BE221" s="273"/>
      <c r="BF221" s="209" t="e">
        <f t="shared" si="145"/>
        <v>#DIV/0!</v>
      </c>
      <c r="BG221" s="272"/>
      <c r="BH221" s="273"/>
      <c r="BI221" s="209" t="e">
        <f t="shared" si="146"/>
        <v>#DIV/0!</v>
      </c>
      <c r="BJ221" s="210">
        <f t="shared" si="147"/>
        <v>0</v>
      </c>
      <c r="BK221" s="211">
        <f t="shared" si="148"/>
        <v>0</v>
      </c>
      <c r="BL221" s="209" t="e">
        <f t="shared" si="149"/>
        <v>#DIV/0!</v>
      </c>
      <c r="BM221" s="272"/>
      <c r="BN221" s="273"/>
      <c r="BO221" s="209" t="e">
        <f t="shared" si="170"/>
        <v>#DIV/0!</v>
      </c>
      <c r="BP221" s="272"/>
      <c r="BQ221" s="273"/>
      <c r="BR221" s="209" t="e">
        <f t="shared" si="171"/>
        <v>#DIV/0!</v>
      </c>
      <c r="BS221" s="272"/>
      <c r="BT221" s="272"/>
      <c r="BU221" s="209" t="e">
        <f t="shared" si="172"/>
        <v>#DIV/0!</v>
      </c>
      <c r="BV221" s="210">
        <f t="shared" si="150"/>
        <v>0</v>
      </c>
      <c r="BW221" s="210">
        <f t="shared" si="151"/>
        <v>0</v>
      </c>
      <c r="BX221" s="209" t="e">
        <f t="shared" si="152"/>
        <v>#DIV/0!</v>
      </c>
      <c r="BY221" s="209">
        <f t="shared" si="153"/>
        <v>0</v>
      </c>
      <c r="BZ221" s="209">
        <f t="shared" si="154"/>
        <v>0</v>
      </c>
      <c r="CA221" s="212"/>
      <c r="CB221" s="245"/>
      <c r="CC221" s="183"/>
      <c r="CD221" s="184"/>
      <c r="CE221" s="185" t="e">
        <f t="shared" si="173"/>
        <v>#DIV/0!</v>
      </c>
      <c r="CF221" s="183"/>
      <c r="CG221" s="184"/>
      <c r="CH221" s="185" t="e">
        <f t="shared" si="174"/>
        <v>#DIV/0!</v>
      </c>
      <c r="CI221" s="189"/>
      <c r="CJ221" s="190"/>
      <c r="CK221" s="185" t="e">
        <f t="shared" si="175"/>
        <v>#DIV/0!</v>
      </c>
      <c r="CL221" s="187">
        <f t="shared" si="176"/>
        <v>0</v>
      </c>
      <c r="CM221" s="186">
        <f t="shared" si="177"/>
        <v>0</v>
      </c>
      <c r="CN221" s="185" t="e">
        <f t="shared" si="178"/>
        <v>#DIV/0!</v>
      </c>
      <c r="CO221" s="245"/>
      <c r="CP221" s="188">
        <f t="shared" si="179"/>
        <v>0</v>
      </c>
      <c r="CQ221" s="188">
        <f t="shared" si="180"/>
        <v>0</v>
      </c>
      <c r="CR221" s="191" t="e">
        <f t="shared" si="181"/>
        <v>#DIV/0!</v>
      </c>
      <c r="CS221" s="279">
        <f t="shared" si="155"/>
        <v>29</v>
      </c>
      <c r="CT221" s="245"/>
      <c r="CU221" s="188">
        <f t="shared" si="156"/>
        <v>8.6999999999999993</v>
      </c>
      <c r="CV221" s="277"/>
      <c r="CW221" s="191">
        <f t="shared" si="157"/>
        <v>0</v>
      </c>
      <c r="CX221" s="188">
        <f t="shared" si="158"/>
        <v>8.6999999999999993</v>
      </c>
      <c r="CY221" s="277"/>
      <c r="CZ221" s="191">
        <f t="shared" si="159"/>
        <v>0</v>
      </c>
      <c r="DA221" s="188">
        <f t="shared" si="160"/>
        <v>8.6999999999999993</v>
      </c>
      <c r="DB221" s="277"/>
      <c r="DC221" s="191">
        <f t="shared" si="161"/>
        <v>0</v>
      </c>
      <c r="DD221" s="188">
        <f t="shared" si="162"/>
        <v>2.9000000000000004</v>
      </c>
      <c r="DE221" s="277"/>
      <c r="DF221" s="191">
        <f t="shared" si="163"/>
        <v>0</v>
      </c>
      <c r="DG221" s="245"/>
      <c r="DH221" s="188">
        <f t="shared" si="164"/>
        <v>29</v>
      </c>
      <c r="DI221" s="188">
        <f t="shared" si="165"/>
        <v>0</v>
      </c>
      <c r="DJ221" s="191">
        <f t="shared" si="166"/>
        <v>0</v>
      </c>
      <c r="DK221" s="286">
        <f t="shared" si="167"/>
        <v>29</v>
      </c>
      <c r="DM221" s="244">
        <f>+A221-DL221</f>
        <v>217</v>
      </c>
    </row>
    <row r="222" spans="1:117" x14ac:dyDescent="0.35">
      <c r="A222" s="268">
        <v>218</v>
      </c>
      <c r="B222" s="102" t="s">
        <v>239</v>
      </c>
      <c r="C222" s="102" t="s">
        <v>653</v>
      </c>
      <c r="D222" s="102" t="s">
        <v>119</v>
      </c>
      <c r="E222" s="102" t="s">
        <v>654</v>
      </c>
      <c r="F222" s="102" t="s">
        <v>655</v>
      </c>
      <c r="G222" s="98" t="s">
        <v>599</v>
      </c>
      <c r="H222" s="98" t="s">
        <v>656</v>
      </c>
      <c r="I222" s="98" t="s">
        <v>173</v>
      </c>
      <c r="J222" s="98" t="s">
        <v>668</v>
      </c>
      <c r="K222" s="96" t="s">
        <v>104</v>
      </c>
      <c r="L222" s="96" t="s">
        <v>105</v>
      </c>
      <c r="M222" s="98" t="s">
        <v>106</v>
      </c>
      <c r="N222" s="98" t="s">
        <v>669</v>
      </c>
      <c r="O222" s="98" t="s">
        <v>665</v>
      </c>
      <c r="P222" s="98" t="s">
        <v>675</v>
      </c>
      <c r="Q222" s="98" t="s">
        <v>129</v>
      </c>
      <c r="R222" s="301">
        <v>29</v>
      </c>
      <c r="S222" s="99" t="s">
        <v>673</v>
      </c>
      <c r="T222" s="81"/>
      <c r="U222" s="81"/>
      <c r="V222" s="25" t="e">
        <f t="shared" si="143"/>
        <v>#DIV/0!</v>
      </c>
      <c r="W222" s="81"/>
      <c r="X222" s="81"/>
      <c r="Y222" s="25" t="e">
        <f t="shared" si="1"/>
        <v>#DIV/0!</v>
      </c>
      <c r="Z222" s="81">
        <v>50</v>
      </c>
      <c r="AA222" s="81"/>
      <c r="AB222" s="25">
        <f t="shared" si="2"/>
        <v>0</v>
      </c>
      <c r="AC222" s="81">
        <v>50</v>
      </c>
      <c r="AD222" s="81"/>
      <c r="AE222" s="25">
        <f t="shared" si="3"/>
        <v>0</v>
      </c>
      <c r="AF222" s="140">
        <f t="shared" si="168"/>
        <v>29</v>
      </c>
      <c r="AG222" s="140">
        <f t="shared" si="169"/>
        <v>0</v>
      </c>
      <c r="AH222" s="138">
        <f t="shared" si="125"/>
        <v>0</v>
      </c>
      <c r="AI222" s="101">
        <v>46113</v>
      </c>
      <c r="AJ222" s="101">
        <v>46477</v>
      </c>
      <c r="AK222" s="102"/>
      <c r="AL222" s="102" t="s">
        <v>113</v>
      </c>
      <c r="AM222" s="103" t="s">
        <v>114</v>
      </c>
      <c r="AN222" s="104">
        <v>30000000</v>
      </c>
      <c r="AO222" s="104">
        <v>30000000</v>
      </c>
      <c r="AP222" s="104">
        <v>30000000</v>
      </c>
      <c r="AQ222" s="326">
        <v>0</v>
      </c>
      <c r="AR222" s="102" t="s">
        <v>115</v>
      </c>
      <c r="AS222" s="102" t="s">
        <v>676</v>
      </c>
      <c r="AT222" s="152" t="s">
        <v>674</v>
      </c>
      <c r="AU222" s="166" t="s">
        <v>2264</v>
      </c>
      <c r="AV222" s="247" t="s">
        <v>2234</v>
      </c>
      <c r="AW222" s="136" t="s">
        <v>2248</v>
      </c>
      <c r="AX222" s="136" t="s">
        <v>2386</v>
      </c>
      <c r="AY222" s="136" t="s">
        <v>2308</v>
      </c>
      <c r="BA222" s="272"/>
      <c r="BB222" s="273"/>
      <c r="BC222" s="209" t="e">
        <f t="shared" si="144"/>
        <v>#DIV/0!</v>
      </c>
      <c r="BD222" s="272"/>
      <c r="BE222" s="273"/>
      <c r="BF222" s="209" t="e">
        <f t="shared" si="145"/>
        <v>#DIV/0!</v>
      </c>
      <c r="BG222" s="272"/>
      <c r="BH222" s="273"/>
      <c r="BI222" s="209" t="e">
        <f t="shared" si="146"/>
        <v>#DIV/0!</v>
      </c>
      <c r="BJ222" s="210">
        <f t="shared" si="147"/>
        <v>0</v>
      </c>
      <c r="BK222" s="211">
        <f t="shared" si="148"/>
        <v>0</v>
      </c>
      <c r="BL222" s="209" t="e">
        <f t="shared" si="149"/>
        <v>#DIV/0!</v>
      </c>
      <c r="BM222" s="272"/>
      <c r="BN222" s="273"/>
      <c r="BO222" s="209" t="e">
        <f t="shared" si="170"/>
        <v>#DIV/0!</v>
      </c>
      <c r="BP222" s="272"/>
      <c r="BQ222" s="273"/>
      <c r="BR222" s="209" t="e">
        <f t="shared" si="171"/>
        <v>#DIV/0!</v>
      </c>
      <c r="BS222" s="272"/>
      <c r="BT222" s="272"/>
      <c r="BU222" s="209" t="e">
        <f t="shared" si="172"/>
        <v>#DIV/0!</v>
      </c>
      <c r="BV222" s="210">
        <f t="shared" si="150"/>
        <v>0</v>
      </c>
      <c r="BW222" s="210">
        <f t="shared" si="151"/>
        <v>0</v>
      </c>
      <c r="BX222" s="209" t="e">
        <f t="shared" si="152"/>
        <v>#DIV/0!</v>
      </c>
      <c r="BY222" s="209">
        <f t="shared" si="153"/>
        <v>0</v>
      </c>
      <c r="BZ222" s="209">
        <f t="shared" si="154"/>
        <v>0</v>
      </c>
      <c r="CA222" s="212"/>
      <c r="CB222" s="245"/>
      <c r="CC222" s="183"/>
      <c r="CD222" s="184"/>
      <c r="CE222" s="185" t="e">
        <f t="shared" si="173"/>
        <v>#DIV/0!</v>
      </c>
      <c r="CF222" s="183"/>
      <c r="CG222" s="184"/>
      <c r="CH222" s="185" t="e">
        <f t="shared" si="174"/>
        <v>#DIV/0!</v>
      </c>
      <c r="CI222" s="189"/>
      <c r="CJ222" s="190"/>
      <c r="CK222" s="185" t="e">
        <f t="shared" si="175"/>
        <v>#DIV/0!</v>
      </c>
      <c r="CL222" s="187">
        <f t="shared" si="176"/>
        <v>0</v>
      </c>
      <c r="CM222" s="186">
        <f t="shared" si="177"/>
        <v>0</v>
      </c>
      <c r="CN222" s="185" t="e">
        <f t="shared" si="178"/>
        <v>#DIV/0!</v>
      </c>
      <c r="CO222" s="245"/>
      <c r="CP222" s="188">
        <f t="shared" si="179"/>
        <v>0</v>
      </c>
      <c r="CQ222" s="188">
        <f t="shared" si="180"/>
        <v>0</v>
      </c>
      <c r="CR222" s="191" t="e">
        <f t="shared" si="181"/>
        <v>#DIV/0!</v>
      </c>
      <c r="CS222" s="279">
        <f t="shared" si="155"/>
        <v>29</v>
      </c>
      <c r="CT222" s="245"/>
      <c r="CU222" s="188">
        <f t="shared" si="156"/>
        <v>8.6999999999999993</v>
      </c>
      <c r="CV222" s="277"/>
      <c r="CW222" s="191">
        <f t="shared" si="157"/>
        <v>0</v>
      </c>
      <c r="CX222" s="188">
        <f t="shared" si="158"/>
        <v>8.6999999999999993</v>
      </c>
      <c r="CY222" s="277"/>
      <c r="CZ222" s="191">
        <f t="shared" si="159"/>
        <v>0</v>
      </c>
      <c r="DA222" s="188">
        <f t="shared" si="160"/>
        <v>8.6999999999999993</v>
      </c>
      <c r="DB222" s="277"/>
      <c r="DC222" s="191">
        <f t="shared" si="161"/>
        <v>0</v>
      </c>
      <c r="DD222" s="188">
        <f t="shared" si="162"/>
        <v>2.9000000000000004</v>
      </c>
      <c r="DE222" s="277"/>
      <c r="DF222" s="191">
        <f t="shared" si="163"/>
        <v>0</v>
      </c>
      <c r="DG222" s="245"/>
      <c r="DH222" s="188">
        <f t="shared" si="164"/>
        <v>29</v>
      </c>
      <c r="DI222" s="188">
        <f t="shared" si="165"/>
        <v>0</v>
      </c>
      <c r="DJ222" s="191">
        <f t="shared" si="166"/>
        <v>0</v>
      </c>
      <c r="DK222" s="286">
        <f t="shared" si="167"/>
        <v>29</v>
      </c>
      <c r="DM222" s="244">
        <f>+A222-DL222</f>
        <v>218</v>
      </c>
    </row>
    <row r="223" spans="1:117" x14ac:dyDescent="0.35">
      <c r="A223" s="268">
        <v>219</v>
      </c>
      <c r="B223" s="102" t="s">
        <v>239</v>
      </c>
      <c r="C223" s="102" t="s">
        <v>653</v>
      </c>
      <c r="D223" s="102" t="s">
        <v>119</v>
      </c>
      <c r="E223" s="102" t="s">
        <v>654</v>
      </c>
      <c r="F223" s="102" t="s">
        <v>655</v>
      </c>
      <c r="G223" s="98" t="s">
        <v>599</v>
      </c>
      <c r="H223" s="98" t="s">
        <v>656</v>
      </c>
      <c r="I223" s="98" t="s">
        <v>324</v>
      </c>
      <c r="J223" s="98" t="s">
        <v>677</v>
      </c>
      <c r="K223" s="96" t="s">
        <v>104</v>
      </c>
      <c r="L223" s="96" t="s">
        <v>105</v>
      </c>
      <c r="M223" s="98" t="s">
        <v>106</v>
      </c>
      <c r="N223" s="98" t="s">
        <v>678</v>
      </c>
      <c r="O223" s="98" t="s">
        <v>659</v>
      </c>
      <c r="P223" s="98" t="s">
        <v>679</v>
      </c>
      <c r="Q223" s="98" t="s">
        <v>129</v>
      </c>
      <c r="R223" s="301">
        <v>1</v>
      </c>
      <c r="S223" s="99" t="s">
        <v>680</v>
      </c>
      <c r="T223" s="81">
        <v>0</v>
      </c>
      <c r="U223" s="81">
        <v>0</v>
      </c>
      <c r="V223" s="25" t="e">
        <f t="shared" si="143"/>
        <v>#DIV/0!</v>
      </c>
      <c r="W223" s="81">
        <v>0</v>
      </c>
      <c r="X223" s="81">
        <v>0</v>
      </c>
      <c r="Y223" s="25" t="e">
        <f t="shared" si="1"/>
        <v>#DIV/0!</v>
      </c>
      <c r="Z223" s="81">
        <v>1</v>
      </c>
      <c r="AA223" s="81"/>
      <c r="AB223" s="25">
        <f t="shared" si="2"/>
        <v>0</v>
      </c>
      <c r="AC223" s="81">
        <v>0</v>
      </c>
      <c r="AD223" s="81"/>
      <c r="AE223" s="25" t="e">
        <f t="shared" si="3"/>
        <v>#DIV/0!</v>
      </c>
      <c r="AF223" s="140">
        <f t="shared" si="168"/>
        <v>1</v>
      </c>
      <c r="AG223" s="140">
        <f t="shared" si="169"/>
        <v>0</v>
      </c>
      <c r="AH223" s="138" t="e">
        <f t="shared" si="125"/>
        <v>#DIV/0!</v>
      </c>
      <c r="AI223" s="101">
        <v>46113</v>
      </c>
      <c r="AJ223" s="101">
        <v>46477</v>
      </c>
      <c r="AK223" s="102"/>
      <c r="AL223" s="102" t="s">
        <v>113</v>
      </c>
      <c r="AM223" s="103" t="s">
        <v>114</v>
      </c>
      <c r="AN223" s="324"/>
      <c r="AO223" s="324"/>
      <c r="AP223" s="324"/>
      <c r="AQ223" s="326"/>
      <c r="AR223" s="102" t="s">
        <v>115</v>
      </c>
      <c r="AS223" s="102" t="s">
        <v>676</v>
      </c>
      <c r="AT223" s="152" t="s">
        <v>247</v>
      </c>
      <c r="AU223" s="166" t="s">
        <v>2264</v>
      </c>
      <c r="AV223" s="247" t="s">
        <v>2234</v>
      </c>
      <c r="AW223" s="136" t="s">
        <v>2243</v>
      </c>
      <c r="AX223" s="136" t="s">
        <v>2346</v>
      </c>
      <c r="AY223" s="136" t="s">
        <v>2376</v>
      </c>
      <c r="BA223" s="272"/>
      <c r="BB223" s="273"/>
      <c r="BC223" s="209" t="e">
        <f t="shared" si="144"/>
        <v>#DIV/0!</v>
      </c>
      <c r="BD223" s="272"/>
      <c r="BE223" s="273"/>
      <c r="BF223" s="209" t="e">
        <f t="shared" si="145"/>
        <v>#DIV/0!</v>
      </c>
      <c r="BG223" s="272"/>
      <c r="BH223" s="273"/>
      <c r="BI223" s="209" t="e">
        <f t="shared" si="146"/>
        <v>#DIV/0!</v>
      </c>
      <c r="BJ223" s="210">
        <f t="shared" si="147"/>
        <v>0</v>
      </c>
      <c r="BK223" s="211">
        <f t="shared" si="148"/>
        <v>0</v>
      </c>
      <c r="BL223" s="209" t="e">
        <f t="shared" si="149"/>
        <v>#DIV/0!</v>
      </c>
      <c r="BM223" s="272"/>
      <c r="BN223" s="273"/>
      <c r="BO223" s="209" t="e">
        <f t="shared" si="170"/>
        <v>#DIV/0!</v>
      </c>
      <c r="BP223" s="272"/>
      <c r="BQ223" s="273"/>
      <c r="BR223" s="209" t="e">
        <f t="shared" si="171"/>
        <v>#DIV/0!</v>
      </c>
      <c r="BS223" s="272"/>
      <c r="BT223" s="272"/>
      <c r="BU223" s="209" t="e">
        <f t="shared" si="172"/>
        <v>#DIV/0!</v>
      </c>
      <c r="BV223" s="210">
        <f t="shared" si="150"/>
        <v>0</v>
      </c>
      <c r="BW223" s="210">
        <f t="shared" si="151"/>
        <v>0</v>
      </c>
      <c r="BX223" s="209" t="e">
        <f t="shared" si="152"/>
        <v>#DIV/0!</v>
      </c>
      <c r="BY223" s="209">
        <f t="shared" si="153"/>
        <v>0</v>
      </c>
      <c r="BZ223" s="209">
        <f t="shared" si="154"/>
        <v>0</v>
      </c>
      <c r="CA223" s="212"/>
      <c r="CB223" s="245"/>
      <c r="CC223" s="183"/>
      <c r="CD223" s="184"/>
      <c r="CE223" s="185" t="e">
        <f t="shared" si="173"/>
        <v>#DIV/0!</v>
      </c>
      <c r="CF223" s="183"/>
      <c r="CG223" s="184"/>
      <c r="CH223" s="185" t="e">
        <f t="shared" si="174"/>
        <v>#DIV/0!</v>
      </c>
      <c r="CI223" s="189"/>
      <c r="CJ223" s="190"/>
      <c r="CK223" s="185" t="e">
        <f t="shared" si="175"/>
        <v>#DIV/0!</v>
      </c>
      <c r="CL223" s="187">
        <f t="shared" si="176"/>
        <v>0</v>
      </c>
      <c r="CM223" s="186">
        <f t="shared" si="177"/>
        <v>0</v>
      </c>
      <c r="CN223" s="185" t="e">
        <f t="shared" si="178"/>
        <v>#DIV/0!</v>
      </c>
      <c r="CO223" s="245"/>
      <c r="CP223" s="188">
        <f t="shared" si="179"/>
        <v>0</v>
      </c>
      <c r="CQ223" s="188">
        <f t="shared" si="180"/>
        <v>0</v>
      </c>
      <c r="CR223" s="191" t="e">
        <f t="shared" si="181"/>
        <v>#DIV/0!</v>
      </c>
      <c r="CS223" s="279">
        <f t="shared" si="155"/>
        <v>1</v>
      </c>
      <c r="CT223" s="245"/>
      <c r="CU223" s="188">
        <f t="shared" si="156"/>
        <v>0.3</v>
      </c>
      <c r="CV223" s="277"/>
      <c r="CW223" s="191">
        <f t="shared" si="157"/>
        <v>0</v>
      </c>
      <c r="CX223" s="188">
        <f t="shared" si="158"/>
        <v>0.3</v>
      </c>
      <c r="CY223" s="277"/>
      <c r="CZ223" s="191">
        <f t="shared" si="159"/>
        <v>0</v>
      </c>
      <c r="DA223" s="188">
        <f t="shared" si="160"/>
        <v>0.3</v>
      </c>
      <c r="DB223" s="277"/>
      <c r="DC223" s="191">
        <f t="shared" si="161"/>
        <v>0</v>
      </c>
      <c r="DD223" s="188">
        <f t="shared" si="162"/>
        <v>0.1</v>
      </c>
      <c r="DE223" s="277"/>
      <c r="DF223" s="191">
        <f t="shared" si="163"/>
        <v>0</v>
      </c>
      <c r="DG223" s="245"/>
      <c r="DH223" s="188">
        <f t="shared" si="164"/>
        <v>1</v>
      </c>
      <c r="DI223" s="188">
        <f t="shared" si="165"/>
        <v>0</v>
      </c>
      <c r="DJ223" s="191">
        <f t="shared" si="166"/>
        <v>0</v>
      </c>
      <c r="DK223" s="286">
        <f t="shared" si="167"/>
        <v>1</v>
      </c>
      <c r="DM223" s="244">
        <f>+A223-DL223</f>
        <v>219</v>
      </c>
    </row>
    <row r="224" spans="1:117" x14ac:dyDescent="0.35">
      <c r="A224" s="268">
        <v>220</v>
      </c>
      <c r="B224" s="102" t="s">
        <v>239</v>
      </c>
      <c r="C224" s="102" t="s">
        <v>653</v>
      </c>
      <c r="D224" s="102" t="s">
        <v>119</v>
      </c>
      <c r="E224" s="102" t="s">
        <v>654</v>
      </c>
      <c r="F224" s="102" t="s">
        <v>655</v>
      </c>
      <c r="G224" s="98" t="s">
        <v>599</v>
      </c>
      <c r="H224" s="98" t="s">
        <v>656</v>
      </c>
      <c r="I224" s="98" t="s">
        <v>324</v>
      </c>
      <c r="J224" s="98" t="s">
        <v>677</v>
      </c>
      <c r="K224" s="96" t="s">
        <v>104</v>
      </c>
      <c r="L224" s="96" t="s">
        <v>105</v>
      </c>
      <c r="M224" s="98" t="s">
        <v>106</v>
      </c>
      <c r="N224" s="98" t="s">
        <v>678</v>
      </c>
      <c r="O224" s="98" t="s">
        <v>662</v>
      </c>
      <c r="P224" s="98" t="s">
        <v>681</v>
      </c>
      <c r="Q224" s="98" t="s">
        <v>129</v>
      </c>
      <c r="R224" s="301">
        <v>100</v>
      </c>
      <c r="S224" s="99" t="s">
        <v>664</v>
      </c>
      <c r="T224" s="81">
        <v>100</v>
      </c>
      <c r="U224" s="81">
        <v>0</v>
      </c>
      <c r="V224" s="25">
        <f t="shared" si="143"/>
        <v>0</v>
      </c>
      <c r="W224" s="81">
        <v>100</v>
      </c>
      <c r="X224" s="81">
        <v>46</v>
      </c>
      <c r="Y224" s="25">
        <f t="shared" si="1"/>
        <v>46</v>
      </c>
      <c r="Z224" s="81">
        <v>100</v>
      </c>
      <c r="AA224" s="81"/>
      <c r="AB224" s="25">
        <f t="shared" si="2"/>
        <v>0</v>
      </c>
      <c r="AC224" s="81">
        <v>100</v>
      </c>
      <c r="AD224" s="81"/>
      <c r="AE224" s="25">
        <f t="shared" si="3"/>
        <v>0</v>
      </c>
      <c r="AF224" s="140">
        <f t="shared" si="168"/>
        <v>100</v>
      </c>
      <c r="AG224" s="140">
        <f t="shared" si="169"/>
        <v>46</v>
      </c>
      <c r="AH224" s="138">
        <f t="shared" si="125"/>
        <v>23</v>
      </c>
      <c r="AI224" s="101">
        <v>46113</v>
      </c>
      <c r="AJ224" s="101">
        <v>46477</v>
      </c>
      <c r="AK224" s="102"/>
      <c r="AL224" s="322"/>
      <c r="AM224" s="323"/>
      <c r="AN224" s="324"/>
      <c r="AO224" s="324"/>
      <c r="AP224" s="324"/>
      <c r="AQ224" s="326"/>
      <c r="AR224" s="102" t="s">
        <v>115</v>
      </c>
      <c r="AS224" s="102" t="s">
        <v>676</v>
      </c>
      <c r="AT224" s="152" t="s">
        <v>247</v>
      </c>
      <c r="AU224" s="166" t="s">
        <v>2264</v>
      </c>
      <c r="AV224" s="247" t="s">
        <v>2234</v>
      </c>
      <c r="AW224" s="136" t="s">
        <v>2243</v>
      </c>
      <c r="AX224" s="136" t="s">
        <v>2346</v>
      </c>
      <c r="AY224" s="136" t="s">
        <v>2376</v>
      </c>
      <c r="BA224" s="272"/>
      <c r="BB224" s="273"/>
      <c r="BC224" s="209" t="e">
        <f t="shared" si="144"/>
        <v>#DIV/0!</v>
      </c>
      <c r="BD224" s="272"/>
      <c r="BE224" s="273"/>
      <c r="BF224" s="209" t="e">
        <f t="shared" si="145"/>
        <v>#DIV/0!</v>
      </c>
      <c r="BG224" s="272"/>
      <c r="BH224" s="273"/>
      <c r="BI224" s="209" t="e">
        <f t="shared" si="146"/>
        <v>#DIV/0!</v>
      </c>
      <c r="BJ224" s="210">
        <f t="shared" si="147"/>
        <v>0</v>
      </c>
      <c r="BK224" s="211">
        <f t="shared" si="148"/>
        <v>0</v>
      </c>
      <c r="BL224" s="209" t="e">
        <f t="shared" si="149"/>
        <v>#DIV/0!</v>
      </c>
      <c r="BM224" s="272"/>
      <c r="BN224" s="273"/>
      <c r="BO224" s="209" t="e">
        <f t="shared" si="170"/>
        <v>#DIV/0!</v>
      </c>
      <c r="BP224" s="272"/>
      <c r="BQ224" s="273"/>
      <c r="BR224" s="209" t="e">
        <f t="shared" si="171"/>
        <v>#DIV/0!</v>
      </c>
      <c r="BS224" s="272"/>
      <c r="BT224" s="272"/>
      <c r="BU224" s="209" t="e">
        <f t="shared" si="172"/>
        <v>#DIV/0!</v>
      </c>
      <c r="BV224" s="210">
        <f t="shared" si="150"/>
        <v>0</v>
      </c>
      <c r="BW224" s="210">
        <f t="shared" si="151"/>
        <v>0</v>
      </c>
      <c r="BX224" s="209" t="e">
        <f t="shared" si="152"/>
        <v>#DIV/0!</v>
      </c>
      <c r="BY224" s="209">
        <f t="shared" si="153"/>
        <v>0</v>
      </c>
      <c r="BZ224" s="209">
        <f t="shared" si="154"/>
        <v>0</v>
      </c>
      <c r="CA224" s="212"/>
      <c r="CB224" s="245"/>
      <c r="CC224" s="183"/>
      <c r="CD224" s="184"/>
      <c r="CE224" s="185" t="e">
        <f t="shared" si="173"/>
        <v>#DIV/0!</v>
      </c>
      <c r="CF224" s="183"/>
      <c r="CG224" s="184"/>
      <c r="CH224" s="185" t="e">
        <f t="shared" si="174"/>
        <v>#DIV/0!</v>
      </c>
      <c r="CI224" s="189"/>
      <c r="CJ224" s="190"/>
      <c r="CK224" s="185" t="e">
        <f t="shared" si="175"/>
        <v>#DIV/0!</v>
      </c>
      <c r="CL224" s="187">
        <f t="shared" si="176"/>
        <v>0</v>
      </c>
      <c r="CM224" s="186">
        <f t="shared" si="177"/>
        <v>0</v>
      </c>
      <c r="CN224" s="185" t="e">
        <f t="shared" si="178"/>
        <v>#DIV/0!</v>
      </c>
      <c r="CO224" s="245"/>
      <c r="CP224" s="188">
        <f t="shared" si="179"/>
        <v>0</v>
      </c>
      <c r="CQ224" s="188">
        <f t="shared" si="180"/>
        <v>0</v>
      </c>
      <c r="CR224" s="191" t="e">
        <f t="shared" si="181"/>
        <v>#DIV/0!</v>
      </c>
      <c r="CS224" s="279">
        <f t="shared" si="155"/>
        <v>100</v>
      </c>
      <c r="CT224" s="245"/>
      <c r="CU224" s="188">
        <f t="shared" si="156"/>
        <v>30</v>
      </c>
      <c r="CV224" s="277"/>
      <c r="CW224" s="191">
        <f t="shared" si="157"/>
        <v>0</v>
      </c>
      <c r="CX224" s="188">
        <f t="shared" si="158"/>
        <v>30</v>
      </c>
      <c r="CY224" s="277"/>
      <c r="CZ224" s="191">
        <f t="shared" si="159"/>
        <v>0</v>
      </c>
      <c r="DA224" s="188">
        <f t="shared" si="160"/>
        <v>30</v>
      </c>
      <c r="DB224" s="277"/>
      <c r="DC224" s="191">
        <f t="shared" si="161"/>
        <v>0</v>
      </c>
      <c r="DD224" s="188">
        <f t="shared" si="162"/>
        <v>10</v>
      </c>
      <c r="DE224" s="277"/>
      <c r="DF224" s="191">
        <f t="shared" si="163"/>
        <v>0</v>
      </c>
      <c r="DG224" s="245"/>
      <c r="DH224" s="188">
        <f t="shared" si="164"/>
        <v>100</v>
      </c>
      <c r="DI224" s="188">
        <f t="shared" si="165"/>
        <v>0</v>
      </c>
      <c r="DJ224" s="191">
        <f t="shared" si="166"/>
        <v>0</v>
      </c>
      <c r="DK224" s="286">
        <f t="shared" si="167"/>
        <v>100</v>
      </c>
      <c r="DM224" s="244">
        <f>+A224-DL224</f>
        <v>220</v>
      </c>
    </row>
    <row r="225" spans="1:117" x14ac:dyDescent="0.35">
      <c r="A225" s="268">
        <v>221</v>
      </c>
      <c r="B225" s="102" t="s">
        <v>239</v>
      </c>
      <c r="C225" s="102" t="s">
        <v>653</v>
      </c>
      <c r="D225" s="102" t="s">
        <v>119</v>
      </c>
      <c r="E225" s="102" t="s">
        <v>654</v>
      </c>
      <c r="F225" s="102" t="s">
        <v>655</v>
      </c>
      <c r="G225" s="98" t="s">
        <v>599</v>
      </c>
      <c r="H225" s="98" t="s">
        <v>656</v>
      </c>
      <c r="I225" s="98" t="s">
        <v>324</v>
      </c>
      <c r="J225" s="98" t="s">
        <v>677</v>
      </c>
      <c r="K225" s="96" t="s">
        <v>104</v>
      </c>
      <c r="L225" s="96" t="s">
        <v>105</v>
      </c>
      <c r="M225" s="98" t="s">
        <v>106</v>
      </c>
      <c r="N225" s="98" t="s">
        <v>678</v>
      </c>
      <c r="O225" s="98" t="s">
        <v>665</v>
      </c>
      <c r="P225" s="98" t="s">
        <v>682</v>
      </c>
      <c r="Q225" s="98" t="s">
        <v>129</v>
      </c>
      <c r="R225" s="301">
        <v>1</v>
      </c>
      <c r="S225" s="99" t="s">
        <v>680</v>
      </c>
      <c r="T225" s="81">
        <v>0</v>
      </c>
      <c r="U225" s="81">
        <v>0</v>
      </c>
      <c r="V225" s="25" t="e">
        <f t="shared" si="143"/>
        <v>#DIV/0!</v>
      </c>
      <c r="W225" s="81">
        <v>0</v>
      </c>
      <c r="X225" s="81">
        <v>0</v>
      </c>
      <c r="Y225" s="25" t="e">
        <f t="shared" si="1"/>
        <v>#DIV/0!</v>
      </c>
      <c r="Z225" s="81">
        <v>1</v>
      </c>
      <c r="AA225" s="81"/>
      <c r="AB225" s="25">
        <f t="shared" si="2"/>
        <v>0</v>
      </c>
      <c r="AC225" s="81"/>
      <c r="AD225" s="81"/>
      <c r="AE225" s="25" t="e">
        <f t="shared" si="3"/>
        <v>#DIV/0!</v>
      </c>
      <c r="AF225" s="140">
        <f t="shared" si="168"/>
        <v>1</v>
      </c>
      <c r="AG225" s="140">
        <f t="shared" si="169"/>
        <v>0</v>
      </c>
      <c r="AH225" s="138" t="e">
        <f t="shared" si="125"/>
        <v>#DIV/0!</v>
      </c>
      <c r="AI225" s="101">
        <v>46113</v>
      </c>
      <c r="AJ225" s="101">
        <v>46477</v>
      </c>
      <c r="AK225" s="102"/>
      <c r="AL225" s="102" t="s">
        <v>113</v>
      </c>
      <c r="AM225" s="103" t="s">
        <v>114</v>
      </c>
      <c r="AN225" s="104">
        <v>30000000</v>
      </c>
      <c r="AO225" s="104">
        <v>30000000</v>
      </c>
      <c r="AP225" s="104">
        <v>30000000</v>
      </c>
      <c r="AQ225" s="326">
        <v>0</v>
      </c>
      <c r="AR225" s="102" t="s">
        <v>683</v>
      </c>
      <c r="AS225" s="102" t="s">
        <v>676</v>
      </c>
      <c r="AT225" s="152" t="s">
        <v>247</v>
      </c>
      <c r="AU225" s="166" t="s">
        <v>2264</v>
      </c>
      <c r="AV225" s="247" t="s">
        <v>2234</v>
      </c>
      <c r="AW225" s="136" t="s">
        <v>2243</v>
      </c>
      <c r="AX225" s="136" t="s">
        <v>2346</v>
      </c>
      <c r="AY225" s="136" t="s">
        <v>2376</v>
      </c>
      <c r="BA225" s="272"/>
      <c r="BB225" s="273"/>
      <c r="BC225" s="209" t="e">
        <f t="shared" si="144"/>
        <v>#DIV/0!</v>
      </c>
      <c r="BD225" s="272"/>
      <c r="BE225" s="273"/>
      <c r="BF225" s="209" t="e">
        <f t="shared" si="145"/>
        <v>#DIV/0!</v>
      </c>
      <c r="BG225" s="272"/>
      <c r="BH225" s="273"/>
      <c r="BI225" s="209" t="e">
        <f t="shared" si="146"/>
        <v>#DIV/0!</v>
      </c>
      <c r="BJ225" s="210">
        <f t="shared" si="147"/>
        <v>0</v>
      </c>
      <c r="BK225" s="211">
        <f t="shared" si="148"/>
        <v>0</v>
      </c>
      <c r="BL225" s="209" t="e">
        <f t="shared" si="149"/>
        <v>#DIV/0!</v>
      </c>
      <c r="BM225" s="272"/>
      <c r="BN225" s="273"/>
      <c r="BO225" s="209" t="e">
        <f t="shared" si="170"/>
        <v>#DIV/0!</v>
      </c>
      <c r="BP225" s="272"/>
      <c r="BQ225" s="273"/>
      <c r="BR225" s="209" t="e">
        <f t="shared" si="171"/>
        <v>#DIV/0!</v>
      </c>
      <c r="BS225" s="272"/>
      <c r="BT225" s="272"/>
      <c r="BU225" s="209" t="e">
        <f t="shared" si="172"/>
        <v>#DIV/0!</v>
      </c>
      <c r="BV225" s="210">
        <f t="shared" si="150"/>
        <v>0</v>
      </c>
      <c r="BW225" s="210">
        <f t="shared" si="151"/>
        <v>0</v>
      </c>
      <c r="BX225" s="209" t="e">
        <f t="shared" si="152"/>
        <v>#DIV/0!</v>
      </c>
      <c r="BY225" s="209">
        <f t="shared" si="153"/>
        <v>0</v>
      </c>
      <c r="BZ225" s="209">
        <f t="shared" si="154"/>
        <v>0</v>
      </c>
      <c r="CA225" s="212"/>
      <c r="CB225" s="245"/>
      <c r="CC225" s="183"/>
      <c r="CD225" s="184"/>
      <c r="CE225" s="185" t="e">
        <f t="shared" si="173"/>
        <v>#DIV/0!</v>
      </c>
      <c r="CF225" s="183"/>
      <c r="CG225" s="184"/>
      <c r="CH225" s="185" t="e">
        <f t="shared" si="174"/>
        <v>#DIV/0!</v>
      </c>
      <c r="CI225" s="189"/>
      <c r="CJ225" s="190"/>
      <c r="CK225" s="185" t="e">
        <f t="shared" si="175"/>
        <v>#DIV/0!</v>
      </c>
      <c r="CL225" s="187">
        <f t="shared" si="176"/>
        <v>0</v>
      </c>
      <c r="CM225" s="186">
        <f t="shared" si="177"/>
        <v>0</v>
      </c>
      <c r="CN225" s="185" t="e">
        <f t="shared" si="178"/>
        <v>#DIV/0!</v>
      </c>
      <c r="CO225" s="245"/>
      <c r="CP225" s="188">
        <f t="shared" si="179"/>
        <v>0</v>
      </c>
      <c r="CQ225" s="188">
        <f t="shared" si="180"/>
        <v>0</v>
      </c>
      <c r="CR225" s="191" t="e">
        <f t="shared" si="181"/>
        <v>#DIV/0!</v>
      </c>
      <c r="CS225" s="279">
        <f t="shared" si="155"/>
        <v>1</v>
      </c>
      <c r="CT225" s="245"/>
      <c r="CU225" s="188">
        <f t="shared" si="156"/>
        <v>0.3</v>
      </c>
      <c r="CV225" s="277"/>
      <c r="CW225" s="191">
        <f t="shared" si="157"/>
        <v>0</v>
      </c>
      <c r="CX225" s="188">
        <f t="shared" si="158"/>
        <v>0.3</v>
      </c>
      <c r="CY225" s="277"/>
      <c r="CZ225" s="191">
        <f t="shared" si="159"/>
        <v>0</v>
      </c>
      <c r="DA225" s="188">
        <f t="shared" si="160"/>
        <v>0.3</v>
      </c>
      <c r="DB225" s="277"/>
      <c r="DC225" s="191">
        <f t="shared" si="161"/>
        <v>0</v>
      </c>
      <c r="DD225" s="188">
        <f t="shared" si="162"/>
        <v>0.1</v>
      </c>
      <c r="DE225" s="277"/>
      <c r="DF225" s="191">
        <f t="shared" si="163"/>
        <v>0</v>
      </c>
      <c r="DG225" s="245"/>
      <c r="DH225" s="188">
        <f t="shared" si="164"/>
        <v>1</v>
      </c>
      <c r="DI225" s="188">
        <f t="shared" si="165"/>
        <v>0</v>
      </c>
      <c r="DJ225" s="191">
        <f t="shared" si="166"/>
        <v>0</v>
      </c>
      <c r="DK225" s="286">
        <f t="shared" si="167"/>
        <v>1</v>
      </c>
      <c r="DM225" s="244">
        <f>+A225-DL225</f>
        <v>221</v>
      </c>
    </row>
    <row r="226" spans="1:117" x14ac:dyDescent="0.35">
      <c r="A226" s="268">
        <v>222</v>
      </c>
      <c r="B226" s="102" t="s">
        <v>684</v>
      </c>
      <c r="C226" s="102" t="s">
        <v>685</v>
      </c>
      <c r="D226" s="102" t="s">
        <v>613</v>
      </c>
      <c r="E226" s="102" t="s">
        <v>686</v>
      </c>
      <c r="F226" s="102" t="s">
        <v>687</v>
      </c>
      <c r="G226" s="98" t="s">
        <v>688</v>
      </c>
      <c r="H226" s="98" t="s">
        <v>688</v>
      </c>
      <c r="I226" s="98" t="s">
        <v>689</v>
      </c>
      <c r="J226" s="98" t="s">
        <v>690</v>
      </c>
      <c r="K226" s="96" t="s">
        <v>662</v>
      </c>
      <c r="L226" s="96" t="s">
        <v>105</v>
      </c>
      <c r="M226" s="98" t="s">
        <v>106</v>
      </c>
      <c r="N226" s="98" t="s">
        <v>691</v>
      </c>
      <c r="O226" s="98" t="s">
        <v>662</v>
      </c>
      <c r="P226" s="98" t="s">
        <v>692</v>
      </c>
      <c r="Q226" s="98" t="s">
        <v>129</v>
      </c>
      <c r="R226" s="301">
        <v>29</v>
      </c>
      <c r="S226" s="99" t="s">
        <v>673</v>
      </c>
      <c r="T226" s="81">
        <v>0</v>
      </c>
      <c r="U226" s="81">
        <v>0</v>
      </c>
      <c r="V226" s="25" t="e">
        <f t="shared" si="143"/>
        <v>#DIV/0!</v>
      </c>
      <c r="W226" s="81">
        <v>5</v>
      </c>
      <c r="X226" s="81">
        <v>0</v>
      </c>
      <c r="Y226" s="25">
        <f t="shared" si="1"/>
        <v>0</v>
      </c>
      <c r="Z226" s="81">
        <v>13</v>
      </c>
      <c r="AA226" s="81"/>
      <c r="AB226" s="25">
        <f t="shared" si="2"/>
        <v>0</v>
      </c>
      <c r="AC226" s="81">
        <v>11</v>
      </c>
      <c r="AD226" s="81"/>
      <c r="AE226" s="25">
        <f t="shared" si="3"/>
        <v>0</v>
      </c>
      <c r="AF226" s="140">
        <f t="shared" si="168"/>
        <v>29</v>
      </c>
      <c r="AG226" s="140">
        <f t="shared" si="169"/>
        <v>0</v>
      </c>
      <c r="AH226" s="138">
        <f t="shared" si="125"/>
        <v>0</v>
      </c>
      <c r="AI226" s="101">
        <v>46113</v>
      </c>
      <c r="AJ226" s="101">
        <v>46477</v>
      </c>
      <c r="AK226" s="102"/>
      <c r="AL226" s="102" t="s">
        <v>113</v>
      </c>
      <c r="AM226" s="103" t="s">
        <v>114</v>
      </c>
      <c r="AN226" s="324"/>
      <c r="AO226" s="324"/>
      <c r="AP226" s="324"/>
      <c r="AQ226" s="326"/>
      <c r="AR226" s="102" t="s">
        <v>683</v>
      </c>
      <c r="AS226" s="102" t="s">
        <v>676</v>
      </c>
      <c r="AT226" s="152" t="s">
        <v>674</v>
      </c>
      <c r="AU226" s="166" t="s">
        <v>2264</v>
      </c>
      <c r="AV226" s="247" t="s">
        <v>2234</v>
      </c>
      <c r="AW226" s="136" t="s">
        <v>2248</v>
      </c>
      <c r="AX226" s="136" t="s">
        <v>2386</v>
      </c>
      <c r="AY226" s="136" t="s">
        <v>2308</v>
      </c>
      <c r="BA226" s="272"/>
      <c r="BB226" s="273"/>
      <c r="BC226" s="209" t="e">
        <f t="shared" si="144"/>
        <v>#DIV/0!</v>
      </c>
      <c r="BD226" s="272"/>
      <c r="BE226" s="273"/>
      <c r="BF226" s="209" t="e">
        <f t="shared" si="145"/>
        <v>#DIV/0!</v>
      </c>
      <c r="BG226" s="272"/>
      <c r="BH226" s="273"/>
      <c r="BI226" s="209" t="e">
        <f t="shared" si="146"/>
        <v>#DIV/0!</v>
      </c>
      <c r="BJ226" s="210">
        <f t="shared" si="147"/>
        <v>0</v>
      </c>
      <c r="BK226" s="211">
        <f t="shared" si="148"/>
        <v>0</v>
      </c>
      <c r="BL226" s="209" t="e">
        <f t="shared" si="149"/>
        <v>#DIV/0!</v>
      </c>
      <c r="BM226" s="272"/>
      <c r="BN226" s="273"/>
      <c r="BO226" s="209" t="e">
        <f t="shared" si="170"/>
        <v>#DIV/0!</v>
      </c>
      <c r="BP226" s="272"/>
      <c r="BQ226" s="273"/>
      <c r="BR226" s="209" t="e">
        <f t="shared" si="171"/>
        <v>#DIV/0!</v>
      </c>
      <c r="BS226" s="272"/>
      <c r="BT226" s="272"/>
      <c r="BU226" s="209" t="e">
        <f t="shared" si="172"/>
        <v>#DIV/0!</v>
      </c>
      <c r="BV226" s="210">
        <f t="shared" si="150"/>
        <v>0</v>
      </c>
      <c r="BW226" s="210">
        <f t="shared" si="151"/>
        <v>0</v>
      </c>
      <c r="BX226" s="209" t="e">
        <f t="shared" si="152"/>
        <v>#DIV/0!</v>
      </c>
      <c r="BY226" s="209">
        <f t="shared" si="153"/>
        <v>0</v>
      </c>
      <c r="BZ226" s="209">
        <f t="shared" si="154"/>
        <v>0</v>
      </c>
      <c r="CA226" s="212"/>
      <c r="CB226" s="245"/>
      <c r="CC226" s="183"/>
      <c r="CD226" s="184"/>
      <c r="CE226" s="185" t="e">
        <f t="shared" si="173"/>
        <v>#DIV/0!</v>
      </c>
      <c r="CF226" s="183"/>
      <c r="CG226" s="184"/>
      <c r="CH226" s="185" t="e">
        <f t="shared" si="174"/>
        <v>#DIV/0!</v>
      </c>
      <c r="CI226" s="189"/>
      <c r="CJ226" s="190"/>
      <c r="CK226" s="185" t="e">
        <f t="shared" si="175"/>
        <v>#DIV/0!</v>
      </c>
      <c r="CL226" s="187">
        <f t="shared" si="176"/>
        <v>0</v>
      </c>
      <c r="CM226" s="186">
        <f t="shared" si="177"/>
        <v>0</v>
      </c>
      <c r="CN226" s="185" t="e">
        <f t="shared" si="178"/>
        <v>#DIV/0!</v>
      </c>
      <c r="CO226" s="245"/>
      <c r="CP226" s="188">
        <f t="shared" si="179"/>
        <v>0</v>
      </c>
      <c r="CQ226" s="188">
        <f t="shared" si="180"/>
        <v>0</v>
      </c>
      <c r="CR226" s="191" t="e">
        <f t="shared" si="181"/>
        <v>#DIV/0!</v>
      </c>
      <c r="CS226" s="279">
        <f t="shared" si="155"/>
        <v>29</v>
      </c>
      <c r="CT226" s="245"/>
      <c r="CU226" s="188">
        <f t="shared" si="156"/>
        <v>8.6999999999999993</v>
      </c>
      <c r="CV226" s="277"/>
      <c r="CW226" s="191">
        <f t="shared" si="157"/>
        <v>0</v>
      </c>
      <c r="CX226" s="188">
        <f t="shared" si="158"/>
        <v>8.6999999999999993</v>
      </c>
      <c r="CY226" s="277"/>
      <c r="CZ226" s="191">
        <f t="shared" si="159"/>
        <v>0</v>
      </c>
      <c r="DA226" s="188">
        <f t="shared" si="160"/>
        <v>8.6999999999999993</v>
      </c>
      <c r="DB226" s="277"/>
      <c r="DC226" s="191">
        <f t="shared" si="161"/>
        <v>0</v>
      </c>
      <c r="DD226" s="188">
        <f t="shared" si="162"/>
        <v>2.9000000000000004</v>
      </c>
      <c r="DE226" s="277"/>
      <c r="DF226" s="191">
        <f t="shared" si="163"/>
        <v>0</v>
      </c>
      <c r="DG226" s="245"/>
      <c r="DH226" s="188">
        <f t="shared" si="164"/>
        <v>29</v>
      </c>
      <c r="DI226" s="188">
        <f t="shared" si="165"/>
        <v>0</v>
      </c>
      <c r="DJ226" s="191">
        <f t="shared" si="166"/>
        <v>0</v>
      </c>
      <c r="DK226" s="286">
        <f t="shared" si="167"/>
        <v>29</v>
      </c>
      <c r="DM226" s="244">
        <f>+A226-DL226</f>
        <v>222</v>
      </c>
    </row>
    <row r="227" spans="1:117" x14ac:dyDescent="0.35">
      <c r="A227" s="81">
        <v>223</v>
      </c>
      <c r="B227" s="102" t="s">
        <v>693</v>
      </c>
      <c r="C227" s="102" t="s">
        <v>685</v>
      </c>
      <c r="D227" s="102" t="s">
        <v>613</v>
      </c>
      <c r="E227" s="102" t="s">
        <v>694</v>
      </c>
      <c r="F227" s="102" t="s">
        <v>695</v>
      </c>
      <c r="G227" s="98" t="s">
        <v>688</v>
      </c>
      <c r="H227" s="98" t="s">
        <v>688</v>
      </c>
      <c r="I227" s="98" t="s">
        <v>689</v>
      </c>
      <c r="J227" s="98" t="s">
        <v>696</v>
      </c>
      <c r="K227" s="96" t="s">
        <v>665</v>
      </c>
      <c r="L227" s="96" t="s">
        <v>105</v>
      </c>
      <c r="M227" s="98" t="s">
        <v>106</v>
      </c>
      <c r="N227" s="98" t="s">
        <v>697</v>
      </c>
      <c r="O227" s="98" t="s">
        <v>665</v>
      </c>
      <c r="P227" s="98" t="s">
        <v>698</v>
      </c>
      <c r="Q227" s="98" t="s">
        <v>129</v>
      </c>
      <c r="R227" s="301">
        <v>29</v>
      </c>
      <c r="S227" s="99" t="s">
        <v>673</v>
      </c>
      <c r="T227" s="81">
        <v>0</v>
      </c>
      <c r="U227" s="81">
        <v>0</v>
      </c>
      <c r="V227" s="25" t="e">
        <f t="shared" si="143"/>
        <v>#DIV/0!</v>
      </c>
      <c r="W227" s="81">
        <v>5</v>
      </c>
      <c r="X227" s="81">
        <v>0</v>
      </c>
      <c r="Y227" s="25">
        <f t="shared" si="1"/>
        <v>0</v>
      </c>
      <c r="Z227" s="81">
        <v>13</v>
      </c>
      <c r="AA227" s="81"/>
      <c r="AB227" s="25">
        <f t="shared" si="2"/>
        <v>0</v>
      </c>
      <c r="AC227" s="81">
        <v>11</v>
      </c>
      <c r="AD227" s="81"/>
      <c r="AE227" s="25">
        <f t="shared" si="3"/>
        <v>0</v>
      </c>
      <c r="AF227" s="140">
        <f t="shared" si="168"/>
        <v>29</v>
      </c>
      <c r="AG227" s="140">
        <f t="shared" si="169"/>
        <v>0</v>
      </c>
      <c r="AH227" s="138">
        <f t="shared" si="125"/>
        <v>0</v>
      </c>
      <c r="AI227" s="101">
        <v>46113</v>
      </c>
      <c r="AJ227" s="101">
        <v>46477</v>
      </c>
      <c r="AK227" s="102"/>
      <c r="AL227" s="322"/>
      <c r="AM227" s="323"/>
      <c r="AN227" s="324"/>
      <c r="AO227" s="324"/>
      <c r="AP227" s="324"/>
      <c r="AQ227" s="326"/>
      <c r="AR227" s="102" t="s">
        <v>699</v>
      </c>
      <c r="AS227" s="102" t="s">
        <v>676</v>
      </c>
      <c r="AT227" s="152" t="s">
        <v>674</v>
      </c>
      <c r="AU227" s="166" t="s">
        <v>2264</v>
      </c>
      <c r="AV227" s="247" t="s">
        <v>2262</v>
      </c>
      <c r="AX227" s="136" t="s">
        <v>2377</v>
      </c>
      <c r="AY227" s="136" t="s">
        <v>2376</v>
      </c>
      <c r="BA227" s="183">
        <v>0</v>
      </c>
      <c r="BB227" s="184">
        <v>0</v>
      </c>
      <c r="BC227" s="209" t="e">
        <f t="shared" si="144"/>
        <v>#DIV/0!</v>
      </c>
      <c r="BD227" s="183">
        <v>0</v>
      </c>
      <c r="BE227" s="184">
        <v>0</v>
      </c>
      <c r="BF227" s="209" t="e">
        <f t="shared" si="145"/>
        <v>#DIV/0!</v>
      </c>
      <c r="BG227" s="183">
        <v>0</v>
      </c>
      <c r="BH227" s="184">
        <v>0</v>
      </c>
      <c r="BI227" s="209" t="e">
        <f t="shared" si="146"/>
        <v>#DIV/0!</v>
      </c>
      <c r="BJ227" s="210">
        <f t="shared" si="147"/>
        <v>0</v>
      </c>
      <c r="BK227" s="211">
        <f t="shared" si="148"/>
        <v>0</v>
      </c>
      <c r="BL227" s="209" t="e">
        <f t="shared" si="149"/>
        <v>#DIV/0!</v>
      </c>
      <c r="BM227" s="183">
        <v>0</v>
      </c>
      <c r="BN227" s="184">
        <v>0</v>
      </c>
      <c r="BO227" s="185" t="e">
        <f t="shared" si="170"/>
        <v>#DIV/0!</v>
      </c>
      <c r="BP227" s="183">
        <v>0</v>
      </c>
      <c r="BQ227" s="184">
        <v>0</v>
      </c>
      <c r="BR227" s="185" t="e">
        <f t="shared" si="171"/>
        <v>#DIV/0!</v>
      </c>
      <c r="BS227" s="183">
        <v>0</v>
      </c>
      <c r="BT227" s="184">
        <v>0</v>
      </c>
      <c r="BU227" s="185" t="e">
        <f t="shared" si="172"/>
        <v>#DIV/0!</v>
      </c>
      <c r="BV227" s="210">
        <f t="shared" si="150"/>
        <v>0</v>
      </c>
      <c r="BW227" s="210">
        <f t="shared" si="151"/>
        <v>0</v>
      </c>
      <c r="BX227" s="209" t="e">
        <f t="shared" si="152"/>
        <v>#DIV/0!</v>
      </c>
      <c r="BY227" s="209">
        <f t="shared" si="153"/>
        <v>0</v>
      </c>
      <c r="BZ227" s="209">
        <f t="shared" si="154"/>
        <v>0</v>
      </c>
      <c r="CA227" s="188"/>
      <c r="CB227" s="245"/>
      <c r="CC227" s="183">
        <v>0</v>
      </c>
      <c r="CD227" s="184">
        <v>0</v>
      </c>
      <c r="CE227" s="185" t="e">
        <f t="shared" si="173"/>
        <v>#DIV/0!</v>
      </c>
      <c r="CF227" s="183">
        <v>0</v>
      </c>
      <c r="CG227" s="184">
        <v>0</v>
      </c>
      <c r="CH227" s="185" t="e">
        <f t="shared" si="174"/>
        <v>#DIV/0!</v>
      </c>
      <c r="CI227" s="189"/>
      <c r="CJ227" s="190"/>
      <c r="CK227" s="185" t="e">
        <f t="shared" si="175"/>
        <v>#DIV/0!</v>
      </c>
      <c r="CL227" s="187">
        <f t="shared" si="176"/>
        <v>0</v>
      </c>
      <c r="CM227" s="186">
        <f t="shared" si="177"/>
        <v>0</v>
      </c>
      <c r="CN227" s="185" t="e">
        <f t="shared" si="178"/>
        <v>#DIV/0!</v>
      </c>
      <c r="CO227" s="245"/>
      <c r="CP227" s="188">
        <f t="shared" si="179"/>
        <v>0</v>
      </c>
      <c r="CQ227" s="188">
        <f t="shared" si="180"/>
        <v>0</v>
      </c>
      <c r="CR227" s="191" t="e">
        <f t="shared" si="181"/>
        <v>#DIV/0!</v>
      </c>
      <c r="CS227" s="279">
        <f t="shared" si="155"/>
        <v>29</v>
      </c>
      <c r="CT227" s="245"/>
      <c r="CU227" s="188">
        <f t="shared" si="156"/>
        <v>8.6999999999999993</v>
      </c>
      <c r="CV227" s="277"/>
      <c r="CW227" s="191">
        <f t="shared" si="157"/>
        <v>0</v>
      </c>
      <c r="CX227" s="188">
        <f t="shared" si="158"/>
        <v>8.6999999999999993</v>
      </c>
      <c r="CY227" s="277"/>
      <c r="CZ227" s="191">
        <f t="shared" si="159"/>
        <v>0</v>
      </c>
      <c r="DA227" s="188">
        <f t="shared" si="160"/>
        <v>8.6999999999999993</v>
      </c>
      <c r="DB227" s="277"/>
      <c r="DC227" s="191">
        <f t="shared" si="161"/>
        <v>0</v>
      </c>
      <c r="DD227" s="188">
        <f t="shared" si="162"/>
        <v>2.9000000000000004</v>
      </c>
      <c r="DE227" s="277"/>
      <c r="DF227" s="191">
        <f t="shared" si="163"/>
        <v>0</v>
      </c>
      <c r="DG227" s="245"/>
      <c r="DH227" s="188">
        <f t="shared" si="164"/>
        <v>29</v>
      </c>
      <c r="DI227" s="188">
        <f t="shared" si="165"/>
        <v>0</v>
      </c>
      <c r="DJ227" s="191">
        <f t="shared" si="166"/>
        <v>0</v>
      </c>
      <c r="DK227" s="286">
        <f t="shared" si="167"/>
        <v>29</v>
      </c>
    </row>
    <row r="228" spans="1:117" x14ac:dyDescent="0.35">
      <c r="A228" s="81">
        <v>224</v>
      </c>
      <c r="B228" s="102" t="s">
        <v>270</v>
      </c>
      <c r="C228" s="102" t="s">
        <v>685</v>
      </c>
      <c r="D228" s="102" t="s">
        <v>613</v>
      </c>
      <c r="E228" s="102" t="s">
        <v>694</v>
      </c>
      <c r="F228" s="102" t="s">
        <v>695</v>
      </c>
      <c r="G228" s="98" t="s">
        <v>688</v>
      </c>
      <c r="H228" s="98" t="s">
        <v>700</v>
      </c>
      <c r="I228" s="98" t="s">
        <v>701</v>
      </c>
      <c r="J228" s="98" t="s">
        <v>702</v>
      </c>
      <c r="K228" s="96" t="s">
        <v>665</v>
      </c>
      <c r="L228" s="96" t="s">
        <v>105</v>
      </c>
      <c r="M228" s="98" t="s">
        <v>106</v>
      </c>
      <c r="N228" s="98" t="s">
        <v>702</v>
      </c>
      <c r="O228" s="98" t="s">
        <v>665</v>
      </c>
      <c r="P228" s="98" t="s">
        <v>703</v>
      </c>
      <c r="Q228" s="98" t="s">
        <v>129</v>
      </c>
      <c r="R228" s="301">
        <v>29</v>
      </c>
      <c r="S228" s="99" t="s">
        <v>673</v>
      </c>
      <c r="T228" s="81">
        <v>0</v>
      </c>
      <c r="U228" s="81">
        <v>0</v>
      </c>
      <c r="V228" s="25" t="e">
        <f t="shared" si="143"/>
        <v>#DIV/0!</v>
      </c>
      <c r="W228" s="81">
        <v>5</v>
      </c>
      <c r="X228" s="81">
        <v>0</v>
      </c>
      <c r="Y228" s="25">
        <f t="shared" si="1"/>
        <v>0</v>
      </c>
      <c r="Z228" s="81">
        <v>13</v>
      </c>
      <c r="AA228" s="81"/>
      <c r="AB228" s="25">
        <f t="shared" si="2"/>
        <v>0</v>
      </c>
      <c r="AC228" s="81">
        <v>11</v>
      </c>
      <c r="AD228" s="81"/>
      <c r="AE228" s="25">
        <f t="shared" si="3"/>
        <v>0</v>
      </c>
      <c r="AF228" s="140">
        <f t="shared" si="168"/>
        <v>29</v>
      </c>
      <c r="AG228" s="140">
        <f t="shared" si="169"/>
        <v>0</v>
      </c>
      <c r="AH228" s="138">
        <f t="shared" si="125"/>
        <v>0</v>
      </c>
      <c r="AI228" s="101">
        <v>46113</v>
      </c>
      <c r="AJ228" s="101">
        <v>46477</v>
      </c>
      <c r="AK228" s="102"/>
      <c r="AL228" s="322"/>
      <c r="AM228" s="323"/>
      <c r="AN228" s="324"/>
      <c r="AO228" s="324"/>
      <c r="AP228" s="324"/>
      <c r="AQ228" s="326"/>
      <c r="AR228" s="102" t="s">
        <v>115</v>
      </c>
      <c r="AS228" s="102"/>
      <c r="AT228" s="152" t="s">
        <v>674</v>
      </c>
      <c r="AU228" s="166" t="s">
        <v>2264</v>
      </c>
      <c r="AV228" s="247" t="s">
        <v>2262</v>
      </c>
      <c r="AX228" s="136" t="s">
        <v>2377</v>
      </c>
      <c r="AY228" s="136" t="s">
        <v>2376</v>
      </c>
      <c r="BA228" s="183">
        <v>0</v>
      </c>
      <c r="BB228" s="184">
        <v>0</v>
      </c>
      <c r="BC228" s="209" t="e">
        <f t="shared" si="144"/>
        <v>#DIV/0!</v>
      </c>
      <c r="BD228" s="183">
        <v>0</v>
      </c>
      <c r="BE228" s="184">
        <v>0</v>
      </c>
      <c r="BF228" s="209" t="e">
        <f t="shared" si="145"/>
        <v>#DIV/0!</v>
      </c>
      <c r="BG228" s="183">
        <v>0</v>
      </c>
      <c r="BH228" s="184">
        <v>0</v>
      </c>
      <c r="BI228" s="209" t="e">
        <f t="shared" si="146"/>
        <v>#DIV/0!</v>
      </c>
      <c r="BJ228" s="210">
        <f t="shared" si="147"/>
        <v>0</v>
      </c>
      <c r="BK228" s="211">
        <f t="shared" si="148"/>
        <v>0</v>
      </c>
      <c r="BL228" s="209" t="e">
        <f t="shared" si="149"/>
        <v>#DIV/0!</v>
      </c>
      <c r="BM228" s="183">
        <v>0</v>
      </c>
      <c r="BN228" s="184">
        <v>0</v>
      </c>
      <c r="BO228" s="185" t="e">
        <f t="shared" si="170"/>
        <v>#DIV/0!</v>
      </c>
      <c r="BP228" s="183">
        <v>0</v>
      </c>
      <c r="BQ228" s="184">
        <v>0</v>
      </c>
      <c r="BR228" s="185" t="e">
        <f t="shared" si="171"/>
        <v>#DIV/0!</v>
      </c>
      <c r="BS228" s="183">
        <v>0</v>
      </c>
      <c r="BT228" s="184">
        <v>0</v>
      </c>
      <c r="BU228" s="185" t="e">
        <f t="shared" si="172"/>
        <v>#DIV/0!</v>
      </c>
      <c r="BV228" s="210">
        <f t="shared" si="150"/>
        <v>0</v>
      </c>
      <c r="BW228" s="210">
        <f t="shared" si="151"/>
        <v>0</v>
      </c>
      <c r="BX228" s="209" t="e">
        <f t="shared" si="152"/>
        <v>#DIV/0!</v>
      </c>
      <c r="BY228" s="209">
        <f t="shared" si="153"/>
        <v>0</v>
      </c>
      <c r="BZ228" s="209">
        <f t="shared" si="154"/>
        <v>0</v>
      </c>
      <c r="CA228" s="188"/>
      <c r="CB228" s="245"/>
      <c r="CC228" s="183">
        <v>0</v>
      </c>
      <c r="CD228" s="184">
        <v>0</v>
      </c>
      <c r="CE228" s="185" t="e">
        <f t="shared" si="173"/>
        <v>#DIV/0!</v>
      </c>
      <c r="CF228" s="183">
        <v>0</v>
      </c>
      <c r="CG228" s="184">
        <v>0</v>
      </c>
      <c r="CH228" s="185" t="e">
        <f t="shared" si="174"/>
        <v>#DIV/0!</v>
      </c>
      <c r="CI228" s="189"/>
      <c r="CJ228" s="190"/>
      <c r="CK228" s="185" t="e">
        <f t="shared" si="175"/>
        <v>#DIV/0!</v>
      </c>
      <c r="CL228" s="187">
        <f t="shared" si="176"/>
        <v>0</v>
      </c>
      <c r="CM228" s="186">
        <f t="shared" si="177"/>
        <v>0</v>
      </c>
      <c r="CN228" s="185" t="e">
        <f t="shared" si="178"/>
        <v>#DIV/0!</v>
      </c>
      <c r="CO228" s="245"/>
      <c r="CP228" s="188">
        <f t="shared" si="179"/>
        <v>0</v>
      </c>
      <c r="CQ228" s="188">
        <f t="shared" si="180"/>
        <v>0</v>
      </c>
      <c r="CR228" s="191" t="e">
        <f t="shared" si="181"/>
        <v>#DIV/0!</v>
      </c>
      <c r="CS228" s="279">
        <f t="shared" si="155"/>
        <v>29</v>
      </c>
      <c r="CT228" s="245"/>
      <c r="CU228" s="188">
        <f t="shared" si="156"/>
        <v>8.6999999999999993</v>
      </c>
      <c r="CV228" s="277"/>
      <c r="CW228" s="191">
        <f t="shared" si="157"/>
        <v>0</v>
      </c>
      <c r="CX228" s="188">
        <f t="shared" si="158"/>
        <v>8.6999999999999993</v>
      </c>
      <c r="CY228" s="277"/>
      <c r="CZ228" s="191">
        <f t="shared" si="159"/>
        <v>0</v>
      </c>
      <c r="DA228" s="188">
        <f t="shared" si="160"/>
        <v>8.6999999999999993</v>
      </c>
      <c r="DB228" s="277"/>
      <c r="DC228" s="191">
        <f t="shared" si="161"/>
        <v>0</v>
      </c>
      <c r="DD228" s="188">
        <f t="shared" si="162"/>
        <v>2.9000000000000004</v>
      </c>
      <c r="DE228" s="277"/>
      <c r="DF228" s="191">
        <f t="shared" si="163"/>
        <v>0</v>
      </c>
      <c r="DG228" s="245"/>
      <c r="DH228" s="188">
        <f t="shared" si="164"/>
        <v>29</v>
      </c>
      <c r="DI228" s="188">
        <f t="shared" si="165"/>
        <v>0</v>
      </c>
      <c r="DJ228" s="191">
        <f t="shared" si="166"/>
        <v>0</v>
      </c>
      <c r="DK228" s="286">
        <f t="shared" si="167"/>
        <v>29</v>
      </c>
    </row>
    <row r="229" spans="1:117" x14ac:dyDescent="0.35">
      <c r="A229" s="81">
        <v>225</v>
      </c>
      <c r="B229" s="102" t="s">
        <v>684</v>
      </c>
      <c r="C229" s="102" t="s">
        <v>685</v>
      </c>
      <c r="D229" s="102" t="s">
        <v>613</v>
      </c>
      <c r="E229" s="102" t="s">
        <v>694</v>
      </c>
      <c r="F229" s="102" t="s">
        <v>695</v>
      </c>
      <c r="G229" s="98" t="s">
        <v>688</v>
      </c>
      <c r="H229" s="98" t="s">
        <v>700</v>
      </c>
      <c r="I229" s="98" t="s">
        <v>704</v>
      </c>
      <c r="J229" s="98" t="s">
        <v>705</v>
      </c>
      <c r="K229" s="96" t="s">
        <v>665</v>
      </c>
      <c r="L229" s="96" t="s">
        <v>105</v>
      </c>
      <c r="M229" s="98" t="s">
        <v>106</v>
      </c>
      <c r="N229" s="98" t="s">
        <v>706</v>
      </c>
      <c r="O229" s="98" t="s">
        <v>665</v>
      </c>
      <c r="P229" s="98" t="s">
        <v>707</v>
      </c>
      <c r="Q229" s="98" t="s">
        <v>129</v>
      </c>
      <c r="R229" s="301">
        <v>29</v>
      </c>
      <c r="S229" s="99" t="s">
        <v>673</v>
      </c>
      <c r="T229" s="81">
        <v>0</v>
      </c>
      <c r="U229" s="81">
        <v>0</v>
      </c>
      <c r="V229" s="25" t="e">
        <f t="shared" si="143"/>
        <v>#DIV/0!</v>
      </c>
      <c r="W229" s="81">
        <v>5</v>
      </c>
      <c r="X229" s="81">
        <v>0</v>
      </c>
      <c r="Y229" s="25">
        <f t="shared" si="1"/>
        <v>0</v>
      </c>
      <c r="Z229" s="81">
        <v>13</v>
      </c>
      <c r="AA229" s="81"/>
      <c r="AB229" s="25">
        <f t="shared" si="2"/>
        <v>0</v>
      </c>
      <c r="AC229" s="81">
        <v>11</v>
      </c>
      <c r="AD229" s="81"/>
      <c r="AE229" s="25">
        <f t="shared" si="3"/>
        <v>0</v>
      </c>
      <c r="AF229" s="140">
        <f t="shared" si="168"/>
        <v>29</v>
      </c>
      <c r="AG229" s="140">
        <f t="shared" si="169"/>
        <v>0</v>
      </c>
      <c r="AH229" s="138">
        <f t="shared" si="125"/>
        <v>0</v>
      </c>
      <c r="AI229" s="101">
        <v>46113</v>
      </c>
      <c r="AJ229" s="101">
        <v>46477</v>
      </c>
      <c r="AK229" s="102"/>
      <c r="AL229" s="102" t="s">
        <v>113</v>
      </c>
      <c r="AM229" s="103" t="s">
        <v>114</v>
      </c>
      <c r="AN229" s="324"/>
      <c r="AO229" s="324"/>
      <c r="AP229" s="324"/>
      <c r="AQ229" s="326"/>
      <c r="AR229" s="102" t="s">
        <v>699</v>
      </c>
      <c r="AS229" s="102"/>
      <c r="AT229" s="152" t="s">
        <v>674</v>
      </c>
      <c r="AU229" s="166" t="s">
        <v>2264</v>
      </c>
      <c r="AV229" s="247" t="s">
        <v>2262</v>
      </c>
      <c r="AX229" s="136" t="s">
        <v>2377</v>
      </c>
      <c r="AY229" s="136" t="s">
        <v>2376</v>
      </c>
      <c r="BA229" s="183">
        <v>0</v>
      </c>
      <c r="BB229" s="184">
        <v>0</v>
      </c>
      <c r="BC229" s="209" t="e">
        <f t="shared" si="144"/>
        <v>#DIV/0!</v>
      </c>
      <c r="BD229" s="183">
        <v>0</v>
      </c>
      <c r="BE229" s="184">
        <v>0</v>
      </c>
      <c r="BF229" s="209" t="e">
        <f t="shared" si="145"/>
        <v>#DIV/0!</v>
      </c>
      <c r="BG229" s="183">
        <v>0</v>
      </c>
      <c r="BH229" s="184">
        <v>0</v>
      </c>
      <c r="BI229" s="209" t="e">
        <f t="shared" si="146"/>
        <v>#DIV/0!</v>
      </c>
      <c r="BJ229" s="210">
        <f t="shared" si="147"/>
        <v>0</v>
      </c>
      <c r="BK229" s="211">
        <f t="shared" si="148"/>
        <v>0</v>
      </c>
      <c r="BL229" s="209" t="e">
        <f t="shared" si="149"/>
        <v>#DIV/0!</v>
      </c>
      <c r="BM229" s="183">
        <v>0</v>
      </c>
      <c r="BN229" s="184">
        <v>0</v>
      </c>
      <c r="BO229" s="185" t="e">
        <f t="shared" si="170"/>
        <v>#DIV/0!</v>
      </c>
      <c r="BP229" s="183">
        <v>0</v>
      </c>
      <c r="BQ229" s="184">
        <v>0</v>
      </c>
      <c r="BR229" s="185" t="e">
        <f t="shared" si="171"/>
        <v>#DIV/0!</v>
      </c>
      <c r="BS229" s="183">
        <v>0</v>
      </c>
      <c r="BT229" s="184">
        <v>0</v>
      </c>
      <c r="BU229" s="185" t="e">
        <f t="shared" si="172"/>
        <v>#DIV/0!</v>
      </c>
      <c r="BV229" s="210">
        <f t="shared" si="150"/>
        <v>0</v>
      </c>
      <c r="BW229" s="210">
        <f t="shared" si="151"/>
        <v>0</v>
      </c>
      <c r="BX229" s="209" t="e">
        <f t="shared" si="152"/>
        <v>#DIV/0!</v>
      </c>
      <c r="BY229" s="209">
        <f t="shared" si="153"/>
        <v>0</v>
      </c>
      <c r="BZ229" s="209">
        <f t="shared" si="154"/>
        <v>0</v>
      </c>
      <c r="CA229" s="188"/>
      <c r="CB229" s="245"/>
      <c r="CC229" s="183">
        <v>0</v>
      </c>
      <c r="CD229" s="184">
        <v>0</v>
      </c>
      <c r="CE229" s="185" t="e">
        <f t="shared" si="173"/>
        <v>#DIV/0!</v>
      </c>
      <c r="CF229" s="183">
        <v>0</v>
      </c>
      <c r="CG229" s="184">
        <v>0</v>
      </c>
      <c r="CH229" s="185" t="e">
        <f t="shared" si="174"/>
        <v>#DIV/0!</v>
      </c>
      <c r="CI229" s="189"/>
      <c r="CJ229" s="190"/>
      <c r="CK229" s="185" t="e">
        <f t="shared" si="175"/>
        <v>#DIV/0!</v>
      </c>
      <c r="CL229" s="187">
        <f t="shared" si="176"/>
        <v>0</v>
      </c>
      <c r="CM229" s="186">
        <f t="shared" si="177"/>
        <v>0</v>
      </c>
      <c r="CN229" s="185" t="e">
        <f t="shared" si="178"/>
        <v>#DIV/0!</v>
      </c>
      <c r="CO229" s="245"/>
      <c r="CP229" s="188">
        <f t="shared" si="179"/>
        <v>0</v>
      </c>
      <c r="CQ229" s="188">
        <f t="shared" si="180"/>
        <v>0</v>
      </c>
      <c r="CR229" s="191" t="e">
        <f t="shared" si="181"/>
        <v>#DIV/0!</v>
      </c>
      <c r="CS229" s="279">
        <f t="shared" si="155"/>
        <v>29</v>
      </c>
      <c r="CT229" s="245"/>
      <c r="CU229" s="188">
        <f t="shared" si="156"/>
        <v>8.6999999999999993</v>
      </c>
      <c r="CV229" s="277"/>
      <c r="CW229" s="191">
        <f t="shared" si="157"/>
        <v>0</v>
      </c>
      <c r="CX229" s="188">
        <f t="shared" si="158"/>
        <v>8.6999999999999993</v>
      </c>
      <c r="CY229" s="277"/>
      <c r="CZ229" s="191">
        <f t="shared" si="159"/>
        <v>0</v>
      </c>
      <c r="DA229" s="188">
        <f t="shared" si="160"/>
        <v>8.6999999999999993</v>
      </c>
      <c r="DB229" s="277"/>
      <c r="DC229" s="191">
        <f t="shared" si="161"/>
        <v>0</v>
      </c>
      <c r="DD229" s="188">
        <f t="shared" si="162"/>
        <v>2.9000000000000004</v>
      </c>
      <c r="DE229" s="277"/>
      <c r="DF229" s="191">
        <f t="shared" si="163"/>
        <v>0</v>
      </c>
      <c r="DG229" s="245"/>
      <c r="DH229" s="188">
        <f t="shared" si="164"/>
        <v>29</v>
      </c>
      <c r="DI229" s="188">
        <f t="shared" si="165"/>
        <v>0</v>
      </c>
      <c r="DJ229" s="191">
        <f t="shared" si="166"/>
        <v>0</v>
      </c>
      <c r="DK229" s="286">
        <f t="shared" si="167"/>
        <v>29</v>
      </c>
    </row>
    <row r="230" spans="1:117" x14ac:dyDescent="0.35">
      <c r="A230" s="81">
        <v>226</v>
      </c>
      <c r="B230" s="102" t="s">
        <v>708</v>
      </c>
      <c r="C230" s="102" t="s">
        <v>118</v>
      </c>
      <c r="D230" s="102" t="s">
        <v>119</v>
      </c>
      <c r="E230" s="102" t="s">
        <v>709</v>
      </c>
      <c r="F230" s="102" t="s">
        <v>710</v>
      </c>
      <c r="G230" s="98" t="s">
        <v>711</v>
      </c>
      <c r="H230" s="98" t="s">
        <v>712</v>
      </c>
      <c r="I230" s="98" t="s">
        <v>103</v>
      </c>
      <c r="J230" s="98" t="s">
        <v>713</v>
      </c>
      <c r="K230" s="96" t="s">
        <v>714</v>
      </c>
      <c r="L230" s="96" t="s">
        <v>715</v>
      </c>
      <c r="M230" s="112">
        <v>2020002470037</v>
      </c>
      <c r="N230" s="98" t="s">
        <v>716</v>
      </c>
      <c r="O230" s="98" t="s">
        <v>659</v>
      </c>
      <c r="P230" s="98" t="s">
        <v>717</v>
      </c>
      <c r="Q230" s="98" t="s">
        <v>129</v>
      </c>
      <c r="R230" s="301">
        <v>4</v>
      </c>
      <c r="S230" s="99" t="s">
        <v>111</v>
      </c>
      <c r="T230" s="81"/>
      <c r="U230" s="81"/>
      <c r="V230" s="25" t="e">
        <f t="shared" si="143"/>
        <v>#DIV/0!</v>
      </c>
      <c r="W230" s="81">
        <v>5</v>
      </c>
      <c r="X230" s="81"/>
      <c r="Y230" s="25">
        <f t="shared" si="1"/>
        <v>0</v>
      </c>
      <c r="Z230" s="81">
        <v>13</v>
      </c>
      <c r="AA230" s="81"/>
      <c r="AB230" s="25">
        <f t="shared" si="2"/>
        <v>0</v>
      </c>
      <c r="AC230" s="81">
        <v>11</v>
      </c>
      <c r="AD230" s="81"/>
      <c r="AE230" s="25">
        <f t="shared" si="3"/>
        <v>0</v>
      </c>
      <c r="AF230" s="140">
        <f t="shared" si="168"/>
        <v>4</v>
      </c>
      <c r="AG230" s="140">
        <f t="shared" si="169"/>
        <v>0</v>
      </c>
      <c r="AH230" s="138">
        <f t="shared" si="125"/>
        <v>0</v>
      </c>
      <c r="AI230" s="101">
        <v>46113</v>
      </c>
      <c r="AJ230" s="101">
        <v>46477</v>
      </c>
      <c r="AK230" s="102"/>
      <c r="AL230" s="322"/>
      <c r="AM230" s="323"/>
      <c r="AN230" s="104">
        <v>10826626481</v>
      </c>
      <c r="AO230" s="104">
        <v>10826626481</v>
      </c>
      <c r="AP230" s="104">
        <v>10826626481</v>
      </c>
      <c r="AQ230" s="326">
        <v>0</v>
      </c>
      <c r="AR230" s="102" t="s">
        <v>115</v>
      </c>
      <c r="AS230" s="102"/>
      <c r="AT230" s="151" t="s">
        <v>718</v>
      </c>
      <c r="AU230" s="102" t="s">
        <v>2264</v>
      </c>
      <c r="AV230" s="247" t="s">
        <v>2238</v>
      </c>
      <c r="AX230" s="136" t="s">
        <v>2384</v>
      </c>
      <c r="AY230" s="136" t="s">
        <v>2376</v>
      </c>
      <c r="BA230" s="183">
        <v>0</v>
      </c>
      <c r="BB230" s="184">
        <v>0</v>
      </c>
      <c r="BC230" s="209" t="e">
        <f t="shared" si="144"/>
        <v>#DIV/0!</v>
      </c>
      <c r="BD230" s="183">
        <v>1</v>
      </c>
      <c r="BE230" s="184">
        <v>1</v>
      </c>
      <c r="BF230" s="209">
        <f t="shared" si="145"/>
        <v>1</v>
      </c>
      <c r="BG230" s="183">
        <v>0</v>
      </c>
      <c r="BH230" s="184">
        <v>0</v>
      </c>
      <c r="BI230" s="209" t="e">
        <f t="shared" si="146"/>
        <v>#DIV/0!</v>
      </c>
      <c r="BJ230" s="210">
        <f t="shared" si="147"/>
        <v>1</v>
      </c>
      <c r="BK230" s="211">
        <f t="shared" si="148"/>
        <v>1</v>
      </c>
      <c r="BL230" s="209">
        <f t="shared" si="149"/>
        <v>1</v>
      </c>
      <c r="BM230" s="183">
        <v>0</v>
      </c>
      <c r="BN230" s="184">
        <v>0</v>
      </c>
      <c r="BO230" s="185" t="e">
        <f t="shared" si="170"/>
        <v>#DIV/0!</v>
      </c>
      <c r="BP230" s="183">
        <v>1</v>
      </c>
      <c r="BQ230" s="184">
        <v>1</v>
      </c>
      <c r="BR230" s="185">
        <f t="shared" si="171"/>
        <v>1</v>
      </c>
      <c r="BS230" s="183">
        <v>0</v>
      </c>
      <c r="BT230" s="184">
        <v>0</v>
      </c>
      <c r="BU230" s="185" t="e">
        <f t="shared" si="172"/>
        <v>#DIV/0!</v>
      </c>
      <c r="BV230" s="210">
        <f t="shared" si="150"/>
        <v>1</v>
      </c>
      <c r="BW230" s="210">
        <f t="shared" si="151"/>
        <v>1</v>
      </c>
      <c r="BX230" s="209">
        <f t="shared" si="152"/>
        <v>1</v>
      </c>
      <c r="BY230" s="209">
        <f t="shared" si="153"/>
        <v>0.5</v>
      </c>
      <c r="BZ230" s="209">
        <f t="shared" si="154"/>
        <v>-0.5</v>
      </c>
      <c r="CA230" s="188"/>
      <c r="CB230" s="245"/>
      <c r="CC230" s="183"/>
      <c r="CD230" s="184"/>
      <c r="CE230" s="185" t="e">
        <f t="shared" si="173"/>
        <v>#DIV/0!</v>
      </c>
      <c r="CF230" s="183">
        <v>1</v>
      </c>
      <c r="CG230" s="184">
        <v>1</v>
      </c>
      <c r="CH230" s="185">
        <f t="shared" si="174"/>
        <v>1</v>
      </c>
      <c r="CI230" s="189"/>
      <c r="CJ230" s="190"/>
      <c r="CK230" s="185" t="e">
        <f t="shared" si="175"/>
        <v>#DIV/0!</v>
      </c>
      <c r="CL230" s="187">
        <f t="shared" si="176"/>
        <v>1</v>
      </c>
      <c r="CM230" s="186">
        <f t="shared" si="177"/>
        <v>1</v>
      </c>
      <c r="CN230" s="185">
        <f t="shared" si="178"/>
        <v>1</v>
      </c>
      <c r="CO230" s="245"/>
      <c r="CP230" s="188">
        <f t="shared" si="179"/>
        <v>3</v>
      </c>
      <c r="CQ230" s="188">
        <f t="shared" si="180"/>
        <v>3</v>
      </c>
      <c r="CR230" s="191">
        <f t="shared" si="181"/>
        <v>1</v>
      </c>
      <c r="CS230" s="279">
        <f t="shared" si="155"/>
        <v>1</v>
      </c>
      <c r="CT230" s="245"/>
      <c r="CU230" s="188">
        <f t="shared" si="156"/>
        <v>0.3</v>
      </c>
      <c r="CV230" s="277"/>
      <c r="CW230" s="191">
        <f t="shared" si="157"/>
        <v>0</v>
      </c>
      <c r="CX230" s="188">
        <f t="shared" si="158"/>
        <v>0.3</v>
      </c>
      <c r="CY230" s="277"/>
      <c r="CZ230" s="191">
        <f t="shared" si="159"/>
        <v>0</v>
      </c>
      <c r="DA230" s="188">
        <v>1</v>
      </c>
      <c r="DB230" s="277"/>
      <c r="DC230" s="191">
        <f t="shared" si="161"/>
        <v>0</v>
      </c>
      <c r="DD230" s="188">
        <f t="shared" si="162"/>
        <v>0.1</v>
      </c>
      <c r="DE230" s="277"/>
      <c r="DF230" s="191">
        <f t="shared" si="163"/>
        <v>0</v>
      </c>
      <c r="DG230" s="245"/>
      <c r="DH230" s="188">
        <f t="shared" si="164"/>
        <v>4</v>
      </c>
      <c r="DI230" s="188">
        <f t="shared" si="165"/>
        <v>3</v>
      </c>
      <c r="DJ230" s="191">
        <f t="shared" si="166"/>
        <v>0.75</v>
      </c>
      <c r="DK230" s="286">
        <f t="shared" si="167"/>
        <v>1</v>
      </c>
    </row>
    <row r="231" spans="1:117" x14ac:dyDescent="0.35">
      <c r="A231" s="81">
        <v>227</v>
      </c>
      <c r="B231" s="102" t="s">
        <v>708</v>
      </c>
      <c r="C231" s="102" t="s">
        <v>118</v>
      </c>
      <c r="D231" s="102" t="s">
        <v>119</v>
      </c>
      <c r="E231" s="102" t="s">
        <v>709</v>
      </c>
      <c r="F231" s="102" t="s">
        <v>719</v>
      </c>
      <c r="G231" s="98" t="s">
        <v>711</v>
      </c>
      <c r="H231" s="98" t="s">
        <v>720</v>
      </c>
      <c r="I231" s="98" t="s">
        <v>103</v>
      </c>
      <c r="J231" s="98" t="s">
        <v>713</v>
      </c>
      <c r="K231" s="96" t="s">
        <v>714</v>
      </c>
      <c r="L231" s="96" t="s">
        <v>715</v>
      </c>
      <c r="M231" s="112">
        <v>2020002470037</v>
      </c>
      <c r="N231" s="98" t="s">
        <v>716</v>
      </c>
      <c r="O231" s="98" t="s">
        <v>659</v>
      </c>
      <c r="P231" s="98" t="s">
        <v>721</v>
      </c>
      <c r="Q231" s="98" t="s">
        <v>129</v>
      </c>
      <c r="R231" s="301">
        <v>60</v>
      </c>
      <c r="S231" s="99" t="s">
        <v>111</v>
      </c>
      <c r="T231" s="81"/>
      <c r="U231" s="81"/>
      <c r="V231" s="25" t="e">
        <f t="shared" si="143"/>
        <v>#DIV/0!</v>
      </c>
      <c r="W231" s="81">
        <v>5</v>
      </c>
      <c r="X231" s="81"/>
      <c r="Y231" s="25">
        <f t="shared" si="1"/>
        <v>0</v>
      </c>
      <c r="Z231" s="81">
        <v>13</v>
      </c>
      <c r="AA231" s="81"/>
      <c r="AB231" s="25">
        <f t="shared" si="2"/>
        <v>0</v>
      </c>
      <c r="AC231" s="81">
        <v>11</v>
      </c>
      <c r="AD231" s="81"/>
      <c r="AE231" s="25">
        <f t="shared" si="3"/>
        <v>0</v>
      </c>
      <c r="AF231" s="140">
        <f t="shared" si="168"/>
        <v>60</v>
      </c>
      <c r="AG231" s="140">
        <f t="shared" si="169"/>
        <v>0</v>
      </c>
      <c r="AH231" s="138">
        <f t="shared" si="125"/>
        <v>0</v>
      </c>
      <c r="AI231" s="101">
        <v>46113</v>
      </c>
      <c r="AJ231" s="101">
        <v>46477</v>
      </c>
      <c r="AK231" s="102"/>
      <c r="AL231" s="322"/>
      <c r="AM231" s="323"/>
      <c r="AN231" s="104">
        <v>300000000</v>
      </c>
      <c r="AO231" s="104">
        <v>300000000</v>
      </c>
      <c r="AP231" s="104">
        <v>300000000</v>
      </c>
      <c r="AQ231" s="326">
        <v>0</v>
      </c>
      <c r="AR231" s="102" t="s">
        <v>115</v>
      </c>
      <c r="AS231" s="102"/>
      <c r="AT231" s="151" t="s">
        <v>718</v>
      </c>
      <c r="AU231" s="102" t="s">
        <v>2264</v>
      </c>
      <c r="AV231" s="247" t="s">
        <v>2238</v>
      </c>
      <c r="AX231" s="136" t="s">
        <v>2384</v>
      </c>
      <c r="AY231" s="136" t="s">
        <v>2376</v>
      </c>
      <c r="BA231" s="183">
        <v>0</v>
      </c>
      <c r="BB231" s="184">
        <v>0</v>
      </c>
      <c r="BC231" s="209" t="e">
        <f t="shared" si="144"/>
        <v>#DIV/0!</v>
      </c>
      <c r="BD231" s="183">
        <v>0</v>
      </c>
      <c r="BE231" s="184">
        <v>0</v>
      </c>
      <c r="BF231" s="209" t="e">
        <f t="shared" si="145"/>
        <v>#DIV/0!</v>
      </c>
      <c r="BG231" s="183">
        <v>7</v>
      </c>
      <c r="BH231" s="184">
        <v>7</v>
      </c>
      <c r="BI231" s="209">
        <f t="shared" si="146"/>
        <v>1</v>
      </c>
      <c r="BJ231" s="210">
        <f t="shared" si="147"/>
        <v>7</v>
      </c>
      <c r="BK231" s="211">
        <f t="shared" si="148"/>
        <v>7</v>
      </c>
      <c r="BL231" s="209">
        <f t="shared" si="149"/>
        <v>1</v>
      </c>
      <c r="BM231" s="183">
        <v>4</v>
      </c>
      <c r="BN231" s="184">
        <v>4</v>
      </c>
      <c r="BO231" s="185">
        <f t="shared" si="170"/>
        <v>1</v>
      </c>
      <c r="BP231" s="183">
        <v>6</v>
      </c>
      <c r="BQ231" s="184">
        <v>6</v>
      </c>
      <c r="BR231" s="185">
        <f t="shared" si="171"/>
        <v>1</v>
      </c>
      <c r="BS231" s="183">
        <v>4</v>
      </c>
      <c r="BT231" s="184">
        <v>4</v>
      </c>
      <c r="BU231" s="185">
        <f t="shared" si="172"/>
        <v>1</v>
      </c>
      <c r="BV231" s="210">
        <f t="shared" si="150"/>
        <v>14</v>
      </c>
      <c r="BW231" s="210">
        <f t="shared" si="151"/>
        <v>14</v>
      </c>
      <c r="BX231" s="209">
        <f t="shared" si="152"/>
        <v>1</v>
      </c>
      <c r="BY231" s="209">
        <f t="shared" si="153"/>
        <v>0.35</v>
      </c>
      <c r="BZ231" s="209">
        <f t="shared" si="154"/>
        <v>-0.35</v>
      </c>
      <c r="CA231" s="188"/>
      <c r="CB231" s="245"/>
      <c r="CC231" s="183">
        <v>5</v>
      </c>
      <c r="CD231" s="184">
        <v>5</v>
      </c>
      <c r="CE231" s="185">
        <f t="shared" si="173"/>
        <v>1</v>
      </c>
      <c r="CF231" s="183">
        <v>10</v>
      </c>
      <c r="CG231" s="184">
        <v>10</v>
      </c>
      <c r="CH231" s="185">
        <f t="shared" si="174"/>
        <v>1</v>
      </c>
      <c r="CI231" s="189"/>
      <c r="CJ231" s="190"/>
      <c r="CK231" s="185" t="e">
        <f t="shared" si="175"/>
        <v>#DIV/0!</v>
      </c>
      <c r="CL231" s="187">
        <f t="shared" si="176"/>
        <v>15</v>
      </c>
      <c r="CM231" s="186">
        <f t="shared" si="177"/>
        <v>15</v>
      </c>
      <c r="CN231" s="185">
        <f t="shared" si="178"/>
        <v>1</v>
      </c>
      <c r="CO231" s="245"/>
      <c r="CP231" s="188">
        <f t="shared" si="179"/>
        <v>36</v>
      </c>
      <c r="CQ231" s="188">
        <f t="shared" si="180"/>
        <v>36</v>
      </c>
      <c r="CR231" s="191">
        <f t="shared" si="181"/>
        <v>1</v>
      </c>
      <c r="CS231" s="279">
        <f t="shared" si="155"/>
        <v>24</v>
      </c>
      <c r="CT231" s="245"/>
      <c r="CU231" s="188">
        <f t="shared" si="156"/>
        <v>7.1999999999999993</v>
      </c>
      <c r="CV231" s="277"/>
      <c r="CW231" s="191">
        <f t="shared" si="157"/>
        <v>0</v>
      </c>
      <c r="CX231" s="188">
        <f t="shared" si="158"/>
        <v>7.1999999999999993</v>
      </c>
      <c r="CY231" s="277"/>
      <c r="CZ231" s="191">
        <f t="shared" si="159"/>
        <v>0</v>
      </c>
      <c r="DA231" s="188">
        <f t="shared" si="160"/>
        <v>7.1999999999999993</v>
      </c>
      <c r="DB231" s="277"/>
      <c r="DC231" s="191">
        <f t="shared" si="161"/>
        <v>0</v>
      </c>
      <c r="DD231" s="188">
        <f t="shared" si="162"/>
        <v>2.4000000000000004</v>
      </c>
      <c r="DE231" s="277"/>
      <c r="DF231" s="191">
        <f t="shared" si="163"/>
        <v>0</v>
      </c>
      <c r="DG231" s="245"/>
      <c r="DH231" s="188">
        <f t="shared" si="164"/>
        <v>60</v>
      </c>
      <c r="DI231" s="188">
        <f t="shared" si="165"/>
        <v>36</v>
      </c>
      <c r="DJ231" s="191">
        <f t="shared" si="166"/>
        <v>0.6</v>
      </c>
      <c r="DK231" s="286">
        <f t="shared" si="167"/>
        <v>24</v>
      </c>
    </row>
    <row r="232" spans="1:117" x14ac:dyDescent="0.35">
      <c r="A232" s="81">
        <v>228</v>
      </c>
      <c r="B232" s="102" t="s">
        <v>708</v>
      </c>
      <c r="C232" s="102" t="s">
        <v>118</v>
      </c>
      <c r="D232" s="102" t="s">
        <v>119</v>
      </c>
      <c r="E232" s="102" t="s">
        <v>709</v>
      </c>
      <c r="F232" s="102" t="s">
        <v>719</v>
      </c>
      <c r="G232" s="98" t="s">
        <v>711</v>
      </c>
      <c r="H232" s="98" t="s">
        <v>720</v>
      </c>
      <c r="I232" s="98" t="s">
        <v>103</v>
      </c>
      <c r="J232" s="98" t="s">
        <v>713</v>
      </c>
      <c r="K232" s="96" t="s">
        <v>714</v>
      </c>
      <c r="L232" s="96" t="s">
        <v>715</v>
      </c>
      <c r="M232" s="112">
        <v>2020002470037</v>
      </c>
      <c r="N232" s="98" t="s">
        <v>716</v>
      </c>
      <c r="O232" s="98" t="s">
        <v>659</v>
      </c>
      <c r="P232" s="98" t="s">
        <v>722</v>
      </c>
      <c r="Q232" s="98" t="s">
        <v>129</v>
      </c>
      <c r="R232" s="301">
        <v>60</v>
      </c>
      <c r="S232" s="99" t="s">
        <v>111</v>
      </c>
      <c r="T232" s="81"/>
      <c r="U232" s="81"/>
      <c r="V232" s="25" t="e">
        <f t="shared" si="143"/>
        <v>#DIV/0!</v>
      </c>
      <c r="W232" s="81">
        <v>5</v>
      </c>
      <c r="X232" s="81"/>
      <c r="Y232" s="25">
        <f t="shared" si="1"/>
        <v>0</v>
      </c>
      <c r="Z232" s="81">
        <v>13</v>
      </c>
      <c r="AA232" s="81"/>
      <c r="AB232" s="25">
        <f t="shared" si="2"/>
        <v>0</v>
      </c>
      <c r="AC232" s="81">
        <v>11</v>
      </c>
      <c r="AD232" s="81"/>
      <c r="AE232" s="25">
        <f t="shared" si="3"/>
        <v>0</v>
      </c>
      <c r="AF232" s="140">
        <f t="shared" si="168"/>
        <v>60</v>
      </c>
      <c r="AG232" s="140">
        <f t="shared" si="169"/>
        <v>0</v>
      </c>
      <c r="AH232" s="138">
        <f t="shared" si="125"/>
        <v>0</v>
      </c>
      <c r="AI232" s="101">
        <v>46113</v>
      </c>
      <c r="AJ232" s="101">
        <v>46477</v>
      </c>
      <c r="AK232" s="102"/>
      <c r="AL232" s="322"/>
      <c r="AM232" s="323"/>
      <c r="AN232" s="104">
        <v>4926057603</v>
      </c>
      <c r="AO232" s="104">
        <v>4926057603</v>
      </c>
      <c r="AP232" s="104">
        <v>4926057603</v>
      </c>
      <c r="AQ232" s="326">
        <v>0</v>
      </c>
      <c r="AR232" s="102" t="s">
        <v>115</v>
      </c>
      <c r="AS232" s="102"/>
      <c r="AT232" s="151" t="s">
        <v>718</v>
      </c>
      <c r="AU232" s="102" t="s">
        <v>2264</v>
      </c>
      <c r="AV232" s="247" t="s">
        <v>2238</v>
      </c>
      <c r="AX232" s="136" t="s">
        <v>2384</v>
      </c>
      <c r="AY232" s="136" t="s">
        <v>2376</v>
      </c>
      <c r="BA232" s="183">
        <v>0</v>
      </c>
      <c r="BB232" s="184">
        <v>0</v>
      </c>
      <c r="BC232" s="209" t="e">
        <f t="shared" si="144"/>
        <v>#DIV/0!</v>
      </c>
      <c r="BD232" s="183">
        <v>1</v>
      </c>
      <c r="BE232" s="184">
        <v>1</v>
      </c>
      <c r="BF232" s="209">
        <f t="shared" si="145"/>
        <v>1</v>
      </c>
      <c r="BG232" s="183">
        <v>4</v>
      </c>
      <c r="BH232" s="184">
        <v>4</v>
      </c>
      <c r="BI232" s="209">
        <f t="shared" si="146"/>
        <v>1</v>
      </c>
      <c r="BJ232" s="210">
        <f t="shared" si="147"/>
        <v>5</v>
      </c>
      <c r="BK232" s="211">
        <f t="shared" si="148"/>
        <v>5</v>
      </c>
      <c r="BL232" s="209">
        <f t="shared" si="149"/>
        <v>1</v>
      </c>
      <c r="BM232" s="183">
        <v>11</v>
      </c>
      <c r="BN232" s="184">
        <v>11</v>
      </c>
      <c r="BO232" s="185">
        <f t="shared" si="170"/>
        <v>1</v>
      </c>
      <c r="BP232" s="183">
        <v>32</v>
      </c>
      <c r="BQ232" s="184">
        <v>32</v>
      </c>
      <c r="BR232" s="185">
        <f t="shared" si="171"/>
        <v>1</v>
      </c>
      <c r="BS232" s="183">
        <v>5</v>
      </c>
      <c r="BT232" s="184">
        <v>5</v>
      </c>
      <c r="BU232" s="185">
        <f t="shared" si="172"/>
        <v>1</v>
      </c>
      <c r="BV232" s="210">
        <f t="shared" si="150"/>
        <v>48</v>
      </c>
      <c r="BW232" s="210">
        <f t="shared" si="151"/>
        <v>48</v>
      </c>
      <c r="BX232" s="209">
        <f t="shared" si="152"/>
        <v>1</v>
      </c>
      <c r="BY232" s="209">
        <f t="shared" si="153"/>
        <v>0.8833333333333333</v>
      </c>
      <c r="BZ232" s="209">
        <f t="shared" si="154"/>
        <v>-0.8833333333333333</v>
      </c>
      <c r="CA232" s="188"/>
      <c r="CB232" s="245"/>
      <c r="CC232" s="183">
        <v>45</v>
      </c>
      <c r="CD232" s="184">
        <v>45</v>
      </c>
      <c r="CE232" s="185">
        <f t="shared" si="173"/>
        <v>1</v>
      </c>
      <c r="CF232" s="183">
        <v>58</v>
      </c>
      <c r="CG232" s="184">
        <v>58</v>
      </c>
      <c r="CH232" s="185">
        <f t="shared" si="174"/>
        <v>1</v>
      </c>
      <c r="CI232" s="189"/>
      <c r="CJ232" s="190"/>
      <c r="CK232" s="185" t="e">
        <f t="shared" si="175"/>
        <v>#DIV/0!</v>
      </c>
      <c r="CL232" s="187">
        <f t="shared" si="176"/>
        <v>103</v>
      </c>
      <c r="CM232" s="186">
        <f t="shared" si="177"/>
        <v>103</v>
      </c>
      <c r="CN232" s="185">
        <f t="shared" si="178"/>
        <v>1</v>
      </c>
      <c r="CO232" s="245"/>
      <c r="CP232" s="188">
        <f t="shared" si="179"/>
        <v>156</v>
      </c>
      <c r="CQ232" s="188">
        <f t="shared" si="180"/>
        <v>156</v>
      </c>
      <c r="CR232" s="191">
        <f t="shared" si="181"/>
        <v>1</v>
      </c>
      <c r="CS232" s="279">
        <f t="shared" si="155"/>
        <v>-96</v>
      </c>
      <c r="CT232" s="245"/>
      <c r="CU232" s="188">
        <f t="shared" si="156"/>
        <v>-28.799999999999997</v>
      </c>
      <c r="CV232" s="277"/>
      <c r="CW232" s="191">
        <f t="shared" si="157"/>
        <v>0</v>
      </c>
      <c r="CX232" s="188">
        <v>29</v>
      </c>
      <c r="CY232" s="277"/>
      <c r="CZ232" s="191">
        <f t="shared" si="159"/>
        <v>0</v>
      </c>
      <c r="DA232" s="188">
        <f t="shared" si="160"/>
        <v>-28.799999999999997</v>
      </c>
      <c r="DB232" s="277"/>
      <c r="DC232" s="191">
        <f t="shared" si="161"/>
        <v>0</v>
      </c>
      <c r="DD232" s="188">
        <f t="shared" si="162"/>
        <v>-9.6000000000000014</v>
      </c>
      <c r="DE232" s="277"/>
      <c r="DF232" s="191">
        <f t="shared" si="163"/>
        <v>0</v>
      </c>
      <c r="DG232" s="245"/>
      <c r="DH232" s="188">
        <f t="shared" si="164"/>
        <v>60</v>
      </c>
      <c r="DI232" s="188">
        <f t="shared" si="165"/>
        <v>156</v>
      </c>
      <c r="DJ232" s="191">
        <f t="shared" si="166"/>
        <v>2.6</v>
      </c>
      <c r="DK232" s="286">
        <f t="shared" si="167"/>
        <v>-96</v>
      </c>
    </row>
    <row r="233" spans="1:117" x14ac:dyDescent="0.35">
      <c r="A233" s="81">
        <v>229</v>
      </c>
      <c r="B233" s="102" t="s">
        <v>708</v>
      </c>
      <c r="C233" s="102" t="s">
        <v>118</v>
      </c>
      <c r="D233" s="102" t="s">
        <v>119</v>
      </c>
      <c r="E233" s="102" t="s">
        <v>709</v>
      </c>
      <c r="F233" s="102" t="s">
        <v>719</v>
      </c>
      <c r="G233" s="98" t="s">
        <v>711</v>
      </c>
      <c r="H233" s="98" t="s">
        <v>720</v>
      </c>
      <c r="I233" s="98" t="s">
        <v>103</v>
      </c>
      <c r="J233" s="98" t="s">
        <v>713</v>
      </c>
      <c r="K233" s="96" t="s">
        <v>714</v>
      </c>
      <c r="L233" s="96" t="s">
        <v>715</v>
      </c>
      <c r="M233" s="112">
        <v>2020002470037</v>
      </c>
      <c r="N233" s="98" t="s">
        <v>716</v>
      </c>
      <c r="O233" s="98" t="s">
        <v>659</v>
      </c>
      <c r="P233" s="98" t="s">
        <v>723</v>
      </c>
      <c r="Q233" s="98" t="s">
        <v>129</v>
      </c>
      <c r="R233" s="301">
        <v>58</v>
      </c>
      <c r="S233" s="99" t="s">
        <v>111</v>
      </c>
      <c r="T233" s="81"/>
      <c r="U233" s="81"/>
      <c r="V233" s="25" t="e">
        <f t="shared" si="143"/>
        <v>#DIV/0!</v>
      </c>
      <c r="W233" s="81">
        <v>5</v>
      </c>
      <c r="X233" s="81"/>
      <c r="Y233" s="25">
        <f t="shared" si="1"/>
        <v>0</v>
      </c>
      <c r="Z233" s="81">
        <v>13</v>
      </c>
      <c r="AA233" s="81"/>
      <c r="AB233" s="25">
        <f t="shared" si="2"/>
        <v>0</v>
      </c>
      <c r="AC233" s="81">
        <v>11</v>
      </c>
      <c r="AD233" s="81"/>
      <c r="AE233" s="25">
        <f t="shared" si="3"/>
        <v>0</v>
      </c>
      <c r="AF233" s="140">
        <f t="shared" si="168"/>
        <v>58</v>
      </c>
      <c r="AG233" s="140">
        <f t="shared" si="169"/>
        <v>0</v>
      </c>
      <c r="AH233" s="138">
        <f t="shared" si="125"/>
        <v>0</v>
      </c>
      <c r="AI233" s="101">
        <v>46113</v>
      </c>
      <c r="AJ233" s="101">
        <v>46477</v>
      </c>
      <c r="AK233" s="102"/>
      <c r="AL233" s="322"/>
      <c r="AM233" s="323"/>
      <c r="AN233" s="104">
        <v>1782154298</v>
      </c>
      <c r="AO233" s="104">
        <v>1782154298</v>
      </c>
      <c r="AP233" s="104">
        <v>1782154298</v>
      </c>
      <c r="AQ233" s="326">
        <v>0</v>
      </c>
      <c r="AR233" s="102" t="s">
        <v>115</v>
      </c>
      <c r="AS233" s="102"/>
      <c r="AT233" s="151" t="s">
        <v>718</v>
      </c>
      <c r="AU233" s="102" t="s">
        <v>2264</v>
      </c>
      <c r="AV233" s="247" t="s">
        <v>2238</v>
      </c>
      <c r="AX233" s="136" t="s">
        <v>2384</v>
      </c>
      <c r="AY233" s="136" t="s">
        <v>2376</v>
      </c>
      <c r="BA233" s="183">
        <v>0</v>
      </c>
      <c r="BB233" s="184">
        <v>0</v>
      </c>
      <c r="BC233" s="209" t="e">
        <f t="shared" si="144"/>
        <v>#DIV/0!</v>
      </c>
      <c r="BD233" s="183">
        <v>0</v>
      </c>
      <c r="BE233" s="184">
        <v>0</v>
      </c>
      <c r="BF233" s="209" t="e">
        <f t="shared" si="145"/>
        <v>#DIV/0!</v>
      </c>
      <c r="BG233" s="183">
        <v>0</v>
      </c>
      <c r="BH233" s="184">
        <v>0</v>
      </c>
      <c r="BI233" s="209" t="e">
        <f t="shared" si="146"/>
        <v>#DIV/0!</v>
      </c>
      <c r="BJ233" s="210">
        <f t="shared" si="147"/>
        <v>0</v>
      </c>
      <c r="BK233" s="211">
        <f t="shared" si="148"/>
        <v>0</v>
      </c>
      <c r="BL233" s="209" t="e">
        <f t="shared" si="149"/>
        <v>#DIV/0!</v>
      </c>
      <c r="BM233" s="183">
        <v>0</v>
      </c>
      <c r="BN233" s="184">
        <v>0</v>
      </c>
      <c r="BO233" s="185" t="e">
        <f t="shared" si="170"/>
        <v>#DIV/0!</v>
      </c>
      <c r="BP233" s="183">
        <v>0</v>
      </c>
      <c r="BQ233" s="184">
        <v>0</v>
      </c>
      <c r="BR233" s="185" t="e">
        <f t="shared" si="171"/>
        <v>#DIV/0!</v>
      </c>
      <c r="BS233" s="183">
        <v>29</v>
      </c>
      <c r="BT233" s="184">
        <v>29</v>
      </c>
      <c r="BU233" s="185">
        <f t="shared" si="172"/>
        <v>1</v>
      </c>
      <c r="BV233" s="210">
        <f t="shared" si="150"/>
        <v>29</v>
      </c>
      <c r="BW233" s="210">
        <f t="shared" si="151"/>
        <v>29</v>
      </c>
      <c r="BX233" s="209">
        <f t="shared" si="152"/>
        <v>1</v>
      </c>
      <c r="BY233" s="209">
        <f t="shared" si="153"/>
        <v>0.5</v>
      </c>
      <c r="BZ233" s="209">
        <f t="shared" si="154"/>
        <v>-0.5</v>
      </c>
      <c r="CA233" s="188"/>
      <c r="CB233" s="245"/>
      <c r="CC233" s="183"/>
      <c r="CD233" s="184"/>
      <c r="CE233" s="185" t="e">
        <f t="shared" si="173"/>
        <v>#DIV/0!</v>
      </c>
      <c r="CF233" s="183"/>
      <c r="CG233" s="184"/>
      <c r="CH233" s="185" t="e">
        <f t="shared" si="174"/>
        <v>#DIV/0!</v>
      </c>
      <c r="CI233" s="189"/>
      <c r="CJ233" s="190"/>
      <c r="CK233" s="185" t="e">
        <f t="shared" si="175"/>
        <v>#DIV/0!</v>
      </c>
      <c r="CL233" s="187">
        <f t="shared" si="176"/>
        <v>0</v>
      </c>
      <c r="CM233" s="186">
        <f t="shared" si="177"/>
        <v>0</v>
      </c>
      <c r="CN233" s="185" t="e">
        <f t="shared" si="178"/>
        <v>#DIV/0!</v>
      </c>
      <c r="CO233" s="245"/>
      <c r="CP233" s="188">
        <f t="shared" si="179"/>
        <v>29</v>
      </c>
      <c r="CQ233" s="188">
        <f t="shared" si="180"/>
        <v>29</v>
      </c>
      <c r="CR233" s="191">
        <f t="shared" si="181"/>
        <v>1</v>
      </c>
      <c r="CS233" s="279">
        <f t="shared" si="155"/>
        <v>29</v>
      </c>
      <c r="CT233" s="245"/>
      <c r="CU233" s="188">
        <f t="shared" si="156"/>
        <v>8.6999999999999993</v>
      </c>
      <c r="CV233" s="277"/>
      <c r="CW233" s="191">
        <f t="shared" si="157"/>
        <v>0</v>
      </c>
      <c r="CX233" s="188">
        <f t="shared" si="158"/>
        <v>8.6999999999999993</v>
      </c>
      <c r="CY233" s="277"/>
      <c r="CZ233" s="191">
        <f t="shared" si="159"/>
        <v>0</v>
      </c>
      <c r="DA233" s="188">
        <f t="shared" si="160"/>
        <v>8.6999999999999993</v>
      </c>
      <c r="DB233" s="277"/>
      <c r="DC233" s="191">
        <f t="shared" si="161"/>
        <v>0</v>
      </c>
      <c r="DD233" s="188">
        <f t="shared" si="162"/>
        <v>2.9000000000000004</v>
      </c>
      <c r="DE233" s="277"/>
      <c r="DF233" s="191">
        <f t="shared" si="163"/>
        <v>0</v>
      </c>
      <c r="DG233" s="245"/>
      <c r="DH233" s="188">
        <f t="shared" si="164"/>
        <v>58</v>
      </c>
      <c r="DI233" s="188">
        <f t="shared" si="165"/>
        <v>29</v>
      </c>
      <c r="DJ233" s="191">
        <f t="shared" si="166"/>
        <v>0.5</v>
      </c>
      <c r="DK233" s="286">
        <f t="shared" si="167"/>
        <v>29</v>
      </c>
    </row>
    <row r="234" spans="1:117" x14ac:dyDescent="0.35">
      <c r="A234" s="81">
        <v>230</v>
      </c>
      <c r="B234" s="102" t="s">
        <v>708</v>
      </c>
      <c r="C234" s="102" t="s">
        <v>118</v>
      </c>
      <c r="D234" s="102" t="s">
        <v>119</v>
      </c>
      <c r="E234" s="102" t="s">
        <v>709</v>
      </c>
      <c r="F234" s="102" t="s">
        <v>719</v>
      </c>
      <c r="G234" s="98" t="s">
        <v>711</v>
      </c>
      <c r="H234" s="98" t="s">
        <v>720</v>
      </c>
      <c r="I234" s="98" t="s">
        <v>103</v>
      </c>
      <c r="J234" s="98" t="s">
        <v>713</v>
      </c>
      <c r="K234" s="96" t="s">
        <v>714</v>
      </c>
      <c r="L234" s="96" t="s">
        <v>715</v>
      </c>
      <c r="M234" s="112">
        <v>2020002470037</v>
      </c>
      <c r="N234" s="98" t="s">
        <v>716</v>
      </c>
      <c r="O234" s="98" t="s">
        <v>659</v>
      </c>
      <c r="P234" s="98" t="s">
        <v>724</v>
      </c>
      <c r="Q234" s="98" t="s">
        <v>129</v>
      </c>
      <c r="R234" s="301">
        <v>68986</v>
      </c>
      <c r="S234" s="99" t="s">
        <v>111</v>
      </c>
      <c r="T234" s="81">
        <v>1</v>
      </c>
      <c r="U234" s="81"/>
      <c r="V234" s="25">
        <f t="shared" si="143"/>
        <v>0</v>
      </c>
      <c r="W234" s="81">
        <v>1</v>
      </c>
      <c r="X234" s="81"/>
      <c r="Y234" s="25">
        <f t="shared" si="1"/>
        <v>0</v>
      </c>
      <c r="Z234" s="81">
        <v>1</v>
      </c>
      <c r="AA234" s="81"/>
      <c r="AB234" s="25">
        <f t="shared" si="2"/>
        <v>0</v>
      </c>
      <c r="AC234" s="81">
        <v>1</v>
      </c>
      <c r="AD234" s="81"/>
      <c r="AE234" s="25">
        <f t="shared" si="3"/>
        <v>0</v>
      </c>
      <c r="AF234" s="140">
        <f t="shared" si="168"/>
        <v>68986</v>
      </c>
      <c r="AG234" s="140">
        <f t="shared" si="169"/>
        <v>0</v>
      </c>
      <c r="AH234" s="138">
        <f t="shared" si="125"/>
        <v>0</v>
      </c>
      <c r="AI234" s="101">
        <v>46113</v>
      </c>
      <c r="AJ234" s="101">
        <v>46477</v>
      </c>
      <c r="AK234" s="102"/>
      <c r="AL234" s="102" t="s">
        <v>725</v>
      </c>
      <c r="AM234" s="103" t="s">
        <v>726</v>
      </c>
      <c r="AN234" s="104">
        <v>9064996090</v>
      </c>
      <c r="AO234" s="104">
        <v>9064996090</v>
      </c>
      <c r="AP234" s="104">
        <v>9064996090</v>
      </c>
      <c r="AQ234" s="326">
        <v>0</v>
      </c>
      <c r="AR234" s="102" t="s">
        <v>115</v>
      </c>
      <c r="AS234" s="102" t="s">
        <v>727</v>
      </c>
      <c r="AT234" s="151" t="s">
        <v>718</v>
      </c>
      <c r="AU234" s="102" t="s">
        <v>2264</v>
      </c>
      <c r="AV234" s="247" t="s">
        <v>2238</v>
      </c>
      <c r="AX234" s="136" t="s">
        <v>2384</v>
      </c>
      <c r="AY234" s="136" t="s">
        <v>2376</v>
      </c>
      <c r="BA234" s="183">
        <v>5749</v>
      </c>
      <c r="BB234" s="184">
        <v>393</v>
      </c>
      <c r="BC234" s="209">
        <f t="shared" si="144"/>
        <v>6.835971473299704E-2</v>
      </c>
      <c r="BD234" s="183">
        <v>5749</v>
      </c>
      <c r="BE234" s="184">
        <v>1239</v>
      </c>
      <c r="BF234" s="209">
        <f t="shared" si="145"/>
        <v>0.21551574186815098</v>
      </c>
      <c r="BG234" s="183">
        <v>5749</v>
      </c>
      <c r="BH234" s="184">
        <v>919</v>
      </c>
      <c r="BI234" s="209">
        <f t="shared" si="146"/>
        <v>0.15985388763263175</v>
      </c>
      <c r="BJ234" s="210">
        <f t="shared" si="147"/>
        <v>17247</v>
      </c>
      <c r="BK234" s="211">
        <f t="shared" si="148"/>
        <v>2551</v>
      </c>
      <c r="BL234" s="209">
        <f t="shared" si="149"/>
        <v>0.14790978141125993</v>
      </c>
      <c r="BM234" s="183">
        <v>5749</v>
      </c>
      <c r="BN234" s="184">
        <v>988</v>
      </c>
      <c r="BO234" s="185">
        <f t="shared" si="170"/>
        <v>0.17185597495216559</v>
      </c>
      <c r="BP234" s="183">
        <v>5749</v>
      </c>
      <c r="BQ234" s="184">
        <v>1381</v>
      </c>
      <c r="BR234" s="185">
        <f t="shared" si="171"/>
        <v>0.24021568968516263</v>
      </c>
      <c r="BS234" s="183">
        <v>5749</v>
      </c>
      <c r="BT234" s="184">
        <v>150</v>
      </c>
      <c r="BU234" s="185">
        <f t="shared" si="172"/>
        <v>2.6091494172899635E-2</v>
      </c>
      <c r="BV234" s="210">
        <f t="shared" si="150"/>
        <v>17247</v>
      </c>
      <c r="BW234" s="210">
        <f t="shared" si="151"/>
        <v>2519</v>
      </c>
      <c r="BX234" s="209">
        <f t="shared" si="152"/>
        <v>0.14605438627007594</v>
      </c>
      <c r="BY234" s="209">
        <f t="shared" si="153"/>
        <v>7.3493172527759262E-2</v>
      </c>
      <c r="BZ234" s="209">
        <f t="shared" si="154"/>
        <v>-7.3493172527759262E-2</v>
      </c>
      <c r="CA234" s="188"/>
      <c r="CB234" s="245"/>
      <c r="CC234" s="183">
        <v>5749</v>
      </c>
      <c r="CD234" s="184">
        <v>425</v>
      </c>
      <c r="CE234" s="185">
        <f t="shared" si="173"/>
        <v>7.3925900156548971E-2</v>
      </c>
      <c r="CF234" s="183">
        <v>5749</v>
      </c>
      <c r="CG234" s="184">
        <v>294</v>
      </c>
      <c r="CH234" s="185">
        <f t="shared" si="174"/>
        <v>5.1139328578883286E-2</v>
      </c>
      <c r="CI234" s="189"/>
      <c r="CJ234" s="190"/>
      <c r="CK234" s="185" t="e">
        <f t="shared" si="175"/>
        <v>#DIV/0!</v>
      </c>
      <c r="CL234" s="187">
        <f t="shared" si="176"/>
        <v>11498</v>
      </c>
      <c r="CM234" s="186">
        <f t="shared" si="177"/>
        <v>719</v>
      </c>
      <c r="CN234" s="185">
        <f t="shared" si="178"/>
        <v>6.2532614367716122E-2</v>
      </c>
      <c r="CO234" s="245"/>
      <c r="CP234" s="188">
        <f t="shared" si="179"/>
        <v>45992</v>
      </c>
      <c r="CQ234" s="188">
        <f t="shared" si="180"/>
        <v>5789</v>
      </c>
      <c r="CR234" s="191">
        <f t="shared" si="181"/>
        <v>0.12586971647242998</v>
      </c>
      <c r="CS234" s="279">
        <f t="shared" si="155"/>
        <v>63197</v>
      </c>
      <c r="CT234" s="245"/>
      <c r="CU234" s="188">
        <f t="shared" si="156"/>
        <v>18959.099999999999</v>
      </c>
      <c r="CV234" s="277"/>
      <c r="CW234" s="191">
        <f t="shared" si="157"/>
        <v>0</v>
      </c>
      <c r="CX234" s="188">
        <f t="shared" si="158"/>
        <v>18959.099999999999</v>
      </c>
      <c r="CY234" s="277"/>
      <c r="CZ234" s="191">
        <f t="shared" si="159"/>
        <v>0</v>
      </c>
      <c r="DA234" s="188">
        <f t="shared" si="160"/>
        <v>18959.099999999999</v>
      </c>
      <c r="DB234" s="277"/>
      <c r="DC234" s="191">
        <f t="shared" si="161"/>
        <v>0</v>
      </c>
      <c r="DD234" s="188">
        <f t="shared" si="162"/>
        <v>6319.7000000000007</v>
      </c>
      <c r="DE234" s="277"/>
      <c r="DF234" s="191">
        <f t="shared" si="163"/>
        <v>0</v>
      </c>
      <c r="DG234" s="245"/>
      <c r="DH234" s="188">
        <f t="shared" si="164"/>
        <v>68986</v>
      </c>
      <c r="DI234" s="188">
        <f t="shared" si="165"/>
        <v>5789</v>
      </c>
      <c r="DJ234" s="191">
        <f t="shared" si="166"/>
        <v>8.3915577073609138E-2</v>
      </c>
      <c r="DK234" s="286">
        <f t="shared" si="167"/>
        <v>63197</v>
      </c>
    </row>
    <row r="235" spans="1:117" x14ac:dyDescent="0.35">
      <c r="A235" s="81">
        <v>231</v>
      </c>
      <c r="B235" s="102" t="s">
        <v>728</v>
      </c>
      <c r="C235" s="102" t="s">
        <v>118</v>
      </c>
      <c r="D235" s="102" t="s">
        <v>119</v>
      </c>
      <c r="E235" s="102" t="s">
        <v>729</v>
      </c>
      <c r="F235" s="102" t="s">
        <v>730</v>
      </c>
      <c r="G235" s="98" t="s">
        <v>711</v>
      </c>
      <c r="H235" s="98" t="s">
        <v>731</v>
      </c>
      <c r="I235" s="98" t="s">
        <v>103</v>
      </c>
      <c r="J235" s="98" t="s">
        <v>713</v>
      </c>
      <c r="K235" s="96" t="s">
        <v>732</v>
      </c>
      <c r="L235" s="96" t="s">
        <v>733</v>
      </c>
      <c r="M235" s="98" t="s">
        <v>734</v>
      </c>
      <c r="N235" s="98" t="s">
        <v>735</v>
      </c>
      <c r="O235" s="98" t="s">
        <v>659</v>
      </c>
      <c r="P235" s="98" t="s">
        <v>736</v>
      </c>
      <c r="Q235" s="98" t="s">
        <v>129</v>
      </c>
      <c r="R235" s="301">
        <v>14</v>
      </c>
      <c r="S235" s="99" t="s">
        <v>737</v>
      </c>
      <c r="T235" s="81"/>
      <c r="U235" s="81"/>
      <c r="V235" s="25" t="e">
        <f t="shared" si="143"/>
        <v>#DIV/0!</v>
      </c>
      <c r="W235" s="81">
        <v>20</v>
      </c>
      <c r="X235" s="81"/>
      <c r="Y235" s="25">
        <f t="shared" si="1"/>
        <v>0</v>
      </c>
      <c r="Z235" s="81">
        <v>20</v>
      </c>
      <c r="AA235" s="81"/>
      <c r="AB235" s="25">
        <f t="shared" si="2"/>
        <v>0</v>
      </c>
      <c r="AC235" s="81">
        <v>20</v>
      </c>
      <c r="AD235" s="81"/>
      <c r="AE235" s="25">
        <f t="shared" si="3"/>
        <v>0</v>
      </c>
      <c r="AF235" s="140">
        <f t="shared" si="168"/>
        <v>14</v>
      </c>
      <c r="AG235" s="140">
        <f t="shared" si="169"/>
        <v>0</v>
      </c>
      <c r="AH235" s="138">
        <f t="shared" si="125"/>
        <v>0</v>
      </c>
      <c r="AI235" s="101">
        <v>46113</v>
      </c>
      <c r="AJ235" s="101">
        <v>46477</v>
      </c>
      <c r="AK235" s="102"/>
      <c r="AL235" s="102" t="s">
        <v>725</v>
      </c>
      <c r="AM235" s="103" t="s">
        <v>726</v>
      </c>
      <c r="AN235" s="324">
        <v>0</v>
      </c>
      <c r="AO235" s="324">
        <v>0</v>
      </c>
      <c r="AP235" s="324">
        <v>0</v>
      </c>
      <c r="AQ235" s="326"/>
      <c r="AR235" s="102" t="s">
        <v>115</v>
      </c>
      <c r="AS235" s="102" t="s">
        <v>727</v>
      </c>
      <c r="AT235" s="151" t="s">
        <v>738</v>
      </c>
      <c r="AU235" s="102" t="s">
        <v>2264</v>
      </c>
      <c r="AV235" s="246" t="s">
        <v>2237</v>
      </c>
      <c r="AW235" s="136" t="s">
        <v>2253</v>
      </c>
      <c r="AX235" s="136" t="s">
        <v>2300</v>
      </c>
      <c r="AY235" s="136" t="s">
        <v>2376</v>
      </c>
      <c r="BA235" s="207">
        <v>0</v>
      </c>
      <c r="BB235" s="208">
        <v>0</v>
      </c>
      <c r="BC235" s="209" t="e">
        <f t="shared" si="144"/>
        <v>#DIV/0!</v>
      </c>
      <c r="BD235" s="207">
        <v>1</v>
      </c>
      <c r="BE235" s="208">
        <v>1</v>
      </c>
      <c r="BF235" s="209">
        <f t="shared" si="145"/>
        <v>1</v>
      </c>
      <c r="BG235" s="207">
        <v>0</v>
      </c>
      <c r="BH235" s="208">
        <v>0</v>
      </c>
      <c r="BI235" s="209" t="e">
        <f t="shared" si="146"/>
        <v>#DIV/0!</v>
      </c>
      <c r="BJ235" s="210">
        <f t="shared" si="147"/>
        <v>1</v>
      </c>
      <c r="BK235" s="211">
        <f t="shared" si="148"/>
        <v>1</v>
      </c>
      <c r="BL235" s="209">
        <f t="shared" si="149"/>
        <v>1</v>
      </c>
      <c r="BM235" s="207">
        <v>0</v>
      </c>
      <c r="BN235" s="208">
        <v>0</v>
      </c>
      <c r="BO235" s="209" t="e">
        <f t="shared" si="170"/>
        <v>#DIV/0!</v>
      </c>
      <c r="BP235" s="207">
        <v>0</v>
      </c>
      <c r="BQ235" s="208">
        <v>0</v>
      </c>
      <c r="BR235" s="209" t="e">
        <f t="shared" si="171"/>
        <v>#DIV/0!</v>
      </c>
      <c r="BS235" s="207">
        <v>4</v>
      </c>
      <c r="BT235" s="208">
        <v>4</v>
      </c>
      <c r="BU235" s="209">
        <f t="shared" si="172"/>
        <v>1</v>
      </c>
      <c r="BV235" s="210">
        <f t="shared" si="150"/>
        <v>4</v>
      </c>
      <c r="BW235" s="210">
        <f t="shared" si="151"/>
        <v>4</v>
      </c>
      <c r="BX235" s="209">
        <f t="shared" si="152"/>
        <v>1</v>
      </c>
      <c r="BY235" s="209">
        <f t="shared" si="153"/>
        <v>0.35714285714285715</v>
      </c>
      <c r="BZ235" s="209">
        <f t="shared" si="154"/>
        <v>-0.35714285714285715</v>
      </c>
      <c r="CA235" s="212"/>
      <c r="CB235" s="245"/>
      <c r="CC235" s="207">
        <v>0</v>
      </c>
      <c r="CD235" s="208">
        <v>0</v>
      </c>
      <c r="CE235" s="209" t="e">
        <f t="shared" si="173"/>
        <v>#DIV/0!</v>
      </c>
      <c r="CF235" s="207">
        <v>0</v>
      </c>
      <c r="CG235" s="208">
        <v>0</v>
      </c>
      <c r="CH235" s="209" t="e">
        <f t="shared" si="174"/>
        <v>#DIV/0!</v>
      </c>
      <c r="CI235" s="213"/>
      <c r="CJ235" s="180"/>
      <c r="CK235" s="209" t="e">
        <f t="shared" si="175"/>
        <v>#DIV/0!</v>
      </c>
      <c r="CL235" s="210">
        <f t="shared" si="176"/>
        <v>0</v>
      </c>
      <c r="CM235" s="211">
        <f t="shared" si="177"/>
        <v>0</v>
      </c>
      <c r="CN235" s="209" t="e">
        <f t="shared" si="178"/>
        <v>#DIV/0!</v>
      </c>
      <c r="CO235" s="245"/>
      <c r="CP235" s="212">
        <f t="shared" si="179"/>
        <v>5</v>
      </c>
      <c r="CQ235" s="212">
        <f t="shared" si="180"/>
        <v>5</v>
      </c>
      <c r="CR235" s="214">
        <f t="shared" si="181"/>
        <v>1</v>
      </c>
      <c r="CS235" s="279">
        <f t="shared" si="155"/>
        <v>9</v>
      </c>
      <c r="CT235" s="245"/>
      <c r="CU235" s="188">
        <f t="shared" si="156"/>
        <v>2.6999999999999997</v>
      </c>
      <c r="CV235" s="277"/>
      <c r="CW235" s="191">
        <f t="shared" si="157"/>
        <v>0</v>
      </c>
      <c r="CX235" s="188">
        <f t="shared" si="158"/>
        <v>2.6999999999999997</v>
      </c>
      <c r="CY235" s="277"/>
      <c r="CZ235" s="191">
        <f t="shared" si="159"/>
        <v>0</v>
      </c>
      <c r="DA235" s="188">
        <f t="shared" si="160"/>
        <v>2.6999999999999997</v>
      </c>
      <c r="DB235" s="277"/>
      <c r="DC235" s="191">
        <f t="shared" si="161"/>
        <v>0</v>
      </c>
      <c r="DD235" s="188">
        <f t="shared" si="162"/>
        <v>0.9</v>
      </c>
      <c r="DE235" s="277"/>
      <c r="DF235" s="191">
        <f t="shared" si="163"/>
        <v>0</v>
      </c>
      <c r="DG235" s="245"/>
      <c r="DH235" s="188">
        <f t="shared" si="164"/>
        <v>14</v>
      </c>
      <c r="DI235" s="188">
        <f t="shared" si="165"/>
        <v>5</v>
      </c>
      <c r="DJ235" s="191">
        <f t="shared" si="166"/>
        <v>0.35714285714285715</v>
      </c>
      <c r="DK235" s="286">
        <f t="shared" si="167"/>
        <v>9</v>
      </c>
    </row>
    <row r="236" spans="1:117" x14ac:dyDescent="0.35">
      <c r="A236" s="81">
        <v>232</v>
      </c>
      <c r="B236" s="102" t="s">
        <v>728</v>
      </c>
      <c r="C236" s="102" t="s">
        <v>118</v>
      </c>
      <c r="D236" s="102" t="s">
        <v>119</v>
      </c>
      <c r="E236" s="102" t="s">
        <v>729</v>
      </c>
      <c r="F236" s="102" t="s">
        <v>730</v>
      </c>
      <c r="G236" s="98" t="s">
        <v>711</v>
      </c>
      <c r="H236" s="98" t="s">
        <v>731</v>
      </c>
      <c r="I236" s="98" t="s">
        <v>103</v>
      </c>
      <c r="J236" s="98" t="s">
        <v>103</v>
      </c>
      <c r="K236" s="96" t="s">
        <v>732</v>
      </c>
      <c r="L236" s="96" t="s">
        <v>733</v>
      </c>
      <c r="M236" s="98" t="s">
        <v>739</v>
      </c>
      <c r="N236" s="98" t="s">
        <v>740</v>
      </c>
      <c r="O236" s="98" t="s">
        <v>659</v>
      </c>
      <c r="P236" s="98" t="s">
        <v>741</v>
      </c>
      <c r="Q236" s="98" t="s">
        <v>129</v>
      </c>
      <c r="R236" s="301">
        <v>62</v>
      </c>
      <c r="S236" s="99" t="s">
        <v>742</v>
      </c>
      <c r="T236" s="81"/>
      <c r="U236" s="81"/>
      <c r="V236" s="25" t="e">
        <f t="shared" si="143"/>
        <v>#DIV/0!</v>
      </c>
      <c r="W236" s="81">
        <v>20</v>
      </c>
      <c r="X236" s="81"/>
      <c r="Y236" s="25">
        <f t="shared" si="1"/>
        <v>0</v>
      </c>
      <c r="Z236" s="81">
        <v>20</v>
      </c>
      <c r="AA236" s="81"/>
      <c r="AB236" s="25">
        <f t="shared" si="2"/>
        <v>0</v>
      </c>
      <c r="AC236" s="81">
        <v>20</v>
      </c>
      <c r="AD236" s="81"/>
      <c r="AE236" s="25">
        <f t="shared" si="3"/>
        <v>0</v>
      </c>
      <c r="AF236" s="140">
        <f t="shared" si="168"/>
        <v>62</v>
      </c>
      <c r="AG236" s="140">
        <f t="shared" si="169"/>
        <v>0</v>
      </c>
      <c r="AH236" s="138">
        <f t="shared" si="125"/>
        <v>0</v>
      </c>
      <c r="AI236" s="101">
        <v>46113</v>
      </c>
      <c r="AJ236" s="101">
        <v>46477</v>
      </c>
      <c r="AK236" s="102"/>
      <c r="AL236" s="102" t="s">
        <v>725</v>
      </c>
      <c r="AM236" s="103" t="s">
        <v>726</v>
      </c>
      <c r="AN236" s="324">
        <v>0</v>
      </c>
      <c r="AO236" s="324">
        <v>0</v>
      </c>
      <c r="AP236" s="324">
        <v>0</v>
      </c>
      <c r="AQ236" s="326"/>
      <c r="AR236" s="102" t="s">
        <v>115</v>
      </c>
      <c r="AS236" s="102" t="s">
        <v>727</v>
      </c>
      <c r="AT236" s="151" t="s">
        <v>738</v>
      </c>
      <c r="AU236" s="102" t="s">
        <v>2264</v>
      </c>
      <c r="AV236" s="246" t="s">
        <v>2237</v>
      </c>
      <c r="AW236" s="136" t="s">
        <v>2253</v>
      </c>
      <c r="AX236" s="136" t="s">
        <v>2300</v>
      </c>
      <c r="AY236" s="136" t="s">
        <v>2376</v>
      </c>
      <c r="BA236" s="207">
        <v>0</v>
      </c>
      <c r="BB236" s="208">
        <v>0</v>
      </c>
      <c r="BC236" s="209" t="e">
        <f t="shared" si="144"/>
        <v>#DIV/0!</v>
      </c>
      <c r="BD236" s="207">
        <v>31</v>
      </c>
      <c r="BE236" s="208">
        <v>31</v>
      </c>
      <c r="BF236" s="209">
        <f t="shared" si="145"/>
        <v>1</v>
      </c>
      <c r="BG236" s="207">
        <v>31</v>
      </c>
      <c r="BH236" s="208">
        <v>31</v>
      </c>
      <c r="BI236" s="209">
        <f t="shared" si="146"/>
        <v>1</v>
      </c>
      <c r="BJ236" s="210">
        <f t="shared" si="147"/>
        <v>62</v>
      </c>
      <c r="BK236" s="211">
        <f t="shared" si="148"/>
        <v>62</v>
      </c>
      <c r="BL236" s="209">
        <f t="shared" si="149"/>
        <v>1</v>
      </c>
      <c r="BM236" s="207">
        <v>0</v>
      </c>
      <c r="BN236" s="208">
        <v>0</v>
      </c>
      <c r="BO236" s="209" t="e">
        <f t="shared" si="170"/>
        <v>#DIV/0!</v>
      </c>
      <c r="BP236" s="207">
        <v>0</v>
      </c>
      <c r="BQ236" s="208">
        <v>0</v>
      </c>
      <c r="BR236" s="209" t="e">
        <f t="shared" si="171"/>
        <v>#DIV/0!</v>
      </c>
      <c r="BS236" s="207">
        <v>0</v>
      </c>
      <c r="BT236" s="208">
        <v>0</v>
      </c>
      <c r="BU236" s="209" t="e">
        <f t="shared" si="172"/>
        <v>#DIV/0!</v>
      </c>
      <c r="BV236" s="210">
        <f t="shared" si="150"/>
        <v>0</v>
      </c>
      <c r="BW236" s="210">
        <f t="shared" si="151"/>
        <v>0</v>
      </c>
      <c r="BX236" s="209" t="e">
        <f t="shared" si="152"/>
        <v>#DIV/0!</v>
      </c>
      <c r="BY236" s="209">
        <f t="shared" si="153"/>
        <v>1</v>
      </c>
      <c r="BZ236" s="209">
        <f t="shared" si="154"/>
        <v>-1</v>
      </c>
      <c r="CA236" s="212"/>
      <c r="CB236" s="245"/>
      <c r="CC236" s="207"/>
      <c r="CD236" s="208"/>
      <c r="CE236" s="209" t="e">
        <f t="shared" si="173"/>
        <v>#DIV/0!</v>
      </c>
      <c r="CF236" s="207"/>
      <c r="CG236" s="208"/>
      <c r="CH236" s="209" t="e">
        <f t="shared" si="174"/>
        <v>#DIV/0!</v>
      </c>
      <c r="CI236" s="213"/>
      <c r="CJ236" s="180"/>
      <c r="CK236" s="209" t="e">
        <f t="shared" si="175"/>
        <v>#DIV/0!</v>
      </c>
      <c r="CL236" s="210">
        <f t="shared" si="176"/>
        <v>0</v>
      </c>
      <c r="CM236" s="211">
        <f t="shared" si="177"/>
        <v>0</v>
      </c>
      <c r="CN236" s="209" t="e">
        <f t="shared" si="178"/>
        <v>#DIV/0!</v>
      </c>
      <c r="CO236" s="245"/>
      <c r="CP236" s="212">
        <f t="shared" si="179"/>
        <v>62</v>
      </c>
      <c r="CQ236" s="212">
        <f t="shared" si="180"/>
        <v>62</v>
      </c>
      <c r="CR236" s="214">
        <f t="shared" si="181"/>
        <v>1</v>
      </c>
      <c r="CS236" s="279">
        <f t="shared" si="155"/>
        <v>0</v>
      </c>
      <c r="CT236" s="245"/>
      <c r="CU236" s="188">
        <f t="shared" si="156"/>
        <v>0</v>
      </c>
      <c r="CV236" s="277"/>
      <c r="CW236" s="191" t="e">
        <f t="shared" si="157"/>
        <v>#DIV/0!</v>
      </c>
      <c r="CX236" s="188">
        <f t="shared" si="158"/>
        <v>0</v>
      </c>
      <c r="CY236" s="277"/>
      <c r="CZ236" s="191" t="e">
        <f t="shared" si="159"/>
        <v>#DIV/0!</v>
      </c>
      <c r="DA236" s="188">
        <f t="shared" si="160"/>
        <v>0</v>
      </c>
      <c r="DB236" s="277"/>
      <c r="DC236" s="191" t="e">
        <f t="shared" si="161"/>
        <v>#DIV/0!</v>
      </c>
      <c r="DD236" s="188">
        <f t="shared" si="162"/>
        <v>0</v>
      </c>
      <c r="DE236" s="277"/>
      <c r="DF236" s="191" t="e">
        <f t="shared" si="163"/>
        <v>#DIV/0!</v>
      </c>
      <c r="DG236" s="245"/>
      <c r="DH236" s="188">
        <f t="shared" si="164"/>
        <v>62</v>
      </c>
      <c r="DI236" s="188">
        <f t="shared" si="165"/>
        <v>62</v>
      </c>
      <c r="DJ236" s="191">
        <f t="shared" si="166"/>
        <v>1</v>
      </c>
      <c r="DK236" s="286">
        <f t="shared" si="167"/>
        <v>0</v>
      </c>
    </row>
    <row r="237" spans="1:117" x14ac:dyDescent="0.35">
      <c r="A237" s="81">
        <v>233</v>
      </c>
      <c r="B237" s="102" t="s">
        <v>728</v>
      </c>
      <c r="C237" s="102" t="s">
        <v>118</v>
      </c>
      <c r="D237" s="102" t="s">
        <v>119</v>
      </c>
      <c r="E237" s="102" t="s">
        <v>729</v>
      </c>
      <c r="F237" s="102" t="s">
        <v>730</v>
      </c>
      <c r="G237" s="98" t="s">
        <v>711</v>
      </c>
      <c r="H237" s="98" t="s">
        <v>731</v>
      </c>
      <c r="I237" s="98" t="s">
        <v>103</v>
      </c>
      <c r="J237" s="98" t="s">
        <v>103</v>
      </c>
      <c r="K237" s="96" t="s">
        <v>732</v>
      </c>
      <c r="L237" s="96" t="s">
        <v>733</v>
      </c>
      <c r="M237" s="98" t="s">
        <v>743</v>
      </c>
      <c r="N237" s="98" t="s">
        <v>740</v>
      </c>
      <c r="O237" s="98" t="s">
        <v>659</v>
      </c>
      <c r="P237" s="98" t="s">
        <v>744</v>
      </c>
      <c r="Q237" s="98" t="s">
        <v>129</v>
      </c>
      <c r="R237" s="301">
        <v>100</v>
      </c>
      <c r="S237" s="99" t="s">
        <v>745</v>
      </c>
      <c r="T237" s="81"/>
      <c r="U237" s="81"/>
      <c r="V237" s="25" t="e">
        <f t="shared" si="143"/>
        <v>#DIV/0!</v>
      </c>
      <c r="W237" s="81">
        <v>29</v>
      </c>
      <c r="X237" s="81"/>
      <c r="Y237" s="25">
        <f t="shared" si="1"/>
        <v>0</v>
      </c>
      <c r="Z237" s="81"/>
      <c r="AA237" s="81"/>
      <c r="AB237" s="25" t="e">
        <f t="shared" si="2"/>
        <v>#DIV/0!</v>
      </c>
      <c r="AC237" s="81">
        <v>29</v>
      </c>
      <c r="AD237" s="81"/>
      <c r="AE237" s="25">
        <f t="shared" si="3"/>
        <v>0</v>
      </c>
      <c r="AF237" s="140">
        <f t="shared" si="168"/>
        <v>100</v>
      </c>
      <c r="AG237" s="140">
        <f t="shared" si="169"/>
        <v>0</v>
      </c>
      <c r="AH237" s="138">
        <f t="shared" si="125"/>
        <v>0</v>
      </c>
      <c r="AI237" s="101">
        <v>46113</v>
      </c>
      <c r="AJ237" s="101">
        <v>46477</v>
      </c>
      <c r="AK237" s="102"/>
      <c r="AL237" s="102" t="s">
        <v>725</v>
      </c>
      <c r="AM237" s="103" t="s">
        <v>726</v>
      </c>
      <c r="AN237" s="324">
        <v>0</v>
      </c>
      <c r="AO237" s="324">
        <v>0</v>
      </c>
      <c r="AP237" s="324">
        <v>0</v>
      </c>
      <c r="AQ237" s="326"/>
      <c r="AR237" s="102" t="s">
        <v>115</v>
      </c>
      <c r="AS237" s="102" t="s">
        <v>727</v>
      </c>
      <c r="AT237" s="151" t="s">
        <v>738</v>
      </c>
      <c r="AU237" s="102" t="s">
        <v>2264</v>
      </c>
      <c r="AV237" s="246" t="s">
        <v>2237</v>
      </c>
      <c r="AW237" s="136" t="s">
        <v>2253</v>
      </c>
      <c r="AX237" s="136" t="s">
        <v>2300</v>
      </c>
      <c r="AY237" s="136" t="s">
        <v>2376</v>
      </c>
      <c r="BA237" s="207">
        <v>0</v>
      </c>
      <c r="BB237" s="208">
        <v>0</v>
      </c>
      <c r="BC237" s="209" t="e">
        <f t="shared" si="144"/>
        <v>#DIV/0!</v>
      </c>
      <c r="BD237" s="207">
        <v>25</v>
      </c>
      <c r="BE237" s="208">
        <v>25</v>
      </c>
      <c r="BF237" s="209">
        <f t="shared" si="145"/>
        <v>1</v>
      </c>
      <c r="BG237" s="207">
        <v>0</v>
      </c>
      <c r="BH237" s="208">
        <v>0</v>
      </c>
      <c r="BI237" s="209" t="e">
        <f t="shared" si="146"/>
        <v>#DIV/0!</v>
      </c>
      <c r="BJ237" s="210">
        <f t="shared" si="147"/>
        <v>25</v>
      </c>
      <c r="BK237" s="211">
        <f t="shared" si="148"/>
        <v>25</v>
      </c>
      <c r="BL237" s="209">
        <f t="shared" si="149"/>
        <v>1</v>
      </c>
      <c r="BM237" s="207">
        <v>25</v>
      </c>
      <c r="BN237" s="208">
        <v>25</v>
      </c>
      <c r="BO237" s="209">
        <f t="shared" si="170"/>
        <v>1</v>
      </c>
      <c r="BP237" s="207">
        <v>0</v>
      </c>
      <c r="BQ237" s="208">
        <v>0</v>
      </c>
      <c r="BR237" s="209" t="e">
        <f t="shared" si="171"/>
        <v>#DIV/0!</v>
      </c>
      <c r="BS237" s="207">
        <v>0</v>
      </c>
      <c r="BT237" s="208">
        <v>0</v>
      </c>
      <c r="BU237" s="209" t="e">
        <f t="shared" si="172"/>
        <v>#DIV/0!</v>
      </c>
      <c r="BV237" s="210">
        <f t="shared" si="150"/>
        <v>25</v>
      </c>
      <c r="BW237" s="210">
        <f t="shared" si="151"/>
        <v>25</v>
      </c>
      <c r="BX237" s="209">
        <f t="shared" si="152"/>
        <v>1</v>
      </c>
      <c r="BY237" s="209">
        <f t="shared" si="153"/>
        <v>0.5</v>
      </c>
      <c r="BZ237" s="209">
        <f t="shared" si="154"/>
        <v>-0.5</v>
      </c>
      <c r="CA237" s="212"/>
      <c r="CB237" s="245"/>
      <c r="CC237" s="207">
        <v>0</v>
      </c>
      <c r="CD237" s="208">
        <v>0</v>
      </c>
      <c r="CE237" s="209" t="e">
        <f t="shared" si="173"/>
        <v>#DIV/0!</v>
      </c>
      <c r="CF237" s="207">
        <v>0</v>
      </c>
      <c r="CG237" s="208">
        <v>0</v>
      </c>
      <c r="CH237" s="209" t="e">
        <f t="shared" si="174"/>
        <v>#DIV/0!</v>
      </c>
      <c r="CI237" s="213"/>
      <c r="CJ237" s="180"/>
      <c r="CK237" s="209" t="e">
        <f t="shared" si="175"/>
        <v>#DIV/0!</v>
      </c>
      <c r="CL237" s="210">
        <f t="shared" si="176"/>
        <v>0</v>
      </c>
      <c r="CM237" s="211">
        <f t="shared" si="177"/>
        <v>0</v>
      </c>
      <c r="CN237" s="209" t="e">
        <f t="shared" si="178"/>
        <v>#DIV/0!</v>
      </c>
      <c r="CO237" s="245"/>
      <c r="CP237" s="212">
        <f t="shared" si="179"/>
        <v>50</v>
      </c>
      <c r="CQ237" s="212">
        <f t="shared" si="180"/>
        <v>50</v>
      </c>
      <c r="CR237" s="214">
        <f t="shared" si="181"/>
        <v>1</v>
      </c>
      <c r="CS237" s="279">
        <f t="shared" si="155"/>
        <v>50</v>
      </c>
      <c r="CT237" s="245"/>
      <c r="CU237" s="188">
        <f t="shared" si="156"/>
        <v>15</v>
      </c>
      <c r="CV237" s="277"/>
      <c r="CW237" s="191">
        <f t="shared" si="157"/>
        <v>0</v>
      </c>
      <c r="CX237" s="188">
        <f t="shared" si="158"/>
        <v>15</v>
      </c>
      <c r="CY237" s="277"/>
      <c r="CZ237" s="191">
        <f t="shared" si="159"/>
        <v>0</v>
      </c>
      <c r="DA237" s="188">
        <f t="shared" si="160"/>
        <v>15</v>
      </c>
      <c r="DB237" s="277"/>
      <c r="DC237" s="191">
        <f t="shared" si="161"/>
        <v>0</v>
      </c>
      <c r="DD237" s="188">
        <f t="shared" si="162"/>
        <v>5</v>
      </c>
      <c r="DE237" s="277"/>
      <c r="DF237" s="191">
        <f t="shared" si="163"/>
        <v>0</v>
      </c>
      <c r="DG237" s="245"/>
      <c r="DH237" s="188">
        <f t="shared" si="164"/>
        <v>100</v>
      </c>
      <c r="DI237" s="188">
        <f t="shared" si="165"/>
        <v>50</v>
      </c>
      <c r="DJ237" s="191">
        <f t="shared" si="166"/>
        <v>0.5</v>
      </c>
      <c r="DK237" s="286">
        <f t="shared" si="167"/>
        <v>50</v>
      </c>
    </row>
    <row r="238" spans="1:117" x14ac:dyDescent="0.35">
      <c r="A238" s="81">
        <v>234</v>
      </c>
      <c r="B238" s="102" t="s">
        <v>728</v>
      </c>
      <c r="C238" s="102" t="s">
        <v>118</v>
      </c>
      <c r="D238" s="102" t="s">
        <v>119</v>
      </c>
      <c r="E238" s="102" t="s">
        <v>709</v>
      </c>
      <c r="F238" s="102" t="s">
        <v>730</v>
      </c>
      <c r="G238" s="98" t="s">
        <v>711</v>
      </c>
      <c r="H238" s="98" t="s">
        <v>731</v>
      </c>
      <c r="I238" s="98" t="s">
        <v>103</v>
      </c>
      <c r="J238" s="98" t="s">
        <v>103</v>
      </c>
      <c r="K238" s="96" t="s">
        <v>732</v>
      </c>
      <c r="L238" s="96" t="s">
        <v>733</v>
      </c>
      <c r="M238" s="98" t="s">
        <v>743</v>
      </c>
      <c r="N238" s="98" t="s">
        <v>740</v>
      </c>
      <c r="O238" s="98" t="s">
        <v>659</v>
      </c>
      <c r="P238" s="98" t="s">
        <v>746</v>
      </c>
      <c r="Q238" s="98" t="s">
        <v>129</v>
      </c>
      <c r="R238" s="301">
        <v>100</v>
      </c>
      <c r="S238" s="99" t="s">
        <v>747</v>
      </c>
      <c r="T238" s="81"/>
      <c r="U238" s="81"/>
      <c r="V238" s="25" t="e">
        <f t="shared" si="143"/>
        <v>#DIV/0!</v>
      </c>
      <c r="W238" s="81"/>
      <c r="X238" s="81"/>
      <c r="Y238" s="25" t="e">
        <f t="shared" si="1"/>
        <v>#DIV/0!</v>
      </c>
      <c r="Z238" s="81"/>
      <c r="AA238" s="81"/>
      <c r="AB238" s="25" t="e">
        <f t="shared" si="2"/>
        <v>#DIV/0!</v>
      </c>
      <c r="AC238" s="81"/>
      <c r="AD238" s="81"/>
      <c r="AE238" s="25" t="e">
        <f t="shared" si="3"/>
        <v>#DIV/0!</v>
      </c>
      <c r="AF238" s="140">
        <f t="shared" si="168"/>
        <v>100</v>
      </c>
      <c r="AG238" s="140">
        <f t="shared" si="169"/>
        <v>0</v>
      </c>
      <c r="AH238" s="138">
        <f t="shared" si="125"/>
        <v>0</v>
      </c>
      <c r="AI238" s="101">
        <v>46113</v>
      </c>
      <c r="AJ238" s="101">
        <v>46477</v>
      </c>
      <c r="AK238" s="102"/>
      <c r="AL238" s="102" t="s">
        <v>725</v>
      </c>
      <c r="AM238" s="323">
        <v>0</v>
      </c>
      <c r="AN238" s="324">
        <v>0</v>
      </c>
      <c r="AO238" s="324">
        <v>0</v>
      </c>
      <c r="AP238" s="324">
        <v>0</v>
      </c>
      <c r="AQ238" s="326"/>
      <c r="AR238" s="102" t="s">
        <v>115</v>
      </c>
      <c r="AS238" s="102" t="s">
        <v>727</v>
      </c>
      <c r="AT238" s="151" t="s">
        <v>738</v>
      </c>
      <c r="AU238" s="102" t="s">
        <v>2264</v>
      </c>
      <c r="AV238" s="246" t="s">
        <v>2237</v>
      </c>
      <c r="AW238" s="136" t="s">
        <v>2253</v>
      </c>
      <c r="AX238" s="136" t="s">
        <v>2300</v>
      </c>
      <c r="AY238" s="136" t="s">
        <v>2376</v>
      </c>
      <c r="BA238" s="207">
        <v>8</v>
      </c>
      <c r="BB238" s="208">
        <v>8.3000000000000007</v>
      </c>
      <c r="BC238" s="209">
        <f t="shared" si="144"/>
        <v>1.0375000000000001</v>
      </c>
      <c r="BD238" s="207">
        <v>8</v>
      </c>
      <c r="BE238" s="208">
        <v>8.3000000000000007</v>
      </c>
      <c r="BF238" s="209">
        <f t="shared" si="145"/>
        <v>1.0375000000000001</v>
      </c>
      <c r="BG238" s="207">
        <v>8</v>
      </c>
      <c r="BH238" s="208">
        <v>8.3000000000000007</v>
      </c>
      <c r="BI238" s="209">
        <f t="shared" si="146"/>
        <v>1.0375000000000001</v>
      </c>
      <c r="BJ238" s="210">
        <f t="shared" si="147"/>
        <v>24</v>
      </c>
      <c r="BK238" s="211">
        <f t="shared" si="148"/>
        <v>24.900000000000002</v>
      </c>
      <c r="BL238" s="209">
        <f t="shared" si="149"/>
        <v>1.0375000000000001</v>
      </c>
      <c r="BM238" s="207">
        <v>8</v>
      </c>
      <c r="BN238" s="208">
        <v>8.3000000000000007</v>
      </c>
      <c r="BO238" s="209">
        <f t="shared" si="170"/>
        <v>1.0375000000000001</v>
      </c>
      <c r="BP238" s="207">
        <v>8</v>
      </c>
      <c r="BQ238" s="208">
        <v>8.3000000000000007</v>
      </c>
      <c r="BR238" s="209">
        <f t="shared" si="171"/>
        <v>1.0375000000000001</v>
      </c>
      <c r="BS238" s="207">
        <v>8</v>
      </c>
      <c r="BT238" s="208">
        <v>8.3000000000000007</v>
      </c>
      <c r="BU238" s="209">
        <f t="shared" si="172"/>
        <v>1.0375000000000001</v>
      </c>
      <c r="BV238" s="210">
        <f t="shared" si="150"/>
        <v>24</v>
      </c>
      <c r="BW238" s="210">
        <f t="shared" si="151"/>
        <v>24.900000000000002</v>
      </c>
      <c r="BX238" s="209">
        <f t="shared" si="152"/>
        <v>1.0375000000000001</v>
      </c>
      <c r="BY238" s="209">
        <f t="shared" si="153"/>
        <v>0.49800000000000005</v>
      </c>
      <c r="BZ238" s="209">
        <f t="shared" si="154"/>
        <v>-0.49800000000000005</v>
      </c>
      <c r="CA238" s="212"/>
      <c r="CB238" s="245"/>
      <c r="CC238" s="207">
        <v>8</v>
      </c>
      <c r="CD238" s="208">
        <v>8.3000000000000007</v>
      </c>
      <c r="CE238" s="209">
        <f t="shared" si="173"/>
        <v>1.0375000000000001</v>
      </c>
      <c r="CF238" s="207">
        <v>8</v>
      </c>
      <c r="CG238" s="208">
        <v>8.3000000000000007</v>
      </c>
      <c r="CH238" s="209">
        <f t="shared" si="174"/>
        <v>1.0375000000000001</v>
      </c>
      <c r="CI238" s="213"/>
      <c r="CJ238" s="180"/>
      <c r="CK238" s="209" t="e">
        <f t="shared" si="175"/>
        <v>#DIV/0!</v>
      </c>
      <c r="CL238" s="210">
        <f t="shared" si="176"/>
        <v>16</v>
      </c>
      <c r="CM238" s="211">
        <f t="shared" si="177"/>
        <v>16.600000000000001</v>
      </c>
      <c r="CN238" s="209">
        <f t="shared" si="178"/>
        <v>1.0375000000000001</v>
      </c>
      <c r="CO238" s="245"/>
      <c r="CP238" s="212">
        <f t="shared" si="179"/>
        <v>64</v>
      </c>
      <c r="CQ238" s="212">
        <f t="shared" si="180"/>
        <v>66.400000000000006</v>
      </c>
      <c r="CR238" s="214">
        <f t="shared" si="181"/>
        <v>1.0375000000000001</v>
      </c>
      <c r="CS238" s="279">
        <f t="shared" si="155"/>
        <v>33.599999999999994</v>
      </c>
      <c r="CT238" s="245"/>
      <c r="CU238" s="188">
        <f t="shared" si="156"/>
        <v>10.079999999999998</v>
      </c>
      <c r="CV238" s="277"/>
      <c r="CW238" s="191">
        <f t="shared" si="157"/>
        <v>0</v>
      </c>
      <c r="CX238" s="188">
        <f t="shared" si="158"/>
        <v>10.079999999999998</v>
      </c>
      <c r="CY238" s="277"/>
      <c r="CZ238" s="191">
        <f t="shared" si="159"/>
        <v>0</v>
      </c>
      <c r="DA238" s="188">
        <f t="shared" si="160"/>
        <v>10.079999999999998</v>
      </c>
      <c r="DB238" s="277"/>
      <c r="DC238" s="191">
        <f t="shared" si="161"/>
        <v>0</v>
      </c>
      <c r="DD238" s="188">
        <f t="shared" si="162"/>
        <v>3.3599999999999994</v>
      </c>
      <c r="DE238" s="277"/>
      <c r="DF238" s="191">
        <f t="shared" si="163"/>
        <v>0</v>
      </c>
      <c r="DG238" s="245"/>
      <c r="DH238" s="188">
        <f t="shared" si="164"/>
        <v>100</v>
      </c>
      <c r="DI238" s="188">
        <f t="shared" si="165"/>
        <v>66.400000000000006</v>
      </c>
      <c r="DJ238" s="191">
        <f t="shared" si="166"/>
        <v>0.66400000000000003</v>
      </c>
      <c r="DK238" s="286">
        <f t="shared" si="167"/>
        <v>33.599999999999994</v>
      </c>
    </row>
    <row r="239" spans="1:117" x14ac:dyDescent="0.35">
      <c r="A239" s="81">
        <v>235</v>
      </c>
      <c r="B239" s="102" t="s">
        <v>728</v>
      </c>
      <c r="C239" s="102" t="s">
        <v>118</v>
      </c>
      <c r="D239" s="102" t="s">
        <v>119</v>
      </c>
      <c r="E239" s="102" t="s">
        <v>709</v>
      </c>
      <c r="F239" s="102" t="s">
        <v>730</v>
      </c>
      <c r="G239" s="98" t="s">
        <v>711</v>
      </c>
      <c r="H239" s="98" t="s">
        <v>731</v>
      </c>
      <c r="I239" s="98" t="s">
        <v>103</v>
      </c>
      <c r="J239" s="98" t="s">
        <v>103</v>
      </c>
      <c r="K239" s="96" t="s">
        <v>732</v>
      </c>
      <c r="L239" s="96" t="s">
        <v>733</v>
      </c>
      <c r="M239" s="98" t="s">
        <v>743</v>
      </c>
      <c r="N239" s="98" t="s">
        <v>748</v>
      </c>
      <c r="O239" s="98" t="s">
        <v>659</v>
      </c>
      <c r="P239" s="98" t="s">
        <v>749</v>
      </c>
      <c r="Q239" s="98" t="s">
        <v>129</v>
      </c>
      <c r="R239" s="301">
        <v>400</v>
      </c>
      <c r="S239" s="99" t="s">
        <v>111</v>
      </c>
      <c r="T239" s="81">
        <v>1</v>
      </c>
      <c r="U239" s="81"/>
      <c r="V239" s="25">
        <f t="shared" si="143"/>
        <v>0</v>
      </c>
      <c r="W239" s="81">
        <v>4</v>
      </c>
      <c r="X239" s="81"/>
      <c r="Y239" s="25">
        <f t="shared" si="1"/>
        <v>0</v>
      </c>
      <c r="Z239" s="81">
        <v>4</v>
      </c>
      <c r="AA239" s="81"/>
      <c r="AB239" s="25">
        <f t="shared" si="2"/>
        <v>0</v>
      </c>
      <c r="AC239" s="81">
        <v>5</v>
      </c>
      <c r="AD239" s="81"/>
      <c r="AE239" s="25">
        <f t="shared" si="3"/>
        <v>0</v>
      </c>
      <c r="AF239" s="140">
        <f t="shared" si="168"/>
        <v>400</v>
      </c>
      <c r="AG239" s="140">
        <f t="shared" si="169"/>
        <v>0</v>
      </c>
      <c r="AH239" s="138">
        <f t="shared" si="125"/>
        <v>0</v>
      </c>
      <c r="AI239" s="113">
        <v>46113</v>
      </c>
      <c r="AJ239" s="113">
        <v>46477</v>
      </c>
      <c r="AK239" s="102" t="s">
        <v>112</v>
      </c>
      <c r="AL239" s="322"/>
      <c r="AM239" s="323">
        <v>0</v>
      </c>
      <c r="AN239" s="324">
        <v>0</v>
      </c>
      <c r="AO239" s="324">
        <v>0</v>
      </c>
      <c r="AP239" s="324">
        <v>0</v>
      </c>
      <c r="AQ239" s="326"/>
      <c r="AR239" s="102" t="s">
        <v>115</v>
      </c>
      <c r="AS239" s="102" t="s">
        <v>750</v>
      </c>
      <c r="AT239" s="151" t="s">
        <v>738</v>
      </c>
      <c r="AU239" s="102" t="s">
        <v>2264</v>
      </c>
      <c r="AV239" s="246" t="s">
        <v>2237</v>
      </c>
      <c r="AW239" s="136" t="s">
        <v>2253</v>
      </c>
      <c r="AX239" s="136" t="s">
        <v>2300</v>
      </c>
      <c r="AY239" s="136" t="s">
        <v>2376</v>
      </c>
      <c r="BA239" s="207">
        <v>0</v>
      </c>
      <c r="BB239" s="208">
        <v>0</v>
      </c>
      <c r="BC239" s="209" t="e">
        <f t="shared" si="144"/>
        <v>#DIV/0!</v>
      </c>
      <c r="BD239" s="207">
        <v>42</v>
      </c>
      <c r="BE239" s="208">
        <v>42</v>
      </c>
      <c r="BF239" s="209">
        <f t="shared" si="145"/>
        <v>1</v>
      </c>
      <c r="BG239" s="207">
        <v>34</v>
      </c>
      <c r="BH239" s="208">
        <v>34</v>
      </c>
      <c r="BI239" s="209">
        <f t="shared" si="146"/>
        <v>1</v>
      </c>
      <c r="BJ239" s="210">
        <f t="shared" si="147"/>
        <v>76</v>
      </c>
      <c r="BK239" s="211">
        <f t="shared" si="148"/>
        <v>76</v>
      </c>
      <c r="BL239" s="209">
        <f t="shared" si="149"/>
        <v>1</v>
      </c>
      <c r="BM239" s="207">
        <v>0</v>
      </c>
      <c r="BN239" s="208">
        <v>0</v>
      </c>
      <c r="BO239" s="209" t="e">
        <f t="shared" si="170"/>
        <v>#DIV/0!</v>
      </c>
      <c r="BP239" s="207">
        <v>0</v>
      </c>
      <c r="BQ239" s="208">
        <v>0</v>
      </c>
      <c r="BR239" s="209" t="e">
        <f t="shared" si="171"/>
        <v>#DIV/0!</v>
      </c>
      <c r="BS239" s="207">
        <v>70</v>
      </c>
      <c r="BT239" s="208">
        <v>70</v>
      </c>
      <c r="BU239" s="209">
        <f t="shared" si="172"/>
        <v>1</v>
      </c>
      <c r="BV239" s="210">
        <f t="shared" si="150"/>
        <v>70</v>
      </c>
      <c r="BW239" s="210">
        <f t="shared" si="151"/>
        <v>70</v>
      </c>
      <c r="BX239" s="209">
        <f t="shared" si="152"/>
        <v>1</v>
      </c>
      <c r="BY239" s="209">
        <f t="shared" si="153"/>
        <v>0.36499999999999999</v>
      </c>
      <c r="BZ239" s="209">
        <f t="shared" si="154"/>
        <v>-0.36499999999999999</v>
      </c>
      <c r="CA239" s="212"/>
      <c r="CB239" s="245"/>
      <c r="CC239" s="207">
        <v>32</v>
      </c>
      <c r="CD239" s="208">
        <v>32</v>
      </c>
      <c r="CE239" s="209">
        <f t="shared" si="173"/>
        <v>1</v>
      </c>
      <c r="CF239" s="207">
        <v>39</v>
      </c>
      <c r="CG239" s="208">
        <v>39</v>
      </c>
      <c r="CH239" s="209">
        <f t="shared" si="174"/>
        <v>1</v>
      </c>
      <c r="CI239" s="213"/>
      <c r="CJ239" s="180"/>
      <c r="CK239" s="209" t="e">
        <f t="shared" si="175"/>
        <v>#DIV/0!</v>
      </c>
      <c r="CL239" s="210">
        <f t="shared" si="176"/>
        <v>71</v>
      </c>
      <c r="CM239" s="211">
        <f t="shared" si="177"/>
        <v>71</v>
      </c>
      <c r="CN239" s="209">
        <f t="shared" si="178"/>
        <v>1</v>
      </c>
      <c r="CO239" s="245"/>
      <c r="CP239" s="212">
        <f t="shared" si="179"/>
        <v>217</v>
      </c>
      <c r="CQ239" s="212">
        <f t="shared" si="180"/>
        <v>217</v>
      </c>
      <c r="CR239" s="214">
        <f t="shared" si="181"/>
        <v>1</v>
      </c>
      <c r="CS239" s="279">
        <f t="shared" si="155"/>
        <v>183</v>
      </c>
      <c r="CT239" s="245"/>
      <c r="CU239" s="188">
        <f t="shared" si="156"/>
        <v>54.9</v>
      </c>
      <c r="CV239" s="277"/>
      <c r="CW239" s="191">
        <f t="shared" si="157"/>
        <v>0</v>
      </c>
      <c r="CX239" s="188">
        <f t="shared" si="158"/>
        <v>54.9</v>
      </c>
      <c r="CY239" s="277"/>
      <c r="CZ239" s="191">
        <f t="shared" si="159"/>
        <v>0</v>
      </c>
      <c r="DA239" s="188">
        <f t="shared" si="160"/>
        <v>54.9</v>
      </c>
      <c r="DB239" s="277"/>
      <c r="DC239" s="191">
        <f t="shared" si="161"/>
        <v>0</v>
      </c>
      <c r="DD239" s="188">
        <f t="shared" si="162"/>
        <v>18.3</v>
      </c>
      <c r="DE239" s="277"/>
      <c r="DF239" s="191">
        <f t="shared" si="163"/>
        <v>0</v>
      </c>
      <c r="DG239" s="245"/>
      <c r="DH239" s="188">
        <f t="shared" si="164"/>
        <v>400</v>
      </c>
      <c r="DI239" s="188">
        <f t="shared" si="165"/>
        <v>217</v>
      </c>
      <c r="DJ239" s="191">
        <f t="shared" si="166"/>
        <v>0.54249999999999998</v>
      </c>
      <c r="DK239" s="286">
        <f t="shared" si="167"/>
        <v>183</v>
      </c>
    </row>
    <row r="240" spans="1:117" x14ac:dyDescent="0.35">
      <c r="A240" s="81">
        <v>236</v>
      </c>
      <c r="B240" s="102" t="s">
        <v>728</v>
      </c>
      <c r="C240" s="102" t="s">
        <v>118</v>
      </c>
      <c r="D240" s="102" t="s">
        <v>119</v>
      </c>
      <c r="E240" s="102" t="s">
        <v>709</v>
      </c>
      <c r="F240" s="102" t="s">
        <v>730</v>
      </c>
      <c r="G240" s="98" t="s">
        <v>711</v>
      </c>
      <c r="H240" s="98" t="s">
        <v>731</v>
      </c>
      <c r="I240" s="98" t="s">
        <v>285</v>
      </c>
      <c r="J240" s="98" t="s">
        <v>103</v>
      </c>
      <c r="K240" s="96" t="s">
        <v>732</v>
      </c>
      <c r="L240" s="96" t="s">
        <v>733</v>
      </c>
      <c r="M240" s="98" t="s">
        <v>743</v>
      </c>
      <c r="N240" s="98" t="s">
        <v>748</v>
      </c>
      <c r="O240" s="98" t="s">
        <v>659</v>
      </c>
      <c r="P240" s="98" t="s">
        <v>751</v>
      </c>
      <c r="Q240" s="98" t="s">
        <v>129</v>
      </c>
      <c r="R240" s="301">
        <v>100</v>
      </c>
      <c r="S240" s="99" t="s">
        <v>158</v>
      </c>
      <c r="T240" s="81">
        <v>62</v>
      </c>
      <c r="U240" s="81"/>
      <c r="V240" s="25">
        <f t="shared" si="143"/>
        <v>0</v>
      </c>
      <c r="W240" s="81">
        <v>0</v>
      </c>
      <c r="X240" s="81"/>
      <c r="Y240" s="25" t="e">
        <f t="shared" si="1"/>
        <v>#DIV/0!</v>
      </c>
      <c r="Z240" s="81">
        <v>0</v>
      </c>
      <c r="AA240" s="81"/>
      <c r="AB240" s="25" t="e">
        <f t="shared" si="2"/>
        <v>#DIV/0!</v>
      </c>
      <c r="AC240" s="81">
        <v>0</v>
      </c>
      <c r="AD240" s="81"/>
      <c r="AE240" s="25" t="e">
        <f t="shared" si="3"/>
        <v>#DIV/0!</v>
      </c>
      <c r="AF240" s="140">
        <f t="shared" si="168"/>
        <v>100</v>
      </c>
      <c r="AG240" s="140">
        <f t="shared" si="169"/>
        <v>0</v>
      </c>
      <c r="AH240" s="138">
        <f t="shared" si="125"/>
        <v>0</v>
      </c>
      <c r="AI240" s="113">
        <v>46113</v>
      </c>
      <c r="AJ240" s="113">
        <v>46477</v>
      </c>
      <c r="AK240" s="102" t="s">
        <v>112</v>
      </c>
      <c r="AL240" s="322"/>
      <c r="AM240" s="323">
        <v>0</v>
      </c>
      <c r="AN240" s="324">
        <v>0</v>
      </c>
      <c r="AO240" s="324">
        <v>0</v>
      </c>
      <c r="AP240" s="324">
        <v>0</v>
      </c>
      <c r="AQ240" s="326"/>
      <c r="AR240" s="102" t="s">
        <v>115</v>
      </c>
      <c r="AS240" s="102" t="s">
        <v>750</v>
      </c>
      <c r="AT240" s="151" t="s">
        <v>738</v>
      </c>
      <c r="AU240" s="102" t="s">
        <v>2264</v>
      </c>
      <c r="AV240" s="246" t="s">
        <v>2237</v>
      </c>
      <c r="AW240" s="136" t="s">
        <v>2253</v>
      </c>
      <c r="AX240" s="136" t="s">
        <v>2300</v>
      </c>
      <c r="AY240" s="136" t="s">
        <v>2376</v>
      </c>
      <c r="BA240" s="207">
        <v>8</v>
      </c>
      <c r="BB240" s="208">
        <v>8.3000000000000007</v>
      </c>
      <c r="BC240" s="209">
        <f t="shared" si="144"/>
        <v>1.0375000000000001</v>
      </c>
      <c r="BD240" s="207">
        <v>8</v>
      </c>
      <c r="BE240" s="208">
        <v>8.3000000000000007</v>
      </c>
      <c r="BF240" s="209">
        <f t="shared" si="145"/>
        <v>1.0375000000000001</v>
      </c>
      <c r="BG240" s="207">
        <v>8</v>
      </c>
      <c r="BH240" s="208">
        <v>8.3000000000000007</v>
      </c>
      <c r="BI240" s="209">
        <f t="shared" si="146"/>
        <v>1.0375000000000001</v>
      </c>
      <c r="BJ240" s="210">
        <f t="shared" si="147"/>
        <v>24</v>
      </c>
      <c r="BK240" s="211">
        <f t="shared" si="148"/>
        <v>24.900000000000002</v>
      </c>
      <c r="BL240" s="209">
        <f t="shared" si="149"/>
        <v>1.0375000000000001</v>
      </c>
      <c r="BM240" s="207">
        <v>8</v>
      </c>
      <c r="BN240" s="208">
        <v>8.3000000000000007</v>
      </c>
      <c r="BO240" s="209">
        <f t="shared" si="170"/>
        <v>1.0375000000000001</v>
      </c>
      <c r="BP240" s="207">
        <v>8</v>
      </c>
      <c r="BQ240" s="208">
        <v>8.3000000000000007</v>
      </c>
      <c r="BR240" s="209">
        <f t="shared" si="171"/>
        <v>1.0375000000000001</v>
      </c>
      <c r="BS240" s="207">
        <v>8</v>
      </c>
      <c r="BT240" s="208">
        <v>8.3000000000000007</v>
      </c>
      <c r="BU240" s="209">
        <f t="shared" si="172"/>
        <v>1.0375000000000001</v>
      </c>
      <c r="BV240" s="210">
        <f t="shared" si="150"/>
        <v>24</v>
      </c>
      <c r="BW240" s="210">
        <f t="shared" si="151"/>
        <v>24.900000000000002</v>
      </c>
      <c r="BX240" s="209">
        <f t="shared" si="152"/>
        <v>1.0375000000000001</v>
      </c>
      <c r="BY240" s="209">
        <f t="shared" si="153"/>
        <v>0.49800000000000005</v>
      </c>
      <c r="BZ240" s="209">
        <f t="shared" si="154"/>
        <v>-0.49800000000000005</v>
      </c>
      <c r="CA240" s="212"/>
      <c r="CB240" s="245"/>
      <c r="CC240" s="207">
        <v>8</v>
      </c>
      <c r="CD240" s="208">
        <v>8.3000000000000007</v>
      </c>
      <c r="CE240" s="209">
        <f t="shared" si="173"/>
        <v>1.0375000000000001</v>
      </c>
      <c r="CF240" s="207">
        <v>8</v>
      </c>
      <c r="CG240" s="208">
        <v>8.3000000000000007</v>
      </c>
      <c r="CH240" s="209">
        <f t="shared" si="174"/>
        <v>1.0375000000000001</v>
      </c>
      <c r="CI240" s="213"/>
      <c r="CJ240" s="180"/>
      <c r="CK240" s="209" t="e">
        <f t="shared" si="175"/>
        <v>#DIV/0!</v>
      </c>
      <c r="CL240" s="210">
        <f t="shared" si="176"/>
        <v>16</v>
      </c>
      <c r="CM240" s="211">
        <f t="shared" si="177"/>
        <v>16.600000000000001</v>
      </c>
      <c r="CN240" s="209">
        <f t="shared" si="178"/>
        <v>1.0375000000000001</v>
      </c>
      <c r="CO240" s="245"/>
      <c r="CP240" s="212">
        <f t="shared" si="179"/>
        <v>64</v>
      </c>
      <c r="CQ240" s="212">
        <f t="shared" si="180"/>
        <v>66.400000000000006</v>
      </c>
      <c r="CR240" s="214">
        <f t="shared" si="181"/>
        <v>1.0375000000000001</v>
      </c>
      <c r="CS240" s="279">
        <f t="shared" si="155"/>
        <v>33.599999999999994</v>
      </c>
      <c r="CT240" s="245"/>
      <c r="CU240" s="188">
        <f t="shared" si="156"/>
        <v>10.079999999999998</v>
      </c>
      <c r="CV240" s="277"/>
      <c r="CW240" s="191">
        <f t="shared" si="157"/>
        <v>0</v>
      </c>
      <c r="CX240" s="188">
        <f t="shared" si="158"/>
        <v>10.079999999999998</v>
      </c>
      <c r="CY240" s="277"/>
      <c r="CZ240" s="191">
        <f t="shared" si="159"/>
        <v>0</v>
      </c>
      <c r="DA240" s="188">
        <f t="shared" si="160"/>
        <v>10.079999999999998</v>
      </c>
      <c r="DB240" s="277"/>
      <c r="DC240" s="191">
        <f t="shared" si="161"/>
        <v>0</v>
      </c>
      <c r="DD240" s="188">
        <f t="shared" si="162"/>
        <v>3.3599999999999994</v>
      </c>
      <c r="DE240" s="277"/>
      <c r="DF240" s="191">
        <f t="shared" si="163"/>
        <v>0</v>
      </c>
      <c r="DG240" s="245"/>
      <c r="DH240" s="188">
        <f t="shared" si="164"/>
        <v>100</v>
      </c>
      <c r="DI240" s="188">
        <f t="shared" si="165"/>
        <v>66.400000000000006</v>
      </c>
      <c r="DJ240" s="191">
        <f t="shared" si="166"/>
        <v>0.66400000000000003</v>
      </c>
      <c r="DK240" s="286">
        <f t="shared" si="167"/>
        <v>33.599999999999994</v>
      </c>
    </row>
    <row r="241" spans="1:117" x14ac:dyDescent="0.35">
      <c r="A241" s="81">
        <v>237</v>
      </c>
      <c r="B241" s="102" t="s">
        <v>752</v>
      </c>
      <c r="C241" s="102" t="s">
        <v>118</v>
      </c>
      <c r="D241" s="102" t="s">
        <v>119</v>
      </c>
      <c r="E241" s="102" t="s">
        <v>729</v>
      </c>
      <c r="F241" s="102" t="s">
        <v>753</v>
      </c>
      <c r="G241" s="98" t="s">
        <v>711</v>
      </c>
      <c r="H241" s="98" t="s">
        <v>656</v>
      </c>
      <c r="I241" s="98" t="s">
        <v>285</v>
      </c>
      <c r="J241" s="98" t="s">
        <v>285</v>
      </c>
      <c r="K241" s="96" t="s">
        <v>754</v>
      </c>
      <c r="L241" s="96" t="s">
        <v>755</v>
      </c>
      <c r="M241" s="98"/>
      <c r="N241" s="98" t="s">
        <v>756</v>
      </c>
      <c r="O241" s="98" t="s">
        <v>665</v>
      </c>
      <c r="P241" s="98" t="s">
        <v>757</v>
      </c>
      <c r="Q241" s="98" t="s">
        <v>129</v>
      </c>
      <c r="R241" s="301">
        <v>4</v>
      </c>
      <c r="S241" s="99" t="s">
        <v>742</v>
      </c>
      <c r="T241" s="81">
        <v>25</v>
      </c>
      <c r="U241" s="81"/>
      <c r="V241" s="25">
        <f t="shared" si="143"/>
        <v>0</v>
      </c>
      <c r="W241" s="81">
        <v>25</v>
      </c>
      <c r="X241" s="81"/>
      <c r="Y241" s="25">
        <f t="shared" si="1"/>
        <v>0</v>
      </c>
      <c r="Z241" s="81">
        <v>25</v>
      </c>
      <c r="AA241" s="81"/>
      <c r="AB241" s="25">
        <f t="shared" si="2"/>
        <v>0</v>
      </c>
      <c r="AC241" s="81">
        <v>25</v>
      </c>
      <c r="AD241" s="81"/>
      <c r="AE241" s="25">
        <f t="shared" si="3"/>
        <v>0</v>
      </c>
      <c r="AF241" s="140">
        <f t="shared" si="168"/>
        <v>4</v>
      </c>
      <c r="AG241" s="140">
        <f t="shared" si="169"/>
        <v>0</v>
      </c>
      <c r="AH241" s="138">
        <f t="shared" si="125"/>
        <v>0</v>
      </c>
      <c r="AI241" s="113">
        <v>46113</v>
      </c>
      <c r="AJ241" s="113">
        <v>46477</v>
      </c>
      <c r="AK241" s="102" t="s">
        <v>112</v>
      </c>
      <c r="AL241" s="322"/>
      <c r="AM241" s="323">
        <v>0</v>
      </c>
      <c r="AN241" s="324">
        <v>0</v>
      </c>
      <c r="AO241" s="324">
        <v>0</v>
      </c>
      <c r="AP241" s="324">
        <v>0</v>
      </c>
      <c r="AQ241" s="326"/>
      <c r="AR241" s="102" t="s">
        <v>115</v>
      </c>
      <c r="AS241" s="102" t="s">
        <v>750</v>
      </c>
      <c r="AT241" s="151" t="s">
        <v>758</v>
      </c>
      <c r="AU241" s="102" t="s">
        <v>2264</v>
      </c>
      <c r="AV241" s="247" t="s">
        <v>2237</v>
      </c>
      <c r="AW241" s="136" t="s">
        <v>2250</v>
      </c>
      <c r="AX241" s="136" t="s">
        <v>2379</v>
      </c>
      <c r="AY241" s="136" t="s">
        <v>2308</v>
      </c>
      <c r="BA241" s="207">
        <v>0</v>
      </c>
      <c r="BB241" s="208">
        <v>0</v>
      </c>
      <c r="BC241" s="209" t="e">
        <f t="shared" si="144"/>
        <v>#DIV/0!</v>
      </c>
      <c r="BD241" s="207">
        <v>0</v>
      </c>
      <c r="BE241" s="208">
        <v>0</v>
      </c>
      <c r="BF241" s="209" t="e">
        <f t="shared" si="145"/>
        <v>#DIV/0!</v>
      </c>
      <c r="BG241" s="207">
        <v>1</v>
      </c>
      <c r="BH241" s="208">
        <v>0</v>
      </c>
      <c r="BI241" s="209">
        <f t="shared" si="146"/>
        <v>0</v>
      </c>
      <c r="BJ241" s="210">
        <f t="shared" si="147"/>
        <v>1</v>
      </c>
      <c r="BK241" s="211">
        <f t="shared" si="148"/>
        <v>0</v>
      </c>
      <c r="BL241" s="209">
        <f t="shared" si="149"/>
        <v>0</v>
      </c>
      <c r="BM241" s="207">
        <v>0</v>
      </c>
      <c r="BN241" s="208">
        <v>17</v>
      </c>
      <c r="BO241" s="209" t="e">
        <f t="shared" si="170"/>
        <v>#DIV/0!</v>
      </c>
      <c r="BP241" s="207">
        <v>0</v>
      </c>
      <c r="BQ241" s="208">
        <v>0</v>
      </c>
      <c r="BR241" s="209" t="e">
        <f t="shared" si="171"/>
        <v>#DIV/0!</v>
      </c>
      <c r="BS241" s="207">
        <v>1</v>
      </c>
      <c r="BT241" s="208">
        <v>10</v>
      </c>
      <c r="BU241" s="209">
        <f t="shared" si="172"/>
        <v>10</v>
      </c>
      <c r="BV241" s="210">
        <f t="shared" si="150"/>
        <v>1</v>
      </c>
      <c r="BW241" s="210">
        <f t="shared" si="151"/>
        <v>27</v>
      </c>
      <c r="BX241" s="209">
        <f t="shared" si="152"/>
        <v>27</v>
      </c>
      <c r="BY241" s="209">
        <f t="shared" si="153"/>
        <v>6.75</v>
      </c>
      <c r="BZ241" s="209">
        <f t="shared" si="154"/>
        <v>-6.75</v>
      </c>
      <c r="CA241" s="212"/>
      <c r="CB241" s="245"/>
      <c r="CC241" s="207"/>
      <c r="CD241" s="208"/>
      <c r="CE241" s="209" t="e">
        <f t="shared" si="173"/>
        <v>#DIV/0!</v>
      </c>
      <c r="CF241" s="207"/>
      <c r="CG241" s="208"/>
      <c r="CH241" s="209" t="e">
        <f t="shared" si="174"/>
        <v>#DIV/0!</v>
      </c>
      <c r="CI241" s="213"/>
      <c r="CJ241" s="180"/>
      <c r="CK241" s="209" t="e">
        <f t="shared" si="175"/>
        <v>#DIV/0!</v>
      </c>
      <c r="CL241" s="210">
        <f t="shared" si="176"/>
        <v>0</v>
      </c>
      <c r="CM241" s="211">
        <f t="shared" si="177"/>
        <v>0</v>
      </c>
      <c r="CN241" s="209" t="e">
        <f t="shared" si="178"/>
        <v>#DIV/0!</v>
      </c>
      <c r="CO241" s="245"/>
      <c r="CP241" s="212">
        <f t="shared" si="179"/>
        <v>2</v>
      </c>
      <c r="CQ241" s="212">
        <f t="shared" si="180"/>
        <v>27</v>
      </c>
      <c r="CR241" s="214">
        <f t="shared" si="181"/>
        <v>13.5</v>
      </c>
      <c r="CS241" s="279">
        <f t="shared" si="155"/>
        <v>-23</v>
      </c>
      <c r="CT241" s="245"/>
      <c r="CU241" s="188">
        <f t="shared" si="156"/>
        <v>-6.8999999999999995</v>
      </c>
      <c r="CV241" s="277"/>
      <c r="CW241" s="191">
        <f t="shared" si="157"/>
        <v>0</v>
      </c>
      <c r="CX241" s="188">
        <f t="shared" si="158"/>
        <v>-6.8999999999999995</v>
      </c>
      <c r="CY241" s="277"/>
      <c r="CZ241" s="191">
        <f t="shared" si="159"/>
        <v>0</v>
      </c>
      <c r="DA241" s="188">
        <f t="shared" si="160"/>
        <v>-6.8999999999999995</v>
      </c>
      <c r="DB241" s="277"/>
      <c r="DC241" s="191">
        <f t="shared" si="161"/>
        <v>0</v>
      </c>
      <c r="DD241" s="188">
        <f t="shared" si="162"/>
        <v>-2.3000000000000003</v>
      </c>
      <c r="DE241" s="277"/>
      <c r="DF241" s="191">
        <f t="shared" si="163"/>
        <v>0</v>
      </c>
      <c r="DG241" s="245"/>
      <c r="DH241" s="188">
        <f t="shared" si="164"/>
        <v>4</v>
      </c>
      <c r="DI241" s="188">
        <f t="shared" si="165"/>
        <v>27</v>
      </c>
      <c r="DJ241" s="191">
        <f t="shared" si="166"/>
        <v>6.75</v>
      </c>
      <c r="DK241" s="286">
        <f t="shared" si="167"/>
        <v>-23</v>
      </c>
    </row>
    <row r="242" spans="1:117" x14ac:dyDescent="0.35">
      <c r="A242" s="81">
        <v>238</v>
      </c>
      <c r="B242" s="102" t="s">
        <v>752</v>
      </c>
      <c r="C242" s="102" t="s">
        <v>118</v>
      </c>
      <c r="D242" s="102" t="s">
        <v>119</v>
      </c>
      <c r="E242" s="102" t="s">
        <v>709</v>
      </c>
      <c r="F242" s="102" t="s">
        <v>753</v>
      </c>
      <c r="G242" s="98" t="s">
        <v>711</v>
      </c>
      <c r="H242" s="98" t="s">
        <v>656</v>
      </c>
      <c r="I242" s="98" t="s">
        <v>285</v>
      </c>
      <c r="J242" s="98" t="s">
        <v>285</v>
      </c>
      <c r="K242" s="96" t="s">
        <v>754</v>
      </c>
      <c r="L242" s="96" t="s">
        <v>755</v>
      </c>
      <c r="M242" s="98"/>
      <c r="N242" s="98" t="s">
        <v>756</v>
      </c>
      <c r="O242" s="98" t="s">
        <v>665</v>
      </c>
      <c r="P242" s="98" t="s">
        <v>759</v>
      </c>
      <c r="Q242" s="98" t="s">
        <v>129</v>
      </c>
      <c r="R242" s="301">
        <v>29</v>
      </c>
      <c r="S242" s="99" t="s">
        <v>742</v>
      </c>
      <c r="T242" s="81">
        <v>25</v>
      </c>
      <c r="U242" s="81"/>
      <c r="V242" s="25">
        <f t="shared" si="143"/>
        <v>0</v>
      </c>
      <c r="W242" s="81">
        <v>25</v>
      </c>
      <c r="X242" s="81"/>
      <c r="Y242" s="25">
        <f t="shared" si="1"/>
        <v>0</v>
      </c>
      <c r="Z242" s="81">
        <v>25</v>
      </c>
      <c r="AA242" s="81"/>
      <c r="AB242" s="25">
        <f t="shared" si="2"/>
        <v>0</v>
      </c>
      <c r="AC242" s="81">
        <v>25</v>
      </c>
      <c r="AD242" s="81"/>
      <c r="AE242" s="25">
        <f t="shared" si="3"/>
        <v>0</v>
      </c>
      <c r="AF242" s="140">
        <f t="shared" si="168"/>
        <v>29</v>
      </c>
      <c r="AG242" s="140">
        <f t="shared" si="169"/>
        <v>0</v>
      </c>
      <c r="AH242" s="138">
        <f t="shared" si="125"/>
        <v>0</v>
      </c>
      <c r="AI242" s="113">
        <v>46113</v>
      </c>
      <c r="AJ242" s="113">
        <v>46477</v>
      </c>
      <c r="AK242" s="102" t="s">
        <v>112</v>
      </c>
      <c r="AL242" s="322"/>
      <c r="AM242" s="323">
        <v>0</v>
      </c>
      <c r="AN242" s="324">
        <v>0</v>
      </c>
      <c r="AO242" s="324">
        <v>0</v>
      </c>
      <c r="AP242" s="324">
        <v>0</v>
      </c>
      <c r="AQ242" s="326"/>
      <c r="AR242" s="102" t="s">
        <v>115</v>
      </c>
      <c r="AS242" s="102" t="s">
        <v>750</v>
      </c>
      <c r="AT242" s="151" t="s">
        <v>758</v>
      </c>
      <c r="AU242" s="102" t="s">
        <v>2264</v>
      </c>
      <c r="AV242" s="247" t="s">
        <v>2237</v>
      </c>
      <c r="AW242" s="136" t="s">
        <v>2250</v>
      </c>
      <c r="AX242" s="136" t="s">
        <v>2379</v>
      </c>
      <c r="AY242" s="136" t="s">
        <v>2308</v>
      </c>
      <c r="BA242" s="207">
        <v>0</v>
      </c>
      <c r="BB242" s="208">
        <v>0</v>
      </c>
      <c r="BC242" s="209" t="e">
        <f t="shared" si="144"/>
        <v>#DIV/0!</v>
      </c>
      <c r="BD242" s="207">
        <v>0</v>
      </c>
      <c r="BE242" s="208">
        <v>0</v>
      </c>
      <c r="BF242" s="209" t="e">
        <f t="shared" si="145"/>
        <v>#DIV/0!</v>
      </c>
      <c r="BG242" s="207">
        <v>4</v>
      </c>
      <c r="BH242" s="208"/>
      <c r="BI242" s="209">
        <f t="shared" si="146"/>
        <v>0</v>
      </c>
      <c r="BJ242" s="210">
        <f t="shared" si="147"/>
        <v>4</v>
      </c>
      <c r="BK242" s="211">
        <f t="shared" si="148"/>
        <v>0</v>
      </c>
      <c r="BL242" s="209">
        <f t="shared" si="149"/>
        <v>0</v>
      </c>
      <c r="BM242" s="207">
        <v>6</v>
      </c>
      <c r="BN242" s="208"/>
      <c r="BO242" s="209">
        <f t="shared" si="170"/>
        <v>0</v>
      </c>
      <c r="BP242" s="207">
        <v>3</v>
      </c>
      <c r="BQ242" s="208"/>
      <c r="BR242" s="209">
        <f t="shared" si="171"/>
        <v>0</v>
      </c>
      <c r="BS242" s="207">
        <v>3</v>
      </c>
      <c r="BT242" s="208"/>
      <c r="BU242" s="209">
        <f t="shared" si="172"/>
        <v>0</v>
      </c>
      <c r="BV242" s="210">
        <f t="shared" si="150"/>
        <v>12</v>
      </c>
      <c r="BW242" s="210">
        <f t="shared" si="151"/>
        <v>0</v>
      </c>
      <c r="BX242" s="209">
        <f t="shared" si="152"/>
        <v>0</v>
      </c>
      <c r="BY242" s="209">
        <f t="shared" si="153"/>
        <v>0</v>
      </c>
      <c r="BZ242" s="209">
        <f t="shared" si="154"/>
        <v>0</v>
      </c>
      <c r="CA242" s="212"/>
      <c r="CB242" s="245"/>
      <c r="CC242" s="207">
        <v>3</v>
      </c>
      <c r="CD242" s="208"/>
      <c r="CE242" s="209">
        <f t="shared" si="173"/>
        <v>0</v>
      </c>
      <c r="CF242" s="207">
        <v>4</v>
      </c>
      <c r="CG242" s="208"/>
      <c r="CH242" s="209">
        <f t="shared" si="174"/>
        <v>0</v>
      </c>
      <c r="CI242" s="213"/>
      <c r="CJ242" s="180"/>
      <c r="CK242" s="209" t="e">
        <f t="shared" si="175"/>
        <v>#DIV/0!</v>
      </c>
      <c r="CL242" s="210">
        <f t="shared" si="176"/>
        <v>7</v>
      </c>
      <c r="CM242" s="211">
        <f t="shared" si="177"/>
        <v>0</v>
      </c>
      <c r="CN242" s="209">
        <f t="shared" si="178"/>
        <v>0</v>
      </c>
      <c r="CO242" s="245"/>
      <c r="CP242" s="212">
        <f t="shared" si="179"/>
        <v>23</v>
      </c>
      <c r="CQ242" s="212">
        <f t="shared" si="180"/>
        <v>0</v>
      </c>
      <c r="CR242" s="214">
        <f t="shared" si="181"/>
        <v>0</v>
      </c>
      <c r="CS242" s="279">
        <f t="shared" si="155"/>
        <v>29</v>
      </c>
      <c r="CT242" s="245"/>
      <c r="CU242" s="188">
        <f t="shared" si="156"/>
        <v>8.6999999999999993</v>
      </c>
      <c r="CV242" s="277"/>
      <c r="CW242" s="191">
        <f t="shared" si="157"/>
        <v>0</v>
      </c>
      <c r="CX242" s="188">
        <f t="shared" si="158"/>
        <v>8.6999999999999993</v>
      </c>
      <c r="CY242" s="277"/>
      <c r="CZ242" s="191">
        <f t="shared" si="159"/>
        <v>0</v>
      </c>
      <c r="DA242" s="188">
        <f t="shared" si="160"/>
        <v>8.6999999999999993</v>
      </c>
      <c r="DB242" s="277"/>
      <c r="DC242" s="191">
        <f t="shared" si="161"/>
        <v>0</v>
      </c>
      <c r="DD242" s="188">
        <f t="shared" si="162"/>
        <v>2.9000000000000004</v>
      </c>
      <c r="DE242" s="277"/>
      <c r="DF242" s="191">
        <f t="shared" si="163"/>
        <v>0</v>
      </c>
      <c r="DG242" s="245"/>
      <c r="DH242" s="188">
        <f t="shared" si="164"/>
        <v>29</v>
      </c>
      <c r="DI242" s="188">
        <f t="shared" si="165"/>
        <v>0</v>
      </c>
      <c r="DJ242" s="191">
        <f t="shared" si="166"/>
        <v>0</v>
      </c>
      <c r="DK242" s="286">
        <f t="shared" si="167"/>
        <v>29</v>
      </c>
    </row>
    <row r="243" spans="1:117" x14ac:dyDescent="0.35">
      <c r="A243" s="81">
        <v>239</v>
      </c>
      <c r="B243" s="102" t="s">
        <v>760</v>
      </c>
      <c r="C243" s="102" t="s">
        <v>118</v>
      </c>
      <c r="D243" s="102" t="s">
        <v>119</v>
      </c>
      <c r="E243" s="102" t="s">
        <v>729</v>
      </c>
      <c r="F243" s="102" t="s">
        <v>753</v>
      </c>
      <c r="G243" s="98" t="s">
        <v>711</v>
      </c>
      <c r="H243" s="98" t="s">
        <v>656</v>
      </c>
      <c r="I243" s="98" t="s">
        <v>285</v>
      </c>
      <c r="J243" s="98" t="s">
        <v>761</v>
      </c>
      <c r="K243" s="96" t="s">
        <v>754</v>
      </c>
      <c r="L243" s="96" t="s">
        <v>755</v>
      </c>
      <c r="M243" s="98"/>
      <c r="N243" s="98" t="s">
        <v>762</v>
      </c>
      <c r="O243" s="98" t="s">
        <v>665</v>
      </c>
      <c r="P243" s="98" t="s">
        <v>763</v>
      </c>
      <c r="Q243" s="98" t="s">
        <v>129</v>
      </c>
      <c r="R243" s="301">
        <v>80</v>
      </c>
      <c r="S243" s="99" t="s">
        <v>747</v>
      </c>
      <c r="T243" s="81">
        <v>50</v>
      </c>
      <c r="U243" s="81"/>
      <c r="V243" s="25">
        <f t="shared" si="143"/>
        <v>0</v>
      </c>
      <c r="W243" s="81">
        <v>120</v>
      </c>
      <c r="X243" s="81"/>
      <c r="Y243" s="25">
        <f t="shared" si="1"/>
        <v>0</v>
      </c>
      <c r="Z243" s="81">
        <v>260</v>
      </c>
      <c r="AA243" s="81"/>
      <c r="AB243" s="25">
        <f t="shared" si="2"/>
        <v>0</v>
      </c>
      <c r="AC243" s="81">
        <v>70</v>
      </c>
      <c r="AD243" s="81"/>
      <c r="AE243" s="25">
        <f t="shared" si="3"/>
        <v>0</v>
      </c>
      <c r="AF243" s="140">
        <f t="shared" si="168"/>
        <v>80</v>
      </c>
      <c r="AG243" s="140">
        <f t="shared" si="169"/>
        <v>0</v>
      </c>
      <c r="AH243" s="138">
        <f t="shared" si="125"/>
        <v>0</v>
      </c>
      <c r="AI243" s="113">
        <v>46113</v>
      </c>
      <c r="AJ243" s="113">
        <v>46477</v>
      </c>
      <c r="AK243" s="102" t="s">
        <v>112</v>
      </c>
      <c r="AL243" s="322"/>
      <c r="AM243" s="323">
        <v>0</v>
      </c>
      <c r="AN243" s="324">
        <v>0</v>
      </c>
      <c r="AO243" s="324">
        <v>0</v>
      </c>
      <c r="AP243" s="324">
        <v>0</v>
      </c>
      <c r="AQ243" s="326"/>
      <c r="AR243" s="102" t="s">
        <v>115</v>
      </c>
      <c r="AS243" s="102" t="s">
        <v>750</v>
      </c>
      <c r="AT243" s="151" t="s">
        <v>758</v>
      </c>
      <c r="AU243" s="102" t="s">
        <v>2264</v>
      </c>
      <c r="AV243" s="247" t="s">
        <v>2237</v>
      </c>
      <c r="AW243" s="136" t="s">
        <v>2380</v>
      </c>
      <c r="AX243" s="136" t="s">
        <v>2304</v>
      </c>
      <c r="AY243" s="136" t="s">
        <v>2308</v>
      </c>
      <c r="BA243" s="207">
        <v>3</v>
      </c>
      <c r="BB243" s="208">
        <v>3</v>
      </c>
      <c r="BC243" s="209">
        <f t="shared" si="144"/>
        <v>1</v>
      </c>
      <c r="BD243" s="207">
        <v>8</v>
      </c>
      <c r="BE243" s="208">
        <v>8</v>
      </c>
      <c r="BF243" s="209">
        <f t="shared" si="145"/>
        <v>1</v>
      </c>
      <c r="BG243" s="207">
        <v>9</v>
      </c>
      <c r="BH243" s="208">
        <v>9</v>
      </c>
      <c r="BI243" s="209">
        <f t="shared" si="146"/>
        <v>1</v>
      </c>
      <c r="BJ243" s="210">
        <f t="shared" si="147"/>
        <v>20</v>
      </c>
      <c r="BK243" s="211">
        <f t="shared" si="148"/>
        <v>20</v>
      </c>
      <c r="BL243" s="209">
        <f t="shared" si="149"/>
        <v>1</v>
      </c>
      <c r="BM243" s="207">
        <v>6</v>
      </c>
      <c r="BN243" s="208">
        <v>6</v>
      </c>
      <c r="BO243" s="209">
        <f t="shared" si="170"/>
        <v>1</v>
      </c>
      <c r="BP243" s="207">
        <v>14</v>
      </c>
      <c r="BQ243" s="208">
        <v>14</v>
      </c>
      <c r="BR243" s="209">
        <f t="shared" si="171"/>
        <v>1</v>
      </c>
      <c r="BS243" s="207">
        <v>10</v>
      </c>
      <c r="BT243" s="208">
        <v>9</v>
      </c>
      <c r="BU243" s="209">
        <f t="shared" si="172"/>
        <v>0.9</v>
      </c>
      <c r="BV243" s="210">
        <f t="shared" si="150"/>
        <v>30</v>
      </c>
      <c r="BW243" s="210">
        <f t="shared" si="151"/>
        <v>29</v>
      </c>
      <c r="BX243" s="209">
        <f t="shared" si="152"/>
        <v>0.96666666666666667</v>
      </c>
      <c r="BY243" s="209">
        <f t="shared" si="153"/>
        <v>0.61250000000000004</v>
      </c>
      <c r="BZ243" s="209">
        <f t="shared" si="154"/>
        <v>-0.61250000000000004</v>
      </c>
      <c r="CA243" s="212"/>
      <c r="CB243" s="245"/>
      <c r="CC243" s="207">
        <v>4</v>
      </c>
      <c r="CD243" s="208">
        <v>4</v>
      </c>
      <c r="CE243" s="209">
        <f t="shared" si="173"/>
        <v>1</v>
      </c>
      <c r="CF243" s="207">
        <v>4</v>
      </c>
      <c r="CG243" s="208">
        <v>4</v>
      </c>
      <c r="CH243" s="209">
        <f t="shared" si="174"/>
        <v>1</v>
      </c>
      <c r="CI243" s="213"/>
      <c r="CJ243" s="180"/>
      <c r="CK243" s="209" t="e">
        <f t="shared" si="175"/>
        <v>#DIV/0!</v>
      </c>
      <c r="CL243" s="210">
        <f t="shared" si="176"/>
        <v>8</v>
      </c>
      <c r="CM243" s="211">
        <f t="shared" si="177"/>
        <v>8</v>
      </c>
      <c r="CN243" s="209">
        <f t="shared" si="178"/>
        <v>1</v>
      </c>
      <c r="CO243" s="245"/>
      <c r="CP243" s="212">
        <f t="shared" si="179"/>
        <v>58</v>
      </c>
      <c r="CQ243" s="212">
        <f t="shared" si="180"/>
        <v>57</v>
      </c>
      <c r="CR243" s="214">
        <f t="shared" si="181"/>
        <v>0.98275862068965514</v>
      </c>
      <c r="CS243" s="279">
        <f t="shared" si="155"/>
        <v>23</v>
      </c>
      <c r="CT243" s="245"/>
      <c r="CU243" s="188">
        <f t="shared" si="156"/>
        <v>6.8999999999999995</v>
      </c>
      <c r="CV243" s="277"/>
      <c r="CW243" s="191">
        <f t="shared" si="157"/>
        <v>0</v>
      </c>
      <c r="CX243" s="188">
        <f t="shared" si="158"/>
        <v>6.8999999999999995</v>
      </c>
      <c r="CY243" s="277"/>
      <c r="CZ243" s="191">
        <f t="shared" si="159"/>
        <v>0</v>
      </c>
      <c r="DA243" s="188">
        <f t="shared" si="160"/>
        <v>6.8999999999999995</v>
      </c>
      <c r="DB243" s="277"/>
      <c r="DC243" s="191">
        <f t="shared" si="161"/>
        <v>0</v>
      </c>
      <c r="DD243" s="188">
        <f t="shared" si="162"/>
        <v>2.3000000000000003</v>
      </c>
      <c r="DE243" s="277"/>
      <c r="DF243" s="191">
        <f t="shared" si="163"/>
        <v>0</v>
      </c>
      <c r="DG243" s="245"/>
      <c r="DH243" s="188">
        <f t="shared" si="164"/>
        <v>80</v>
      </c>
      <c r="DI243" s="188">
        <f t="shared" si="165"/>
        <v>57</v>
      </c>
      <c r="DJ243" s="191">
        <f t="shared" si="166"/>
        <v>0.71250000000000002</v>
      </c>
      <c r="DK243" s="286">
        <f t="shared" si="167"/>
        <v>23</v>
      </c>
    </row>
    <row r="244" spans="1:117" x14ac:dyDescent="0.35">
      <c r="A244" s="81">
        <v>240</v>
      </c>
      <c r="B244" s="102" t="s">
        <v>764</v>
      </c>
      <c r="C244" s="102" t="s">
        <v>97</v>
      </c>
      <c r="D244" s="102" t="s">
        <v>119</v>
      </c>
      <c r="E244" s="102" t="s">
        <v>765</v>
      </c>
      <c r="F244" s="102" t="s">
        <v>766</v>
      </c>
      <c r="G244" s="98" t="s">
        <v>767</v>
      </c>
      <c r="H244" s="98" t="s">
        <v>656</v>
      </c>
      <c r="I244" s="98" t="s">
        <v>768</v>
      </c>
      <c r="J244" s="98" t="s">
        <v>769</v>
      </c>
      <c r="K244" s="96" t="s">
        <v>754</v>
      </c>
      <c r="L244" s="96" t="s">
        <v>755</v>
      </c>
      <c r="M244" s="98"/>
      <c r="N244" s="98" t="s">
        <v>770</v>
      </c>
      <c r="O244" s="98" t="s">
        <v>665</v>
      </c>
      <c r="P244" s="98" t="s">
        <v>771</v>
      </c>
      <c r="Q244" s="98" t="s">
        <v>129</v>
      </c>
      <c r="R244" s="301">
        <v>4</v>
      </c>
      <c r="S244" s="99" t="s">
        <v>742</v>
      </c>
      <c r="T244" s="81">
        <v>25</v>
      </c>
      <c r="U244" s="81"/>
      <c r="V244" s="25">
        <f t="shared" si="143"/>
        <v>0</v>
      </c>
      <c r="W244" s="81">
        <v>25</v>
      </c>
      <c r="X244" s="81"/>
      <c r="Y244" s="25">
        <f t="shared" si="1"/>
        <v>0</v>
      </c>
      <c r="Z244" s="81">
        <v>25</v>
      </c>
      <c r="AA244" s="81"/>
      <c r="AB244" s="25">
        <f t="shared" si="2"/>
        <v>0</v>
      </c>
      <c r="AC244" s="81">
        <v>25</v>
      </c>
      <c r="AD244" s="81"/>
      <c r="AE244" s="25">
        <f t="shared" si="3"/>
        <v>0</v>
      </c>
      <c r="AF244" s="140">
        <f t="shared" si="168"/>
        <v>4</v>
      </c>
      <c r="AG244" s="140">
        <f t="shared" si="169"/>
        <v>0</v>
      </c>
      <c r="AH244" s="138">
        <f t="shared" si="125"/>
        <v>0</v>
      </c>
      <c r="AI244" s="113">
        <v>46113</v>
      </c>
      <c r="AJ244" s="113">
        <v>46477</v>
      </c>
      <c r="AK244" s="102" t="s">
        <v>112</v>
      </c>
      <c r="AL244" s="322"/>
      <c r="AM244" s="323">
        <v>0</v>
      </c>
      <c r="AN244" s="324">
        <v>0</v>
      </c>
      <c r="AO244" s="324">
        <v>0</v>
      </c>
      <c r="AP244" s="324">
        <v>0</v>
      </c>
      <c r="AQ244" s="326"/>
      <c r="AR244" s="102" t="s">
        <v>115</v>
      </c>
      <c r="AS244" s="102" t="s">
        <v>750</v>
      </c>
      <c r="AT244" s="151" t="s">
        <v>758</v>
      </c>
      <c r="AU244" s="102" t="s">
        <v>2264</v>
      </c>
      <c r="AV244" s="247" t="s">
        <v>2237</v>
      </c>
      <c r="AW244" s="136" t="s">
        <v>2381</v>
      </c>
      <c r="AX244" s="136" t="s">
        <v>2273</v>
      </c>
      <c r="AY244" s="136" t="s">
        <v>2308</v>
      </c>
      <c r="BA244" s="207">
        <v>0</v>
      </c>
      <c r="BB244" s="208">
        <v>0</v>
      </c>
      <c r="BC244" s="209" t="e">
        <f t="shared" si="144"/>
        <v>#DIV/0!</v>
      </c>
      <c r="BD244" s="207">
        <v>0</v>
      </c>
      <c r="BE244" s="208">
        <v>0</v>
      </c>
      <c r="BF244" s="209" t="e">
        <f t="shared" si="145"/>
        <v>#DIV/0!</v>
      </c>
      <c r="BG244" s="207">
        <v>1</v>
      </c>
      <c r="BH244" s="208">
        <v>1</v>
      </c>
      <c r="BI244" s="209">
        <f t="shared" si="146"/>
        <v>1</v>
      </c>
      <c r="BJ244" s="210">
        <f t="shared" si="147"/>
        <v>1</v>
      </c>
      <c r="BK244" s="211">
        <f t="shared" si="148"/>
        <v>1</v>
      </c>
      <c r="BL244" s="209">
        <f t="shared" si="149"/>
        <v>1</v>
      </c>
      <c r="BM244" s="207">
        <v>0</v>
      </c>
      <c r="BN244" s="208">
        <v>0</v>
      </c>
      <c r="BO244" s="209" t="e">
        <f t="shared" si="170"/>
        <v>#DIV/0!</v>
      </c>
      <c r="BP244" s="207">
        <v>0</v>
      </c>
      <c r="BQ244" s="208">
        <v>0</v>
      </c>
      <c r="BR244" s="209" t="e">
        <f t="shared" si="171"/>
        <v>#DIV/0!</v>
      </c>
      <c r="BS244" s="207">
        <v>1</v>
      </c>
      <c r="BT244" s="208">
        <v>1</v>
      </c>
      <c r="BU244" s="209">
        <f t="shared" si="172"/>
        <v>1</v>
      </c>
      <c r="BV244" s="210">
        <f t="shared" si="150"/>
        <v>1</v>
      </c>
      <c r="BW244" s="210">
        <f t="shared" si="151"/>
        <v>1</v>
      </c>
      <c r="BX244" s="209">
        <f t="shared" si="152"/>
        <v>1</v>
      </c>
      <c r="BY244" s="209">
        <f t="shared" si="153"/>
        <v>0.5</v>
      </c>
      <c r="BZ244" s="209">
        <f t="shared" si="154"/>
        <v>-0.5</v>
      </c>
      <c r="CA244" s="212"/>
      <c r="CB244" s="245"/>
      <c r="CC244" s="207">
        <v>0</v>
      </c>
      <c r="CD244" s="208">
        <v>0</v>
      </c>
      <c r="CE244" s="209" t="e">
        <f t="shared" si="173"/>
        <v>#DIV/0!</v>
      </c>
      <c r="CF244" s="207">
        <v>0</v>
      </c>
      <c r="CG244" s="208">
        <v>0</v>
      </c>
      <c r="CH244" s="209" t="e">
        <f t="shared" si="174"/>
        <v>#DIV/0!</v>
      </c>
      <c r="CI244" s="213"/>
      <c r="CJ244" s="180"/>
      <c r="CK244" s="209" t="e">
        <f t="shared" si="175"/>
        <v>#DIV/0!</v>
      </c>
      <c r="CL244" s="210">
        <f t="shared" si="176"/>
        <v>0</v>
      </c>
      <c r="CM244" s="211">
        <f t="shared" si="177"/>
        <v>0</v>
      </c>
      <c r="CN244" s="209" t="e">
        <f t="shared" si="178"/>
        <v>#DIV/0!</v>
      </c>
      <c r="CO244" s="245"/>
      <c r="CP244" s="212">
        <f t="shared" si="179"/>
        <v>2</v>
      </c>
      <c r="CQ244" s="212">
        <f t="shared" si="180"/>
        <v>2</v>
      </c>
      <c r="CR244" s="214">
        <f t="shared" si="181"/>
        <v>1</v>
      </c>
      <c r="CS244" s="279">
        <f t="shared" si="155"/>
        <v>2</v>
      </c>
      <c r="CT244" s="245"/>
      <c r="CU244" s="188">
        <f t="shared" si="156"/>
        <v>0.6</v>
      </c>
      <c r="CV244" s="277"/>
      <c r="CW244" s="191">
        <f t="shared" si="157"/>
        <v>0</v>
      </c>
      <c r="CX244" s="188">
        <f t="shared" si="158"/>
        <v>0.6</v>
      </c>
      <c r="CY244" s="277"/>
      <c r="CZ244" s="191">
        <f t="shared" si="159"/>
        <v>0</v>
      </c>
      <c r="DA244" s="188">
        <f t="shared" si="160"/>
        <v>0.6</v>
      </c>
      <c r="DB244" s="277"/>
      <c r="DC244" s="191">
        <f t="shared" si="161"/>
        <v>0</v>
      </c>
      <c r="DD244" s="188">
        <f t="shared" si="162"/>
        <v>0.2</v>
      </c>
      <c r="DE244" s="277"/>
      <c r="DF244" s="191">
        <f t="shared" si="163"/>
        <v>0</v>
      </c>
      <c r="DG244" s="245"/>
      <c r="DH244" s="188">
        <f t="shared" si="164"/>
        <v>4</v>
      </c>
      <c r="DI244" s="188">
        <f t="shared" si="165"/>
        <v>2</v>
      </c>
      <c r="DJ244" s="191">
        <f t="shared" si="166"/>
        <v>0.5</v>
      </c>
      <c r="DK244" s="286">
        <f t="shared" si="167"/>
        <v>2</v>
      </c>
    </row>
    <row r="245" spans="1:117" customFormat="1" x14ac:dyDescent="0.35">
      <c r="A245" s="81">
        <v>241</v>
      </c>
      <c r="B245" s="102" t="s">
        <v>772</v>
      </c>
      <c r="C245" s="102" t="s">
        <v>118</v>
      </c>
      <c r="D245" s="102" t="s">
        <v>119</v>
      </c>
      <c r="E245" s="102" t="s">
        <v>729</v>
      </c>
      <c r="F245" s="102" t="s">
        <v>753</v>
      </c>
      <c r="G245" s="98" t="s">
        <v>767</v>
      </c>
      <c r="H245" s="98" t="s">
        <v>773</v>
      </c>
      <c r="I245" s="98" t="s">
        <v>340</v>
      </c>
      <c r="J245" s="98" t="s">
        <v>774</v>
      </c>
      <c r="K245" s="96" t="s">
        <v>754</v>
      </c>
      <c r="L245" s="96" t="s">
        <v>755</v>
      </c>
      <c r="M245" s="98"/>
      <c r="N245" s="98" t="s">
        <v>775</v>
      </c>
      <c r="O245" s="98" t="s">
        <v>665</v>
      </c>
      <c r="P245" s="162" t="s">
        <v>776</v>
      </c>
      <c r="Q245" s="98" t="s">
        <v>129</v>
      </c>
      <c r="R245" s="301">
        <v>29</v>
      </c>
      <c r="S245" s="99" t="s">
        <v>742</v>
      </c>
      <c r="T245" s="81">
        <v>1</v>
      </c>
      <c r="U245" s="81"/>
      <c r="V245" s="25">
        <f t="shared" si="143"/>
        <v>0</v>
      </c>
      <c r="W245" s="81">
        <v>1</v>
      </c>
      <c r="X245" s="81"/>
      <c r="Y245" s="25">
        <f t="shared" si="1"/>
        <v>0</v>
      </c>
      <c r="Z245" s="81">
        <v>1</v>
      </c>
      <c r="AA245" s="81"/>
      <c r="AB245" s="25">
        <f t="shared" si="2"/>
        <v>0</v>
      </c>
      <c r="AC245" s="81">
        <v>1</v>
      </c>
      <c r="AD245" s="81"/>
      <c r="AE245" s="25">
        <f t="shared" si="3"/>
        <v>0</v>
      </c>
      <c r="AF245" s="140">
        <f t="shared" si="168"/>
        <v>29</v>
      </c>
      <c r="AG245" s="140">
        <f t="shared" si="169"/>
        <v>0</v>
      </c>
      <c r="AH245" s="138">
        <f t="shared" si="125"/>
        <v>0</v>
      </c>
      <c r="AI245" s="113">
        <v>46054</v>
      </c>
      <c r="AJ245" s="113">
        <v>46387</v>
      </c>
      <c r="AK245" s="102" t="s">
        <v>676</v>
      </c>
      <c r="AL245" s="322"/>
      <c r="AM245" s="323"/>
      <c r="AN245" s="324">
        <v>0</v>
      </c>
      <c r="AO245" s="324">
        <v>0</v>
      </c>
      <c r="AP245" s="324">
        <v>0</v>
      </c>
      <c r="AQ245" s="326"/>
      <c r="AR245" s="102" t="s">
        <v>777</v>
      </c>
      <c r="AS245" s="102" t="s">
        <v>750</v>
      </c>
      <c r="AT245" s="151" t="s">
        <v>778</v>
      </c>
      <c r="AU245" s="102" t="s">
        <v>2264</v>
      </c>
      <c r="AV245" s="247" t="s">
        <v>2237</v>
      </c>
      <c r="AW245" s="136" t="s">
        <v>2382</v>
      </c>
      <c r="AX245" s="136" t="s">
        <v>2383</v>
      </c>
      <c r="AY245" s="136" t="s">
        <v>2376</v>
      </c>
      <c r="AZ245" s="271"/>
      <c r="BA245" s="207">
        <v>0</v>
      </c>
      <c r="BB245" s="208">
        <v>0</v>
      </c>
      <c r="BC245" s="209" t="e">
        <f t="shared" si="144"/>
        <v>#DIV/0!</v>
      </c>
      <c r="BD245" s="207">
        <v>2</v>
      </c>
      <c r="BE245" s="208">
        <v>0</v>
      </c>
      <c r="BF245" s="209">
        <f t="shared" si="145"/>
        <v>0</v>
      </c>
      <c r="BG245" s="207">
        <v>4</v>
      </c>
      <c r="BH245" s="208">
        <v>0</v>
      </c>
      <c r="BI245" s="209">
        <f t="shared" si="146"/>
        <v>0</v>
      </c>
      <c r="BJ245" s="210">
        <f t="shared" si="147"/>
        <v>6</v>
      </c>
      <c r="BK245" s="211">
        <f t="shared" si="148"/>
        <v>0</v>
      </c>
      <c r="BL245" s="209">
        <f t="shared" si="149"/>
        <v>0</v>
      </c>
      <c r="BM245" s="207">
        <v>3</v>
      </c>
      <c r="BN245" s="208">
        <v>0</v>
      </c>
      <c r="BO245" s="209">
        <f t="shared" si="170"/>
        <v>0</v>
      </c>
      <c r="BP245" s="207">
        <v>3</v>
      </c>
      <c r="BQ245" s="208">
        <v>0</v>
      </c>
      <c r="BR245" s="209">
        <f t="shared" si="171"/>
        <v>0</v>
      </c>
      <c r="BS245" s="207">
        <v>3</v>
      </c>
      <c r="BT245" s="208">
        <v>0</v>
      </c>
      <c r="BU245" s="209">
        <f t="shared" si="172"/>
        <v>0</v>
      </c>
      <c r="BV245" s="210">
        <f t="shared" si="150"/>
        <v>9</v>
      </c>
      <c r="BW245" s="210">
        <f t="shared" si="151"/>
        <v>0</v>
      </c>
      <c r="BX245" s="209">
        <f t="shared" si="152"/>
        <v>0</v>
      </c>
      <c r="BY245" s="209">
        <f t="shared" si="153"/>
        <v>0</v>
      </c>
      <c r="BZ245" s="209">
        <f t="shared" si="154"/>
        <v>0</v>
      </c>
      <c r="CA245" s="212"/>
      <c r="CB245" s="173"/>
      <c r="CC245" s="207">
        <v>3</v>
      </c>
      <c r="CD245" s="208">
        <v>0</v>
      </c>
      <c r="CE245" s="209">
        <f t="shared" si="173"/>
        <v>0</v>
      </c>
      <c r="CF245" s="207">
        <v>4</v>
      </c>
      <c r="CG245" s="208">
        <v>0</v>
      </c>
      <c r="CH245" s="209">
        <f t="shared" si="174"/>
        <v>0</v>
      </c>
      <c r="CI245" s="213"/>
      <c r="CJ245" s="180"/>
      <c r="CK245" s="209" t="e">
        <f t="shared" si="175"/>
        <v>#DIV/0!</v>
      </c>
      <c r="CL245" s="210">
        <f t="shared" si="176"/>
        <v>7</v>
      </c>
      <c r="CM245" s="211">
        <f t="shared" si="177"/>
        <v>0</v>
      </c>
      <c r="CN245" s="209">
        <f t="shared" si="178"/>
        <v>0</v>
      </c>
      <c r="CO245" s="173"/>
      <c r="CP245" s="212">
        <f t="shared" si="179"/>
        <v>22</v>
      </c>
      <c r="CQ245" s="212">
        <f t="shared" si="180"/>
        <v>0</v>
      </c>
      <c r="CR245" s="214">
        <f t="shared" si="181"/>
        <v>0</v>
      </c>
      <c r="CS245" s="279">
        <f t="shared" si="155"/>
        <v>29</v>
      </c>
      <c r="CT245" s="173"/>
      <c r="CU245" s="188">
        <f t="shared" si="156"/>
        <v>8.6999999999999993</v>
      </c>
      <c r="CV245" s="277"/>
      <c r="CW245" s="191">
        <f t="shared" si="157"/>
        <v>0</v>
      </c>
      <c r="CX245" s="188">
        <f t="shared" si="158"/>
        <v>8.6999999999999993</v>
      </c>
      <c r="CY245" s="277"/>
      <c r="CZ245" s="191">
        <f t="shared" si="159"/>
        <v>0</v>
      </c>
      <c r="DA245" s="188">
        <f t="shared" si="160"/>
        <v>8.6999999999999993</v>
      </c>
      <c r="DB245" s="277"/>
      <c r="DC245" s="191">
        <f t="shared" si="161"/>
        <v>0</v>
      </c>
      <c r="DD245" s="188">
        <f t="shared" si="162"/>
        <v>2.9000000000000004</v>
      </c>
      <c r="DE245" s="277"/>
      <c r="DF245" s="191">
        <f t="shared" si="163"/>
        <v>0</v>
      </c>
      <c r="DG245" s="173"/>
      <c r="DH245" s="188">
        <f t="shared" si="164"/>
        <v>29</v>
      </c>
      <c r="DI245" s="188">
        <f t="shared" si="165"/>
        <v>0</v>
      </c>
      <c r="DJ245" s="191">
        <f t="shared" si="166"/>
        <v>0</v>
      </c>
      <c r="DK245" s="286">
        <f t="shared" si="167"/>
        <v>29</v>
      </c>
    </row>
    <row r="246" spans="1:117" customFormat="1" x14ac:dyDescent="0.35">
      <c r="A246" s="81">
        <v>242</v>
      </c>
      <c r="B246" s="102" t="s">
        <v>772</v>
      </c>
      <c r="C246" s="102" t="s">
        <v>118</v>
      </c>
      <c r="D246" s="102" t="s">
        <v>119</v>
      </c>
      <c r="E246" s="102" t="s">
        <v>729</v>
      </c>
      <c r="F246" s="102" t="s">
        <v>753</v>
      </c>
      <c r="G246" s="98" t="s">
        <v>711</v>
      </c>
      <c r="H246" s="98" t="s">
        <v>773</v>
      </c>
      <c r="I246" s="98" t="s">
        <v>340</v>
      </c>
      <c r="J246" s="98" t="s">
        <v>774</v>
      </c>
      <c r="K246" s="96" t="s">
        <v>754</v>
      </c>
      <c r="L246" s="96" t="s">
        <v>755</v>
      </c>
      <c r="M246" s="98"/>
      <c r="N246" s="98" t="s">
        <v>779</v>
      </c>
      <c r="O246" s="98" t="s">
        <v>665</v>
      </c>
      <c r="P246" s="162" t="s">
        <v>780</v>
      </c>
      <c r="Q246" s="98" t="s">
        <v>129</v>
      </c>
      <c r="R246" s="301">
        <v>29</v>
      </c>
      <c r="S246" s="99" t="s">
        <v>742</v>
      </c>
      <c r="T246" s="81">
        <v>7</v>
      </c>
      <c r="U246" s="81"/>
      <c r="V246" s="25">
        <f t="shared" si="143"/>
        <v>0</v>
      </c>
      <c r="W246" s="81">
        <v>7</v>
      </c>
      <c r="X246" s="81"/>
      <c r="Y246" s="25">
        <f t="shared" si="1"/>
        <v>0</v>
      </c>
      <c r="Z246" s="81">
        <v>7</v>
      </c>
      <c r="AA246" s="81"/>
      <c r="AB246" s="25">
        <f t="shared" si="2"/>
        <v>0</v>
      </c>
      <c r="AC246" s="81">
        <v>8</v>
      </c>
      <c r="AD246" s="81"/>
      <c r="AE246" s="25">
        <f t="shared" si="3"/>
        <v>0</v>
      </c>
      <c r="AF246" s="140">
        <f t="shared" si="168"/>
        <v>29</v>
      </c>
      <c r="AG246" s="140">
        <f t="shared" si="169"/>
        <v>0</v>
      </c>
      <c r="AH246" s="138">
        <f t="shared" si="125"/>
        <v>0</v>
      </c>
      <c r="AI246" s="113">
        <v>46054</v>
      </c>
      <c r="AJ246" s="113">
        <v>46387</v>
      </c>
      <c r="AK246" s="102" t="s">
        <v>676</v>
      </c>
      <c r="AL246" s="322"/>
      <c r="AM246" s="323"/>
      <c r="AN246" s="324">
        <v>0</v>
      </c>
      <c r="AO246" s="324">
        <v>0</v>
      </c>
      <c r="AP246" s="324">
        <v>0</v>
      </c>
      <c r="AQ246" s="326"/>
      <c r="AR246" s="102" t="s">
        <v>777</v>
      </c>
      <c r="AS246" s="102" t="s">
        <v>750</v>
      </c>
      <c r="AT246" s="151" t="s">
        <v>778</v>
      </c>
      <c r="AU246" s="102" t="s">
        <v>2264</v>
      </c>
      <c r="AV246" s="247" t="s">
        <v>2237</v>
      </c>
      <c r="AW246" s="136" t="s">
        <v>2382</v>
      </c>
      <c r="AX246" s="136" t="s">
        <v>2383</v>
      </c>
      <c r="AY246" s="136" t="s">
        <v>2376</v>
      </c>
      <c r="AZ246" s="271"/>
      <c r="BA246" s="207">
        <v>0</v>
      </c>
      <c r="BB246" s="208">
        <v>0</v>
      </c>
      <c r="BC246" s="209" t="e">
        <f t="shared" si="144"/>
        <v>#DIV/0!</v>
      </c>
      <c r="BD246" s="207">
        <v>2</v>
      </c>
      <c r="BE246" s="208">
        <v>0</v>
      </c>
      <c r="BF246" s="209">
        <f t="shared" si="145"/>
        <v>0</v>
      </c>
      <c r="BG246" s="207">
        <v>4</v>
      </c>
      <c r="BH246" s="208">
        <v>0</v>
      </c>
      <c r="BI246" s="209">
        <f t="shared" si="146"/>
        <v>0</v>
      </c>
      <c r="BJ246" s="210">
        <f t="shared" si="147"/>
        <v>6</v>
      </c>
      <c r="BK246" s="211">
        <f t="shared" si="148"/>
        <v>0</v>
      </c>
      <c r="BL246" s="209">
        <f t="shared" si="149"/>
        <v>0</v>
      </c>
      <c r="BM246" s="207">
        <v>3</v>
      </c>
      <c r="BN246" s="208">
        <v>0</v>
      </c>
      <c r="BO246" s="209">
        <f t="shared" si="170"/>
        <v>0</v>
      </c>
      <c r="BP246" s="207">
        <v>3</v>
      </c>
      <c r="BQ246" s="208">
        <v>0</v>
      </c>
      <c r="BR246" s="209">
        <f t="shared" si="171"/>
        <v>0</v>
      </c>
      <c r="BS246" s="207">
        <v>3</v>
      </c>
      <c r="BT246" s="208">
        <v>0</v>
      </c>
      <c r="BU246" s="209">
        <f t="shared" si="172"/>
        <v>0</v>
      </c>
      <c r="BV246" s="210">
        <f t="shared" si="150"/>
        <v>9</v>
      </c>
      <c r="BW246" s="210">
        <f t="shared" si="151"/>
        <v>0</v>
      </c>
      <c r="BX246" s="209">
        <f t="shared" si="152"/>
        <v>0</v>
      </c>
      <c r="BY246" s="209">
        <f t="shared" si="153"/>
        <v>0</v>
      </c>
      <c r="BZ246" s="209">
        <f t="shared" si="154"/>
        <v>0</v>
      </c>
      <c r="CA246" s="212"/>
      <c r="CB246" s="173"/>
      <c r="CC246" s="207">
        <v>3</v>
      </c>
      <c r="CD246" s="208">
        <v>0</v>
      </c>
      <c r="CE246" s="209">
        <f t="shared" si="173"/>
        <v>0</v>
      </c>
      <c r="CF246" s="207">
        <v>4</v>
      </c>
      <c r="CG246" s="208">
        <v>0</v>
      </c>
      <c r="CH246" s="209">
        <f t="shared" si="174"/>
        <v>0</v>
      </c>
      <c r="CI246" s="213"/>
      <c r="CJ246" s="180"/>
      <c r="CK246" s="209" t="e">
        <f t="shared" si="175"/>
        <v>#DIV/0!</v>
      </c>
      <c r="CL246" s="210">
        <f t="shared" si="176"/>
        <v>7</v>
      </c>
      <c r="CM246" s="211">
        <f t="shared" si="177"/>
        <v>0</v>
      </c>
      <c r="CN246" s="209">
        <f t="shared" si="178"/>
        <v>0</v>
      </c>
      <c r="CO246" s="173"/>
      <c r="CP246" s="212">
        <f t="shared" si="179"/>
        <v>22</v>
      </c>
      <c r="CQ246" s="212">
        <f t="shared" si="180"/>
        <v>0</v>
      </c>
      <c r="CR246" s="214">
        <f t="shared" si="181"/>
        <v>0</v>
      </c>
      <c r="CS246" s="279">
        <f t="shared" si="155"/>
        <v>29</v>
      </c>
      <c r="CT246" s="173"/>
      <c r="CU246" s="188">
        <f t="shared" si="156"/>
        <v>8.6999999999999993</v>
      </c>
      <c r="CV246" s="277"/>
      <c r="CW246" s="191">
        <f t="shared" si="157"/>
        <v>0</v>
      </c>
      <c r="CX246" s="188">
        <f t="shared" si="158"/>
        <v>8.6999999999999993</v>
      </c>
      <c r="CY246" s="277"/>
      <c r="CZ246" s="191">
        <f t="shared" si="159"/>
        <v>0</v>
      </c>
      <c r="DA246" s="188">
        <f t="shared" si="160"/>
        <v>8.6999999999999993</v>
      </c>
      <c r="DB246" s="277"/>
      <c r="DC246" s="191">
        <f t="shared" si="161"/>
        <v>0</v>
      </c>
      <c r="DD246" s="188">
        <f t="shared" si="162"/>
        <v>2.9000000000000004</v>
      </c>
      <c r="DE246" s="277"/>
      <c r="DF246" s="191">
        <f t="shared" si="163"/>
        <v>0</v>
      </c>
      <c r="DG246" s="173"/>
      <c r="DH246" s="188">
        <f t="shared" si="164"/>
        <v>29</v>
      </c>
      <c r="DI246" s="188">
        <f t="shared" si="165"/>
        <v>0</v>
      </c>
      <c r="DJ246" s="191">
        <f t="shared" si="166"/>
        <v>0</v>
      </c>
      <c r="DK246" s="286">
        <f t="shared" si="167"/>
        <v>29</v>
      </c>
    </row>
    <row r="247" spans="1:117" customFormat="1" x14ac:dyDescent="0.35">
      <c r="A247" s="81">
        <v>243</v>
      </c>
      <c r="B247" s="102" t="s">
        <v>760</v>
      </c>
      <c r="C247" s="102" t="s">
        <v>118</v>
      </c>
      <c r="D247" s="102" t="s">
        <v>119</v>
      </c>
      <c r="E247" s="102" t="s">
        <v>729</v>
      </c>
      <c r="F247" s="102" t="s">
        <v>753</v>
      </c>
      <c r="G247" s="98" t="s">
        <v>711</v>
      </c>
      <c r="H247" s="98" t="s">
        <v>773</v>
      </c>
      <c r="I247" s="98" t="s">
        <v>340</v>
      </c>
      <c r="J247" s="98" t="s">
        <v>774</v>
      </c>
      <c r="K247" s="96" t="s">
        <v>754</v>
      </c>
      <c r="L247" s="96" t="s">
        <v>755</v>
      </c>
      <c r="M247" s="98"/>
      <c r="N247" s="98" t="s">
        <v>781</v>
      </c>
      <c r="O247" s="98" t="s">
        <v>659</v>
      </c>
      <c r="P247" s="98" t="s">
        <v>782</v>
      </c>
      <c r="Q247" s="98" t="s">
        <v>129</v>
      </c>
      <c r="R247" s="301">
        <v>70</v>
      </c>
      <c r="S247" s="99" t="s">
        <v>747</v>
      </c>
      <c r="T247" s="81">
        <v>20</v>
      </c>
      <c r="U247" s="81"/>
      <c r="V247" s="25">
        <f t="shared" si="143"/>
        <v>0</v>
      </c>
      <c r="W247" s="81">
        <v>20</v>
      </c>
      <c r="X247" s="81"/>
      <c r="Y247" s="25">
        <f t="shared" si="1"/>
        <v>0</v>
      </c>
      <c r="Z247" s="81">
        <v>20</v>
      </c>
      <c r="AA247" s="81"/>
      <c r="AB247" s="25">
        <f t="shared" si="2"/>
        <v>0</v>
      </c>
      <c r="AC247" s="81">
        <v>20</v>
      </c>
      <c r="AD247" s="81"/>
      <c r="AE247" s="25">
        <f t="shared" si="3"/>
        <v>0</v>
      </c>
      <c r="AF247" s="140">
        <f t="shared" si="168"/>
        <v>70</v>
      </c>
      <c r="AG247" s="140">
        <f t="shared" si="169"/>
        <v>0</v>
      </c>
      <c r="AH247" s="138">
        <f t="shared" si="125"/>
        <v>0</v>
      </c>
      <c r="AI247" s="113">
        <v>46054</v>
      </c>
      <c r="AJ247" s="113">
        <v>46387</v>
      </c>
      <c r="AK247" s="102" t="s">
        <v>676</v>
      </c>
      <c r="AL247" s="322"/>
      <c r="AM247" s="323"/>
      <c r="AN247" s="324">
        <v>0</v>
      </c>
      <c r="AO247" s="324">
        <v>0</v>
      </c>
      <c r="AP247" s="324">
        <v>0</v>
      </c>
      <c r="AQ247" s="326"/>
      <c r="AR247" s="102" t="s">
        <v>783</v>
      </c>
      <c r="AS247" s="102" t="s">
        <v>750</v>
      </c>
      <c r="AT247" s="151" t="s">
        <v>784</v>
      </c>
      <c r="AU247" s="102" t="s">
        <v>2264</v>
      </c>
      <c r="AV247" s="247" t="s">
        <v>2237</v>
      </c>
      <c r="AW247" s="136" t="s">
        <v>2268</v>
      </c>
      <c r="AX247" s="136" t="s">
        <v>2378</v>
      </c>
      <c r="AY247" s="136" t="s">
        <v>2376</v>
      </c>
      <c r="AZ247" s="271"/>
      <c r="BA247" s="207">
        <v>7</v>
      </c>
      <c r="BB247" s="208">
        <v>0</v>
      </c>
      <c r="BC247" s="209">
        <f t="shared" si="144"/>
        <v>0</v>
      </c>
      <c r="BD247" s="207">
        <v>7</v>
      </c>
      <c r="BE247" s="208">
        <v>0</v>
      </c>
      <c r="BF247" s="209">
        <f t="shared" si="145"/>
        <v>0</v>
      </c>
      <c r="BG247" s="207">
        <v>6</v>
      </c>
      <c r="BH247" s="208">
        <v>0</v>
      </c>
      <c r="BI247" s="209">
        <f t="shared" si="146"/>
        <v>0</v>
      </c>
      <c r="BJ247" s="210">
        <f t="shared" si="147"/>
        <v>20</v>
      </c>
      <c r="BK247" s="211">
        <f t="shared" si="148"/>
        <v>0</v>
      </c>
      <c r="BL247" s="209">
        <f t="shared" si="149"/>
        <v>0</v>
      </c>
      <c r="BM247" s="207">
        <v>6</v>
      </c>
      <c r="BN247" s="208">
        <v>6</v>
      </c>
      <c r="BO247" s="209">
        <f t="shared" si="170"/>
        <v>1</v>
      </c>
      <c r="BP247" s="207">
        <v>6</v>
      </c>
      <c r="BQ247" s="208">
        <v>6</v>
      </c>
      <c r="BR247" s="209">
        <f t="shared" si="171"/>
        <v>1</v>
      </c>
      <c r="BS247" s="207">
        <v>5</v>
      </c>
      <c r="BT247" s="208">
        <v>5</v>
      </c>
      <c r="BU247" s="209">
        <f t="shared" si="172"/>
        <v>1</v>
      </c>
      <c r="BV247" s="210">
        <f t="shared" si="150"/>
        <v>17</v>
      </c>
      <c r="BW247" s="210">
        <f t="shared" si="151"/>
        <v>17</v>
      </c>
      <c r="BX247" s="209">
        <f t="shared" si="152"/>
        <v>1</v>
      </c>
      <c r="BY247" s="209">
        <f t="shared" si="153"/>
        <v>0.24285714285714285</v>
      </c>
      <c r="BZ247" s="209">
        <f t="shared" si="154"/>
        <v>-0.24285714285714285</v>
      </c>
      <c r="CA247" s="212"/>
      <c r="CB247" s="173"/>
      <c r="CC247" s="207">
        <v>7</v>
      </c>
      <c r="CD247" s="208">
        <v>0</v>
      </c>
      <c r="CE247" s="209">
        <f t="shared" si="173"/>
        <v>0</v>
      </c>
      <c r="CF247" s="207">
        <v>7</v>
      </c>
      <c r="CG247" s="208">
        <v>8</v>
      </c>
      <c r="CH247" s="209">
        <f t="shared" si="174"/>
        <v>1.1428571428571428</v>
      </c>
      <c r="CI247" s="213"/>
      <c r="CJ247" s="180"/>
      <c r="CK247" s="209" t="e">
        <f t="shared" si="175"/>
        <v>#DIV/0!</v>
      </c>
      <c r="CL247" s="210">
        <f t="shared" si="176"/>
        <v>14</v>
      </c>
      <c r="CM247" s="211">
        <f t="shared" si="177"/>
        <v>8</v>
      </c>
      <c r="CN247" s="209">
        <f t="shared" si="178"/>
        <v>0.5714285714285714</v>
      </c>
      <c r="CO247" s="173"/>
      <c r="CP247" s="212">
        <f t="shared" si="179"/>
        <v>51</v>
      </c>
      <c r="CQ247" s="212">
        <f t="shared" si="180"/>
        <v>25</v>
      </c>
      <c r="CR247" s="214">
        <f t="shared" si="181"/>
        <v>0.49019607843137253</v>
      </c>
      <c r="CS247" s="279">
        <f t="shared" si="155"/>
        <v>45</v>
      </c>
      <c r="CT247" s="173"/>
      <c r="CU247" s="188">
        <f t="shared" si="156"/>
        <v>13.5</v>
      </c>
      <c r="CV247" s="277"/>
      <c r="CW247" s="191">
        <f t="shared" si="157"/>
        <v>0</v>
      </c>
      <c r="CX247" s="188">
        <f t="shared" si="158"/>
        <v>13.5</v>
      </c>
      <c r="CY247" s="277"/>
      <c r="CZ247" s="191">
        <f t="shared" si="159"/>
        <v>0</v>
      </c>
      <c r="DA247" s="188">
        <f t="shared" si="160"/>
        <v>13.5</v>
      </c>
      <c r="DB247" s="277"/>
      <c r="DC247" s="191">
        <f t="shared" si="161"/>
        <v>0</v>
      </c>
      <c r="DD247" s="188">
        <f t="shared" si="162"/>
        <v>4.5</v>
      </c>
      <c r="DE247" s="277"/>
      <c r="DF247" s="191">
        <f t="shared" si="163"/>
        <v>0</v>
      </c>
      <c r="DG247" s="173"/>
      <c r="DH247" s="188">
        <f t="shared" si="164"/>
        <v>70</v>
      </c>
      <c r="DI247" s="188">
        <f t="shared" si="165"/>
        <v>25</v>
      </c>
      <c r="DJ247" s="191">
        <f t="shared" si="166"/>
        <v>0.35714285714285715</v>
      </c>
      <c r="DK247" s="286">
        <f t="shared" si="167"/>
        <v>45</v>
      </c>
    </row>
    <row r="248" spans="1:117" customFormat="1" x14ac:dyDescent="0.35">
      <c r="A248" s="81">
        <v>244</v>
      </c>
      <c r="B248" s="102" t="s">
        <v>760</v>
      </c>
      <c r="C248" s="102" t="s">
        <v>118</v>
      </c>
      <c r="D248" s="102" t="s">
        <v>119</v>
      </c>
      <c r="E248" s="102" t="s">
        <v>729</v>
      </c>
      <c r="F248" s="102" t="s">
        <v>753</v>
      </c>
      <c r="G248" s="98" t="s">
        <v>711</v>
      </c>
      <c r="H248" s="98" t="s">
        <v>773</v>
      </c>
      <c r="I248" s="98" t="s">
        <v>413</v>
      </c>
      <c r="J248" s="98" t="s">
        <v>413</v>
      </c>
      <c r="K248" s="96" t="s">
        <v>754</v>
      </c>
      <c r="L248" s="96" t="s">
        <v>755</v>
      </c>
      <c r="M248" s="98"/>
      <c r="N248" s="98" t="s">
        <v>785</v>
      </c>
      <c r="O248" s="98" t="s">
        <v>659</v>
      </c>
      <c r="P248" s="162" t="s">
        <v>786</v>
      </c>
      <c r="Q248" s="98" t="s">
        <v>129</v>
      </c>
      <c r="R248" s="301">
        <v>100</v>
      </c>
      <c r="S248" s="99" t="s">
        <v>747</v>
      </c>
      <c r="T248" s="81">
        <v>1</v>
      </c>
      <c r="U248" s="81"/>
      <c r="V248" s="25">
        <f t="shared" si="143"/>
        <v>0</v>
      </c>
      <c r="W248" s="81">
        <v>1</v>
      </c>
      <c r="X248" s="81"/>
      <c r="Y248" s="25">
        <f t="shared" si="1"/>
        <v>0</v>
      </c>
      <c r="Z248" s="81">
        <v>1</v>
      </c>
      <c r="AA248" s="81"/>
      <c r="AB248" s="25">
        <f t="shared" si="2"/>
        <v>0</v>
      </c>
      <c r="AC248" s="81">
        <v>1</v>
      </c>
      <c r="AD248" s="81"/>
      <c r="AE248" s="25">
        <f t="shared" si="3"/>
        <v>0</v>
      </c>
      <c r="AF248" s="140">
        <f t="shared" si="168"/>
        <v>100</v>
      </c>
      <c r="AG248" s="140">
        <f t="shared" si="169"/>
        <v>0</v>
      </c>
      <c r="AH248" s="138">
        <f t="shared" si="125"/>
        <v>0</v>
      </c>
      <c r="AI248" s="113">
        <v>46054</v>
      </c>
      <c r="AJ248" s="113">
        <v>46387</v>
      </c>
      <c r="AK248" s="102" t="s">
        <v>676</v>
      </c>
      <c r="AL248" s="322"/>
      <c r="AM248" s="323"/>
      <c r="AN248" s="324">
        <v>0</v>
      </c>
      <c r="AO248" s="324">
        <v>0</v>
      </c>
      <c r="AP248" s="324">
        <v>0</v>
      </c>
      <c r="AQ248" s="326"/>
      <c r="AR248" s="102" t="s">
        <v>115</v>
      </c>
      <c r="AS248" s="102" t="s">
        <v>750</v>
      </c>
      <c r="AT248" s="151" t="s">
        <v>787</v>
      </c>
      <c r="AU248" s="102" t="s">
        <v>2264</v>
      </c>
      <c r="AV248" s="247" t="s">
        <v>2237</v>
      </c>
      <c r="AW248" s="136" t="s">
        <v>2268</v>
      </c>
      <c r="AX248" s="136" t="s">
        <v>2378</v>
      </c>
      <c r="AY248" s="136" t="s">
        <v>2376</v>
      </c>
      <c r="AZ248" s="271"/>
      <c r="BA248" s="207">
        <v>0</v>
      </c>
      <c r="BB248" s="208">
        <v>0</v>
      </c>
      <c r="BC248" s="209" t="e">
        <f t="shared" si="144"/>
        <v>#DIV/0!</v>
      </c>
      <c r="BD248" s="207">
        <v>0</v>
      </c>
      <c r="BE248" s="208">
        <v>0</v>
      </c>
      <c r="BF248" s="209" t="e">
        <f t="shared" si="145"/>
        <v>#DIV/0!</v>
      </c>
      <c r="BG248" s="207">
        <v>0</v>
      </c>
      <c r="BH248" s="208">
        <v>0</v>
      </c>
      <c r="BI248" s="209" t="e">
        <f t="shared" si="146"/>
        <v>#DIV/0!</v>
      </c>
      <c r="BJ248" s="210">
        <f t="shared" si="147"/>
        <v>0</v>
      </c>
      <c r="BK248" s="211">
        <f t="shared" si="148"/>
        <v>0</v>
      </c>
      <c r="BL248" s="209" t="e">
        <f t="shared" si="149"/>
        <v>#DIV/0!</v>
      </c>
      <c r="BM248" s="207">
        <v>0</v>
      </c>
      <c r="BN248" s="208">
        <v>0</v>
      </c>
      <c r="BO248" s="209" t="e">
        <f t="shared" si="170"/>
        <v>#DIV/0!</v>
      </c>
      <c r="BP248" s="207">
        <v>0</v>
      </c>
      <c r="BQ248" s="208">
        <v>0</v>
      </c>
      <c r="BR248" s="209" t="e">
        <f t="shared" si="171"/>
        <v>#DIV/0!</v>
      </c>
      <c r="BS248" s="207">
        <v>0</v>
      </c>
      <c r="BT248" s="208">
        <v>0</v>
      </c>
      <c r="BU248" s="209" t="e">
        <f t="shared" si="172"/>
        <v>#DIV/0!</v>
      </c>
      <c r="BV248" s="210">
        <f t="shared" si="150"/>
        <v>0</v>
      </c>
      <c r="BW248" s="210">
        <f t="shared" si="151"/>
        <v>0</v>
      </c>
      <c r="BX248" s="209" t="e">
        <f t="shared" si="152"/>
        <v>#DIV/0!</v>
      </c>
      <c r="BY248" s="209">
        <f t="shared" si="153"/>
        <v>0</v>
      </c>
      <c r="BZ248" s="209">
        <f t="shared" si="154"/>
        <v>0</v>
      </c>
      <c r="CA248" s="212"/>
      <c r="CB248" s="173"/>
      <c r="CC248" s="207"/>
      <c r="CD248" s="208"/>
      <c r="CE248" s="209" t="e">
        <f t="shared" si="173"/>
        <v>#DIV/0!</v>
      </c>
      <c r="CF248" s="207"/>
      <c r="CG248" s="208"/>
      <c r="CH248" s="209" t="e">
        <f t="shared" si="174"/>
        <v>#DIV/0!</v>
      </c>
      <c r="CI248" s="213"/>
      <c r="CJ248" s="180"/>
      <c r="CK248" s="209" t="e">
        <f t="shared" si="175"/>
        <v>#DIV/0!</v>
      </c>
      <c r="CL248" s="210">
        <f t="shared" si="176"/>
        <v>0</v>
      </c>
      <c r="CM248" s="211">
        <f t="shared" si="177"/>
        <v>0</v>
      </c>
      <c r="CN248" s="209" t="e">
        <f t="shared" si="178"/>
        <v>#DIV/0!</v>
      </c>
      <c r="CO248" s="173"/>
      <c r="CP248" s="212">
        <f t="shared" si="179"/>
        <v>0</v>
      </c>
      <c r="CQ248" s="212">
        <f t="shared" si="180"/>
        <v>0</v>
      </c>
      <c r="CR248" s="214" t="e">
        <f t="shared" si="181"/>
        <v>#DIV/0!</v>
      </c>
      <c r="CS248" s="279">
        <f t="shared" si="155"/>
        <v>100</v>
      </c>
      <c r="CT248" s="173"/>
      <c r="CU248" s="188">
        <f t="shared" si="156"/>
        <v>30</v>
      </c>
      <c r="CV248" s="277"/>
      <c r="CW248" s="191">
        <f t="shared" si="157"/>
        <v>0</v>
      </c>
      <c r="CX248" s="188">
        <f t="shared" si="158"/>
        <v>30</v>
      </c>
      <c r="CY248" s="277"/>
      <c r="CZ248" s="191">
        <f t="shared" si="159"/>
        <v>0</v>
      </c>
      <c r="DA248" s="188">
        <f t="shared" si="160"/>
        <v>30</v>
      </c>
      <c r="DB248" s="277"/>
      <c r="DC248" s="191">
        <f t="shared" si="161"/>
        <v>0</v>
      </c>
      <c r="DD248" s="188">
        <f t="shared" si="162"/>
        <v>10</v>
      </c>
      <c r="DE248" s="277"/>
      <c r="DF248" s="191">
        <f t="shared" si="163"/>
        <v>0</v>
      </c>
      <c r="DG248" s="173"/>
      <c r="DH248" s="188">
        <f t="shared" si="164"/>
        <v>100</v>
      </c>
      <c r="DI248" s="188">
        <f t="shared" si="165"/>
        <v>0</v>
      </c>
      <c r="DJ248" s="191">
        <f t="shared" si="166"/>
        <v>0</v>
      </c>
      <c r="DK248" s="286">
        <f t="shared" si="167"/>
        <v>100</v>
      </c>
    </row>
    <row r="249" spans="1:117" customFormat="1" x14ac:dyDescent="0.35">
      <c r="A249" s="81">
        <v>245</v>
      </c>
      <c r="B249" s="102" t="s">
        <v>760</v>
      </c>
      <c r="C249" s="102" t="s">
        <v>118</v>
      </c>
      <c r="D249" s="102" t="s">
        <v>119</v>
      </c>
      <c r="E249" s="102" t="s">
        <v>729</v>
      </c>
      <c r="F249" s="102" t="s">
        <v>753</v>
      </c>
      <c r="G249" s="98" t="s">
        <v>711</v>
      </c>
      <c r="H249" s="98" t="s">
        <v>773</v>
      </c>
      <c r="I249" s="98" t="s">
        <v>413</v>
      </c>
      <c r="J249" s="98" t="s">
        <v>413</v>
      </c>
      <c r="K249" s="96" t="s">
        <v>754</v>
      </c>
      <c r="L249" s="96" t="s">
        <v>755</v>
      </c>
      <c r="M249" s="98"/>
      <c r="N249" s="98" t="s">
        <v>788</v>
      </c>
      <c r="O249" s="98" t="s">
        <v>659</v>
      </c>
      <c r="P249" s="98" t="s">
        <v>789</v>
      </c>
      <c r="Q249" s="98" t="s">
        <v>129</v>
      </c>
      <c r="R249" s="301">
        <v>4</v>
      </c>
      <c r="S249" s="99" t="s">
        <v>111</v>
      </c>
      <c r="T249" s="81">
        <v>7</v>
      </c>
      <c r="U249" s="81"/>
      <c r="V249" s="25">
        <f t="shared" si="143"/>
        <v>0</v>
      </c>
      <c r="W249" s="81">
        <v>7</v>
      </c>
      <c r="X249" s="81"/>
      <c r="Y249" s="25">
        <f t="shared" si="1"/>
        <v>0</v>
      </c>
      <c r="Z249" s="81">
        <v>7</v>
      </c>
      <c r="AA249" s="81"/>
      <c r="AB249" s="25">
        <f t="shared" si="2"/>
        <v>0</v>
      </c>
      <c r="AC249" s="81">
        <v>8</v>
      </c>
      <c r="AD249" s="81"/>
      <c r="AE249" s="25">
        <f t="shared" si="3"/>
        <v>0</v>
      </c>
      <c r="AF249" s="140">
        <f t="shared" si="168"/>
        <v>4</v>
      </c>
      <c r="AG249" s="140">
        <f t="shared" si="169"/>
        <v>0</v>
      </c>
      <c r="AH249" s="138">
        <f t="shared" si="125"/>
        <v>0</v>
      </c>
      <c r="AI249" s="113">
        <v>46054</v>
      </c>
      <c r="AJ249" s="113">
        <v>46387</v>
      </c>
      <c r="AK249" s="102" t="s">
        <v>676</v>
      </c>
      <c r="AL249" s="322"/>
      <c r="AM249" s="323"/>
      <c r="AN249" s="324">
        <v>0</v>
      </c>
      <c r="AO249" s="324">
        <v>0</v>
      </c>
      <c r="AP249" s="324">
        <v>0</v>
      </c>
      <c r="AQ249" s="326"/>
      <c r="AR249" s="102" t="s">
        <v>115</v>
      </c>
      <c r="AS249" s="102" t="s">
        <v>750</v>
      </c>
      <c r="AT249" s="151" t="s">
        <v>784</v>
      </c>
      <c r="AU249" s="102" t="s">
        <v>2264</v>
      </c>
      <c r="AV249" s="247" t="s">
        <v>2237</v>
      </c>
      <c r="AW249" s="136" t="s">
        <v>2268</v>
      </c>
      <c r="AX249" s="136" t="s">
        <v>2378</v>
      </c>
      <c r="AY249" s="136" t="s">
        <v>2376</v>
      </c>
      <c r="AZ249" s="271"/>
      <c r="BA249" s="207">
        <v>0</v>
      </c>
      <c r="BB249" s="208">
        <v>0</v>
      </c>
      <c r="BC249" s="209" t="e">
        <f t="shared" si="144"/>
        <v>#DIV/0!</v>
      </c>
      <c r="BD249" s="207">
        <v>0</v>
      </c>
      <c r="BE249" s="208">
        <v>0</v>
      </c>
      <c r="BF249" s="209" t="e">
        <f t="shared" si="145"/>
        <v>#DIV/0!</v>
      </c>
      <c r="BG249" s="207">
        <v>1</v>
      </c>
      <c r="BH249" s="208">
        <v>1</v>
      </c>
      <c r="BI249" s="209">
        <f t="shared" si="146"/>
        <v>1</v>
      </c>
      <c r="BJ249" s="210">
        <f t="shared" si="147"/>
        <v>1</v>
      </c>
      <c r="BK249" s="211">
        <f t="shared" si="148"/>
        <v>1</v>
      </c>
      <c r="BL249" s="209">
        <f t="shared" si="149"/>
        <v>1</v>
      </c>
      <c r="BM249" s="207">
        <v>0</v>
      </c>
      <c r="BN249" s="208">
        <v>0</v>
      </c>
      <c r="BO249" s="209" t="e">
        <f t="shared" si="170"/>
        <v>#DIV/0!</v>
      </c>
      <c r="BP249" s="207">
        <v>0</v>
      </c>
      <c r="BQ249" s="208">
        <v>0</v>
      </c>
      <c r="BR249" s="209" t="e">
        <f t="shared" si="171"/>
        <v>#DIV/0!</v>
      </c>
      <c r="BS249" s="207">
        <v>1</v>
      </c>
      <c r="BT249" s="208">
        <v>1</v>
      </c>
      <c r="BU249" s="209">
        <f t="shared" si="172"/>
        <v>1</v>
      </c>
      <c r="BV249" s="210">
        <f t="shared" si="150"/>
        <v>1</v>
      </c>
      <c r="BW249" s="210">
        <f t="shared" si="151"/>
        <v>1</v>
      </c>
      <c r="BX249" s="209">
        <f t="shared" si="152"/>
        <v>1</v>
      </c>
      <c r="BY249" s="209">
        <f t="shared" si="153"/>
        <v>0.5</v>
      </c>
      <c r="BZ249" s="209">
        <f t="shared" si="154"/>
        <v>-0.5</v>
      </c>
      <c r="CA249" s="212"/>
      <c r="CB249" s="173"/>
      <c r="CC249" s="207">
        <v>0</v>
      </c>
      <c r="CD249" s="208">
        <v>0</v>
      </c>
      <c r="CE249" s="209" t="e">
        <f t="shared" si="173"/>
        <v>#DIV/0!</v>
      </c>
      <c r="CF249" s="207">
        <v>0</v>
      </c>
      <c r="CG249" s="208">
        <v>0</v>
      </c>
      <c r="CH249" s="209" t="e">
        <f t="shared" si="174"/>
        <v>#DIV/0!</v>
      </c>
      <c r="CI249" s="213"/>
      <c r="CJ249" s="180"/>
      <c r="CK249" s="209" t="e">
        <f t="shared" si="175"/>
        <v>#DIV/0!</v>
      </c>
      <c r="CL249" s="210">
        <f t="shared" si="176"/>
        <v>0</v>
      </c>
      <c r="CM249" s="211">
        <f t="shared" si="177"/>
        <v>0</v>
      </c>
      <c r="CN249" s="209" t="e">
        <f t="shared" si="178"/>
        <v>#DIV/0!</v>
      </c>
      <c r="CO249" s="173"/>
      <c r="CP249" s="212">
        <f t="shared" si="179"/>
        <v>2</v>
      </c>
      <c r="CQ249" s="212">
        <f t="shared" si="180"/>
        <v>2</v>
      </c>
      <c r="CR249" s="214">
        <f t="shared" si="181"/>
        <v>1</v>
      </c>
      <c r="CS249" s="279">
        <f t="shared" si="155"/>
        <v>2</v>
      </c>
      <c r="CT249" s="173"/>
      <c r="CU249" s="188">
        <f t="shared" si="156"/>
        <v>0.6</v>
      </c>
      <c r="CV249" s="277"/>
      <c r="CW249" s="191">
        <f t="shared" si="157"/>
        <v>0</v>
      </c>
      <c r="CX249" s="188">
        <f t="shared" si="158"/>
        <v>0.6</v>
      </c>
      <c r="CY249" s="277"/>
      <c r="CZ249" s="191">
        <f t="shared" si="159"/>
        <v>0</v>
      </c>
      <c r="DA249" s="188">
        <f t="shared" si="160"/>
        <v>0.6</v>
      </c>
      <c r="DB249" s="277"/>
      <c r="DC249" s="191">
        <f t="shared" si="161"/>
        <v>0</v>
      </c>
      <c r="DD249" s="188">
        <f t="shared" si="162"/>
        <v>0.2</v>
      </c>
      <c r="DE249" s="277"/>
      <c r="DF249" s="191">
        <f t="shared" si="163"/>
        <v>0</v>
      </c>
      <c r="DG249" s="173"/>
      <c r="DH249" s="188">
        <f t="shared" si="164"/>
        <v>4</v>
      </c>
      <c r="DI249" s="188">
        <f t="shared" si="165"/>
        <v>2</v>
      </c>
      <c r="DJ249" s="191">
        <f t="shared" si="166"/>
        <v>0.5</v>
      </c>
      <c r="DK249" s="286">
        <f t="shared" si="167"/>
        <v>2</v>
      </c>
    </row>
    <row r="250" spans="1:117" customFormat="1" x14ac:dyDescent="0.35">
      <c r="A250" s="81">
        <v>246</v>
      </c>
      <c r="B250" s="102" t="s">
        <v>760</v>
      </c>
      <c r="C250" s="102" t="s">
        <v>118</v>
      </c>
      <c r="D250" s="102" t="s">
        <v>119</v>
      </c>
      <c r="E250" s="102" t="s">
        <v>729</v>
      </c>
      <c r="F250" s="102" t="s">
        <v>753</v>
      </c>
      <c r="G250" s="98" t="s">
        <v>711</v>
      </c>
      <c r="H250" s="98" t="s">
        <v>773</v>
      </c>
      <c r="I250" s="98" t="s">
        <v>413</v>
      </c>
      <c r="J250" s="98" t="s">
        <v>413</v>
      </c>
      <c r="K250" s="96" t="s">
        <v>754</v>
      </c>
      <c r="L250" s="96" t="s">
        <v>755</v>
      </c>
      <c r="M250" s="98"/>
      <c r="N250" s="98" t="s">
        <v>790</v>
      </c>
      <c r="O250" s="98" t="s">
        <v>659</v>
      </c>
      <c r="P250" s="98" t="s">
        <v>791</v>
      </c>
      <c r="Q250" s="98" t="s">
        <v>129</v>
      </c>
      <c r="R250" s="301">
        <v>100</v>
      </c>
      <c r="S250" s="99" t="s">
        <v>745</v>
      </c>
      <c r="T250" s="81">
        <v>7</v>
      </c>
      <c r="U250" s="81"/>
      <c r="V250" s="25">
        <f t="shared" si="143"/>
        <v>0</v>
      </c>
      <c r="W250" s="81">
        <v>7</v>
      </c>
      <c r="X250" s="81"/>
      <c r="Y250" s="25">
        <f t="shared" si="1"/>
        <v>0</v>
      </c>
      <c r="Z250" s="81">
        <v>7</v>
      </c>
      <c r="AA250" s="81"/>
      <c r="AB250" s="25">
        <f t="shared" si="2"/>
        <v>0</v>
      </c>
      <c r="AC250" s="81">
        <v>8</v>
      </c>
      <c r="AD250" s="81"/>
      <c r="AE250" s="25">
        <f t="shared" si="3"/>
        <v>0</v>
      </c>
      <c r="AF250" s="140">
        <f t="shared" si="168"/>
        <v>100</v>
      </c>
      <c r="AG250" s="140">
        <f t="shared" si="169"/>
        <v>0</v>
      </c>
      <c r="AH250" s="138">
        <f t="shared" si="125"/>
        <v>0</v>
      </c>
      <c r="AI250" s="113">
        <v>46054</v>
      </c>
      <c r="AJ250" s="113">
        <v>46387</v>
      </c>
      <c r="AK250" s="102" t="s">
        <v>676</v>
      </c>
      <c r="AL250" s="322"/>
      <c r="AM250" s="323"/>
      <c r="AN250" s="324">
        <v>0</v>
      </c>
      <c r="AO250" s="324">
        <v>0</v>
      </c>
      <c r="AP250" s="324">
        <v>0</v>
      </c>
      <c r="AQ250" s="326"/>
      <c r="AR250" s="102" t="s">
        <v>115</v>
      </c>
      <c r="AS250" s="102" t="s">
        <v>750</v>
      </c>
      <c r="AT250" s="151" t="s">
        <v>792</v>
      </c>
      <c r="AU250" s="102" t="s">
        <v>2264</v>
      </c>
      <c r="AV250" s="247" t="s">
        <v>2237</v>
      </c>
      <c r="AW250" s="136" t="s">
        <v>2268</v>
      </c>
      <c r="AX250" s="136" t="s">
        <v>2378</v>
      </c>
      <c r="AY250" s="136" t="s">
        <v>2376</v>
      </c>
      <c r="AZ250" s="271"/>
      <c r="BA250" s="207">
        <v>25</v>
      </c>
      <c r="BB250" s="208">
        <v>25</v>
      </c>
      <c r="BC250" s="209">
        <f t="shared" si="144"/>
        <v>1</v>
      </c>
      <c r="BD250" s="207">
        <v>0</v>
      </c>
      <c r="BE250" s="208">
        <v>0</v>
      </c>
      <c r="BF250" s="209" t="e">
        <f t="shared" si="145"/>
        <v>#DIV/0!</v>
      </c>
      <c r="BG250" s="207">
        <v>0</v>
      </c>
      <c r="BH250" s="208">
        <v>0</v>
      </c>
      <c r="BI250" s="209" t="e">
        <f t="shared" si="146"/>
        <v>#DIV/0!</v>
      </c>
      <c r="BJ250" s="210">
        <f t="shared" si="147"/>
        <v>25</v>
      </c>
      <c r="BK250" s="211">
        <f t="shared" si="148"/>
        <v>25</v>
      </c>
      <c r="BL250" s="209">
        <f t="shared" si="149"/>
        <v>1</v>
      </c>
      <c r="BM250" s="207">
        <v>0</v>
      </c>
      <c r="BN250" s="208">
        <v>0</v>
      </c>
      <c r="BO250" s="209" t="e">
        <f t="shared" si="170"/>
        <v>#DIV/0!</v>
      </c>
      <c r="BP250" s="207">
        <v>25</v>
      </c>
      <c r="BQ250" s="208">
        <v>25</v>
      </c>
      <c r="BR250" s="209">
        <f t="shared" si="171"/>
        <v>1</v>
      </c>
      <c r="BS250" s="207">
        <v>0</v>
      </c>
      <c r="BT250" s="208">
        <v>0</v>
      </c>
      <c r="BU250" s="209" t="e">
        <f t="shared" si="172"/>
        <v>#DIV/0!</v>
      </c>
      <c r="BV250" s="210">
        <f t="shared" si="150"/>
        <v>25</v>
      </c>
      <c r="BW250" s="210">
        <f t="shared" si="151"/>
        <v>25</v>
      </c>
      <c r="BX250" s="209">
        <f t="shared" si="152"/>
        <v>1</v>
      </c>
      <c r="BY250" s="209">
        <f t="shared" si="153"/>
        <v>0.5</v>
      </c>
      <c r="BZ250" s="209">
        <f t="shared" si="154"/>
        <v>-0.5</v>
      </c>
      <c r="CA250" s="212"/>
      <c r="CB250" s="173"/>
      <c r="CC250" s="207">
        <v>0</v>
      </c>
      <c r="CD250" s="208">
        <v>0</v>
      </c>
      <c r="CE250" s="209" t="e">
        <f t="shared" si="173"/>
        <v>#DIV/0!</v>
      </c>
      <c r="CF250" s="207">
        <v>25</v>
      </c>
      <c r="CG250" s="208">
        <v>25</v>
      </c>
      <c r="CH250" s="209">
        <f t="shared" si="174"/>
        <v>1</v>
      </c>
      <c r="CI250" s="213"/>
      <c r="CJ250" s="180"/>
      <c r="CK250" s="209" t="e">
        <f t="shared" si="175"/>
        <v>#DIV/0!</v>
      </c>
      <c r="CL250" s="210">
        <f t="shared" si="176"/>
        <v>25</v>
      </c>
      <c r="CM250" s="211">
        <f t="shared" si="177"/>
        <v>25</v>
      </c>
      <c r="CN250" s="209">
        <f t="shared" si="178"/>
        <v>1</v>
      </c>
      <c r="CO250" s="173"/>
      <c r="CP250" s="212">
        <f t="shared" si="179"/>
        <v>75</v>
      </c>
      <c r="CQ250" s="212">
        <f t="shared" si="180"/>
        <v>75</v>
      </c>
      <c r="CR250" s="214">
        <f t="shared" si="181"/>
        <v>1</v>
      </c>
      <c r="CS250" s="279">
        <f t="shared" si="155"/>
        <v>25</v>
      </c>
      <c r="CT250" s="173"/>
      <c r="CU250" s="188">
        <f t="shared" si="156"/>
        <v>7.5</v>
      </c>
      <c r="CV250" s="277"/>
      <c r="CW250" s="191">
        <f t="shared" si="157"/>
        <v>0</v>
      </c>
      <c r="CX250" s="188">
        <f t="shared" si="158"/>
        <v>7.5</v>
      </c>
      <c r="CY250" s="277"/>
      <c r="CZ250" s="191">
        <f t="shared" si="159"/>
        <v>0</v>
      </c>
      <c r="DA250" s="188">
        <f t="shared" si="160"/>
        <v>7.5</v>
      </c>
      <c r="DB250" s="277"/>
      <c r="DC250" s="191">
        <f t="shared" si="161"/>
        <v>0</v>
      </c>
      <c r="DD250" s="188">
        <f t="shared" si="162"/>
        <v>2.5</v>
      </c>
      <c r="DE250" s="277"/>
      <c r="DF250" s="191">
        <f t="shared" si="163"/>
        <v>0</v>
      </c>
      <c r="DG250" s="173"/>
      <c r="DH250" s="188">
        <f t="shared" si="164"/>
        <v>100</v>
      </c>
      <c r="DI250" s="188">
        <f t="shared" si="165"/>
        <v>75</v>
      </c>
      <c r="DJ250" s="191">
        <f t="shared" si="166"/>
        <v>0.75</v>
      </c>
      <c r="DK250" s="286">
        <f t="shared" si="167"/>
        <v>25</v>
      </c>
    </row>
    <row r="251" spans="1:117" customFormat="1" x14ac:dyDescent="0.35">
      <c r="A251" s="81">
        <v>247</v>
      </c>
      <c r="B251" s="102" t="s">
        <v>760</v>
      </c>
      <c r="C251" s="102" t="s">
        <v>118</v>
      </c>
      <c r="D251" s="102" t="s">
        <v>119</v>
      </c>
      <c r="E251" s="102" t="s">
        <v>729</v>
      </c>
      <c r="F251" s="102" t="s">
        <v>753</v>
      </c>
      <c r="G251" s="98" t="s">
        <v>711</v>
      </c>
      <c r="H251" s="98" t="s">
        <v>773</v>
      </c>
      <c r="I251" s="98" t="s">
        <v>413</v>
      </c>
      <c r="J251" s="98" t="s">
        <v>413</v>
      </c>
      <c r="K251" s="96" t="s">
        <v>754</v>
      </c>
      <c r="L251" s="96" t="s">
        <v>755</v>
      </c>
      <c r="M251" s="98"/>
      <c r="N251" s="98" t="s">
        <v>793</v>
      </c>
      <c r="O251" s="98" t="s">
        <v>659</v>
      </c>
      <c r="P251" s="98" t="s">
        <v>794</v>
      </c>
      <c r="Q251" s="98" t="s">
        <v>129</v>
      </c>
      <c r="R251" s="301">
        <v>100</v>
      </c>
      <c r="S251" s="99" t="s">
        <v>745</v>
      </c>
      <c r="T251" s="81">
        <v>17</v>
      </c>
      <c r="U251" s="81"/>
      <c r="V251" s="25">
        <f t="shared" si="143"/>
        <v>0</v>
      </c>
      <c r="W251" s="81">
        <v>17</v>
      </c>
      <c r="X251" s="81"/>
      <c r="Y251" s="25">
        <f t="shared" si="1"/>
        <v>0</v>
      </c>
      <c r="Z251" s="81">
        <v>17</v>
      </c>
      <c r="AA251" s="81"/>
      <c r="AB251" s="25">
        <f t="shared" si="2"/>
        <v>0</v>
      </c>
      <c r="AC251" s="81">
        <v>18</v>
      </c>
      <c r="AD251" s="81"/>
      <c r="AE251" s="25">
        <f t="shared" si="3"/>
        <v>0</v>
      </c>
      <c r="AF251" s="140">
        <f t="shared" si="168"/>
        <v>100</v>
      </c>
      <c r="AG251" s="140">
        <f t="shared" si="169"/>
        <v>0</v>
      </c>
      <c r="AH251" s="138">
        <f t="shared" si="125"/>
        <v>0</v>
      </c>
      <c r="AI251" s="113">
        <v>46054</v>
      </c>
      <c r="AJ251" s="113">
        <v>46387</v>
      </c>
      <c r="AK251" s="102" t="s">
        <v>676</v>
      </c>
      <c r="AL251" s="322"/>
      <c r="AM251" s="323"/>
      <c r="AN251" s="324">
        <v>0</v>
      </c>
      <c r="AO251" s="324">
        <v>0</v>
      </c>
      <c r="AP251" s="324">
        <v>0</v>
      </c>
      <c r="AQ251" s="326"/>
      <c r="AR251" s="102" t="s">
        <v>115</v>
      </c>
      <c r="AS251" s="102" t="s">
        <v>750</v>
      </c>
      <c r="AT251" s="151" t="s">
        <v>792</v>
      </c>
      <c r="AU251" s="102" t="s">
        <v>2264</v>
      </c>
      <c r="AV251" s="247" t="s">
        <v>2237</v>
      </c>
      <c r="AW251" s="136" t="s">
        <v>2268</v>
      </c>
      <c r="AX251" s="136" t="s">
        <v>2378</v>
      </c>
      <c r="AY251" s="136" t="s">
        <v>2376</v>
      </c>
      <c r="AZ251" s="271"/>
      <c r="BA251" s="207">
        <v>0</v>
      </c>
      <c r="BB251" s="208">
        <v>0</v>
      </c>
      <c r="BC251" s="209" t="e">
        <f t="shared" si="144"/>
        <v>#DIV/0!</v>
      </c>
      <c r="BD251" s="207">
        <v>25</v>
      </c>
      <c r="BE251" s="208">
        <v>25</v>
      </c>
      <c r="BF251" s="209">
        <f t="shared" si="145"/>
        <v>1</v>
      </c>
      <c r="BG251" s="207">
        <v>0</v>
      </c>
      <c r="BH251" s="208">
        <v>0</v>
      </c>
      <c r="BI251" s="209" t="e">
        <f t="shared" si="146"/>
        <v>#DIV/0!</v>
      </c>
      <c r="BJ251" s="210">
        <f t="shared" si="147"/>
        <v>25</v>
      </c>
      <c r="BK251" s="211">
        <f t="shared" si="148"/>
        <v>25</v>
      </c>
      <c r="BL251" s="209">
        <f t="shared" si="149"/>
        <v>1</v>
      </c>
      <c r="BM251" s="207">
        <v>0</v>
      </c>
      <c r="BN251" s="208">
        <v>0</v>
      </c>
      <c r="BO251" s="209" t="e">
        <f t="shared" si="170"/>
        <v>#DIV/0!</v>
      </c>
      <c r="BP251" s="207">
        <v>25</v>
      </c>
      <c r="BQ251" s="208">
        <v>25</v>
      </c>
      <c r="BR251" s="209">
        <f t="shared" si="171"/>
        <v>1</v>
      </c>
      <c r="BS251" s="207">
        <v>0</v>
      </c>
      <c r="BT251" s="208">
        <v>0</v>
      </c>
      <c r="BU251" s="209" t="e">
        <f t="shared" si="172"/>
        <v>#DIV/0!</v>
      </c>
      <c r="BV251" s="210">
        <f t="shared" si="150"/>
        <v>25</v>
      </c>
      <c r="BW251" s="210">
        <f t="shared" si="151"/>
        <v>25</v>
      </c>
      <c r="BX251" s="209">
        <f t="shared" si="152"/>
        <v>1</v>
      </c>
      <c r="BY251" s="209">
        <f t="shared" si="153"/>
        <v>0.5</v>
      </c>
      <c r="BZ251" s="209">
        <f t="shared" si="154"/>
        <v>-0.5</v>
      </c>
      <c r="CA251" s="212"/>
      <c r="CB251" s="173"/>
      <c r="CC251" s="207">
        <v>0</v>
      </c>
      <c r="CD251" s="208">
        <v>0</v>
      </c>
      <c r="CE251" s="209" t="e">
        <f t="shared" si="173"/>
        <v>#DIV/0!</v>
      </c>
      <c r="CF251" s="207">
        <v>25</v>
      </c>
      <c r="CG251" s="208">
        <v>25</v>
      </c>
      <c r="CH251" s="209">
        <f t="shared" si="174"/>
        <v>1</v>
      </c>
      <c r="CI251" s="213"/>
      <c r="CJ251" s="180"/>
      <c r="CK251" s="209" t="e">
        <f t="shared" si="175"/>
        <v>#DIV/0!</v>
      </c>
      <c r="CL251" s="210">
        <f t="shared" si="176"/>
        <v>25</v>
      </c>
      <c r="CM251" s="211">
        <f t="shared" si="177"/>
        <v>25</v>
      </c>
      <c r="CN251" s="209">
        <f t="shared" si="178"/>
        <v>1</v>
      </c>
      <c r="CO251" s="173"/>
      <c r="CP251" s="212">
        <f t="shared" si="179"/>
        <v>75</v>
      </c>
      <c r="CQ251" s="212">
        <f t="shared" si="180"/>
        <v>75</v>
      </c>
      <c r="CR251" s="214">
        <f t="shared" si="181"/>
        <v>1</v>
      </c>
      <c r="CS251" s="279">
        <f t="shared" si="155"/>
        <v>25</v>
      </c>
      <c r="CT251" s="173"/>
      <c r="CU251" s="188">
        <f t="shared" si="156"/>
        <v>7.5</v>
      </c>
      <c r="CV251" s="277"/>
      <c r="CW251" s="191">
        <f t="shared" si="157"/>
        <v>0</v>
      </c>
      <c r="CX251" s="188">
        <f t="shared" si="158"/>
        <v>7.5</v>
      </c>
      <c r="CY251" s="277"/>
      <c r="CZ251" s="191">
        <f t="shared" si="159"/>
        <v>0</v>
      </c>
      <c r="DA251" s="188">
        <f t="shared" si="160"/>
        <v>7.5</v>
      </c>
      <c r="DB251" s="277"/>
      <c r="DC251" s="191">
        <f t="shared" si="161"/>
        <v>0</v>
      </c>
      <c r="DD251" s="188">
        <f t="shared" si="162"/>
        <v>2.5</v>
      </c>
      <c r="DE251" s="277"/>
      <c r="DF251" s="191">
        <f t="shared" si="163"/>
        <v>0</v>
      </c>
      <c r="DG251" s="173"/>
      <c r="DH251" s="188">
        <f t="shared" si="164"/>
        <v>100</v>
      </c>
      <c r="DI251" s="188">
        <f t="shared" si="165"/>
        <v>75</v>
      </c>
      <c r="DJ251" s="191">
        <f t="shared" si="166"/>
        <v>0.75</v>
      </c>
      <c r="DK251" s="286">
        <f t="shared" si="167"/>
        <v>25</v>
      </c>
    </row>
    <row r="252" spans="1:117" customFormat="1" x14ac:dyDescent="0.35">
      <c r="A252" s="81">
        <v>248</v>
      </c>
      <c r="B252" s="102" t="s">
        <v>760</v>
      </c>
      <c r="C252" s="102" t="s">
        <v>118</v>
      </c>
      <c r="D252" s="102" t="s">
        <v>119</v>
      </c>
      <c r="E252" s="102" t="s">
        <v>729</v>
      </c>
      <c r="F252" s="102" t="s">
        <v>753</v>
      </c>
      <c r="G252" s="98" t="s">
        <v>711</v>
      </c>
      <c r="H252" s="98" t="s">
        <v>773</v>
      </c>
      <c r="I252" s="98" t="s">
        <v>413</v>
      </c>
      <c r="J252" s="98" t="s">
        <v>413</v>
      </c>
      <c r="K252" s="96" t="s">
        <v>754</v>
      </c>
      <c r="L252" s="96" t="s">
        <v>755</v>
      </c>
      <c r="M252" s="98"/>
      <c r="N252" s="98" t="s">
        <v>795</v>
      </c>
      <c r="O252" s="98" t="s">
        <v>659</v>
      </c>
      <c r="P252" s="98" t="s">
        <v>796</v>
      </c>
      <c r="Q252" s="98" t="s">
        <v>129</v>
      </c>
      <c r="R252" s="301">
        <v>80</v>
      </c>
      <c r="S252" s="99" t="s">
        <v>747</v>
      </c>
      <c r="T252" s="81">
        <v>25</v>
      </c>
      <c r="U252" s="81"/>
      <c r="V252" s="25">
        <f t="shared" si="143"/>
        <v>0</v>
      </c>
      <c r="W252" s="81">
        <v>25</v>
      </c>
      <c r="X252" s="81"/>
      <c r="Y252" s="25">
        <f t="shared" si="1"/>
        <v>0</v>
      </c>
      <c r="Z252" s="81">
        <v>25</v>
      </c>
      <c r="AA252" s="81"/>
      <c r="AB252" s="25">
        <f t="shared" si="2"/>
        <v>0</v>
      </c>
      <c r="AC252" s="81">
        <v>25</v>
      </c>
      <c r="AD252" s="81"/>
      <c r="AE252" s="25">
        <f t="shared" si="3"/>
        <v>0</v>
      </c>
      <c r="AF252" s="140">
        <f t="shared" si="168"/>
        <v>80</v>
      </c>
      <c r="AG252" s="140">
        <f t="shared" si="169"/>
        <v>0</v>
      </c>
      <c r="AH252" s="138">
        <f t="shared" si="125"/>
        <v>0</v>
      </c>
      <c r="AI252" s="113">
        <v>46054</v>
      </c>
      <c r="AJ252" s="113">
        <v>46387</v>
      </c>
      <c r="AK252" s="102" t="s">
        <v>676</v>
      </c>
      <c r="AL252" s="322"/>
      <c r="AM252" s="323"/>
      <c r="AN252" s="324">
        <v>0</v>
      </c>
      <c r="AO252" s="324">
        <v>0</v>
      </c>
      <c r="AP252" s="324">
        <v>0</v>
      </c>
      <c r="AQ252" s="326"/>
      <c r="AR252" s="102" t="s">
        <v>115</v>
      </c>
      <c r="AS252" s="102" t="s">
        <v>750</v>
      </c>
      <c r="AT252" s="151" t="s">
        <v>792</v>
      </c>
      <c r="AU252" s="102" t="s">
        <v>2264</v>
      </c>
      <c r="AV252" s="247" t="s">
        <v>2237</v>
      </c>
      <c r="AW252" s="136" t="s">
        <v>2268</v>
      </c>
      <c r="AX252" s="136" t="s">
        <v>2378</v>
      </c>
      <c r="AY252" s="136" t="s">
        <v>2376</v>
      </c>
      <c r="AZ252" s="271"/>
      <c r="BA252" s="207">
        <v>0</v>
      </c>
      <c r="BB252" s="208">
        <v>0</v>
      </c>
      <c r="BC252" s="209" t="e">
        <f t="shared" si="144"/>
        <v>#DIV/0!</v>
      </c>
      <c r="BD252" s="207">
        <v>25</v>
      </c>
      <c r="BE252" s="208">
        <v>25</v>
      </c>
      <c r="BF252" s="209">
        <f t="shared" si="145"/>
        <v>1</v>
      </c>
      <c r="BG252" s="207">
        <v>0</v>
      </c>
      <c r="BH252" s="208">
        <v>0</v>
      </c>
      <c r="BI252" s="209" t="e">
        <f t="shared" si="146"/>
        <v>#DIV/0!</v>
      </c>
      <c r="BJ252" s="210">
        <f t="shared" si="147"/>
        <v>25</v>
      </c>
      <c r="BK252" s="211">
        <f t="shared" si="148"/>
        <v>25</v>
      </c>
      <c r="BL252" s="209">
        <f t="shared" si="149"/>
        <v>1</v>
      </c>
      <c r="BM252" s="207">
        <v>0</v>
      </c>
      <c r="BN252" s="208">
        <v>0</v>
      </c>
      <c r="BO252" s="209" t="e">
        <f t="shared" si="170"/>
        <v>#DIV/0!</v>
      </c>
      <c r="BP252" s="207">
        <v>25</v>
      </c>
      <c r="BQ252" s="208">
        <v>25</v>
      </c>
      <c r="BR252" s="209">
        <f t="shared" si="171"/>
        <v>1</v>
      </c>
      <c r="BS252" s="207">
        <v>0</v>
      </c>
      <c r="BT252" s="208">
        <v>0</v>
      </c>
      <c r="BU252" s="209" t="e">
        <f t="shared" si="172"/>
        <v>#DIV/0!</v>
      </c>
      <c r="BV252" s="210">
        <f t="shared" si="150"/>
        <v>25</v>
      </c>
      <c r="BW252" s="210">
        <f t="shared" si="151"/>
        <v>25</v>
      </c>
      <c r="BX252" s="209">
        <f t="shared" si="152"/>
        <v>1</v>
      </c>
      <c r="BY252" s="209">
        <f t="shared" si="153"/>
        <v>0.625</v>
      </c>
      <c r="BZ252" s="209">
        <f t="shared" si="154"/>
        <v>-0.625</v>
      </c>
      <c r="CA252" s="212"/>
      <c r="CB252" s="173"/>
      <c r="CC252" s="207">
        <v>0</v>
      </c>
      <c r="CD252" s="208">
        <v>0</v>
      </c>
      <c r="CE252" s="209" t="e">
        <f t="shared" si="173"/>
        <v>#DIV/0!</v>
      </c>
      <c r="CF252" s="207">
        <v>0</v>
      </c>
      <c r="CG252" s="208">
        <v>0</v>
      </c>
      <c r="CH252" s="209" t="e">
        <f t="shared" si="174"/>
        <v>#DIV/0!</v>
      </c>
      <c r="CI252" s="213"/>
      <c r="CJ252" s="180"/>
      <c r="CK252" s="209" t="e">
        <f t="shared" si="175"/>
        <v>#DIV/0!</v>
      </c>
      <c r="CL252" s="210">
        <f t="shared" si="176"/>
        <v>0</v>
      </c>
      <c r="CM252" s="211">
        <f t="shared" si="177"/>
        <v>0</v>
      </c>
      <c r="CN252" s="209" t="e">
        <f t="shared" si="178"/>
        <v>#DIV/0!</v>
      </c>
      <c r="CO252" s="173"/>
      <c r="CP252" s="212">
        <f t="shared" si="179"/>
        <v>50</v>
      </c>
      <c r="CQ252" s="212">
        <f t="shared" si="180"/>
        <v>50</v>
      </c>
      <c r="CR252" s="214">
        <f t="shared" si="181"/>
        <v>1</v>
      </c>
      <c r="CS252" s="279">
        <f t="shared" si="155"/>
        <v>30</v>
      </c>
      <c r="CT252" s="173"/>
      <c r="CU252" s="188">
        <f t="shared" si="156"/>
        <v>9</v>
      </c>
      <c r="CV252" s="277"/>
      <c r="CW252" s="191">
        <f t="shared" si="157"/>
        <v>0</v>
      </c>
      <c r="CX252" s="188">
        <f t="shared" si="158"/>
        <v>9</v>
      </c>
      <c r="CY252" s="277"/>
      <c r="CZ252" s="191">
        <f t="shared" si="159"/>
        <v>0</v>
      </c>
      <c r="DA252" s="188">
        <f t="shared" si="160"/>
        <v>9</v>
      </c>
      <c r="DB252" s="277"/>
      <c r="DC252" s="191">
        <f t="shared" si="161"/>
        <v>0</v>
      </c>
      <c r="DD252" s="188">
        <f t="shared" si="162"/>
        <v>3</v>
      </c>
      <c r="DE252" s="277"/>
      <c r="DF252" s="191">
        <f t="shared" si="163"/>
        <v>0</v>
      </c>
      <c r="DG252" s="173"/>
      <c r="DH252" s="188">
        <f t="shared" si="164"/>
        <v>80</v>
      </c>
      <c r="DI252" s="188">
        <f t="shared" si="165"/>
        <v>50</v>
      </c>
      <c r="DJ252" s="191">
        <f t="shared" si="166"/>
        <v>0.625</v>
      </c>
      <c r="DK252" s="286">
        <f t="shared" si="167"/>
        <v>30</v>
      </c>
    </row>
    <row r="253" spans="1:117" customFormat="1" x14ac:dyDescent="0.35">
      <c r="A253" s="81">
        <v>249</v>
      </c>
      <c r="B253" s="102" t="s">
        <v>760</v>
      </c>
      <c r="C253" s="102" t="s">
        <v>436</v>
      </c>
      <c r="D253" s="102" t="s">
        <v>797</v>
      </c>
      <c r="E253" s="102" t="s">
        <v>709</v>
      </c>
      <c r="F253" s="102" t="s">
        <v>753</v>
      </c>
      <c r="G253" s="98" t="s">
        <v>711</v>
      </c>
      <c r="H253" s="98" t="s">
        <v>773</v>
      </c>
      <c r="I253" s="98" t="s">
        <v>413</v>
      </c>
      <c r="J253" s="98" t="s">
        <v>413</v>
      </c>
      <c r="K253" s="96" t="s">
        <v>754</v>
      </c>
      <c r="L253" s="96" t="s">
        <v>755</v>
      </c>
      <c r="M253" s="98"/>
      <c r="N253" s="98" t="s">
        <v>798</v>
      </c>
      <c r="O253" s="98" t="s">
        <v>659</v>
      </c>
      <c r="P253" s="98" t="s">
        <v>799</v>
      </c>
      <c r="Q253" s="98" t="s">
        <v>129</v>
      </c>
      <c r="R253" s="301">
        <v>100</v>
      </c>
      <c r="S253" s="99" t="s">
        <v>745</v>
      </c>
      <c r="T253" s="81">
        <v>1</v>
      </c>
      <c r="U253" s="81"/>
      <c r="V253" s="25">
        <f t="shared" si="143"/>
        <v>0</v>
      </c>
      <c r="W253" s="81">
        <v>1</v>
      </c>
      <c r="X253" s="81"/>
      <c r="Y253" s="25">
        <f t="shared" si="1"/>
        <v>0</v>
      </c>
      <c r="Z253" s="81">
        <v>1</v>
      </c>
      <c r="AA253" s="81"/>
      <c r="AB253" s="25">
        <f t="shared" si="2"/>
        <v>0</v>
      </c>
      <c r="AC253" s="81">
        <v>1</v>
      </c>
      <c r="AD253" s="81"/>
      <c r="AE253" s="25">
        <f t="shared" si="3"/>
        <v>0</v>
      </c>
      <c r="AF253" s="140">
        <f t="shared" si="168"/>
        <v>100</v>
      </c>
      <c r="AG253" s="140">
        <f t="shared" si="169"/>
        <v>0</v>
      </c>
      <c r="AH253" s="138">
        <f t="shared" si="125"/>
        <v>0</v>
      </c>
      <c r="AI253" s="113">
        <v>46054</v>
      </c>
      <c r="AJ253" s="113">
        <v>46387</v>
      </c>
      <c r="AK253" s="102" t="s">
        <v>676</v>
      </c>
      <c r="AL253" s="322"/>
      <c r="AM253" s="323"/>
      <c r="AN253" s="324">
        <v>0</v>
      </c>
      <c r="AO253" s="324">
        <v>0</v>
      </c>
      <c r="AP253" s="324">
        <v>0</v>
      </c>
      <c r="AQ253" s="326"/>
      <c r="AR253" s="102" t="s">
        <v>115</v>
      </c>
      <c r="AS253" s="102" t="s">
        <v>750</v>
      </c>
      <c r="AT253" s="151" t="s">
        <v>800</v>
      </c>
      <c r="AU253" s="102" t="s">
        <v>2264</v>
      </c>
      <c r="AV253" s="247" t="s">
        <v>2237</v>
      </c>
      <c r="AW253" s="136" t="s">
        <v>2269</v>
      </c>
      <c r="AX253" s="136" t="s">
        <v>800</v>
      </c>
      <c r="AY253" s="136" t="s">
        <v>2376</v>
      </c>
      <c r="AZ253" s="271"/>
      <c r="BA253" s="207">
        <v>0</v>
      </c>
      <c r="BB253" s="208">
        <v>0</v>
      </c>
      <c r="BC253" s="209" t="e">
        <f t="shared" si="144"/>
        <v>#DIV/0!</v>
      </c>
      <c r="BD253" s="207">
        <v>0</v>
      </c>
      <c r="BE253" s="208">
        <v>0</v>
      </c>
      <c r="BF253" s="209" t="e">
        <f t="shared" si="145"/>
        <v>#DIV/0!</v>
      </c>
      <c r="BG253" s="207">
        <v>25</v>
      </c>
      <c r="BH253" s="208">
        <v>19</v>
      </c>
      <c r="BI253" s="209">
        <f t="shared" si="146"/>
        <v>0.76</v>
      </c>
      <c r="BJ253" s="210">
        <f t="shared" si="147"/>
        <v>25</v>
      </c>
      <c r="BK253" s="211">
        <f t="shared" si="148"/>
        <v>19</v>
      </c>
      <c r="BL253" s="209">
        <f t="shared" si="149"/>
        <v>0.76</v>
      </c>
      <c r="BM253" s="207">
        <v>0</v>
      </c>
      <c r="BN253" s="208">
        <v>0</v>
      </c>
      <c r="BO253" s="209" t="e">
        <f t="shared" si="170"/>
        <v>#DIV/0!</v>
      </c>
      <c r="BP253" s="207">
        <v>0</v>
      </c>
      <c r="BQ253" s="208">
        <v>0</v>
      </c>
      <c r="BR253" s="209" t="e">
        <f t="shared" si="171"/>
        <v>#DIV/0!</v>
      </c>
      <c r="BS253" s="207">
        <v>25</v>
      </c>
      <c r="BT253" s="208">
        <v>13</v>
      </c>
      <c r="BU253" s="209">
        <f t="shared" si="172"/>
        <v>0.52</v>
      </c>
      <c r="BV253" s="210">
        <f t="shared" si="150"/>
        <v>25</v>
      </c>
      <c r="BW253" s="210">
        <f t="shared" si="151"/>
        <v>13</v>
      </c>
      <c r="BX253" s="209">
        <f t="shared" si="152"/>
        <v>0.52</v>
      </c>
      <c r="BY253" s="209">
        <f t="shared" si="153"/>
        <v>0.32</v>
      </c>
      <c r="BZ253" s="209">
        <f t="shared" si="154"/>
        <v>-0.32</v>
      </c>
      <c r="CA253" s="212"/>
      <c r="CB253" s="173"/>
      <c r="CC253" s="207">
        <v>0</v>
      </c>
      <c r="CD253" s="208">
        <v>0</v>
      </c>
      <c r="CE253" s="209" t="e">
        <f t="shared" si="173"/>
        <v>#DIV/0!</v>
      </c>
      <c r="CF253" s="207">
        <v>0</v>
      </c>
      <c r="CG253" s="208">
        <v>0</v>
      </c>
      <c r="CH253" s="209" t="e">
        <f t="shared" si="174"/>
        <v>#DIV/0!</v>
      </c>
      <c r="CI253" s="213"/>
      <c r="CJ253" s="180"/>
      <c r="CK253" s="209" t="e">
        <f t="shared" si="175"/>
        <v>#DIV/0!</v>
      </c>
      <c r="CL253" s="210">
        <f t="shared" si="176"/>
        <v>0</v>
      </c>
      <c r="CM253" s="211">
        <f t="shared" si="177"/>
        <v>0</v>
      </c>
      <c r="CN253" s="209" t="e">
        <f t="shared" si="178"/>
        <v>#DIV/0!</v>
      </c>
      <c r="CO253" s="173"/>
      <c r="CP253" s="212">
        <f t="shared" si="179"/>
        <v>50</v>
      </c>
      <c r="CQ253" s="212">
        <f t="shared" si="180"/>
        <v>32</v>
      </c>
      <c r="CR253" s="214">
        <f t="shared" si="181"/>
        <v>0.64</v>
      </c>
      <c r="CS253" s="279">
        <f t="shared" si="155"/>
        <v>68</v>
      </c>
      <c r="CT253" s="173"/>
      <c r="CU253" s="188">
        <f t="shared" si="156"/>
        <v>20.399999999999999</v>
      </c>
      <c r="CV253" s="277"/>
      <c r="CW253" s="191">
        <f t="shared" si="157"/>
        <v>0</v>
      </c>
      <c r="CX253" s="188">
        <f t="shared" si="158"/>
        <v>20.399999999999999</v>
      </c>
      <c r="CY253" s="277"/>
      <c r="CZ253" s="191">
        <f t="shared" si="159"/>
        <v>0</v>
      </c>
      <c r="DA253" s="188">
        <f t="shared" si="160"/>
        <v>20.399999999999999</v>
      </c>
      <c r="DB253" s="277"/>
      <c r="DC253" s="191">
        <f t="shared" si="161"/>
        <v>0</v>
      </c>
      <c r="DD253" s="188">
        <f t="shared" si="162"/>
        <v>6.8000000000000007</v>
      </c>
      <c r="DE253" s="277"/>
      <c r="DF253" s="191">
        <f t="shared" si="163"/>
        <v>0</v>
      </c>
      <c r="DG253" s="173"/>
      <c r="DH253" s="188">
        <f t="shared" si="164"/>
        <v>100</v>
      </c>
      <c r="DI253" s="188">
        <f t="shared" si="165"/>
        <v>32</v>
      </c>
      <c r="DJ253" s="191">
        <f t="shared" si="166"/>
        <v>0.32</v>
      </c>
      <c r="DK253" s="286">
        <f t="shared" si="167"/>
        <v>68</v>
      </c>
    </row>
    <row r="254" spans="1:117" customFormat="1" x14ac:dyDescent="0.35">
      <c r="A254" s="81">
        <v>250</v>
      </c>
      <c r="B254" s="102" t="s">
        <v>760</v>
      </c>
      <c r="C254" s="102" t="s">
        <v>97</v>
      </c>
      <c r="D254" s="102" t="s">
        <v>98</v>
      </c>
      <c r="E254" s="102" t="s">
        <v>765</v>
      </c>
      <c r="F254" s="102" t="s">
        <v>766</v>
      </c>
      <c r="G254" s="98" t="s">
        <v>767</v>
      </c>
      <c r="H254" s="98" t="s">
        <v>773</v>
      </c>
      <c r="I254" s="98" t="s">
        <v>413</v>
      </c>
      <c r="J254" s="98" t="s">
        <v>413</v>
      </c>
      <c r="K254" s="96" t="s">
        <v>754</v>
      </c>
      <c r="L254" s="96" t="s">
        <v>755</v>
      </c>
      <c r="M254" s="98"/>
      <c r="N254" s="98" t="s">
        <v>801</v>
      </c>
      <c r="O254" s="98" t="s">
        <v>665</v>
      </c>
      <c r="P254" s="98" t="s">
        <v>802</v>
      </c>
      <c r="Q254" s="98" t="s">
        <v>803</v>
      </c>
      <c r="R254" s="302">
        <v>100</v>
      </c>
      <c r="S254" s="99" t="s">
        <v>158</v>
      </c>
      <c r="T254" s="81">
        <v>25</v>
      </c>
      <c r="U254" s="81">
        <v>25</v>
      </c>
      <c r="V254" s="25">
        <f t="shared" si="143"/>
        <v>100</v>
      </c>
      <c r="W254" s="81">
        <v>25</v>
      </c>
      <c r="X254" s="81">
        <v>25</v>
      </c>
      <c r="Y254" s="25">
        <f t="shared" si="1"/>
        <v>100</v>
      </c>
      <c r="Z254" s="81">
        <v>25</v>
      </c>
      <c r="AA254" s="81"/>
      <c r="AB254" s="25">
        <f t="shared" si="2"/>
        <v>0</v>
      </c>
      <c r="AC254" s="81">
        <v>25</v>
      </c>
      <c r="AD254" s="81"/>
      <c r="AE254" s="25">
        <f t="shared" si="3"/>
        <v>0</v>
      </c>
      <c r="AF254" s="140">
        <f t="shared" si="168"/>
        <v>100</v>
      </c>
      <c r="AG254" s="140">
        <f t="shared" si="169"/>
        <v>50</v>
      </c>
      <c r="AH254" s="138">
        <f t="shared" si="125"/>
        <v>100</v>
      </c>
      <c r="AI254" s="113">
        <v>46054</v>
      </c>
      <c r="AJ254" s="113">
        <v>46387</v>
      </c>
      <c r="AK254" s="102" t="s">
        <v>676</v>
      </c>
      <c r="AL254" s="322"/>
      <c r="AM254" s="323"/>
      <c r="AN254" s="324">
        <v>0</v>
      </c>
      <c r="AO254" s="324">
        <v>0</v>
      </c>
      <c r="AP254" s="324">
        <v>0</v>
      </c>
      <c r="AQ254" s="326"/>
      <c r="AR254" s="102" t="s">
        <v>115</v>
      </c>
      <c r="AS254" s="102" t="s">
        <v>750</v>
      </c>
      <c r="AT254" s="151" t="s">
        <v>674</v>
      </c>
      <c r="AU254" s="166" t="s">
        <v>2264</v>
      </c>
      <c r="AV254" s="247" t="s">
        <v>2262</v>
      </c>
      <c r="AW254" s="136"/>
      <c r="AX254" s="136" t="s">
        <v>2377</v>
      </c>
      <c r="AY254" s="136" t="s">
        <v>2376</v>
      </c>
      <c r="AZ254" s="271"/>
      <c r="BA254" s="183">
        <v>0</v>
      </c>
      <c r="BB254" s="184">
        <v>0</v>
      </c>
      <c r="BC254" s="209" t="e">
        <f t="shared" si="144"/>
        <v>#DIV/0!</v>
      </c>
      <c r="BD254" s="183">
        <v>100</v>
      </c>
      <c r="BE254" s="184">
        <v>42</v>
      </c>
      <c r="BF254" s="209">
        <f t="shared" si="145"/>
        <v>0.42</v>
      </c>
      <c r="BG254" s="183">
        <v>100</v>
      </c>
      <c r="BH254" s="184">
        <v>42</v>
      </c>
      <c r="BI254" s="209">
        <f t="shared" si="146"/>
        <v>0.42</v>
      </c>
      <c r="BJ254" s="210">
        <f t="shared" si="147"/>
        <v>200</v>
      </c>
      <c r="BK254" s="211">
        <f t="shared" si="148"/>
        <v>84</v>
      </c>
      <c r="BL254" s="209">
        <f t="shared" si="149"/>
        <v>0.42</v>
      </c>
      <c r="BM254" s="183">
        <v>100</v>
      </c>
      <c r="BN254" s="184">
        <v>42</v>
      </c>
      <c r="BO254" s="185">
        <v>0.42</v>
      </c>
      <c r="BP254" s="183">
        <v>100</v>
      </c>
      <c r="BQ254" s="184">
        <v>42</v>
      </c>
      <c r="BR254" s="185">
        <v>0.42</v>
      </c>
      <c r="BS254" s="183">
        <v>100</v>
      </c>
      <c r="BT254" s="184">
        <v>42</v>
      </c>
      <c r="BU254" s="185">
        <f t="shared" si="172"/>
        <v>0.42</v>
      </c>
      <c r="BV254" s="210">
        <f t="shared" si="150"/>
        <v>300</v>
      </c>
      <c r="BW254" s="210">
        <f t="shared" si="151"/>
        <v>126</v>
      </c>
      <c r="BX254" s="209">
        <f t="shared" si="152"/>
        <v>0.42</v>
      </c>
      <c r="BY254" s="209">
        <f t="shared" si="153"/>
        <v>2.1</v>
      </c>
      <c r="BZ254" s="209">
        <f t="shared" si="154"/>
        <v>-2.1</v>
      </c>
      <c r="CA254" s="188"/>
      <c r="CB254" s="173"/>
      <c r="CC254" s="183">
        <v>100</v>
      </c>
      <c r="CD254" s="184">
        <v>42</v>
      </c>
      <c r="CE254" s="185">
        <v>0.42</v>
      </c>
      <c r="CF254" s="183">
        <v>100</v>
      </c>
      <c r="CG254" s="184">
        <v>42</v>
      </c>
      <c r="CH254" s="185">
        <f t="shared" si="174"/>
        <v>0.42</v>
      </c>
      <c r="CI254" s="189"/>
      <c r="CJ254" s="190"/>
      <c r="CK254" s="185" t="e">
        <f t="shared" si="175"/>
        <v>#DIV/0!</v>
      </c>
      <c r="CL254" s="187">
        <f t="shared" si="176"/>
        <v>200</v>
      </c>
      <c r="CM254" s="186">
        <f t="shared" si="177"/>
        <v>84</v>
      </c>
      <c r="CN254" s="185">
        <f t="shared" si="178"/>
        <v>0.42</v>
      </c>
      <c r="CO254" s="173"/>
      <c r="CP254" s="188">
        <f t="shared" si="179"/>
        <v>700</v>
      </c>
      <c r="CQ254" s="188">
        <f t="shared" si="180"/>
        <v>294</v>
      </c>
      <c r="CR254" s="191">
        <f t="shared" si="181"/>
        <v>0.42</v>
      </c>
      <c r="CS254" s="279">
        <f t="shared" si="155"/>
        <v>-194</v>
      </c>
      <c r="CT254" s="173"/>
      <c r="CU254" s="188">
        <f t="shared" si="156"/>
        <v>-58.199999999999996</v>
      </c>
      <c r="CV254" s="277"/>
      <c r="CW254" s="191">
        <f t="shared" si="157"/>
        <v>0</v>
      </c>
      <c r="CX254" s="188">
        <f t="shared" si="158"/>
        <v>-58.199999999999996</v>
      </c>
      <c r="CY254" s="277"/>
      <c r="CZ254" s="191">
        <f t="shared" si="159"/>
        <v>0</v>
      </c>
      <c r="DA254" s="188">
        <f t="shared" si="160"/>
        <v>-58.199999999999996</v>
      </c>
      <c r="DB254" s="277"/>
      <c r="DC254" s="191">
        <f t="shared" si="161"/>
        <v>0</v>
      </c>
      <c r="DD254" s="188">
        <f t="shared" si="162"/>
        <v>-19.400000000000002</v>
      </c>
      <c r="DE254" s="277"/>
      <c r="DF254" s="191">
        <f t="shared" si="163"/>
        <v>0</v>
      </c>
      <c r="DG254" s="173"/>
      <c r="DH254" s="188">
        <f t="shared" si="164"/>
        <v>100</v>
      </c>
      <c r="DI254" s="188">
        <f t="shared" si="165"/>
        <v>294</v>
      </c>
      <c r="DJ254" s="191">
        <f t="shared" si="166"/>
        <v>2.94</v>
      </c>
      <c r="DK254" s="286">
        <f t="shared" si="167"/>
        <v>-194</v>
      </c>
      <c r="DM254" s="206">
        <v>244</v>
      </c>
    </row>
    <row r="255" spans="1:117" customFormat="1" x14ac:dyDescent="0.35">
      <c r="A255" s="81">
        <v>251</v>
      </c>
      <c r="B255" s="102" t="s">
        <v>804</v>
      </c>
      <c r="C255" s="102" t="s">
        <v>118</v>
      </c>
      <c r="D255" s="102" t="s">
        <v>98</v>
      </c>
      <c r="E255" s="102" t="s">
        <v>765</v>
      </c>
      <c r="F255" s="102" t="s">
        <v>766</v>
      </c>
      <c r="G255" s="98" t="s">
        <v>767</v>
      </c>
      <c r="H255" s="98" t="s">
        <v>773</v>
      </c>
      <c r="I255" s="98" t="s">
        <v>413</v>
      </c>
      <c r="J255" s="98" t="s">
        <v>413</v>
      </c>
      <c r="K255" s="96" t="s">
        <v>754</v>
      </c>
      <c r="L255" s="96" t="s">
        <v>676</v>
      </c>
      <c r="M255" s="98"/>
      <c r="N255" s="98" t="s">
        <v>801</v>
      </c>
      <c r="O255" s="98" t="s">
        <v>665</v>
      </c>
      <c r="P255" s="98" t="s">
        <v>805</v>
      </c>
      <c r="Q255" s="98" t="s">
        <v>803</v>
      </c>
      <c r="R255" s="303">
        <v>5</v>
      </c>
      <c r="S255" s="99" t="s">
        <v>111</v>
      </c>
      <c r="T255" s="81">
        <v>25</v>
      </c>
      <c r="U255" s="81">
        <v>25</v>
      </c>
      <c r="V255" s="25">
        <f t="shared" si="143"/>
        <v>100</v>
      </c>
      <c r="W255" s="81">
        <v>25</v>
      </c>
      <c r="X255" s="81">
        <v>12</v>
      </c>
      <c r="Y255" s="25">
        <f t="shared" si="1"/>
        <v>48</v>
      </c>
      <c r="Z255" s="81">
        <v>25</v>
      </c>
      <c r="AA255" s="81"/>
      <c r="AB255" s="25">
        <f t="shared" si="2"/>
        <v>0</v>
      </c>
      <c r="AC255" s="81">
        <v>25</v>
      </c>
      <c r="AD255" s="81"/>
      <c r="AE255" s="25">
        <f t="shared" si="3"/>
        <v>0</v>
      </c>
      <c r="AF255" s="140">
        <f t="shared" si="168"/>
        <v>5</v>
      </c>
      <c r="AG255" s="140">
        <f t="shared" si="169"/>
        <v>37</v>
      </c>
      <c r="AH255" s="138">
        <f t="shared" si="125"/>
        <v>74</v>
      </c>
      <c r="AI255" s="113">
        <v>46054</v>
      </c>
      <c r="AJ255" s="113">
        <v>46387</v>
      </c>
      <c r="AK255" s="102" t="s">
        <v>676</v>
      </c>
      <c r="AL255" s="322"/>
      <c r="AM255" s="323"/>
      <c r="AN255" s="324">
        <v>0</v>
      </c>
      <c r="AO255" s="324">
        <v>0</v>
      </c>
      <c r="AP255" s="324">
        <v>0</v>
      </c>
      <c r="AQ255" s="326"/>
      <c r="AR255" s="102" t="s">
        <v>115</v>
      </c>
      <c r="AS255" s="102" t="s">
        <v>750</v>
      </c>
      <c r="AT255" s="151" t="s">
        <v>674</v>
      </c>
      <c r="AU255" s="166" t="s">
        <v>2264</v>
      </c>
      <c r="AV255" s="247" t="s">
        <v>2262</v>
      </c>
      <c r="AW255" s="136"/>
      <c r="AX255" s="136" t="s">
        <v>2377</v>
      </c>
      <c r="AY255" s="136" t="s">
        <v>2376</v>
      </c>
      <c r="AZ255" s="271"/>
      <c r="BA255" s="183">
        <v>5</v>
      </c>
      <c r="BB255" s="184">
        <v>4</v>
      </c>
      <c r="BC255" s="209">
        <f t="shared" si="144"/>
        <v>0.8</v>
      </c>
      <c r="BD255" s="183">
        <v>5</v>
      </c>
      <c r="BE255" s="184">
        <v>4</v>
      </c>
      <c r="BF255" s="209">
        <f t="shared" si="145"/>
        <v>0.8</v>
      </c>
      <c r="BG255" s="183">
        <v>5</v>
      </c>
      <c r="BH255" s="184">
        <v>4</v>
      </c>
      <c r="BI255" s="209">
        <f t="shared" si="146"/>
        <v>0.8</v>
      </c>
      <c r="BJ255" s="210">
        <f t="shared" si="147"/>
        <v>15</v>
      </c>
      <c r="BK255" s="211">
        <f t="shared" si="148"/>
        <v>12</v>
      </c>
      <c r="BL255" s="209">
        <f t="shared" si="149"/>
        <v>0.8</v>
      </c>
      <c r="BM255" s="183">
        <v>5</v>
      </c>
      <c r="BN255" s="184">
        <v>4</v>
      </c>
      <c r="BO255" s="185">
        <v>0.8</v>
      </c>
      <c r="BP255" s="183">
        <v>5</v>
      </c>
      <c r="BQ255" s="184">
        <v>4</v>
      </c>
      <c r="BR255" s="185">
        <v>0.8</v>
      </c>
      <c r="BS255" s="183">
        <v>5</v>
      </c>
      <c r="BT255" s="184">
        <v>4</v>
      </c>
      <c r="BU255" s="185">
        <f t="shared" si="172"/>
        <v>0.8</v>
      </c>
      <c r="BV255" s="210">
        <f t="shared" si="150"/>
        <v>15</v>
      </c>
      <c r="BW255" s="210">
        <f t="shared" si="151"/>
        <v>12</v>
      </c>
      <c r="BX255" s="209">
        <f t="shared" si="152"/>
        <v>0.8</v>
      </c>
      <c r="BY255" s="209">
        <f t="shared" si="153"/>
        <v>4.8</v>
      </c>
      <c r="BZ255" s="209">
        <f t="shared" si="154"/>
        <v>-4.8</v>
      </c>
      <c r="CA255" s="188"/>
      <c r="CB255" s="173"/>
      <c r="CC255" s="183">
        <v>5</v>
      </c>
      <c r="CD255" s="184">
        <v>4</v>
      </c>
      <c r="CE255" s="185">
        <v>0.8</v>
      </c>
      <c r="CF255" s="183">
        <v>5</v>
      </c>
      <c r="CG255" s="184">
        <v>4</v>
      </c>
      <c r="CH255" s="185">
        <f t="shared" si="174"/>
        <v>0.8</v>
      </c>
      <c r="CI255" s="189"/>
      <c r="CJ255" s="190"/>
      <c r="CK255" s="185" t="e">
        <f t="shared" si="175"/>
        <v>#DIV/0!</v>
      </c>
      <c r="CL255" s="187">
        <f t="shared" si="176"/>
        <v>10</v>
      </c>
      <c r="CM255" s="186">
        <f t="shared" si="177"/>
        <v>8</v>
      </c>
      <c r="CN255" s="185">
        <f t="shared" si="178"/>
        <v>0.8</v>
      </c>
      <c r="CO255" s="173"/>
      <c r="CP255" s="188">
        <f t="shared" si="179"/>
        <v>40</v>
      </c>
      <c r="CQ255" s="188">
        <f t="shared" si="180"/>
        <v>32</v>
      </c>
      <c r="CR255" s="191">
        <f t="shared" si="181"/>
        <v>0.8</v>
      </c>
      <c r="CS255" s="279">
        <f t="shared" si="155"/>
        <v>-27</v>
      </c>
      <c r="CT255" s="173"/>
      <c r="CU255" s="188">
        <f t="shared" si="156"/>
        <v>-8.1</v>
      </c>
      <c r="CV255" s="277"/>
      <c r="CW255" s="191">
        <f t="shared" si="157"/>
        <v>0</v>
      </c>
      <c r="CX255" s="188">
        <f t="shared" si="158"/>
        <v>-8.1</v>
      </c>
      <c r="CY255" s="277"/>
      <c r="CZ255" s="191">
        <f t="shared" si="159"/>
        <v>0</v>
      </c>
      <c r="DA255" s="188">
        <f t="shared" si="160"/>
        <v>-8.1</v>
      </c>
      <c r="DB255" s="277"/>
      <c r="DC255" s="191">
        <f t="shared" si="161"/>
        <v>0</v>
      </c>
      <c r="DD255" s="188">
        <f t="shared" si="162"/>
        <v>-2.7</v>
      </c>
      <c r="DE255" s="277"/>
      <c r="DF255" s="191">
        <f t="shared" si="163"/>
        <v>0</v>
      </c>
      <c r="DG255" s="173"/>
      <c r="DH255" s="188">
        <f t="shared" si="164"/>
        <v>5</v>
      </c>
      <c r="DI255" s="188">
        <f t="shared" si="165"/>
        <v>32</v>
      </c>
      <c r="DJ255" s="191">
        <f t="shared" si="166"/>
        <v>6.4</v>
      </c>
      <c r="DK255" s="286">
        <f t="shared" si="167"/>
        <v>-27</v>
      </c>
      <c r="DM255" s="206">
        <v>245</v>
      </c>
    </row>
    <row r="256" spans="1:117" customFormat="1" x14ac:dyDescent="0.35">
      <c r="A256" s="81">
        <v>252</v>
      </c>
      <c r="B256" s="102" t="s">
        <v>728</v>
      </c>
      <c r="C256" s="102" t="s">
        <v>118</v>
      </c>
      <c r="D256" s="102" t="s">
        <v>98</v>
      </c>
      <c r="E256" s="102" t="s">
        <v>765</v>
      </c>
      <c r="F256" s="102" t="s">
        <v>766</v>
      </c>
      <c r="G256" s="98" t="s">
        <v>767</v>
      </c>
      <c r="H256" s="98" t="s">
        <v>773</v>
      </c>
      <c r="I256" s="98" t="s">
        <v>413</v>
      </c>
      <c r="J256" s="98" t="s">
        <v>413</v>
      </c>
      <c r="K256" s="96" t="s">
        <v>754</v>
      </c>
      <c r="L256" s="96" t="s">
        <v>676</v>
      </c>
      <c r="M256" s="98"/>
      <c r="N256" s="98" t="s">
        <v>801</v>
      </c>
      <c r="O256" s="98" t="s">
        <v>665</v>
      </c>
      <c r="P256" s="98" t="s">
        <v>806</v>
      </c>
      <c r="Q256" s="98" t="s">
        <v>803</v>
      </c>
      <c r="R256" s="301">
        <v>5</v>
      </c>
      <c r="S256" s="99" t="s">
        <v>111</v>
      </c>
      <c r="T256" s="81">
        <v>20</v>
      </c>
      <c r="U256" s="81">
        <v>20</v>
      </c>
      <c r="V256" s="25">
        <f t="shared" si="143"/>
        <v>100</v>
      </c>
      <c r="W256" s="81">
        <v>20</v>
      </c>
      <c r="X256" s="81">
        <v>20</v>
      </c>
      <c r="Y256" s="25">
        <f t="shared" si="1"/>
        <v>100</v>
      </c>
      <c r="Z256" s="81">
        <v>20</v>
      </c>
      <c r="AA256" s="81"/>
      <c r="AB256" s="25">
        <f t="shared" si="2"/>
        <v>0</v>
      </c>
      <c r="AC256" s="81">
        <v>20</v>
      </c>
      <c r="AD256" s="81"/>
      <c r="AE256" s="25">
        <f t="shared" si="3"/>
        <v>0</v>
      </c>
      <c r="AF256" s="140">
        <f t="shared" si="168"/>
        <v>5</v>
      </c>
      <c r="AG256" s="140">
        <f t="shared" si="169"/>
        <v>40</v>
      </c>
      <c r="AH256" s="138">
        <f t="shared" si="125"/>
        <v>100</v>
      </c>
      <c r="AI256" s="113">
        <v>46054</v>
      </c>
      <c r="AJ256" s="113">
        <v>46387</v>
      </c>
      <c r="AK256" s="102" t="s">
        <v>676</v>
      </c>
      <c r="AL256" s="322"/>
      <c r="AM256" s="323"/>
      <c r="AN256" s="324">
        <v>0</v>
      </c>
      <c r="AO256" s="324">
        <v>0</v>
      </c>
      <c r="AP256" s="324">
        <v>0</v>
      </c>
      <c r="AQ256" s="326"/>
      <c r="AR256" s="102" t="s">
        <v>115</v>
      </c>
      <c r="AS256" s="102" t="s">
        <v>750</v>
      </c>
      <c r="AT256" s="151" t="s">
        <v>674</v>
      </c>
      <c r="AU256" s="166" t="s">
        <v>2264</v>
      </c>
      <c r="AV256" s="247" t="s">
        <v>2262</v>
      </c>
      <c r="AW256" s="136"/>
      <c r="AX256" s="136" t="s">
        <v>2377</v>
      </c>
      <c r="AY256" s="136" t="s">
        <v>2376</v>
      </c>
      <c r="AZ256" s="271"/>
      <c r="BA256" s="183">
        <v>5</v>
      </c>
      <c r="BB256" s="184">
        <v>4</v>
      </c>
      <c r="BC256" s="209">
        <f t="shared" si="144"/>
        <v>0.8</v>
      </c>
      <c r="BD256" s="183">
        <v>5</v>
      </c>
      <c r="BE256" s="184">
        <v>4</v>
      </c>
      <c r="BF256" s="209">
        <f t="shared" si="145"/>
        <v>0.8</v>
      </c>
      <c r="BG256" s="183">
        <v>5</v>
      </c>
      <c r="BH256" s="184">
        <v>4</v>
      </c>
      <c r="BI256" s="209">
        <f t="shared" si="146"/>
        <v>0.8</v>
      </c>
      <c r="BJ256" s="210">
        <f t="shared" si="147"/>
        <v>15</v>
      </c>
      <c r="BK256" s="211">
        <f t="shared" si="148"/>
        <v>12</v>
      </c>
      <c r="BL256" s="209">
        <f t="shared" si="149"/>
        <v>0.8</v>
      </c>
      <c r="BM256" s="183">
        <v>5</v>
      </c>
      <c r="BN256" s="184">
        <v>4</v>
      </c>
      <c r="BO256" s="185">
        <v>0.8</v>
      </c>
      <c r="BP256" s="183">
        <v>5</v>
      </c>
      <c r="BQ256" s="184">
        <v>4</v>
      </c>
      <c r="BR256" s="185">
        <v>0.8</v>
      </c>
      <c r="BS256" s="183">
        <v>5</v>
      </c>
      <c r="BT256" s="184">
        <v>4</v>
      </c>
      <c r="BU256" s="185">
        <f t="shared" si="172"/>
        <v>0.8</v>
      </c>
      <c r="BV256" s="210">
        <f t="shared" si="150"/>
        <v>15</v>
      </c>
      <c r="BW256" s="210">
        <f t="shared" si="151"/>
        <v>12</v>
      </c>
      <c r="BX256" s="209">
        <f t="shared" si="152"/>
        <v>0.8</v>
      </c>
      <c r="BY256" s="209">
        <f t="shared" si="153"/>
        <v>4.8</v>
      </c>
      <c r="BZ256" s="209">
        <f t="shared" si="154"/>
        <v>-4.8</v>
      </c>
      <c r="CA256" s="188"/>
      <c r="CB256" s="173"/>
      <c r="CC256" s="183">
        <v>5</v>
      </c>
      <c r="CD256" s="184">
        <v>4</v>
      </c>
      <c r="CE256" s="185">
        <v>0.8</v>
      </c>
      <c r="CF256" s="183">
        <v>5</v>
      </c>
      <c r="CG256" s="184">
        <v>4</v>
      </c>
      <c r="CH256" s="185">
        <f t="shared" si="174"/>
        <v>0.8</v>
      </c>
      <c r="CI256" s="189"/>
      <c r="CJ256" s="190"/>
      <c r="CK256" s="185" t="e">
        <f t="shared" si="175"/>
        <v>#DIV/0!</v>
      </c>
      <c r="CL256" s="187">
        <f t="shared" si="176"/>
        <v>10</v>
      </c>
      <c r="CM256" s="186">
        <f t="shared" si="177"/>
        <v>8</v>
      </c>
      <c r="CN256" s="185">
        <f t="shared" si="178"/>
        <v>0.8</v>
      </c>
      <c r="CO256" s="173"/>
      <c r="CP256" s="188">
        <f t="shared" si="179"/>
        <v>40</v>
      </c>
      <c r="CQ256" s="188">
        <f t="shared" si="180"/>
        <v>32</v>
      </c>
      <c r="CR256" s="191">
        <f t="shared" si="181"/>
        <v>0.8</v>
      </c>
      <c r="CS256" s="279">
        <f t="shared" si="155"/>
        <v>-27</v>
      </c>
      <c r="CT256" s="173"/>
      <c r="CU256" s="188">
        <f t="shared" si="156"/>
        <v>-8.1</v>
      </c>
      <c r="CV256" s="277"/>
      <c r="CW256" s="191">
        <f t="shared" si="157"/>
        <v>0</v>
      </c>
      <c r="CX256" s="188">
        <f t="shared" si="158"/>
        <v>-8.1</v>
      </c>
      <c r="CY256" s="277"/>
      <c r="CZ256" s="191">
        <f t="shared" si="159"/>
        <v>0</v>
      </c>
      <c r="DA256" s="188">
        <f t="shared" si="160"/>
        <v>-8.1</v>
      </c>
      <c r="DB256" s="277"/>
      <c r="DC256" s="191">
        <f t="shared" si="161"/>
        <v>0</v>
      </c>
      <c r="DD256" s="188">
        <f t="shared" si="162"/>
        <v>-2.7</v>
      </c>
      <c r="DE256" s="277"/>
      <c r="DF256" s="191">
        <f t="shared" si="163"/>
        <v>0</v>
      </c>
      <c r="DG256" s="173"/>
      <c r="DH256" s="188">
        <f t="shared" si="164"/>
        <v>5</v>
      </c>
      <c r="DI256" s="188">
        <f t="shared" si="165"/>
        <v>32</v>
      </c>
      <c r="DJ256" s="191">
        <f t="shared" si="166"/>
        <v>6.4</v>
      </c>
      <c r="DK256" s="286">
        <f t="shared" si="167"/>
        <v>-27</v>
      </c>
      <c r="DM256" s="206">
        <v>246</v>
      </c>
    </row>
    <row r="257" spans="1:117" customFormat="1" ht="37.5" x14ac:dyDescent="0.35">
      <c r="A257" s="81">
        <v>253</v>
      </c>
      <c r="B257" s="102" t="s">
        <v>728</v>
      </c>
      <c r="C257" s="102" t="s">
        <v>118</v>
      </c>
      <c r="D257" s="102" t="s">
        <v>119</v>
      </c>
      <c r="E257" s="102" t="s">
        <v>155</v>
      </c>
      <c r="F257" s="102" t="s">
        <v>807</v>
      </c>
      <c r="G257" s="98" t="s">
        <v>711</v>
      </c>
      <c r="H257" s="98" t="s">
        <v>656</v>
      </c>
      <c r="I257" s="98" t="s">
        <v>413</v>
      </c>
      <c r="J257" s="98" t="s">
        <v>413</v>
      </c>
      <c r="K257" s="96" t="s">
        <v>754</v>
      </c>
      <c r="L257" s="96" t="s">
        <v>676</v>
      </c>
      <c r="M257" s="98" t="s">
        <v>808</v>
      </c>
      <c r="N257" s="98" t="s">
        <v>809</v>
      </c>
      <c r="O257" s="98" t="s">
        <v>659</v>
      </c>
      <c r="P257" s="241" t="s">
        <v>810</v>
      </c>
      <c r="Q257" s="98" t="s">
        <v>803</v>
      </c>
      <c r="R257" s="301">
        <v>17</v>
      </c>
      <c r="S257" s="99" t="s">
        <v>111</v>
      </c>
      <c r="T257" s="81">
        <v>25</v>
      </c>
      <c r="U257" s="81"/>
      <c r="V257" s="25">
        <f t="shared" si="143"/>
        <v>0</v>
      </c>
      <c r="W257" s="81">
        <v>25</v>
      </c>
      <c r="X257" s="81"/>
      <c r="Y257" s="25">
        <f t="shared" si="1"/>
        <v>0</v>
      </c>
      <c r="Z257" s="81">
        <v>25</v>
      </c>
      <c r="AA257" s="81"/>
      <c r="AB257" s="25">
        <f t="shared" si="2"/>
        <v>0</v>
      </c>
      <c r="AC257" s="81">
        <v>25</v>
      </c>
      <c r="AD257" s="81"/>
      <c r="AE257" s="25">
        <f t="shared" si="3"/>
        <v>0</v>
      </c>
      <c r="AF257" s="140">
        <f t="shared" si="168"/>
        <v>17</v>
      </c>
      <c r="AG257" s="140">
        <f t="shared" si="169"/>
        <v>0</v>
      </c>
      <c r="AH257" s="138">
        <f t="shared" si="125"/>
        <v>0</v>
      </c>
      <c r="AI257" s="113">
        <v>46054</v>
      </c>
      <c r="AJ257" s="113">
        <v>46387</v>
      </c>
      <c r="AK257" s="102" t="s">
        <v>676</v>
      </c>
      <c r="AL257" s="322"/>
      <c r="AM257" s="323"/>
      <c r="AN257" s="324"/>
      <c r="AO257" s="324"/>
      <c r="AP257" s="324"/>
      <c r="AQ257" s="326"/>
      <c r="AR257" s="102" t="s">
        <v>699</v>
      </c>
      <c r="AS257" s="102" t="s">
        <v>750</v>
      </c>
      <c r="AT257" s="151" t="s">
        <v>652</v>
      </c>
      <c r="AU257" s="102" t="s">
        <v>2264</v>
      </c>
      <c r="AV257" s="136" t="s">
        <v>2235</v>
      </c>
      <c r="AW257" s="136"/>
      <c r="AX257" s="136"/>
      <c r="AY257" s="136"/>
      <c r="AZ257" s="271"/>
      <c r="BA257" s="183"/>
      <c r="BB257" s="184"/>
      <c r="BC257" s="209" t="e">
        <f t="shared" si="144"/>
        <v>#DIV/0!</v>
      </c>
      <c r="BD257" s="183"/>
      <c r="BE257" s="184"/>
      <c r="BF257" s="209" t="e">
        <f t="shared" si="145"/>
        <v>#DIV/0!</v>
      </c>
      <c r="BG257" s="183"/>
      <c r="BH257" s="184"/>
      <c r="BI257" s="209" t="e">
        <f t="shared" si="146"/>
        <v>#DIV/0!</v>
      </c>
      <c r="BJ257" s="210">
        <f t="shared" si="147"/>
        <v>0</v>
      </c>
      <c r="BK257" s="211">
        <f t="shared" si="148"/>
        <v>0</v>
      </c>
      <c r="BL257" s="209" t="e">
        <f t="shared" si="149"/>
        <v>#DIV/0!</v>
      </c>
      <c r="BM257" s="183"/>
      <c r="BN257" s="184"/>
      <c r="BO257" s="185" t="e">
        <f t="shared" si="170"/>
        <v>#DIV/0!</v>
      </c>
      <c r="BP257" s="183"/>
      <c r="BQ257" s="184"/>
      <c r="BR257" s="185" t="e">
        <f t="shared" si="171"/>
        <v>#DIV/0!</v>
      </c>
      <c r="BS257" s="183"/>
      <c r="BT257" s="184"/>
      <c r="BU257" s="185" t="e">
        <f t="shared" si="172"/>
        <v>#DIV/0!</v>
      </c>
      <c r="BV257" s="210">
        <f t="shared" si="150"/>
        <v>0</v>
      </c>
      <c r="BW257" s="210">
        <f t="shared" si="151"/>
        <v>0</v>
      </c>
      <c r="BX257" s="209" t="e">
        <f t="shared" si="152"/>
        <v>#DIV/0!</v>
      </c>
      <c r="BY257" s="209">
        <f t="shared" si="153"/>
        <v>0</v>
      </c>
      <c r="BZ257" s="209">
        <f t="shared" si="154"/>
        <v>0</v>
      </c>
      <c r="CA257" s="188"/>
      <c r="CB257" s="173"/>
      <c r="CC257" s="183"/>
      <c r="CD257" s="184"/>
      <c r="CE257" s="185" t="e">
        <f t="shared" si="173"/>
        <v>#DIV/0!</v>
      </c>
      <c r="CF257" s="183"/>
      <c r="CG257" s="184"/>
      <c r="CH257" s="185" t="e">
        <f t="shared" si="174"/>
        <v>#DIV/0!</v>
      </c>
      <c r="CI257" s="189"/>
      <c r="CJ257" s="190"/>
      <c r="CK257" s="185" t="e">
        <f t="shared" si="175"/>
        <v>#DIV/0!</v>
      </c>
      <c r="CL257" s="187">
        <f t="shared" si="176"/>
        <v>0</v>
      </c>
      <c r="CM257" s="186">
        <f t="shared" si="177"/>
        <v>0</v>
      </c>
      <c r="CN257" s="185" t="e">
        <f t="shared" si="178"/>
        <v>#DIV/0!</v>
      </c>
      <c r="CO257" s="173"/>
      <c r="CP257" s="188">
        <f t="shared" si="179"/>
        <v>0</v>
      </c>
      <c r="CQ257" s="188">
        <f t="shared" si="180"/>
        <v>0</v>
      </c>
      <c r="CR257" s="191" t="e">
        <f t="shared" si="181"/>
        <v>#DIV/0!</v>
      </c>
      <c r="CS257" s="279">
        <f t="shared" si="155"/>
        <v>17</v>
      </c>
      <c r="CT257" s="173"/>
      <c r="CU257" s="188">
        <f t="shared" si="156"/>
        <v>5.0999999999999996</v>
      </c>
      <c r="CV257" s="277"/>
      <c r="CW257" s="191">
        <f t="shared" si="157"/>
        <v>0</v>
      </c>
      <c r="CX257" s="188">
        <f t="shared" si="158"/>
        <v>5.0999999999999996</v>
      </c>
      <c r="CY257" s="277"/>
      <c r="CZ257" s="191">
        <f t="shared" si="159"/>
        <v>0</v>
      </c>
      <c r="DA257" s="188">
        <f t="shared" si="160"/>
        <v>5.0999999999999996</v>
      </c>
      <c r="DB257" s="277"/>
      <c r="DC257" s="191">
        <f t="shared" si="161"/>
        <v>0</v>
      </c>
      <c r="DD257" s="188">
        <f t="shared" si="162"/>
        <v>1.7000000000000002</v>
      </c>
      <c r="DE257" s="277"/>
      <c r="DF257" s="191">
        <f t="shared" si="163"/>
        <v>0</v>
      </c>
      <c r="DG257" s="173"/>
      <c r="DH257" s="188">
        <f t="shared" si="164"/>
        <v>17</v>
      </c>
      <c r="DI257" s="188">
        <f t="shared" si="165"/>
        <v>0</v>
      </c>
      <c r="DJ257" s="191">
        <f t="shared" si="166"/>
        <v>0</v>
      </c>
      <c r="DK257" s="286">
        <f t="shared" si="167"/>
        <v>17</v>
      </c>
      <c r="DM257" s="206">
        <v>247</v>
      </c>
    </row>
    <row r="258" spans="1:117" customFormat="1" ht="50" x14ac:dyDescent="0.35">
      <c r="A258" s="81">
        <v>254</v>
      </c>
      <c r="B258" s="102" t="s">
        <v>728</v>
      </c>
      <c r="C258" s="102" t="s">
        <v>118</v>
      </c>
      <c r="D258" s="102" t="s">
        <v>119</v>
      </c>
      <c r="E258" s="102" t="s">
        <v>155</v>
      </c>
      <c r="F258" s="102" t="s">
        <v>807</v>
      </c>
      <c r="G258" s="98" t="s">
        <v>711</v>
      </c>
      <c r="H258" s="98" t="s">
        <v>656</v>
      </c>
      <c r="I258" s="98" t="s">
        <v>413</v>
      </c>
      <c r="J258" s="98" t="s">
        <v>413</v>
      </c>
      <c r="K258" s="96" t="s">
        <v>754</v>
      </c>
      <c r="L258" s="96" t="s">
        <v>676</v>
      </c>
      <c r="M258" s="98" t="s">
        <v>808</v>
      </c>
      <c r="N258" s="98" t="s">
        <v>809</v>
      </c>
      <c r="O258" s="98" t="s">
        <v>659</v>
      </c>
      <c r="P258" s="241" t="s">
        <v>811</v>
      </c>
      <c r="Q258" s="98" t="s">
        <v>803</v>
      </c>
      <c r="R258" s="301">
        <v>5</v>
      </c>
      <c r="S258" s="99" t="s">
        <v>111</v>
      </c>
      <c r="T258" s="81">
        <v>25</v>
      </c>
      <c r="U258" s="81"/>
      <c r="V258" s="25">
        <f t="shared" si="143"/>
        <v>0</v>
      </c>
      <c r="W258" s="81">
        <v>25</v>
      </c>
      <c r="X258" s="81"/>
      <c r="Y258" s="25">
        <f t="shared" si="1"/>
        <v>0</v>
      </c>
      <c r="Z258" s="81">
        <v>25</v>
      </c>
      <c r="AA258" s="81"/>
      <c r="AB258" s="25">
        <f t="shared" si="2"/>
        <v>0</v>
      </c>
      <c r="AC258" s="81">
        <v>25</v>
      </c>
      <c r="AD258" s="81"/>
      <c r="AE258" s="25">
        <f t="shared" si="3"/>
        <v>0</v>
      </c>
      <c r="AF258" s="140">
        <f t="shared" si="168"/>
        <v>5</v>
      </c>
      <c r="AG258" s="140">
        <f t="shared" si="169"/>
        <v>0</v>
      </c>
      <c r="AH258" s="138">
        <f t="shared" si="125"/>
        <v>0</v>
      </c>
      <c r="AI258" s="113">
        <v>46054</v>
      </c>
      <c r="AJ258" s="113">
        <v>46387</v>
      </c>
      <c r="AK258" s="102" t="s">
        <v>676</v>
      </c>
      <c r="AL258" s="322"/>
      <c r="AM258" s="323"/>
      <c r="AN258" s="324"/>
      <c r="AO258" s="324"/>
      <c r="AP258" s="324"/>
      <c r="AQ258" s="326"/>
      <c r="AR258" s="102" t="s">
        <v>812</v>
      </c>
      <c r="AS258" s="102" t="s">
        <v>750</v>
      </c>
      <c r="AT258" s="151" t="s">
        <v>652</v>
      </c>
      <c r="AU258" s="102" t="s">
        <v>2264</v>
      </c>
      <c r="AV258" s="136" t="s">
        <v>2235</v>
      </c>
      <c r="AW258" s="136"/>
      <c r="AX258" s="136"/>
      <c r="AY258" s="136"/>
      <c r="AZ258" s="271"/>
      <c r="BA258" s="183"/>
      <c r="BB258" s="184"/>
      <c r="BC258" s="209" t="e">
        <f t="shared" si="144"/>
        <v>#DIV/0!</v>
      </c>
      <c r="BD258" s="183"/>
      <c r="BE258" s="184"/>
      <c r="BF258" s="209" t="e">
        <f t="shared" si="145"/>
        <v>#DIV/0!</v>
      </c>
      <c r="BG258" s="183"/>
      <c r="BH258" s="184"/>
      <c r="BI258" s="209" t="e">
        <f t="shared" si="146"/>
        <v>#DIV/0!</v>
      </c>
      <c r="BJ258" s="210">
        <f t="shared" si="147"/>
        <v>0</v>
      </c>
      <c r="BK258" s="211">
        <f t="shared" si="148"/>
        <v>0</v>
      </c>
      <c r="BL258" s="209" t="e">
        <f t="shared" si="149"/>
        <v>#DIV/0!</v>
      </c>
      <c r="BM258" s="183"/>
      <c r="BN258" s="184"/>
      <c r="BO258" s="185" t="e">
        <f t="shared" si="170"/>
        <v>#DIV/0!</v>
      </c>
      <c r="BP258" s="183"/>
      <c r="BQ258" s="184"/>
      <c r="BR258" s="185" t="e">
        <f t="shared" si="171"/>
        <v>#DIV/0!</v>
      </c>
      <c r="BS258" s="183"/>
      <c r="BT258" s="184"/>
      <c r="BU258" s="185" t="e">
        <f t="shared" si="172"/>
        <v>#DIV/0!</v>
      </c>
      <c r="BV258" s="210">
        <f t="shared" si="150"/>
        <v>0</v>
      </c>
      <c r="BW258" s="210">
        <f t="shared" si="151"/>
        <v>0</v>
      </c>
      <c r="BX258" s="209" t="e">
        <f t="shared" si="152"/>
        <v>#DIV/0!</v>
      </c>
      <c r="BY258" s="209">
        <f t="shared" si="153"/>
        <v>0</v>
      </c>
      <c r="BZ258" s="209">
        <f t="shared" si="154"/>
        <v>0</v>
      </c>
      <c r="CA258" s="188"/>
      <c r="CB258" s="173"/>
      <c r="CC258" s="183"/>
      <c r="CD258" s="184"/>
      <c r="CE258" s="185" t="e">
        <f t="shared" si="173"/>
        <v>#DIV/0!</v>
      </c>
      <c r="CF258" s="183"/>
      <c r="CG258" s="184"/>
      <c r="CH258" s="185" t="e">
        <f t="shared" si="174"/>
        <v>#DIV/0!</v>
      </c>
      <c r="CI258" s="189"/>
      <c r="CJ258" s="190"/>
      <c r="CK258" s="185" t="e">
        <f t="shared" si="175"/>
        <v>#DIV/0!</v>
      </c>
      <c r="CL258" s="187">
        <f t="shared" si="176"/>
        <v>0</v>
      </c>
      <c r="CM258" s="186">
        <f t="shared" si="177"/>
        <v>0</v>
      </c>
      <c r="CN258" s="185" t="e">
        <f t="shared" si="178"/>
        <v>#DIV/0!</v>
      </c>
      <c r="CO258" s="173"/>
      <c r="CP258" s="188">
        <f t="shared" si="179"/>
        <v>0</v>
      </c>
      <c r="CQ258" s="188">
        <f t="shared" si="180"/>
        <v>0</v>
      </c>
      <c r="CR258" s="191" t="e">
        <f t="shared" si="181"/>
        <v>#DIV/0!</v>
      </c>
      <c r="CS258" s="279">
        <f t="shared" si="155"/>
        <v>5</v>
      </c>
      <c r="CT258" s="173"/>
      <c r="CU258" s="188">
        <f t="shared" si="156"/>
        <v>1.5</v>
      </c>
      <c r="CV258" s="277"/>
      <c r="CW258" s="191">
        <f t="shared" si="157"/>
        <v>0</v>
      </c>
      <c r="CX258" s="188">
        <f t="shared" si="158"/>
        <v>1.5</v>
      </c>
      <c r="CY258" s="277"/>
      <c r="CZ258" s="191">
        <f t="shared" si="159"/>
        <v>0</v>
      </c>
      <c r="DA258" s="188">
        <f t="shared" si="160"/>
        <v>1.5</v>
      </c>
      <c r="DB258" s="277"/>
      <c r="DC258" s="191">
        <f t="shared" si="161"/>
        <v>0</v>
      </c>
      <c r="DD258" s="188">
        <f t="shared" si="162"/>
        <v>0.5</v>
      </c>
      <c r="DE258" s="277"/>
      <c r="DF258" s="191">
        <f t="shared" si="163"/>
        <v>0</v>
      </c>
      <c r="DG258" s="173"/>
      <c r="DH258" s="188">
        <f t="shared" si="164"/>
        <v>5</v>
      </c>
      <c r="DI258" s="188">
        <f t="shared" si="165"/>
        <v>0</v>
      </c>
      <c r="DJ258" s="191">
        <f t="shared" si="166"/>
        <v>0</v>
      </c>
      <c r="DK258" s="286">
        <f t="shared" si="167"/>
        <v>5</v>
      </c>
      <c r="DM258" s="206">
        <v>248</v>
      </c>
    </row>
    <row r="259" spans="1:117" customFormat="1" ht="50" x14ac:dyDescent="0.35">
      <c r="A259" s="81">
        <v>255</v>
      </c>
      <c r="B259" s="102" t="s">
        <v>728</v>
      </c>
      <c r="C259" s="102" t="s">
        <v>118</v>
      </c>
      <c r="D259" s="102" t="s">
        <v>119</v>
      </c>
      <c r="E259" s="102" t="s">
        <v>155</v>
      </c>
      <c r="F259" s="102" t="s">
        <v>807</v>
      </c>
      <c r="G259" s="98" t="s">
        <v>711</v>
      </c>
      <c r="H259" s="98" t="s">
        <v>656</v>
      </c>
      <c r="I259" s="98" t="s">
        <v>413</v>
      </c>
      <c r="J259" s="98" t="s">
        <v>413</v>
      </c>
      <c r="K259" s="96" t="s">
        <v>754</v>
      </c>
      <c r="L259" s="96" t="s">
        <v>676</v>
      </c>
      <c r="M259" s="98"/>
      <c r="N259" s="98" t="s">
        <v>809</v>
      </c>
      <c r="O259" s="98" t="s">
        <v>659</v>
      </c>
      <c r="P259" s="241" t="s">
        <v>813</v>
      </c>
      <c r="Q259" s="98" t="s">
        <v>803</v>
      </c>
      <c r="R259" s="301">
        <v>35</v>
      </c>
      <c r="S259" s="99" t="s">
        <v>111</v>
      </c>
      <c r="T259" s="81"/>
      <c r="U259" s="81"/>
      <c r="V259" s="25" t="e">
        <f t="shared" si="143"/>
        <v>#DIV/0!</v>
      </c>
      <c r="W259" s="81"/>
      <c r="X259" s="81"/>
      <c r="Y259" s="25" t="e">
        <f t="shared" si="1"/>
        <v>#DIV/0!</v>
      </c>
      <c r="Z259" s="81"/>
      <c r="AA259" s="81"/>
      <c r="AB259" s="25" t="e">
        <f t="shared" si="2"/>
        <v>#DIV/0!</v>
      </c>
      <c r="AC259" s="81">
        <v>5</v>
      </c>
      <c r="AD259" s="81"/>
      <c r="AE259" s="25">
        <f t="shared" si="3"/>
        <v>0</v>
      </c>
      <c r="AF259" s="140">
        <f t="shared" si="168"/>
        <v>35</v>
      </c>
      <c r="AG259" s="140">
        <f t="shared" si="169"/>
        <v>0</v>
      </c>
      <c r="AH259" s="138">
        <f t="shared" si="125"/>
        <v>0</v>
      </c>
      <c r="AI259" s="113">
        <v>46054</v>
      </c>
      <c r="AJ259" s="113">
        <v>46387</v>
      </c>
      <c r="AK259" s="102" t="s">
        <v>676</v>
      </c>
      <c r="AL259" s="322"/>
      <c r="AM259" s="323"/>
      <c r="AN259" s="324"/>
      <c r="AO259" s="324"/>
      <c r="AP259" s="324"/>
      <c r="AQ259" s="326"/>
      <c r="AR259" s="102" t="s">
        <v>812</v>
      </c>
      <c r="AS259" s="102" t="s">
        <v>750</v>
      </c>
      <c r="AT259" s="151" t="s">
        <v>652</v>
      </c>
      <c r="AU259" s="102" t="s">
        <v>2264</v>
      </c>
      <c r="AV259" s="136" t="s">
        <v>2235</v>
      </c>
      <c r="AW259" s="136"/>
      <c r="AX259" s="136"/>
      <c r="AY259" s="136"/>
      <c r="AZ259" s="271"/>
      <c r="BA259" s="183"/>
      <c r="BB259" s="184"/>
      <c r="BC259" s="209" t="e">
        <f t="shared" si="144"/>
        <v>#DIV/0!</v>
      </c>
      <c r="BD259" s="183"/>
      <c r="BE259" s="184"/>
      <c r="BF259" s="209" t="e">
        <f t="shared" si="145"/>
        <v>#DIV/0!</v>
      </c>
      <c r="BG259" s="183"/>
      <c r="BH259" s="184"/>
      <c r="BI259" s="209" t="e">
        <f t="shared" si="146"/>
        <v>#DIV/0!</v>
      </c>
      <c r="BJ259" s="210">
        <f t="shared" si="147"/>
        <v>0</v>
      </c>
      <c r="BK259" s="211">
        <f t="shared" si="148"/>
        <v>0</v>
      </c>
      <c r="BL259" s="209" t="e">
        <f t="shared" si="149"/>
        <v>#DIV/0!</v>
      </c>
      <c r="BM259" s="183"/>
      <c r="BN259" s="184"/>
      <c r="BO259" s="185" t="e">
        <f t="shared" si="170"/>
        <v>#DIV/0!</v>
      </c>
      <c r="BP259" s="183"/>
      <c r="BQ259" s="184"/>
      <c r="BR259" s="185" t="e">
        <f t="shared" si="171"/>
        <v>#DIV/0!</v>
      </c>
      <c r="BS259" s="183"/>
      <c r="BT259" s="184"/>
      <c r="BU259" s="185" t="e">
        <f t="shared" si="172"/>
        <v>#DIV/0!</v>
      </c>
      <c r="BV259" s="210">
        <f t="shared" si="150"/>
        <v>0</v>
      </c>
      <c r="BW259" s="210">
        <f t="shared" si="151"/>
        <v>0</v>
      </c>
      <c r="BX259" s="209" t="e">
        <f t="shared" si="152"/>
        <v>#DIV/0!</v>
      </c>
      <c r="BY259" s="209">
        <f t="shared" si="153"/>
        <v>0</v>
      </c>
      <c r="BZ259" s="209">
        <f t="shared" si="154"/>
        <v>0</v>
      </c>
      <c r="CA259" s="188"/>
      <c r="CB259" s="173"/>
      <c r="CC259" s="183"/>
      <c r="CD259" s="184"/>
      <c r="CE259" s="185" t="e">
        <f t="shared" si="173"/>
        <v>#DIV/0!</v>
      </c>
      <c r="CF259" s="183"/>
      <c r="CG259" s="184"/>
      <c r="CH259" s="185" t="e">
        <f t="shared" si="174"/>
        <v>#DIV/0!</v>
      </c>
      <c r="CI259" s="189"/>
      <c r="CJ259" s="190"/>
      <c r="CK259" s="185" t="e">
        <f t="shared" si="175"/>
        <v>#DIV/0!</v>
      </c>
      <c r="CL259" s="187">
        <f t="shared" si="176"/>
        <v>0</v>
      </c>
      <c r="CM259" s="186">
        <f t="shared" si="177"/>
        <v>0</v>
      </c>
      <c r="CN259" s="185" t="e">
        <f t="shared" si="178"/>
        <v>#DIV/0!</v>
      </c>
      <c r="CO259" s="173"/>
      <c r="CP259" s="188">
        <f t="shared" si="179"/>
        <v>0</v>
      </c>
      <c r="CQ259" s="188">
        <f t="shared" si="180"/>
        <v>0</v>
      </c>
      <c r="CR259" s="191" t="e">
        <f t="shared" si="181"/>
        <v>#DIV/0!</v>
      </c>
      <c r="CS259" s="279">
        <f t="shared" si="155"/>
        <v>35</v>
      </c>
      <c r="CT259" s="173"/>
      <c r="CU259" s="188">
        <f t="shared" si="156"/>
        <v>10.5</v>
      </c>
      <c r="CV259" s="277"/>
      <c r="CW259" s="191">
        <f t="shared" si="157"/>
        <v>0</v>
      </c>
      <c r="CX259" s="188">
        <f t="shared" si="158"/>
        <v>10.5</v>
      </c>
      <c r="CY259" s="277"/>
      <c r="CZ259" s="191">
        <f t="shared" si="159"/>
        <v>0</v>
      </c>
      <c r="DA259" s="188">
        <f t="shared" si="160"/>
        <v>10.5</v>
      </c>
      <c r="DB259" s="277"/>
      <c r="DC259" s="191">
        <f t="shared" si="161"/>
        <v>0</v>
      </c>
      <c r="DD259" s="188">
        <f t="shared" si="162"/>
        <v>3.5</v>
      </c>
      <c r="DE259" s="277"/>
      <c r="DF259" s="191">
        <f t="shared" si="163"/>
        <v>0</v>
      </c>
      <c r="DG259" s="173"/>
      <c r="DH259" s="188">
        <f t="shared" si="164"/>
        <v>35</v>
      </c>
      <c r="DI259" s="188">
        <f t="shared" si="165"/>
        <v>0</v>
      </c>
      <c r="DJ259" s="191">
        <f t="shared" si="166"/>
        <v>0</v>
      </c>
      <c r="DK259" s="286">
        <f t="shared" si="167"/>
        <v>35</v>
      </c>
      <c r="DM259" s="206">
        <v>249</v>
      </c>
    </row>
    <row r="260" spans="1:117" customFormat="1" ht="37.5" x14ac:dyDescent="0.35">
      <c r="A260" s="81">
        <v>256</v>
      </c>
      <c r="B260" s="102" t="s">
        <v>728</v>
      </c>
      <c r="C260" s="102" t="s">
        <v>118</v>
      </c>
      <c r="D260" s="102" t="s">
        <v>119</v>
      </c>
      <c r="E260" s="102" t="s">
        <v>155</v>
      </c>
      <c r="F260" s="102" t="s">
        <v>807</v>
      </c>
      <c r="G260" s="98" t="s">
        <v>711</v>
      </c>
      <c r="H260" s="98" t="s">
        <v>656</v>
      </c>
      <c r="I260" s="98" t="s">
        <v>413</v>
      </c>
      <c r="J260" s="98" t="s">
        <v>413</v>
      </c>
      <c r="K260" s="96" t="s">
        <v>754</v>
      </c>
      <c r="L260" s="96" t="s">
        <v>676</v>
      </c>
      <c r="M260" s="98"/>
      <c r="N260" s="98" t="s">
        <v>809</v>
      </c>
      <c r="O260" s="98" t="s">
        <v>659</v>
      </c>
      <c r="P260" s="241" t="s">
        <v>814</v>
      </c>
      <c r="Q260" s="98" t="s">
        <v>803</v>
      </c>
      <c r="R260" s="301">
        <v>1</v>
      </c>
      <c r="S260" s="99" t="s">
        <v>111</v>
      </c>
      <c r="T260" s="81"/>
      <c r="U260" s="81"/>
      <c r="V260" s="25" t="e">
        <f t="shared" si="143"/>
        <v>#DIV/0!</v>
      </c>
      <c r="W260" s="81"/>
      <c r="X260" s="81"/>
      <c r="Y260" s="25" t="e">
        <f t="shared" ref="Y260:Y281" si="182">X260/W260*100</f>
        <v>#DIV/0!</v>
      </c>
      <c r="Z260" s="81"/>
      <c r="AA260" s="81"/>
      <c r="AB260" s="25" t="e">
        <f t="shared" ref="AB260:AB281" si="183">AA260/Z260*100</f>
        <v>#DIV/0!</v>
      </c>
      <c r="AC260" s="81">
        <v>5</v>
      </c>
      <c r="AD260" s="81"/>
      <c r="AE260" s="25">
        <f t="shared" ref="AE260:AE281" si="184">AD260/AC260*100</f>
        <v>0</v>
      </c>
      <c r="AF260" s="140">
        <f t="shared" si="168"/>
        <v>1</v>
      </c>
      <c r="AG260" s="140">
        <f t="shared" si="169"/>
        <v>0</v>
      </c>
      <c r="AH260" s="138">
        <f t="shared" si="125"/>
        <v>0</v>
      </c>
      <c r="AI260" s="113">
        <v>46054</v>
      </c>
      <c r="AJ260" s="113">
        <v>46387</v>
      </c>
      <c r="AK260" s="102" t="s">
        <v>676</v>
      </c>
      <c r="AL260" s="322"/>
      <c r="AM260" s="323"/>
      <c r="AN260" s="324"/>
      <c r="AO260" s="324"/>
      <c r="AP260" s="324"/>
      <c r="AQ260" s="326"/>
      <c r="AR260" s="102" t="s">
        <v>812</v>
      </c>
      <c r="AS260" s="102" t="s">
        <v>750</v>
      </c>
      <c r="AT260" s="151" t="s">
        <v>815</v>
      </c>
      <c r="AU260" s="102" t="s">
        <v>2264</v>
      </c>
      <c r="AV260" s="136" t="s">
        <v>2236</v>
      </c>
      <c r="AW260" s="136"/>
      <c r="AX260" s="136" t="s">
        <v>825</v>
      </c>
      <c r="AY260" s="136" t="s">
        <v>2307</v>
      </c>
      <c r="AZ260" s="271"/>
      <c r="BA260" s="183"/>
      <c r="BB260" s="184"/>
      <c r="BC260" s="209" t="e">
        <f t="shared" si="144"/>
        <v>#DIV/0!</v>
      </c>
      <c r="BD260" s="183"/>
      <c r="BE260" s="184"/>
      <c r="BF260" s="209" t="e">
        <f t="shared" si="145"/>
        <v>#DIV/0!</v>
      </c>
      <c r="BG260" s="183"/>
      <c r="BH260" s="184"/>
      <c r="BI260" s="209" t="e">
        <f t="shared" si="146"/>
        <v>#DIV/0!</v>
      </c>
      <c r="BJ260" s="210">
        <f t="shared" si="147"/>
        <v>0</v>
      </c>
      <c r="BK260" s="211">
        <f t="shared" si="148"/>
        <v>0</v>
      </c>
      <c r="BL260" s="209" t="e">
        <f t="shared" si="149"/>
        <v>#DIV/0!</v>
      </c>
      <c r="BM260" s="183"/>
      <c r="BN260" s="184"/>
      <c r="BO260" s="185" t="e">
        <f t="shared" si="170"/>
        <v>#DIV/0!</v>
      </c>
      <c r="BP260" s="183"/>
      <c r="BQ260" s="184"/>
      <c r="BR260" s="185" t="e">
        <f t="shared" si="171"/>
        <v>#DIV/0!</v>
      </c>
      <c r="BS260" s="183"/>
      <c r="BT260" s="184"/>
      <c r="BU260" s="185" t="e">
        <f t="shared" si="172"/>
        <v>#DIV/0!</v>
      </c>
      <c r="BV260" s="210">
        <f t="shared" si="150"/>
        <v>0</v>
      </c>
      <c r="BW260" s="210">
        <f t="shared" si="151"/>
        <v>0</v>
      </c>
      <c r="BX260" s="209" t="e">
        <f t="shared" si="152"/>
        <v>#DIV/0!</v>
      </c>
      <c r="BY260" s="209">
        <f t="shared" si="153"/>
        <v>0</v>
      </c>
      <c r="BZ260" s="209">
        <f t="shared" si="154"/>
        <v>0</v>
      </c>
      <c r="CA260" s="188"/>
      <c r="CB260" s="173"/>
      <c r="CC260" s="183"/>
      <c r="CD260" s="184"/>
      <c r="CE260" s="185" t="e">
        <f t="shared" si="173"/>
        <v>#DIV/0!</v>
      </c>
      <c r="CF260" s="183"/>
      <c r="CG260" s="184"/>
      <c r="CH260" s="185" t="e">
        <f t="shared" si="174"/>
        <v>#DIV/0!</v>
      </c>
      <c r="CI260" s="189"/>
      <c r="CJ260" s="190"/>
      <c r="CK260" s="185" t="e">
        <f t="shared" si="175"/>
        <v>#DIV/0!</v>
      </c>
      <c r="CL260" s="187">
        <f t="shared" si="176"/>
        <v>0</v>
      </c>
      <c r="CM260" s="186">
        <f t="shared" si="177"/>
        <v>0</v>
      </c>
      <c r="CN260" s="185" t="e">
        <f t="shared" si="178"/>
        <v>#DIV/0!</v>
      </c>
      <c r="CO260" s="173"/>
      <c r="CP260" s="188">
        <f t="shared" si="179"/>
        <v>0</v>
      </c>
      <c r="CQ260" s="188">
        <f t="shared" si="180"/>
        <v>0</v>
      </c>
      <c r="CR260" s="191" t="e">
        <f t="shared" si="181"/>
        <v>#DIV/0!</v>
      </c>
      <c r="CS260" s="279">
        <f t="shared" si="155"/>
        <v>1</v>
      </c>
      <c r="CT260" s="173"/>
      <c r="CU260" s="188">
        <f t="shared" si="156"/>
        <v>0.3</v>
      </c>
      <c r="CV260" s="277"/>
      <c r="CW260" s="191">
        <f t="shared" si="157"/>
        <v>0</v>
      </c>
      <c r="CX260" s="188">
        <f t="shared" si="158"/>
        <v>0.3</v>
      </c>
      <c r="CY260" s="277"/>
      <c r="CZ260" s="191">
        <f t="shared" si="159"/>
        <v>0</v>
      </c>
      <c r="DA260" s="188">
        <f t="shared" si="160"/>
        <v>0.3</v>
      </c>
      <c r="DB260" s="277"/>
      <c r="DC260" s="191">
        <f t="shared" si="161"/>
        <v>0</v>
      </c>
      <c r="DD260" s="188">
        <f t="shared" si="162"/>
        <v>0.1</v>
      </c>
      <c r="DE260" s="277"/>
      <c r="DF260" s="191">
        <f t="shared" si="163"/>
        <v>0</v>
      </c>
      <c r="DG260" s="173"/>
      <c r="DH260" s="188">
        <f t="shared" si="164"/>
        <v>1</v>
      </c>
      <c r="DI260" s="188">
        <f t="shared" si="165"/>
        <v>0</v>
      </c>
      <c r="DJ260" s="191">
        <f t="shared" si="166"/>
        <v>0</v>
      </c>
      <c r="DK260" s="286">
        <f t="shared" si="167"/>
        <v>1</v>
      </c>
    </row>
    <row r="261" spans="1:117" customFormat="1" ht="100" x14ac:dyDescent="0.35">
      <c r="A261" s="81">
        <v>258</v>
      </c>
      <c r="B261" s="102" t="s">
        <v>728</v>
      </c>
      <c r="C261" s="102" t="s">
        <v>118</v>
      </c>
      <c r="D261" s="102" t="s">
        <v>119</v>
      </c>
      <c r="E261" s="102" t="s">
        <v>155</v>
      </c>
      <c r="F261" s="102" t="s">
        <v>807</v>
      </c>
      <c r="G261" s="98" t="s">
        <v>711</v>
      </c>
      <c r="H261" s="98" t="s">
        <v>656</v>
      </c>
      <c r="I261" s="98" t="s">
        <v>413</v>
      </c>
      <c r="J261" s="98" t="s">
        <v>413</v>
      </c>
      <c r="K261" s="96" t="s">
        <v>754</v>
      </c>
      <c r="L261" s="96" t="s">
        <v>676</v>
      </c>
      <c r="M261" s="98"/>
      <c r="N261" s="98" t="s">
        <v>809</v>
      </c>
      <c r="O261" s="98" t="s">
        <v>659</v>
      </c>
      <c r="P261" s="241" t="s">
        <v>816</v>
      </c>
      <c r="Q261" s="98" t="s">
        <v>803</v>
      </c>
      <c r="R261" s="301">
        <v>1</v>
      </c>
      <c r="S261" s="99" t="s">
        <v>737</v>
      </c>
      <c r="T261" s="81"/>
      <c r="U261" s="81"/>
      <c r="V261" s="25" t="e">
        <f t="shared" si="143"/>
        <v>#DIV/0!</v>
      </c>
      <c r="W261" s="81"/>
      <c r="X261" s="81"/>
      <c r="Y261" s="25" t="e">
        <f t="shared" si="182"/>
        <v>#DIV/0!</v>
      </c>
      <c r="Z261" s="81"/>
      <c r="AA261" s="81"/>
      <c r="AB261" s="25" t="e">
        <f t="shared" si="183"/>
        <v>#DIV/0!</v>
      </c>
      <c r="AC261" s="81">
        <v>17</v>
      </c>
      <c r="AD261" s="81"/>
      <c r="AE261" s="25">
        <f t="shared" si="184"/>
        <v>0</v>
      </c>
      <c r="AF261" s="140">
        <f t="shared" si="168"/>
        <v>1</v>
      </c>
      <c r="AG261" s="140">
        <f t="shared" si="169"/>
        <v>0</v>
      </c>
      <c r="AH261" s="138">
        <f t="shared" si="125"/>
        <v>0</v>
      </c>
      <c r="AI261" s="113">
        <v>46054</v>
      </c>
      <c r="AJ261" s="113">
        <v>46387</v>
      </c>
      <c r="AK261" s="102" t="s">
        <v>676</v>
      </c>
      <c r="AL261" s="322"/>
      <c r="AM261" s="323"/>
      <c r="AN261" s="324"/>
      <c r="AO261" s="324"/>
      <c r="AP261" s="324"/>
      <c r="AQ261" s="326"/>
      <c r="AR261" s="102" t="s">
        <v>812</v>
      </c>
      <c r="AS261" s="102" t="s">
        <v>750</v>
      </c>
      <c r="AT261" s="151" t="s">
        <v>652</v>
      </c>
      <c r="AU261" s="102" t="s">
        <v>2264</v>
      </c>
      <c r="AV261" s="136" t="s">
        <v>2235</v>
      </c>
      <c r="AW261" s="136"/>
      <c r="AX261" s="136"/>
      <c r="AY261" s="136"/>
      <c r="AZ261" s="271"/>
      <c r="BA261" s="183"/>
      <c r="BB261" s="184"/>
      <c r="BC261" s="209" t="e">
        <f t="shared" si="144"/>
        <v>#DIV/0!</v>
      </c>
      <c r="BD261" s="183"/>
      <c r="BE261" s="184"/>
      <c r="BF261" s="209" t="e">
        <f t="shared" si="145"/>
        <v>#DIV/0!</v>
      </c>
      <c r="BG261" s="183"/>
      <c r="BH261" s="184"/>
      <c r="BI261" s="209" t="e">
        <f t="shared" si="146"/>
        <v>#DIV/0!</v>
      </c>
      <c r="BJ261" s="210">
        <f t="shared" si="147"/>
        <v>0</v>
      </c>
      <c r="BK261" s="211">
        <f t="shared" si="148"/>
        <v>0</v>
      </c>
      <c r="BL261" s="209" t="e">
        <f t="shared" si="149"/>
        <v>#DIV/0!</v>
      </c>
      <c r="BM261" s="183"/>
      <c r="BN261" s="184"/>
      <c r="BO261" s="185" t="e">
        <f t="shared" si="170"/>
        <v>#DIV/0!</v>
      </c>
      <c r="BP261" s="183"/>
      <c r="BQ261" s="184"/>
      <c r="BR261" s="185" t="e">
        <f t="shared" si="171"/>
        <v>#DIV/0!</v>
      </c>
      <c r="BS261" s="183"/>
      <c r="BT261" s="184"/>
      <c r="BU261" s="185" t="e">
        <f t="shared" si="172"/>
        <v>#DIV/0!</v>
      </c>
      <c r="BV261" s="210">
        <f t="shared" si="150"/>
        <v>0</v>
      </c>
      <c r="BW261" s="210">
        <f t="shared" si="151"/>
        <v>0</v>
      </c>
      <c r="BX261" s="209" t="e">
        <f t="shared" si="152"/>
        <v>#DIV/0!</v>
      </c>
      <c r="BY261" s="209">
        <f t="shared" si="153"/>
        <v>0</v>
      </c>
      <c r="BZ261" s="209">
        <f t="shared" si="154"/>
        <v>0</v>
      </c>
      <c r="CA261" s="188"/>
      <c r="CB261" s="173"/>
      <c r="CC261" s="183"/>
      <c r="CD261" s="184"/>
      <c r="CE261" s="185" t="e">
        <f t="shared" si="173"/>
        <v>#DIV/0!</v>
      </c>
      <c r="CF261" s="183"/>
      <c r="CG261" s="184"/>
      <c r="CH261" s="185" t="e">
        <f t="shared" si="174"/>
        <v>#DIV/0!</v>
      </c>
      <c r="CI261" s="189"/>
      <c r="CJ261" s="190"/>
      <c r="CK261" s="185" t="e">
        <f t="shared" si="175"/>
        <v>#DIV/0!</v>
      </c>
      <c r="CL261" s="187">
        <f t="shared" si="176"/>
        <v>0</v>
      </c>
      <c r="CM261" s="186">
        <f t="shared" si="177"/>
        <v>0</v>
      </c>
      <c r="CN261" s="185" t="e">
        <f t="shared" si="178"/>
        <v>#DIV/0!</v>
      </c>
      <c r="CO261" s="173"/>
      <c r="CP261" s="188">
        <f t="shared" si="179"/>
        <v>0</v>
      </c>
      <c r="CQ261" s="188">
        <f t="shared" si="180"/>
        <v>0</v>
      </c>
      <c r="CR261" s="191" t="e">
        <f t="shared" si="181"/>
        <v>#DIV/0!</v>
      </c>
      <c r="CS261" s="279">
        <f t="shared" si="155"/>
        <v>1</v>
      </c>
      <c r="CT261" s="173"/>
      <c r="CU261" s="188">
        <f t="shared" si="156"/>
        <v>0.3</v>
      </c>
      <c r="CV261" s="277"/>
      <c r="CW261" s="191">
        <f t="shared" si="157"/>
        <v>0</v>
      </c>
      <c r="CX261" s="188">
        <f t="shared" si="158"/>
        <v>0.3</v>
      </c>
      <c r="CY261" s="277"/>
      <c r="CZ261" s="191">
        <f t="shared" si="159"/>
        <v>0</v>
      </c>
      <c r="DA261" s="188">
        <f t="shared" si="160"/>
        <v>0.3</v>
      </c>
      <c r="DB261" s="277"/>
      <c r="DC261" s="191">
        <f t="shared" si="161"/>
        <v>0</v>
      </c>
      <c r="DD261" s="188">
        <f t="shared" si="162"/>
        <v>0.1</v>
      </c>
      <c r="DE261" s="277"/>
      <c r="DF261" s="191">
        <f t="shared" si="163"/>
        <v>0</v>
      </c>
      <c r="DG261" s="173"/>
      <c r="DH261" s="188">
        <f t="shared" si="164"/>
        <v>1</v>
      </c>
      <c r="DI261" s="188">
        <f t="shared" si="165"/>
        <v>0</v>
      </c>
      <c r="DJ261" s="191">
        <f t="shared" si="166"/>
        <v>0</v>
      </c>
      <c r="DK261" s="286">
        <f t="shared" si="167"/>
        <v>1</v>
      </c>
    </row>
    <row r="262" spans="1:117" customFormat="1" ht="37.5" x14ac:dyDescent="0.35">
      <c r="A262" s="81">
        <v>259</v>
      </c>
      <c r="B262" s="102" t="s">
        <v>728</v>
      </c>
      <c r="C262" s="102" t="s">
        <v>118</v>
      </c>
      <c r="D262" s="102" t="s">
        <v>119</v>
      </c>
      <c r="E262" s="102" t="s">
        <v>155</v>
      </c>
      <c r="F262" s="102" t="s">
        <v>807</v>
      </c>
      <c r="G262" s="98" t="s">
        <v>711</v>
      </c>
      <c r="H262" s="98" t="s">
        <v>656</v>
      </c>
      <c r="I262" s="98" t="s">
        <v>413</v>
      </c>
      <c r="J262" s="98" t="s">
        <v>413</v>
      </c>
      <c r="K262" s="96" t="s">
        <v>754</v>
      </c>
      <c r="L262" s="96" t="s">
        <v>676</v>
      </c>
      <c r="M262" s="98"/>
      <c r="N262" s="98" t="s">
        <v>809</v>
      </c>
      <c r="O262" s="98" t="s">
        <v>659</v>
      </c>
      <c r="P262" s="241" t="s">
        <v>817</v>
      </c>
      <c r="Q262" s="98" t="s">
        <v>803</v>
      </c>
      <c r="R262" s="301">
        <v>100</v>
      </c>
      <c r="S262" s="99" t="s">
        <v>745</v>
      </c>
      <c r="T262" s="81"/>
      <c r="U262" s="81"/>
      <c r="V262" s="25" t="e">
        <f t="shared" si="143"/>
        <v>#DIV/0!</v>
      </c>
      <c r="W262" s="81"/>
      <c r="X262" s="81"/>
      <c r="Y262" s="25" t="e">
        <f t="shared" si="182"/>
        <v>#DIV/0!</v>
      </c>
      <c r="Z262" s="81"/>
      <c r="AA262" s="81"/>
      <c r="AB262" s="25" t="e">
        <f t="shared" si="183"/>
        <v>#DIV/0!</v>
      </c>
      <c r="AC262" s="81">
        <v>5</v>
      </c>
      <c r="AD262" s="81"/>
      <c r="AE262" s="25">
        <f t="shared" si="184"/>
        <v>0</v>
      </c>
      <c r="AF262" s="140">
        <f t="shared" si="168"/>
        <v>100</v>
      </c>
      <c r="AG262" s="140">
        <f t="shared" si="169"/>
        <v>0</v>
      </c>
      <c r="AH262" s="138">
        <f t="shared" si="125"/>
        <v>0</v>
      </c>
      <c r="AI262" s="113">
        <v>46054</v>
      </c>
      <c r="AJ262" s="113">
        <v>46387</v>
      </c>
      <c r="AK262" s="102" t="s">
        <v>676</v>
      </c>
      <c r="AL262" s="322"/>
      <c r="AM262" s="323"/>
      <c r="AN262" s="324"/>
      <c r="AO262" s="324"/>
      <c r="AP262" s="324"/>
      <c r="AQ262" s="326"/>
      <c r="AR262" s="102" t="s">
        <v>812</v>
      </c>
      <c r="AS262" s="102" t="s">
        <v>750</v>
      </c>
      <c r="AT262" s="151" t="s">
        <v>815</v>
      </c>
      <c r="AU262" s="102" t="s">
        <v>2264</v>
      </c>
      <c r="AV262" s="136" t="s">
        <v>2236</v>
      </c>
      <c r="AW262" s="136"/>
      <c r="AX262" s="136" t="s">
        <v>825</v>
      </c>
      <c r="AY262" s="136" t="s">
        <v>2307</v>
      </c>
      <c r="AZ262" s="271"/>
      <c r="BA262" s="183"/>
      <c r="BB262" s="184"/>
      <c r="BC262" s="209" t="e">
        <f t="shared" ref="BC262:BC281" si="185">+BB262/BA262</f>
        <v>#DIV/0!</v>
      </c>
      <c r="BD262" s="183"/>
      <c r="BE262" s="184"/>
      <c r="BF262" s="209" t="e">
        <f t="shared" ref="BF262:BF281" si="186">+BE262/BD262</f>
        <v>#DIV/0!</v>
      </c>
      <c r="BG262" s="183"/>
      <c r="BH262" s="184"/>
      <c r="BI262" s="209" t="e">
        <f t="shared" ref="BI262:BI281" si="187">+BH262/BG262</f>
        <v>#DIV/0!</v>
      </c>
      <c r="BJ262" s="210">
        <f t="shared" ref="BJ262:BJ281" si="188">+BA262+BD262+BG262</f>
        <v>0</v>
      </c>
      <c r="BK262" s="211">
        <f t="shared" ref="BK262:BK281" si="189">+BB262+BE262+BH262</f>
        <v>0</v>
      </c>
      <c r="BL262" s="209" t="e">
        <f t="shared" ref="BL262:BL281" si="190">+BK262/BJ262</f>
        <v>#DIV/0!</v>
      </c>
      <c r="BM262" s="183"/>
      <c r="BN262" s="184"/>
      <c r="BO262" s="185" t="e">
        <f t="shared" si="170"/>
        <v>#DIV/0!</v>
      </c>
      <c r="BP262" s="183"/>
      <c r="BQ262" s="184"/>
      <c r="BR262" s="185" t="e">
        <f t="shared" si="171"/>
        <v>#DIV/0!</v>
      </c>
      <c r="BS262" s="183"/>
      <c r="BT262" s="184"/>
      <c r="BU262" s="185" t="e">
        <f t="shared" si="172"/>
        <v>#DIV/0!</v>
      </c>
      <c r="BV262" s="210">
        <f t="shared" ref="BV262:BV281" si="191">+BM262+BP262+BS262</f>
        <v>0</v>
      </c>
      <c r="BW262" s="210">
        <f t="shared" ref="BW262:BW281" si="192">+BN262+BQ262+BT262</f>
        <v>0</v>
      </c>
      <c r="BX262" s="209" t="e">
        <f t="shared" ref="BX262:BX281" si="193">+BW262/BV262</f>
        <v>#DIV/0!</v>
      </c>
      <c r="BY262" s="209">
        <f t="shared" ref="BY262:BY281" si="194">+(BK262+BW262)/R262</f>
        <v>0</v>
      </c>
      <c r="BZ262" s="209">
        <f t="shared" ref="BZ262:BZ281" si="195">+$BZ$2-BY262</f>
        <v>0</v>
      </c>
      <c r="CA262" s="188"/>
      <c r="CB262" s="173"/>
      <c r="CC262" s="183"/>
      <c r="CD262" s="184"/>
      <c r="CE262" s="185" t="e">
        <f t="shared" si="173"/>
        <v>#DIV/0!</v>
      </c>
      <c r="CF262" s="183"/>
      <c r="CG262" s="184"/>
      <c r="CH262" s="185" t="e">
        <f t="shared" si="174"/>
        <v>#DIV/0!</v>
      </c>
      <c r="CI262" s="189"/>
      <c r="CJ262" s="190"/>
      <c r="CK262" s="185" t="e">
        <f t="shared" si="175"/>
        <v>#DIV/0!</v>
      </c>
      <c r="CL262" s="187">
        <f t="shared" si="176"/>
        <v>0</v>
      </c>
      <c r="CM262" s="186">
        <f t="shared" si="177"/>
        <v>0</v>
      </c>
      <c r="CN262" s="185" t="e">
        <f t="shared" si="178"/>
        <v>#DIV/0!</v>
      </c>
      <c r="CO262" s="173"/>
      <c r="CP262" s="188">
        <f t="shared" si="179"/>
        <v>0</v>
      </c>
      <c r="CQ262" s="188">
        <f t="shared" si="180"/>
        <v>0</v>
      </c>
      <c r="CR262" s="191" t="e">
        <f t="shared" si="181"/>
        <v>#DIV/0!</v>
      </c>
      <c r="CS262" s="279">
        <f t="shared" ref="CS262:CS281" si="196">+R262-CQ262</f>
        <v>100</v>
      </c>
      <c r="CT262" s="173"/>
      <c r="CU262" s="188">
        <f t="shared" ref="CU262:CU281" si="197">+CS262*$CU$3</f>
        <v>30</v>
      </c>
      <c r="CV262" s="277"/>
      <c r="CW262" s="191">
        <f t="shared" ref="CW262:CW281" si="198">+CV262/CU262</f>
        <v>0</v>
      </c>
      <c r="CX262" s="188">
        <f t="shared" ref="CX262:CX281" si="199">+CS262*$CX$3</f>
        <v>30</v>
      </c>
      <c r="CY262" s="277"/>
      <c r="CZ262" s="191">
        <f t="shared" ref="CZ262:CZ281" si="200">+CY262/CX262</f>
        <v>0</v>
      </c>
      <c r="DA262" s="188">
        <f t="shared" ref="DA262:DA281" si="201">+CS262*$DA$3</f>
        <v>30</v>
      </c>
      <c r="DB262" s="277"/>
      <c r="DC262" s="191">
        <f t="shared" ref="DC262:DC281" si="202">+DB262/DA262</f>
        <v>0</v>
      </c>
      <c r="DD262" s="188">
        <f t="shared" ref="DD262:DD281" si="203">+CS262*$DD$3</f>
        <v>10</v>
      </c>
      <c r="DE262" s="277"/>
      <c r="DF262" s="191">
        <f t="shared" ref="DF262:DF281" si="204">+DE262/DD262</f>
        <v>0</v>
      </c>
      <c r="DG262" s="173"/>
      <c r="DH262" s="188">
        <f t="shared" ref="DH262:DH281" si="205">R262</f>
        <v>100</v>
      </c>
      <c r="DI262" s="188">
        <f t="shared" ref="DI262:DI281" si="206">+CQ262+CV262+CY262+DB262+DE262</f>
        <v>0</v>
      </c>
      <c r="DJ262" s="191">
        <f t="shared" ref="DJ262:DJ281" si="207">+DI262/DH262</f>
        <v>0</v>
      </c>
      <c r="DK262" s="286">
        <f t="shared" ref="DK262:DK281" si="208">+DH262-DI262</f>
        <v>100</v>
      </c>
    </row>
    <row r="263" spans="1:117" customFormat="1" ht="37.5" x14ac:dyDescent="0.35">
      <c r="A263" s="81">
        <v>260</v>
      </c>
      <c r="B263" s="102" t="s">
        <v>728</v>
      </c>
      <c r="C263" s="102" t="s">
        <v>118</v>
      </c>
      <c r="D263" s="102" t="s">
        <v>119</v>
      </c>
      <c r="E263" s="102" t="s">
        <v>155</v>
      </c>
      <c r="F263" s="102" t="s">
        <v>807</v>
      </c>
      <c r="G263" s="98" t="s">
        <v>711</v>
      </c>
      <c r="H263" s="98" t="s">
        <v>656</v>
      </c>
      <c r="I263" s="98" t="s">
        <v>413</v>
      </c>
      <c r="J263" s="98" t="s">
        <v>413</v>
      </c>
      <c r="K263" s="96" t="s">
        <v>754</v>
      </c>
      <c r="L263" s="96" t="s">
        <v>676</v>
      </c>
      <c r="M263" s="98"/>
      <c r="N263" s="98" t="s">
        <v>809</v>
      </c>
      <c r="O263" s="98" t="s">
        <v>659</v>
      </c>
      <c r="P263" s="241" t="s">
        <v>818</v>
      </c>
      <c r="Q263" s="98" t="s">
        <v>803</v>
      </c>
      <c r="R263" s="301">
        <v>1</v>
      </c>
      <c r="S263" s="99" t="s">
        <v>111</v>
      </c>
      <c r="T263" s="81"/>
      <c r="U263" s="81"/>
      <c r="V263" s="25" t="e">
        <f t="shared" si="143"/>
        <v>#DIV/0!</v>
      </c>
      <c r="W263" s="81"/>
      <c r="X263" s="81"/>
      <c r="Y263" s="25" t="e">
        <f t="shared" si="182"/>
        <v>#DIV/0!</v>
      </c>
      <c r="Z263" s="81"/>
      <c r="AA263" s="81"/>
      <c r="AB263" s="25" t="e">
        <f t="shared" si="183"/>
        <v>#DIV/0!</v>
      </c>
      <c r="AC263" s="81">
        <v>35</v>
      </c>
      <c r="AD263" s="81"/>
      <c r="AE263" s="25">
        <f t="shared" si="184"/>
        <v>0</v>
      </c>
      <c r="AF263" s="140">
        <f t="shared" si="168"/>
        <v>1</v>
      </c>
      <c r="AG263" s="140">
        <f t="shared" si="169"/>
        <v>0</v>
      </c>
      <c r="AH263" s="138">
        <f t="shared" si="125"/>
        <v>0</v>
      </c>
      <c r="AI263" s="113">
        <v>46054</v>
      </c>
      <c r="AJ263" s="113">
        <v>46387</v>
      </c>
      <c r="AK263" s="102" t="s">
        <v>676</v>
      </c>
      <c r="AL263" s="322"/>
      <c r="AM263" s="323"/>
      <c r="AN263" s="324"/>
      <c r="AO263" s="324"/>
      <c r="AP263" s="324"/>
      <c r="AQ263" s="326"/>
      <c r="AR263" s="102" t="s">
        <v>812</v>
      </c>
      <c r="AS263" s="102" t="s">
        <v>750</v>
      </c>
      <c r="AT263" s="151" t="s">
        <v>815</v>
      </c>
      <c r="AU263" s="102" t="s">
        <v>2264</v>
      </c>
      <c r="AV263" s="136" t="s">
        <v>2236</v>
      </c>
      <c r="AW263" s="136"/>
      <c r="AX263" s="136" t="s">
        <v>825</v>
      </c>
      <c r="AY263" s="136" t="s">
        <v>2307</v>
      </c>
      <c r="AZ263" s="271"/>
      <c r="BA263" s="183"/>
      <c r="BB263" s="184"/>
      <c r="BC263" s="209" t="e">
        <f t="shared" si="185"/>
        <v>#DIV/0!</v>
      </c>
      <c r="BD263" s="183"/>
      <c r="BE263" s="184"/>
      <c r="BF263" s="209" t="e">
        <f t="shared" si="186"/>
        <v>#DIV/0!</v>
      </c>
      <c r="BG263" s="183"/>
      <c r="BH263" s="184"/>
      <c r="BI263" s="209" t="e">
        <f t="shared" si="187"/>
        <v>#DIV/0!</v>
      </c>
      <c r="BJ263" s="210">
        <f t="shared" si="188"/>
        <v>0</v>
      </c>
      <c r="BK263" s="211">
        <f t="shared" si="189"/>
        <v>0</v>
      </c>
      <c r="BL263" s="209" t="e">
        <f t="shared" si="190"/>
        <v>#DIV/0!</v>
      </c>
      <c r="BM263" s="183"/>
      <c r="BN263" s="184"/>
      <c r="BO263" s="185" t="e">
        <f t="shared" si="170"/>
        <v>#DIV/0!</v>
      </c>
      <c r="BP263" s="183"/>
      <c r="BQ263" s="184"/>
      <c r="BR263" s="185" t="e">
        <f t="shared" si="171"/>
        <v>#DIV/0!</v>
      </c>
      <c r="BS263" s="183"/>
      <c r="BT263" s="184"/>
      <c r="BU263" s="185" t="e">
        <f t="shared" si="172"/>
        <v>#DIV/0!</v>
      </c>
      <c r="BV263" s="210">
        <f t="shared" si="191"/>
        <v>0</v>
      </c>
      <c r="BW263" s="210">
        <f t="shared" si="192"/>
        <v>0</v>
      </c>
      <c r="BX263" s="209" t="e">
        <f t="shared" si="193"/>
        <v>#DIV/0!</v>
      </c>
      <c r="BY263" s="209">
        <f t="shared" si="194"/>
        <v>0</v>
      </c>
      <c r="BZ263" s="209">
        <f t="shared" si="195"/>
        <v>0</v>
      </c>
      <c r="CA263" s="188"/>
      <c r="CB263" s="173"/>
      <c r="CC263" s="183"/>
      <c r="CD263" s="184"/>
      <c r="CE263" s="185" t="e">
        <f t="shared" si="173"/>
        <v>#DIV/0!</v>
      </c>
      <c r="CF263" s="183"/>
      <c r="CG263" s="184"/>
      <c r="CH263" s="185" t="e">
        <f t="shared" si="174"/>
        <v>#DIV/0!</v>
      </c>
      <c r="CI263" s="189"/>
      <c r="CJ263" s="190"/>
      <c r="CK263" s="185" t="e">
        <f t="shared" si="175"/>
        <v>#DIV/0!</v>
      </c>
      <c r="CL263" s="187">
        <f t="shared" si="176"/>
        <v>0</v>
      </c>
      <c r="CM263" s="186">
        <f t="shared" si="177"/>
        <v>0</v>
      </c>
      <c r="CN263" s="185" t="e">
        <f t="shared" si="178"/>
        <v>#DIV/0!</v>
      </c>
      <c r="CO263" s="173"/>
      <c r="CP263" s="188">
        <f t="shared" si="179"/>
        <v>0</v>
      </c>
      <c r="CQ263" s="188">
        <f t="shared" si="180"/>
        <v>0</v>
      </c>
      <c r="CR263" s="191" t="e">
        <f t="shared" si="181"/>
        <v>#DIV/0!</v>
      </c>
      <c r="CS263" s="279">
        <f t="shared" si="196"/>
        <v>1</v>
      </c>
      <c r="CT263" s="173"/>
      <c r="CU263" s="188">
        <f t="shared" si="197"/>
        <v>0.3</v>
      </c>
      <c r="CV263" s="277"/>
      <c r="CW263" s="191">
        <f t="shared" si="198"/>
        <v>0</v>
      </c>
      <c r="CX263" s="188">
        <f t="shared" si="199"/>
        <v>0.3</v>
      </c>
      <c r="CY263" s="277"/>
      <c r="CZ263" s="191">
        <f t="shared" si="200"/>
        <v>0</v>
      </c>
      <c r="DA263" s="188">
        <f t="shared" si="201"/>
        <v>0.3</v>
      </c>
      <c r="DB263" s="277"/>
      <c r="DC263" s="191">
        <f t="shared" si="202"/>
        <v>0</v>
      </c>
      <c r="DD263" s="188">
        <f t="shared" si="203"/>
        <v>0.1</v>
      </c>
      <c r="DE263" s="277"/>
      <c r="DF263" s="191">
        <f t="shared" si="204"/>
        <v>0</v>
      </c>
      <c r="DG263" s="173"/>
      <c r="DH263" s="188">
        <f t="shared" si="205"/>
        <v>1</v>
      </c>
      <c r="DI263" s="188">
        <f t="shared" si="206"/>
        <v>0</v>
      </c>
      <c r="DJ263" s="191">
        <f t="shared" si="207"/>
        <v>0</v>
      </c>
      <c r="DK263" s="286">
        <f t="shared" si="208"/>
        <v>1</v>
      </c>
    </row>
    <row r="264" spans="1:117" customFormat="1" ht="50" x14ac:dyDescent="0.35">
      <c r="A264" s="81">
        <v>261</v>
      </c>
      <c r="B264" s="102" t="s">
        <v>728</v>
      </c>
      <c r="C264" s="102" t="s">
        <v>118</v>
      </c>
      <c r="D264" s="102" t="s">
        <v>119</v>
      </c>
      <c r="E264" s="102" t="s">
        <v>155</v>
      </c>
      <c r="F264" s="102" t="s">
        <v>807</v>
      </c>
      <c r="G264" s="98" t="s">
        <v>599</v>
      </c>
      <c r="H264" s="98" t="s">
        <v>656</v>
      </c>
      <c r="I264" s="98" t="s">
        <v>413</v>
      </c>
      <c r="J264" s="98" t="s">
        <v>413</v>
      </c>
      <c r="K264" s="96" t="s">
        <v>754</v>
      </c>
      <c r="L264" s="96" t="s">
        <v>676</v>
      </c>
      <c r="M264" s="98"/>
      <c r="N264" s="98" t="s">
        <v>809</v>
      </c>
      <c r="O264" s="98" t="s">
        <v>659</v>
      </c>
      <c r="P264" s="241" t="s">
        <v>819</v>
      </c>
      <c r="Q264" s="98" t="s">
        <v>803</v>
      </c>
      <c r="R264" s="301">
        <v>100</v>
      </c>
      <c r="S264" s="99" t="s">
        <v>745</v>
      </c>
      <c r="T264" s="81">
        <v>1</v>
      </c>
      <c r="U264" s="81"/>
      <c r="V264" s="25">
        <f t="shared" si="143"/>
        <v>0</v>
      </c>
      <c r="W264" s="81"/>
      <c r="X264" s="81"/>
      <c r="Y264" s="25" t="e">
        <f t="shared" si="182"/>
        <v>#DIV/0!</v>
      </c>
      <c r="Z264" s="81"/>
      <c r="AA264" s="81"/>
      <c r="AB264" s="25" t="e">
        <f t="shared" si="183"/>
        <v>#DIV/0!</v>
      </c>
      <c r="AC264" s="81"/>
      <c r="AD264" s="81"/>
      <c r="AE264" s="25" t="e">
        <f t="shared" si="184"/>
        <v>#DIV/0!</v>
      </c>
      <c r="AF264" s="140">
        <f t="shared" si="168"/>
        <v>100</v>
      </c>
      <c r="AG264" s="140">
        <f t="shared" si="169"/>
        <v>0</v>
      </c>
      <c r="AH264" s="138">
        <f t="shared" si="125"/>
        <v>0</v>
      </c>
      <c r="AI264" s="113">
        <v>46053</v>
      </c>
      <c r="AJ264" s="113">
        <v>46387</v>
      </c>
      <c r="AK264" s="102" t="s">
        <v>676</v>
      </c>
      <c r="AL264" s="322"/>
      <c r="AM264" s="323"/>
      <c r="AN264" s="324"/>
      <c r="AO264" s="324"/>
      <c r="AP264" s="324"/>
      <c r="AQ264" s="326"/>
      <c r="AR264" s="102" t="s">
        <v>812</v>
      </c>
      <c r="AS264" s="102" t="s">
        <v>750</v>
      </c>
      <c r="AT264" s="151" t="s">
        <v>815</v>
      </c>
      <c r="AU264" s="102" t="s">
        <v>2264</v>
      </c>
      <c r="AV264" s="136" t="s">
        <v>2236</v>
      </c>
      <c r="AW264" s="136"/>
      <c r="AX264" s="136" t="s">
        <v>825</v>
      </c>
      <c r="AY264" s="136" t="s">
        <v>2307</v>
      </c>
      <c r="AZ264" s="271"/>
      <c r="BA264" s="183"/>
      <c r="BB264" s="184"/>
      <c r="BC264" s="209" t="e">
        <f t="shared" si="185"/>
        <v>#DIV/0!</v>
      </c>
      <c r="BD264" s="183"/>
      <c r="BE264" s="184"/>
      <c r="BF264" s="209" t="e">
        <f t="shared" si="186"/>
        <v>#DIV/0!</v>
      </c>
      <c r="BG264" s="183"/>
      <c r="BH264" s="184"/>
      <c r="BI264" s="209" t="e">
        <f t="shared" si="187"/>
        <v>#DIV/0!</v>
      </c>
      <c r="BJ264" s="210">
        <f t="shared" si="188"/>
        <v>0</v>
      </c>
      <c r="BK264" s="211">
        <f t="shared" si="189"/>
        <v>0</v>
      </c>
      <c r="BL264" s="209" t="e">
        <f t="shared" si="190"/>
        <v>#DIV/0!</v>
      </c>
      <c r="BM264" s="183"/>
      <c r="BN264" s="184"/>
      <c r="BO264" s="185" t="e">
        <f t="shared" si="170"/>
        <v>#DIV/0!</v>
      </c>
      <c r="BP264" s="183"/>
      <c r="BQ264" s="184"/>
      <c r="BR264" s="185" t="e">
        <f t="shared" si="171"/>
        <v>#DIV/0!</v>
      </c>
      <c r="BS264" s="183"/>
      <c r="BT264" s="184"/>
      <c r="BU264" s="185" t="e">
        <f t="shared" si="172"/>
        <v>#DIV/0!</v>
      </c>
      <c r="BV264" s="210">
        <f t="shared" si="191"/>
        <v>0</v>
      </c>
      <c r="BW264" s="210">
        <f t="shared" si="192"/>
        <v>0</v>
      </c>
      <c r="BX264" s="209" t="e">
        <f t="shared" si="193"/>
        <v>#DIV/0!</v>
      </c>
      <c r="BY264" s="209">
        <f t="shared" si="194"/>
        <v>0</v>
      </c>
      <c r="BZ264" s="209">
        <f t="shared" si="195"/>
        <v>0</v>
      </c>
      <c r="CA264" s="188"/>
      <c r="CB264" s="173"/>
      <c r="CC264" s="183"/>
      <c r="CD264" s="184"/>
      <c r="CE264" s="185" t="e">
        <f t="shared" si="173"/>
        <v>#DIV/0!</v>
      </c>
      <c r="CF264" s="183"/>
      <c r="CG264" s="184"/>
      <c r="CH264" s="185" t="e">
        <f t="shared" si="174"/>
        <v>#DIV/0!</v>
      </c>
      <c r="CI264" s="189"/>
      <c r="CJ264" s="190"/>
      <c r="CK264" s="185" t="e">
        <f t="shared" si="175"/>
        <v>#DIV/0!</v>
      </c>
      <c r="CL264" s="187">
        <f t="shared" si="176"/>
        <v>0</v>
      </c>
      <c r="CM264" s="186">
        <f t="shared" si="177"/>
        <v>0</v>
      </c>
      <c r="CN264" s="185" t="e">
        <f t="shared" si="178"/>
        <v>#DIV/0!</v>
      </c>
      <c r="CO264" s="173"/>
      <c r="CP264" s="188">
        <f t="shared" si="179"/>
        <v>0</v>
      </c>
      <c r="CQ264" s="188">
        <f t="shared" si="180"/>
        <v>0</v>
      </c>
      <c r="CR264" s="191" t="e">
        <f t="shared" si="181"/>
        <v>#DIV/0!</v>
      </c>
      <c r="CS264" s="279">
        <f t="shared" si="196"/>
        <v>100</v>
      </c>
      <c r="CT264" s="173"/>
      <c r="CU264" s="188">
        <f t="shared" si="197"/>
        <v>30</v>
      </c>
      <c r="CV264" s="277"/>
      <c r="CW264" s="191">
        <f t="shared" si="198"/>
        <v>0</v>
      </c>
      <c r="CX264" s="188">
        <f t="shared" si="199"/>
        <v>30</v>
      </c>
      <c r="CY264" s="277"/>
      <c r="CZ264" s="191">
        <f t="shared" si="200"/>
        <v>0</v>
      </c>
      <c r="DA264" s="188">
        <f t="shared" si="201"/>
        <v>30</v>
      </c>
      <c r="DB264" s="277"/>
      <c r="DC264" s="191">
        <f t="shared" si="202"/>
        <v>0</v>
      </c>
      <c r="DD264" s="188">
        <f t="shared" si="203"/>
        <v>10</v>
      </c>
      <c r="DE264" s="277"/>
      <c r="DF264" s="191">
        <f t="shared" si="204"/>
        <v>0</v>
      </c>
      <c r="DG264" s="173"/>
      <c r="DH264" s="188">
        <f t="shared" si="205"/>
        <v>100</v>
      </c>
      <c r="DI264" s="188">
        <f t="shared" si="206"/>
        <v>0</v>
      </c>
      <c r="DJ264" s="191">
        <f t="shared" si="207"/>
        <v>0</v>
      </c>
      <c r="DK264" s="286">
        <f t="shared" si="208"/>
        <v>100</v>
      </c>
    </row>
    <row r="265" spans="1:117" customFormat="1" ht="50" x14ac:dyDescent="0.35">
      <c r="A265" s="81">
        <v>262</v>
      </c>
      <c r="B265" s="102" t="s">
        <v>728</v>
      </c>
      <c r="C265" s="102" t="s">
        <v>118</v>
      </c>
      <c r="D265" s="102" t="s">
        <v>119</v>
      </c>
      <c r="E265" s="102" t="s">
        <v>155</v>
      </c>
      <c r="F265" s="102" t="s">
        <v>807</v>
      </c>
      <c r="G265" s="98" t="s">
        <v>711</v>
      </c>
      <c r="H265" s="98" t="s">
        <v>656</v>
      </c>
      <c r="I265" s="98" t="s">
        <v>413</v>
      </c>
      <c r="J265" s="98" t="s">
        <v>413</v>
      </c>
      <c r="K265" s="96" t="s">
        <v>754</v>
      </c>
      <c r="L265" s="96" t="s">
        <v>676</v>
      </c>
      <c r="M265" s="98"/>
      <c r="N265" s="98" t="s">
        <v>809</v>
      </c>
      <c r="O265" s="98" t="s">
        <v>659</v>
      </c>
      <c r="P265" s="241" t="s">
        <v>820</v>
      </c>
      <c r="Q265" s="98" t="s">
        <v>803</v>
      </c>
      <c r="R265" s="301">
        <v>4</v>
      </c>
      <c r="S265" s="99" t="s">
        <v>111</v>
      </c>
      <c r="T265" s="81">
        <v>1</v>
      </c>
      <c r="U265" s="81"/>
      <c r="V265" s="25">
        <f t="shared" si="143"/>
        <v>0</v>
      </c>
      <c r="W265" s="81"/>
      <c r="X265" s="81"/>
      <c r="Y265" s="25" t="e">
        <f t="shared" si="182"/>
        <v>#DIV/0!</v>
      </c>
      <c r="Z265" s="81"/>
      <c r="AA265" s="81"/>
      <c r="AB265" s="25" t="e">
        <f t="shared" si="183"/>
        <v>#DIV/0!</v>
      </c>
      <c r="AC265" s="81"/>
      <c r="AD265" s="81"/>
      <c r="AE265" s="25" t="e">
        <f t="shared" si="184"/>
        <v>#DIV/0!</v>
      </c>
      <c r="AF265" s="140">
        <f t="shared" si="168"/>
        <v>4</v>
      </c>
      <c r="AG265" s="140">
        <f t="shared" si="169"/>
        <v>0</v>
      </c>
      <c r="AH265" s="138">
        <f t="shared" si="125"/>
        <v>0</v>
      </c>
      <c r="AI265" s="113">
        <v>46053</v>
      </c>
      <c r="AJ265" s="113">
        <v>46387</v>
      </c>
      <c r="AK265" s="102" t="s">
        <v>676</v>
      </c>
      <c r="AL265" s="322"/>
      <c r="AM265" s="323"/>
      <c r="AN265" s="324"/>
      <c r="AO265" s="324"/>
      <c r="AP265" s="324"/>
      <c r="AQ265" s="326"/>
      <c r="AR265" s="102" t="s">
        <v>812</v>
      </c>
      <c r="AS265" s="102" t="s">
        <v>750</v>
      </c>
      <c r="AT265" s="151" t="s">
        <v>815</v>
      </c>
      <c r="AU265" s="102" t="s">
        <v>2264</v>
      </c>
      <c r="AV265" s="136" t="s">
        <v>2236</v>
      </c>
      <c r="AW265" s="136"/>
      <c r="AX265" s="136" t="s">
        <v>825</v>
      </c>
      <c r="AY265" s="136" t="s">
        <v>2307</v>
      </c>
      <c r="AZ265" s="271"/>
      <c r="BA265" s="183"/>
      <c r="BB265" s="184"/>
      <c r="BC265" s="209" t="e">
        <f t="shared" si="185"/>
        <v>#DIV/0!</v>
      </c>
      <c r="BD265" s="183"/>
      <c r="BE265" s="184"/>
      <c r="BF265" s="209" t="e">
        <f t="shared" si="186"/>
        <v>#DIV/0!</v>
      </c>
      <c r="BG265" s="183"/>
      <c r="BH265" s="184"/>
      <c r="BI265" s="209" t="e">
        <f t="shared" si="187"/>
        <v>#DIV/0!</v>
      </c>
      <c r="BJ265" s="210">
        <f t="shared" si="188"/>
        <v>0</v>
      </c>
      <c r="BK265" s="211">
        <f t="shared" si="189"/>
        <v>0</v>
      </c>
      <c r="BL265" s="209" t="e">
        <f t="shared" si="190"/>
        <v>#DIV/0!</v>
      </c>
      <c r="BM265" s="183"/>
      <c r="BN265" s="184"/>
      <c r="BO265" s="185" t="e">
        <f t="shared" si="170"/>
        <v>#DIV/0!</v>
      </c>
      <c r="BP265" s="183"/>
      <c r="BQ265" s="184"/>
      <c r="BR265" s="185" t="e">
        <f t="shared" si="171"/>
        <v>#DIV/0!</v>
      </c>
      <c r="BS265" s="183"/>
      <c r="BT265" s="184"/>
      <c r="BU265" s="185" t="e">
        <f t="shared" si="172"/>
        <v>#DIV/0!</v>
      </c>
      <c r="BV265" s="210">
        <f t="shared" si="191"/>
        <v>0</v>
      </c>
      <c r="BW265" s="210">
        <f t="shared" si="192"/>
        <v>0</v>
      </c>
      <c r="BX265" s="209" t="e">
        <f t="shared" si="193"/>
        <v>#DIV/0!</v>
      </c>
      <c r="BY265" s="209">
        <f t="shared" si="194"/>
        <v>0</v>
      </c>
      <c r="BZ265" s="209">
        <f t="shared" si="195"/>
        <v>0</v>
      </c>
      <c r="CA265" s="188"/>
      <c r="CB265" s="173"/>
      <c r="CC265" s="183"/>
      <c r="CD265" s="184"/>
      <c r="CE265" s="185" t="e">
        <f t="shared" si="173"/>
        <v>#DIV/0!</v>
      </c>
      <c r="CF265" s="183"/>
      <c r="CG265" s="184"/>
      <c r="CH265" s="185" t="e">
        <f t="shared" si="174"/>
        <v>#DIV/0!</v>
      </c>
      <c r="CI265" s="189"/>
      <c r="CJ265" s="190"/>
      <c r="CK265" s="185" t="e">
        <f t="shared" si="175"/>
        <v>#DIV/0!</v>
      </c>
      <c r="CL265" s="187">
        <f t="shared" si="176"/>
        <v>0</v>
      </c>
      <c r="CM265" s="186">
        <f t="shared" si="177"/>
        <v>0</v>
      </c>
      <c r="CN265" s="185" t="e">
        <f t="shared" si="178"/>
        <v>#DIV/0!</v>
      </c>
      <c r="CO265" s="173"/>
      <c r="CP265" s="188">
        <f t="shared" si="179"/>
        <v>0</v>
      </c>
      <c r="CQ265" s="188">
        <f t="shared" si="180"/>
        <v>0</v>
      </c>
      <c r="CR265" s="191" t="e">
        <f t="shared" si="181"/>
        <v>#DIV/0!</v>
      </c>
      <c r="CS265" s="279">
        <f t="shared" si="196"/>
        <v>4</v>
      </c>
      <c r="CT265" s="173"/>
      <c r="CU265" s="188">
        <f t="shared" si="197"/>
        <v>1.2</v>
      </c>
      <c r="CV265" s="277"/>
      <c r="CW265" s="191">
        <f t="shared" si="198"/>
        <v>0</v>
      </c>
      <c r="CX265" s="188">
        <f t="shared" si="199"/>
        <v>1.2</v>
      </c>
      <c r="CY265" s="277"/>
      <c r="CZ265" s="191">
        <f t="shared" si="200"/>
        <v>0</v>
      </c>
      <c r="DA265" s="188">
        <f t="shared" si="201"/>
        <v>1.2</v>
      </c>
      <c r="DB265" s="277"/>
      <c r="DC265" s="191">
        <f t="shared" si="202"/>
        <v>0</v>
      </c>
      <c r="DD265" s="188">
        <f t="shared" si="203"/>
        <v>0.4</v>
      </c>
      <c r="DE265" s="277"/>
      <c r="DF265" s="191">
        <f t="shared" si="204"/>
        <v>0</v>
      </c>
      <c r="DG265" s="173"/>
      <c r="DH265" s="188">
        <f t="shared" si="205"/>
        <v>4</v>
      </c>
      <c r="DI265" s="188">
        <f t="shared" si="206"/>
        <v>0</v>
      </c>
      <c r="DJ265" s="191">
        <f t="shared" si="207"/>
        <v>0</v>
      </c>
      <c r="DK265" s="286">
        <f t="shared" si="208"/>
        <v>4</v>
      </c>
    </row>
    <row r="266" spans="1:117" customFormat="1" ht="50" x14ac:dyDescent="0.35">
      <c r="A266" s="81">
        <v>263</v>
      </c>
      <c r="B266" s="102" t="s">
        <v>728</v>
      </c>
      <c r="C266" s="102" t="s">
        <v>118</v>
      </c>
      <c r="D266" s="102" t="s">
        <v>119</v>
      </c>
      <c r="E266" s="102" t="s">
        <v>155</v>
      </c>
      <c r="F266" s="102" t="s">
        <v>807</v>
      </c>
      <c r="G266" s="98" t="s">
        <v>711</v>
      </c>
      <c r="H266" s="98" t="s">
        <v>656</v>
      </c>
      <c r="I266" s="98" t="s">
        <v>413</v>
      </c>
      <c r="J266" s="98" t="s">
        <v>413</v>
      </c>
      <c r="K266" s="96" t="s">
        <v>754</v>
      </c>
      <c r="L266" s="96" t="s">
        <v>676</v>
      </c>
      <c r="M266" s="98"/>
      <c r="N266" s="98" t="s">
        <v>809</v>
      </c>
      <c r="O266" s="98" t="s">
        <v>659</v>
      </c>
      <c r="P266" s="241" t="s">
        <v>821</v>
      </c>
      <c r="Q266" s="98" t="s">
        <v>803</v>
      </c>
      <c r="R266" s="301">
        <v>5</v>
      </c>
      <c r="S266" s="99" t="s">
        <v>111</v>
      </c>
      <c r="T266" s="81">
        <v>25</v>
      </c>
      <c r="U266" s="81"/>
      <c r="V266" s="25">
        <f t="shared" si="143"/>
        <v>0</v>
      </c>
      <c r="W266" s="81">
        <v>25</v>
      </c>
      <c r="X266" s="81"/>
      <c r="Y266" s="25">
        <f t="shared" si="182"/>
        <v>0</v>
      </c>
      <c r="Z266" s="81">
        <v>25</v>
      </c>
      <c r="AA266" s="81"/>
      <c r="AB266" s="25">
        <f t="shared" si="183"/>
        <v>0</v>
      </c>
      <c r="AC266" s="81">
        <v>25</v>
      </c>
      <c r="AD266" s="81"/>
      <c r="AE266" s="25">
        <f t="shared" si="184"/>
        <v>0</v>
      </c>
      <c r="AF266" s="140">
        <f t="shared" si="168"/>
        <v>5</v>
      </c>
      <c r="AG266" s="140">
        <f t="shared" si="169"/>
        <v>0</v>
      </c>
      <c r="AH266" s="138">
        <f t="shared" si="125"/>
        <v>0</v>
      </c>
      <c r="AI266" s="113">
        <v>46054</v>
      </c>
      <c r="AJ266" s="113">
        <v>46387</v>
      </c>
      <c r="AK266" s="102" t="s">
        <v>676</v>
      </c>
      <c r="AL266" s="322"/>
      <c r="AM266" s="323"/>
      <c r="AN266" s="324"/>
      <c r="AO266" s="324"/>
      <c r="AP266" s="324"/>
      <c r="AQ266" s="326"/>
      <c r="AR266" s="102" t="s">
        <v>812</v>
      </c>
      <c r="AS266" s="102" t="s">
        <v>750</v>
      </c>
      <c r="AT266" s="151" t="s">
        <v>815</v>
      </c>
      <c r="AU266" s="102" t="s">
        <v>2264</v>
      </c>
      <c r="AV266" s="136" t="s">
        <v>2236</v>
      </c>
      <c r="AW266" s="136"/>
      <c r="AX266" s="136" t="s">
        <v>825</v>
      </c>
      <c r="AY266" s="136" t="s">
        <v>2307</v>
      </c>
      <c r="AZ266" s="271"/>
      <c r="BA266" s="183"/>
      <c r="BB266" s="184"/>
      <c r="BC266" s="209" t="e">
        <f t="shared" si="185"/>
        <v>#DIV/0!</v>
      </c>
      <c r="BD266" s="183"/>
      <c r="BE266" s="184"/>
      <c r="BF266" s="209" t="e">
        <f t="shared" si="186"/>
        <v>#DIV/0!</v>
      </c>
      <c r="BG266" s="183"/>
      <c r="BH266" s="184"/>
      <c r="BI266" s="209" t="e">
        <f t="shared" si="187"/>
        <v>#DIV/0!</v>
      </c>
      <c r="BJ266" s="210">
        <f t="shared" si="188"/>
        <v>0</v>
      </c>
      <c r="BK266" s="211">
        <f t="shared" si="189"/>
        <v>0</v>
      </c>
      <c r="BL266" s="209" t="e">
        <f t="shared" si="190"/>
        <v>#DIV/0!</v>
      </c>
      <c r="BM266" s="183"/>
      <c r="BN266" s="184"/>
      <c r="BO266" s="185" t="e">
        <f t="shared" si="170"/>
        <v>#DIV/0!</v>
      </c>
      <c r="BP266" s="183"/>
      <c r="BQ266" s="184"/>
      <c r="BR266" s="185" t="e">
        <f t="shared" si="171"/>
        <v>#DIV/0!</v>
      </c>
      <c r="BS266" s="183"/>
      <c r="BT266" s="184"/>
      <c r="BU266" s="185" t="e">
        <f t="shared" si="172"/>
        <v>#DIV/0!</v>
      </c>
      <c r="BV266" s="210">
        <f t="shared" si="191"/>
        <v>0</v>
      </c>
      <c r="BW266" s="210">
        <f t="shared" si="192"/>
        <v>0</v>
      </c>
      <c r="BX266" s="209" t="e">
        <f t="shared" si="193"/>
        <v>#DIV/0!</v>
      </c>
      <c r="BY266" s="209">
        <f t="shared" si="194"/>
        <v>0</v>
      </c>
      <c r="BZ266" s="209">
        <f t="shared" si="195"/>
        <v>0</v>
      </c>
      <c r="CA266" s="188"/>
      <c r="CB266" s="173"/>
      <c r="CC266" s="183"/>
      <c r="CD266" s="184"/>
      <c r="CE266" s="185" t="e">
        <f t="shared" si="173"/>
        <v>#DIV/0!</v>
      </c>
      <c r="CF266" s="183"/>
      <c r="CG266" s="184"/>
      <c r="CH266" s="185" t="e">
        <f t="shared" si="174"/>
        <v>#DIV/0!</v>
      </c>
      <c r="CI266" s="189"/>
      <c r="CJ266" s="190"/>
      <c r="CK266" s="185" t="e">
        <f t="shared" si="175"/>
        <v>#DIV/0!</v>
      </c>
      <c r="CL266" s="187">
        <f t="shared" si="176"/>
        <v>0</v>
      </c>
      <c r="CM266" s="186">
        <f t="shared" si="177"/>
        <v>0</v>
      </c>
      <c r="CN266" s="185" t="e">
        <f t="shared" si="178"/>
        <v>#DIV/0!</v>
      </c>
      <c r="CO266" s="173"/>
      <c r="CP266" s="188">
        <f t="shared" si="179"/>
        <v>0</v>
      </c>
      <c r="CQ266" s="188">
        <f t="shared" si="180"/>
        <v>0</v>
      </c>
      <c r="CR266" s="191" t="e">
        <f t="shared" si="181"/>
        <v>#DIV/0!</v>
      </c>
      <c r="CS266" s="279">
        <f t="shared" si="196"/>
        <v>5</v>
      </c>
      <c r="CT266" s="173"/>
      <c r="CU266" s="188">
        <f t="shared" si="197"/>
        <v>1.5</v>
      </c>
      <c r="CV266" s="277"/>
      <c r="CW266" s="191">
        <f t="shared" si="198"/>
        <v>0</v>
      </c>
      <c r="CX266" s="188">
        <f t="shared" si="199"/>
        <v>1.5</v>
      </c>
      <c r="CY266" s="277"/>
      <c r="CZ266" s="191">
        <f t="shared" si="200"/>
        <v>0</v>
      </c>
      <c r="DA266" s="188">
        <f t="shared" si="201"/>
        <v>1.5</v>
      </c>
      <c r="DB266" s="277"/>
      <c r="DC266" s="191">
        <f t="shared" si="202"/>
        <v>0</v>
      </c>
      <c r="DD266" s="188">
        <f t="shared" si="203"/>
        <v>0.5</v>
      </c>
      <c r="DE266" s="277"/>
      <c r="DF266" s="191">
        <f t="shared" si="204"/>
        <v>0</v>
      </c>
      <c r="DG266" s="173"/>
      <c r="DH266" s="188">
        <f t="shared" si="205"/>
        <v>5</v>
      </c>
      <c r="DI266" s="188">
        <f t="shared" si="206"/>
        <v>0</v>
      </c>
      <c r="DJ266" s="191">
        <f t="shared" si="207"/>
        <v>0</v>
      </c>
      <c r="DK266" s="286">
        <f t="shared" si="208"/>
        <v>5</v>
      </c>
    </row>
    <row r="267" spans="1:117" customFormat="1" ht="37.5" x14ac:dyDescent="0.35">
      <c r="A267" s="81">
        <v>264</v>
      </c>
      <c r="B267" s="102" t="s">
        <v>728</v>
      </c>
      <c r="C267" s="102" t="s">
        <v>118</v>
      </c>
      <c r="D267" s="102" t="s">
        <v>119</v>
      </c>
      <c r="E267" s="102" t="s">
        <v>155</v>
      </c>
      <c r="F267" s="102" t="s">
        <v>807</v>
      </c>
      <c r="G267" s="98" t="s">
        <v>711</v>
      </c>
      <c r="H267" s="98" t="s">
        <v>656</v>
      </c>
      <c r="I267" s="98" t="s">
        <v>413</v>
      </c>
      <c r="J267" s="98" t="s">
        <v>413</v>
      </c>
      <c r="K267" s="96" t="s">
        <v>754</v>
      </c>
      <c r="L267" s="96" t="s">
        <v>676</v>
      </c>
      <c r="M267" s="98"/>
      <c r="N267" s="98" t="s">
        <v>809</v>
      </c>
      <c r="O267" s="98" t="s">
        <v>659</v>
      </c>
      <c r="P267" s="241" t="s">
        <v>822</v>
      </c>
      <c r="Q267" s="98" t="s">
        <v>803</v>
      </c>
      <c r="R267" s="301">
        <v>100</v>
      </c>
      <c r="S267" s="99" t="s">
        <v>745</v>
      </c>
      <c r="T267" s="81"/>
      <c r="U267" s="81"/>
      <c r="V267" s="25" t="e">
        <f t="shared" si="143"/>
        <v>#DIV/0!</v>
      </c>
      <c r="W267" s="81"/>
      <c r="X267" s="81"/>
      <c r="Y267" s="25" t="e">
        <f t="shared" si="182"/>
        <v>#DIV/0!</v>
      </c>
      <c r="Z267" s="81"/>
      <c r="AA267" s="81"/>
      <c r="AB267" s="25" t="e">
        <f t="shared" si="183"/>
        <v>#DIV/0!</v>
      </c>
      <c r="AC267" s="81">
        <v>1</v>
      </c>
      <c r="AD267" s="81"/>
      <c r="AE267" s="25">
        <f t="shared" si="184"/>
        <v>0</v>
      </c>
      <c r="AF267" s="140">
        <f t="shared" si="168"/>
        <v>100</v>
      </c>
      <c r="AG267" s="140">
        <f t="shared" si="169"/>
        <v>0</v>
      </c>
      <c r="AH267" s="138">
        <f t="shared" si="125"/>
        <v>0</v>
      </c>
      <c r="AI267" s="113">
        <v>46054</v>
      </c>
      <c r="AJ267" s="113">
        <v>46387</v>
      </c>
      <c r="AK267" s="102" t="s">
        <v>676</v>
      </c>
      <c r="AL267" s="322"/>
      <c r="AM267" s="323"/>
      <c r="AN267" s="324"/>
      <c r="AO267" s="324"/>
      <c r="AP267" s="324"/>
      <c r="AQ267" s="326"/>
      <c r="AR267" s="102" t="s">
        <v>812</v>
      </c>
      <c r="AS267" s="102" t="s">
        <v>750</v>
      </c>
      <c r="AT267" s="151" t="s">
        <v>823</v>
      </c>
      <c r="AU267" s="102" t="s">
        <v>2264</v>
      </c>
      <c r="AV267" s="136" t="s">
        <v>2235</v>
      </c>
      <c r="AW267" s="136" t="s">
        <v>823</v>
      </c>
      <c r="AX267" s="136"/>
      <c r="AY267" s="136"/>
      <c r="AZ267" s="271"/>
      <c r="BA267" s="183"/>
      <c r="BB267" s="184"/>
      <c r="BC267" s="209" t="e">
        <f t="shared" si="185"/>
        <v>#DIV/0!</v>
      </c>
      <c r="BD267" s="183"/>
      <c r="BE267" s="184"/>
      <c r="BF267" s="209" t="e">
        <f t="shared" si="186"/>
        <v>#DIV/0!</v>
      </c>
      <c r="BG267" s="183"/>
      <c r="BH267" s="184"/>
      <c r="BI267" s="209" t="e">
        <f t="shared" si="187"/>
        <v>#DIV/0!</v>
      </c>
      <c r="BJ267" s="210">
        <f t="shared" si="188"/>
        <v>0</v>
      </c>
      <c r="BK267" s="211">
        <f t="shared" si="189"/>
        <v>0</v>
      </c>
      <c r="BL267" s="209" t="e">
        <f t="shared" si="190"/>
        <v>#DIV/0!</v>
      </c>
      <c r="BM267" s="183"/>
      <c r="BN267" s="184"/>
      <c r="BO267" s="185" t="e">
        <f t="shared" si="170"/>
        <v>#DIV/0!</v>
      </c>
      <c r="BP267" s="183"/>
      <c r="BQ267" s="184"/>
      <c r="BR267" s="185" t="e">
        <f t="shared" si="171"/>
        <v>#DIV/0!</v>
      </c>
      <c r="BS267" s="183"/>
      <c r="BT267" s="184"/>
      <c r="BU267" s="185" t="e">
        <f t="shared" si="172"/>
        <v>#DIV/0!</v>
      </c>
      <c r="BV267" s="210">
        <f t="shared" si="191"/>
        <v>0</v>
      </c>
      <c r="BW267" s="210">
        <f t="shared" si="192"/>
        <v>0</v>
      </c>
      <c r="BX267" s="209" t="e">
        <f t="shared" si="193"/>
        <v>#DIV/0!</v>
      </c>
      <c r="BY267" s="209">
        <f t="shared" si="194"/>
        <v>0</v>
      </c>
      <c r="BZ267" s="209">
        <f t="shared" si="195"/>
        <v>0</v>
      </c>
      <c r="CA267" s="188"/>
      <c r="CB267" s="173"/>
      <c r="CC267" s="183"/>
      <c r="CD267" s="184"/>
      <c r="CE267" s="185" t="e">
        <f t="shared" si="173"/>
        <v>#DIV/0!</v>
      </c>
      <c r="CF267" s="183"/>
      <c r="CG267" s="184"/>
      <c r="CH267" s="185" t="e">
        <f t="shared" si="174"/>
        <v>#DIV/0!</v>
      </c>
      <c r="CI267" s="189"/>
      <c r="CJ267" s="190"/>
      <c r="CK267" s="185" t="e">
        <f t="shared" si="175"/>
        <v>#DIV/0!</v>
      </c>
      <c r="CL267" s="187">
        <f t="shared" si="176"/>
        <v>0</v>
      </c>
      <c r="CM267" s="186">
        <f t="shared" si="177"/>
        <v>0</v>
      </c>
      <c r="CN267" s="185" t="e">
        <f t="shared" si="178"/>
        <v>#DIV/0!</v>
      </c>
      <c r="CO267" s="173"/>
      <c r="CP267" s="188">
        <f t="shared" si="179"/>
        <v>0</v>
      </c>
      <c r="CQ267" s="188">
        <f t="shared" si="180"/>
        <v>0</v>
      </c>
      <c r="CR267" s="191" t="e">
        <f t="shared" si="181"/>
        <v>#DIV/0!</v>
      </c>
      <c r="CS267" s="279">
        <f t="shared" si="196"/>
        <v>100</v>
      </c>
      <c r="CT267" s="173"/>
      <c r="CU267" s="188">
        <f t="shared" si="197"/>
        <v>30</v>
      </c>
      <c r="CV267" s="277"/>
      <c r="CW267" s="191">
        <f t="shared" si="198"/>
        <v>0</v>
      </c>
      <c r="CX267" s="188">
        <f t="shared" si="199"/>
        <v>30</v>
      </c>
      <c r="CY267" s="277"/>
      <c r="CZ267" s="191">
        <f t="shared" si="200"/>
        <v>0</v>
      </c>
      <c r="DA267" s="188">
        <f t="shared" si="201"/>
        <v>30</v>
      </c>
      <c r="DB267" s="277"/>
      <c r="DC267" s="191">
        <f t="shared" si="202"/>
        <v>0</v>
      </c>
      <c r="DD267" s="188">
        <f t="shared" si="203"/>
        <v>10</v>
      </c>
      <c r="DE267" s="277"/>
      <c r="DF267" s="191">
        <f t="shared" si="204"/>
        <v>0</v>
      </c>
      <c r="DG267" s="173"/>
      <c r="DH267" s="188">
        <f t="shared" si="205"/>
        <v>100</v>
      </c>
      <c r="DI267" s="188">
        <f t="shared" si="206"/>
        <v>0</v>
      </c>
      <c r="DJ267" s="191">
        <f t="shared" si="207"/>
        <v>0</v>
      </c>
      <c r="DK267" s="286">
        <f t="shared" si="208"/>
        <v>100</v>
      </c>
    </row>
    <row r="268" spans="1:117" customFormat="1" ht="37.5" x14ac:dyDescent="0.35">
      <c r="A268" s="81">
        <v>265</v>
      </c>
      <c r="B268" s="102" t="s">
        <v>728</v>
      </c>
      <c r="C268" s="102" t="s">
        <v>118</v>
      </c>
      <c r="D268" s="102" t="s">
        <v>119</v>
      </c>
      <c r="E268" s="102" t="s">
        <v>155</v>
      </c>
      <c r="F268" s="102" t="s">
        <v>807</v>
      </c>
      <c r="G268" s="98" t="s">
        <v>711</v>
      </c>
      <c r="H268" s="98" t="s">
        <v>656</v>
      </c>
      <c r="I268" s="98" t="s">
        <v>413</v>
      </c>
      <c r="J268" s="98" t="s">
        <v>413</v>
      </c>
      <c r="K268" s="96" t="s">
        <v>754</v>
      </c>
      <c r="L268" s="96" t="s">
        <v>676</v>
      </c>
      <c r="M268" s="98"/>
      <c r="N268" s="98" t="s">
        <v>809</v>
      </c>
      <c r="O268" s="98" t="s">
        <v>659</v>
      </c>
      <c r="P268" s="241" t="s">
        <v>824</v>
      </c>
      <c r="Q268" s="98" t="s">
        <v>803</v>
      </c>
      <c r="R268" s="301">
        <v>100</v>
      </c>
      <c r="S268" s="99" t="s">
        <v>745</v>
      </c>
      <c r="T268" s="81">
        <v>25</v>
      </c>
      <c r="U268" s="81"/>
      <c r="V268" s="25">
        <f t="shared" si="143"/>
        <v>0</v>
      </c>
      <c r="W268" s="81">
        <v>25</v>
      </c>
      <c r="X268" s="81"/>
      <c r="Y268" s="25">
        <f t="shared" si="182"/>
        <v>0</v>
      </c>
      <c r="Z268" s="81">
        <v>25</v>
      </c>
      <c r="AA268" s="81"/>
      <c r="AB268" s="25">
        <f t="shared" si="183"/>
        <v>0</v>
      </c>
      <c r="AC268" s="81">
        <v>25</v>
      </c>
      <c r="AD268" s="81"/>
      <c r="AE268" s="25">
        <f t="shared" si="184"/>
        <v>0</v>
      </c>
      <c r="AF268" s="140">
        <f t="shared" si="168"/>
        <v>100</v>
      </c>
      <c r="AG268" s="140">
        <f t="shared" si="169"/>
        <v>0</v>
      </c>
      <c r="AH268" s="138">
        <f t="shared" si="125"/>
        <v>0</v>
      </c>
      <c r="AI268" s="113">
        <v>46054</v>
      </c>
      <c r="AJ268" s="113">
        <v>46387</v>
      </c>
      <c r="AK268" s="102" t="s">
        <v>676</v>
      </c>
      <c r="AL268" s="322"/>
      <c r="AM268" s="323"/>
      <c r="AN268" s="324"/>
      <c r="AO268" s="324"/>
      <c r="AP268" s="324"/>
      <c r="AQ268" s="326"/>
      <c r="AR268" s="102" t="s">
        <v>812</v>
      </c>
      <c r="AS268" s="102" t="s">
        <v>750</v>
      </c>
      <c r="AT268" s="151" t="s">
        <v>825</v>
      </c>
      <c r="AU268" s="102" t="s">
        <v>2264</v>
      </c>
      <c r="AV268" s="136" t="s">
        <v>2236</v>
      </c>
      <c r="AW268" s="136"/>
      <c r="AX268" s="136" t="s">
        <v>825</v>
      </c>
      <c r="AY268" s="136" t="s">
        <v>2307</v>
      </c>
      <c r="AZ268" s="271"/>
      <c r="BA268" s="183"/>
      <c r="BB268" s="184"/>
      <c r="BC268" s="209" t="e">
        <f t="shared" si="185"/>
        <v>#DIV/0!</v>
      </c>
      <c r="BD268" s="183"/>
      <c r="BE268" s="184"/>
      <c r="BF268" s="209" t="e">
        <f t="shared" si="186"/>
        <v>#DIV/0!</v>
      </c>
      <c r="BG268" s="183"/>
      <c r="BH268" s="184"/>
      <c r="BI268" s="209" t="e">
        <f t="shared" si="187"/>
        <v>#DIV/0!</v>
      </c>
      <c r="BJ268" s="210">
        <f t="shared" si="188"/>
        <v>0</v>
      </c>
      <c r="BK268" s="211">
        <f t="shared" si="189"/>
        <v>0</v>
      </c>
      <c r="BL268" s="209" t="e">
        <f t="shared" si="190"/>
        <v>#DIV/0!</v>
      </c>
      <c r="BM268" s="183"/>
      <c r="BN268" s="184"/>
      <c r="BO268" s="185" t="e">
        <f t="shared" si="170"/>
        <v>#DIV/0!</v>
      </c>
      <c r="BP268" s="183"/>
      <c r="BQ268" s="184"/>
      <c r="BR268" s="185" t="e">
        <f t="shared" si="171"/>
        <v>#DIV/0!</v>
      </c>
      <c r="BS268" s="183"/>
      <c r="BT268" s="184"/>
      <c r="BU268" s="185" t="e">
        <f t="shared" si="172"/>
        <v>#DIV/0!</v>
      </c>
      <c r="BV268" s="210">
        <f t="shared" si="191"/>
        <v>0</v>
      </c>
      <c r="BW268" s="210">
        <f t="shared" si="192"/>
        <v>0</v>
      </c>
      <c r="BX268" s="209" t="e">
        <f t="shared" si="193"/>
        <v>#DIV/0!</v>
      </c>
      <c r="BY268" s="209">
        <f t="shared" si="194"/>
        <v>0</v>
      </c>
      <c r="BZ268" s="209">
        <f t="shared" si="195"/>
        <v>0</v>
      </c>
      <c r="CA268" s="188"/>
      <c r="CB268" s="173"/>
      <c r="CC268" s="183"/>
      <c r="CD268" s="184"/>
      <c r="CE268" s="185" t="e">
        <f t="shared" si="173"/>
        <v>#DIV/0!</v>
      </c>
      <c r="CF268" s="183"/>
      <c r="CG268" s="184"/>
      <c r="CH268" s="185" t="e">
        <f t="shared" si="174"/>
        <v>#DIV/0!</v>
      </c>
      <c r="CI268" s="189"/>
      <c r="CJ268" s="190"/>
      <c r="CK268" s="185" t="e">
        <f t="shared" si="175"/>
        <v>#DIV/0!</v>
      </c>
      <c r="CL268" s="187">
        <f t="shared" si="176"/>
        <v>0</v>
      </c>
      <c r="CM268" s="186">
        <f t="shared" si="177"/>
        <v>0</v>
      </c>
      <c r="CN268" s="185" t="e">
        <f t="shared" si="178"/>
        <v>#DIV/0!</v>
      </c>
      <c r="CO268" s="173"/>
      <c r="CP268" s="188">
        <f t="shared" si="179"/>
        <v>0</v>
      </c>
      <c r="CQ268" s="188">
        <f t="shared" si="180"/>
        <v>0</v>
      </c>
      <c r="CR268" s="191" t="e">
        <f t="shared" si="181"/>
        <v>#DIV/0!</v>
      </c>
      <c r="CS268" s="279">
        <f t="shared" si="196"/>
        <v>100</v>
      </c>
      <c r="CT268" s="173"/>
      <c r="CU268" s="188">
        <f t="shared" si="197"/>
        <v>30</v>
      </c>
      <c r="CV268" s="277"/>
      <c r="CW268" s="191">
        <f t="shared" si="198"/>
        <v>0</v>
      </c>
      <c r="CX268" s="188">
        <f t="shared" si="199"/>
        <v>30</v>
      </c>
      <c r="CY268" s="277"/>
      <c r="CZ268" s="191">
        <f t="shared" si="200"/>
        <v>0</v>
      </c>
      <c r="DA268" s="188">
        <f t="shared" si="201"/>
        <v>30</v>
      </c>
      <c r="DB268" s="277"/>
      <c r="DC268" s="191">
        <f t="shared" si="202"/>
        <v>0</v>
      </c>
      <c r="DD268" s="188">
        <f t="shared" si="203"/>
        <v>10</v>
      </c>
      <c r="DE268" s="277"/>
      <c r="DF268" s="191">
        <f t="shared" si="204"/>
        <v>0</v>
      </c>
      <c r="DG268" s="173"/>
      <c r="DH268" s="188">
        <f t="shared" si="205"/>
        <v>100</v>
      </c>
      <c r="DI268" s="188">
        <f t="shared" si="206"/>
        <v>0</v>
      </c>
      <c r="DJ268" s="191">
        <f t="shared" si="207"/>
        <v>0</v>
      </c>
      <c r="DK268" s="286">
        <f t="shared" si="208"/>
        <v>100</v>
      </c>
    </row>
    <row r="269" spans="1:117" customFormat="1" x14ac:dyDescent="0.35">
      <c r="A269" s="81">
        <v>266</v>
      </c>
      <c r="B269" s="102" t="s">
        <v>728</v>
      </c>
      <c r="C269" s="102" t="s">
        <v>118</v>
      </c>
      <c r="D269" s="102" t="s">
        <v>119</v>
      </c>
      <c r="E269" s="102" t="s">
        <v>155</v>
      </c>
      <c r="F269" s="102" t="s">
        <v>807</v>
      </c>
      <c r="G269" s="98" t="s">
        <v>711</v>
      </c>
      <c r="H269" s="98" t="s">
        <v>656</v>
      </c>
      <c r="I269" s="98" t="s">
        <v>413</v>
      </c>
      <c r="J269" s="98" t="s">
        <v>413</v>
      </c>
      <c r="K269" s="96" t="s">
        <v>754</v>
      </c>
      <c r="L269" s="96" t="s">
        <v>676</v>
      </c>
      <c r="M269" s="98"/>
      <c r="N269" s="98" t="s">
        <v>809</v>
      </c>
      <c r="O269" s="98" t="s">
        <v>659</v>
      </c>
      <c r="P269" s="98" t="s">
        <v>826</v>
      </c>
      <c r="Q269" s="98" t="s">
        <v>803</v>
      </c>
      <c r="R269" s="301">
        <v>100</v>
      </c>
      <c r="S269" s="99" t="s">
        <v>745</v>
      </c>
      <c r="T269" s="81">
        <v>1</v>
      </c>
      <c r="U269" s="81"/>
      <c r="V269" s="25">
        <f t="shared" si="143"/>
        <v>0</v>
      </c>
      <c r="W269" s="81">
        <v>1</v>
      </c>
      <c r="X269" s="81"/>
      <c r="Y269" s="25">
        <f t="shared" si="182"/>
        <v>0</v>
      </c>
      <c r="Z269" s="81">
        <v>1</v>
      </c>
      <c r="AA269" s="81"/>
      <c r="AB269" s="25">
        <f t="shared" si="183"/>
        <v>0</v>
      </c>
      <c r="AC269" s="81">
        <v>1</v>
      </c>
      <c r="AD269" s="81"/>
      <c r="AE269" s="25">
        <f t="shared" si="184"/>
        <v>0</v>
      </c>
      <c r="AF269" s="140">
        <f t="shared" si="168"/>
        <v>100</v>
      </c>
      <c r="AG269" s="140">
        <f t="shared" si="169"/>
        <v>0</v>
      </c>
      <c r="AH269" s="138">
        <f t="shared" si="125"/>
        <v>0</v>
      </c>
      <c r="AI269" s="113">
        <v>46054</v>
      </c>
      <c r="AJ269" s="113">
        <v>46387</v>
      </c>
      <c r="AK269" s="102" t="s">
        <v>676</v>
      </c>
      <c r="AL269" s="322"/>
      <c r="AM269" s="323"/>
      <c r="AN269" s="324">
        <v>0</v>
      </c>
      <c r="AO269" s="324">
        <v>0</v>
      </c>
      <c r="AP269" s="324">
        <v>0</v>
      </c>
      <c r="AQ269" s="326"/>
      <c r="AR269" s="102" t="s">
        <v>812</v>
      </c>
      <c r="AS269" s="102" t="s">
        <v>750</v>
      </c>
      <c r="AT269" s="151" t="s">
        <v>825</v>
      </c>
      <c r="AU269" s="102" t="s">
        <v>2264</v>
      </c>
      <c r="AV269" s="136" t="s">
        <v>2236</v>
      </c>
      <c r="AW269" s="136"/>
      <c r="AX269" s="136" t="s">
        <v>825</v>
      </c>
      <c r="AY269" s="136" t="s">
        <v>2307</v>
      </c>
      <c r="AZ269" s="271"/>
      <c r="BA269" s="183"/>
      <c r="BB269" s="184"/>
      <c r="BC269" s="209" t="e">
        <f t="shared" si="185"/>
        <v>#DIV/0!</v>
      </c>
      <c r="BD269" s="183"/>
      <c r="BE269" s="184"/>
      <c r="BF269" s="209" t="e">
        <f t="shared" si="186"/>
        <v>#DIV/0!</v>
      </c>
      <c r="BG269" s="183"/>
      <c r="BH269" s="184"/>
      <c r="BI269" s="209" t="e">
        <f t="shared" si="187"/>
        <v>#DIV/0!</v>
      </c>
      <c r="BJ269" s="210">
        <f t="shared" si="188"/>
        <v>0</v>
      </c>
      <c r="BK269" s="211">
        <f t="shared" si="189"/>
        <v>0</v>
      </c>
      <c r="BL269" s="209" t="e">
        <f t="shared" si="190"/>
        <v>#DIV/0!</v>
      </c>
      <c r="BM269" s="183"/>
      <c r="BN269" s="184"/>
      <c r="BO269" s="185" t="e">
        <f t="shared" si="170"/>
        <v>#DIV/0!</v>
      </c>
      <c r="BP269" s="183"/>
      <c r="BQ269" s="184"/>
      <c r="BR269" s="185" t="e">
        <f t="shared" si="171"/>
        <v>#DIV/0!</v>
      </c>
      <c r="BS269" s="183"/>
      <c r="BT269" s="184"/>
      <c r="BU269" s="185" t="e">
        <f t="shared" si="172"/>
        <v>#DIV/0!</v>
      </c>
      <c r="BV269" s="210">
        <f t="shared" si="191"/>
        <v>0</v>
      </c>
      <c r="BW269" s="210">
        <f t="shared" si="192"/>
        <v>0</v>
      </c>
      <c r="BX269" s="209" t="e">
        <f t="shared" si="193"/>
        <v>#DIV/0!</v>
      </c>
      <c r="BY269" s="209">
        <f t="shared" si="194"/>
        <v>0</v>
      </c>
      <c r="BZ269" s="209">
        <f t="shared" si="195"/>
        <v>0</v>
      </c>
      <c r="CA269" s="188"/>
      <c r="CB269" s="173"/>
      <c r="CC269" s="183"/>
      <c r="CD269" s="184"/>
      <c r="CE269" s="185" t="e">
        <f t="shared" si="173"/>
        <v>#DIV/0!</v>
      </c>
      <c r="CF269" s="183"/>
      <c r="CG269" s="184"/>
      <c r="CH269" s="185" t="e">
        <f t="shared" si="174"/>
        <v>#DIV/0!</v>
      </c>
      <c r="CI269" s="189"/>
      <c r="CJ269" s="190"/>
      <c r="CK269" s="185" t="e">
        <f t="shared" si="175"/>
        <v>#DIV/0!</v>
      </c>
      <c r="CL269" s="187">
        <f t="shared" si="176"/>
        <v>0</v>
      </c>
      <c r="CM269" s="186">
        <f t="shared" si="177"/>
        <v>0</v>
      </c>
      <c r="CN269" s="185" t="e">
        <f t="shared" si="178"/>
        <v>#DIV/0!</v>
      </c>
      <c r="CO269" s="173"/>
      <c r="CP269" s="188">
        <f t="shared" si="179"/>
        <v>0</v>
      </c>
      <c r="CQ269" s="188">
        <f t="shared" si="180"/>
        <v>0</v>
      </c>
      <c r="CR269" s="191" t="e">
        <f t="shared" si="181"/>
        <v>#DIV/0!</v>
      </c>
      <c r="CS269" s="279">
        <f t="shared" si="196"/>
        <v>100</v>
      </c>
      <c r="CT269" s="173"/>
      <c r="CU269" s="188">
        <f t="shared" si="197"/>
        <v>30</v>
      </c>
      <c r="CV269" s="277"/>
      <c r="CW269" s="191">
        <f t="shared" si="198"/>
        <v>0</v>
      </c>
      <c r="CX269" s="188">
        <f t="shared" si="199"/>
        <v>30</v>
      </c>
      <c r="CY269" s="277"/>
      <c r="CZ269" s="191">
        <f t="shared" si="200"/>
        <v>0</v>
      </c>
      <c r="DA269" s="188">
        <f t="shared" si="201"/>
        <v>30</v>
      </c>
      <c r="DB269" s="277"/>
      <c r="DC269" s="191">
        <f t="shared" si="202"/>
        <v>0</v>
      </c>
      <c r="DD269" s="188">
        <f t="shared" si="203"/>
        <v>10</v>
      </c>
      <c r="DE269" s="277"/>
      <c r="DF269" s="191">
        <f t="shared" si="204"/>
        <v>0</v>
      </c>
      <c r="DG269" s="173"/>
      <c r="DH269" s="188">
        <f t="shared" si="205"/>
        <v>100</v>
      </c>
      <c r="DI269" s="188">
        <f t="shared" si="206"/>
        <v>0</v>
      </c>
      <c r="DJ269" s="191">
        <f t="shared" si="207"/>
        <v>0</v>
      </c>
      <c r="DK269" s="286">
        <f t="shared" si="208"/>
        <v>100</v>
      </c>
    </row>
    <row r="270" spans="1:117" customFormat="1" x14ac:dyDescent="0.35">
      <c r="A270" s="81">
        <v>267</v>
      </c>
      <c r="B270" s="102" t="s">
        <v>728</v>
      </c>
      <c r="C270" s="102" t="s">
        <v>118</v>
      </c>
      <c r="D270" s="102" t="s">
        <v>119</v>
      </c>
      <c r="E270" s="102" t="s">
        <v>155</v>
      </c>
      <c r="F270" s="102" t="s">
        <v>807</v>
      </c>
      <c r="G270" s="98" t="s">
        <v>711</v>
      </c>
      <c r="H270" s="98" t="s">
        <v>656</v>
      </c>
      <c r="I270" s="98" t="s">
        <v>413</v>
      </c>
      <c r="J270" s="98" t="s">
        <v>413</v>
      </c>
      <c r="K270" s="96" t="s">
        <v>754</v>
      </c>
      <c r="L270" s="96" t="s">
        <v>676</v>
      </c>
      <c r="M270" s="98"/>
      <c r="N270" s="98" t="s">
        <v>809</v>
      </c>
      <c r="O270" s="98" t="s">
        <v>659</v>
      </c>
      <c r="P270" s="98" t="s">
        <v>827</v>
      </c>
      <c r="Q270" s="98" t="s">
        <v>803</v>
      </c>
      <c r="R270" s="301">
        <v>100</v>
      </c>
      <c r="S270" s="99" t="s">
        <v>745</v>
      </c>
      <c r="T270" s="81"/>
      <c r="U270" s="81"/>
      <c r="V270" s="25" t="e">
        <f t="shared" si="143"/>
        <v>#DIV/0!</v>
      </c>
      <c r="W270" s="81"/>
      <c r="X270" s="81"/>
      <c r="Y270" s="25" t="e">
        <f t="shared" si="182"/>
        <v>#DIV/0!</v>
      </c>
      <c r="Z270" s="81">
        <v>5</v>
      </c>
      <c r="AA270" s="81"/>
      <c r="AB270" s="25">
        <f t="shared" si="183"/>
        <v>0</v>
      </c>
      <c r="AC270" s="81"/>
      <c r="AD270" s="81"/>
      <c r="AE270" s="25" t="e">
        <f t="shared" si="184"/>
        <v>#DIV/0!</v>
      </c>
      <c r="AF270" s="140">
        <f t="shared" si="168"/>
        <v>100</v>
      </c>
      <c r="AG270" s="140">
        <f t="shared" si="169"/>
        <v>0</v>
      </c>
      <c r="AH270" s="138">
        <f t="shared" si="125"/>
        <v>0</v>
      </c>
      <c r="AI270" s="113">
        <v>46054</v>
      </c>
      <c r="AJ270" s="113">
        <v>46387</v>
      </c>
      <c r="AK270" s="102" t="s">
        <v>676</v>
      </c>
      <c r="AL270" s="322"/>
      <c r="AM270" s="323"/>
      <c r="AN270" s="324">
        <v>0</v>
      </c>
      <c r="AO270" s="324">
        <v>0</v>
      </c>
      <c r="AP270" s="324">
        <v>0</v>
      </c>
      <c r="AQ270" s="326"/>
      <c r="AR270" s="102" t="s">
        <v>812</v>
      </c>
      <c r="AS270" s="102" t="s">
        <v>750</v>
      </c>
      <c r="AT270" s="151" t="s">
        <v>825</v>
      </c>
      <c r="AU270" s="102" t="s">
        <v>2264</v>
      </c>
      <c r="AV270" s="136" t="s">
        <v>2236</v>
      </c>
      <c r="AW270" s="136"/>
      <c r="AX270" s="136" t="s">
        <v>825</v>
      </c>
      <c r="AY270" s="136" t="s">
        <v>2307</v>
      </c>
      <c r="AZ270" s="271"/>
      <c r="BA270" s="183"/>
      <c r="BB270" s="184"/>
      <c r="BC270" s="209" t="e">
        <f t="shared" si="185"/>
        <v>#DIV/0!</v>
      </c>
      <c r="BD270" s="183"/>
      <c r="BE270" s="184"/>
      <c r="BF270" s="209" t="e">
        <f t="shared" si="186"/>
        <v>#DIV/0!</v>
      </c>
      <c r="BG270" s="183"/>
      <c r="BH270" s="184"/>
      <c r="BI270" s="209" t="e">
        <f t="shared" si="187"/>
        <v>#DIV/0!</v>
      </c>
      <c r="BJ270" s="210">
        <f t="shared" si="188"/>
        <v>0</v>
      </c>
      <c r="BK270" s="211">
        <f t="shared" si="189"/>
        <v>0</v>
      </c>
      <c r="BL270" s="209" t="e">
        <f t="shared" si="190"/>
        <v>#DIV/0!</v>
      </c>
      <c r="BM270" s="183"/>
      <c r="BN270" s="184"/>
      <c r="BO270" s="185" t="e">
        <f t="shared" si="170"/>
        <v>#DIV/0!</v>
      </c>
      <c r="BP270" s="183"/>
      <c r="BQ270" s="184"/>
      <c r="BR270" s="185" t="e">
        <f t="shared" si="171"/>
        <v>#DIV/0!</v>
      </c>
      <c r="BS270" s="183"/>
      <c r="BT270" s="184"/>
      <c r="BU270" s="185" t="e">
        <f t="shared" si="172"/>
        <v>#DIV/0!</v>
      </c>
      <c r="BV270" s="210">
        <f t="shared" si="191"/>
        <v>0</v>
      </c>
      <c r="BW270" s="210">
        <f t="shared" si="192"/>
        <v>0</v>
      </c>
      <c r="BX270" s="209" t="e">
        <f t="shared" si="193"/>
        <v>#DIV/0!</v>
      </c>
      <c r="BY270" s="209">
        <f t="shared" si="194"/>
        <v>0</v>
      </c>
      <c r="BZ270" s="209">
        <f t="shared" si="195"/>
        <v>0</v>
      </c>
      <c r="CA270" s="188"/>
      <c r="CB270" s="173"/>
      <c r="CC270" s="183"/>
      <c r="CD270" s="184"/>
      <c r="CE270" s="185" t="e">
        <f t="shared" si="173"/>
        <v>#DIV/0!</v>
      </c>
      <c r="CF270" s="183"/>
      <c r="CG270" s="184"/>
      <c r="CH270" s="185" t="e">
        <f t="shared" si="174"/>
        <v>#DIV/0!</v>
      </c>
      <c r="CI270" s="189"/>
      <c r="CJ270" s="190"/>
      <c r="CK270" s="185" t="e">
        <f t="shared" si="175"/>
        <v>#DIV/0!</v>
      </c>
      <c r="CL270" s="187">
        <f t="shared" si="176"/>
        <v>0</v>
      </c>
      <c r="CM270" s="186">
        <f t="shared" si="177"/>
        <v>0</v>
      </c>
      <c r="CN270" s="185" t="e">
        <f t="shared" si="178"/>
        <v>#DIV/0!</v>
      </c>
      <c r="CO270" s="173"/>
      <c r="CP270" s="188">
        <f t="shared" si="179"/>
        <v>0</v>
      </c>
      <c r="CQ270" s="188">
        <f t="shared" si="180"/>
        <v>0</v>
      </c>
      <c r="CR270" s="191" t="e">
        <f t="shared" si="181"/>
        <v>#DIV/0!</v>
      </c>
      <c r="CS270" s="279">
        <f t="shared" si="196"/>
        <v>100</v>
      </c>
      <c r="CT270" s="173"/>
      <c r="CU270" s="188">
        <f t="shared" si="197"/>
        <v>30</v>
      </c>
      <c r="CV270" s="277"/>
      <c r="CW270" s="191">
        <f t="shared" si="198"/>
        <v>0</v>
      </c>
      <c r="CX270" s="188">
        <f t="shared" si="199"/>
        <v>30</v>
      </c>
      <c r="CY270" s="277"/>
      <c r="CZ270" s="191">
        <f t="shared" si="200"/>
        <v>0</v>
      </c>
      <c r="DA270" s="188">
        <f t="shared" si="201"/>
        <v>30</v>
      </c>
      <c r="DB270" s="277"/>
      <c r="DC270" s="191">
        <f t="shared" si="202"/>
        <v>0</v>
      </c>
      <c r="DD270" s="188">
        <f t="shared" si="203"/>
        <v>10</v>
      </c>
      <c r="DE270" s="277"/>
      <c r="DF270" s="191">
        <f t="shared" si="204"/>
        <v>0</v>
      </c>
      <c r="DG270" s="173"/>
      <c r="DH270" s="188">
        <f t="shared" si="205"/>
        <v>100</v>
      </c>
      <c r="DI270" s="188">
        <f t="shared" si="206"/>
        <v>0</v>
      </c>
      <c r="DJ270" s="191">
        <f t="shared" si="207"/>
        <v>0</v>
      </c>
      <c r="DK270" s="286">
        <f t="shared" si="208"/>
        <v>100</v>
      </c>
    </row>
    <row r="271" spans="1:117" customFormat="1" x14ac:dyDescent="0.35">
      <c r="A271" s="81">
        <v>268</v>
      </c>
      <c r="B271" s="102" t="s">
        <v>728</v>
      </c>
      <c r="C271" s="102" t="s">
        <v>118</v>
      </c>
      <c r="D271" s="102" t="s">
        <v>119</v>
      </c>
      <c r="E271" s="102" t="s">
        <v>155</v>
      </c>
      <c r="F271" s="102" t="s">
        <v>807</v>
      </c>
      <c r="G271" s="98" t="s">
        <v>711</v>
      </c>
      <c r="H271" s="98" t="s">
        <v>656</v>
      </c>
      <c r="I271" s="98" t="s">
        <v>413</v>
      </c>
      <c r="J271" s="98" t="s">
        <v>413</v>
      </c>
      <c r="K271" s="96" t="s">
        <v>754</v>
      </c>
      <c r="L271" s="96" t="s">
        <v>676</v>
      </c>
      <c r="M271" s="98"/>
      <c r="N271" s="98" t="s">
        <v>809</v>
      </c>
      <c r="O271" s="98" t="s">
        <v>659</v>
      </c>
      <c r="P271" s="98" t="s">
        <v>828</v>
      </c>
      <c r="Q271" s="98" t="s">
        <v>803</v>
      </c>
      <c r="R271" s="301">
        <v>58</v>
      </c>
      <c r="S271" s="99" t="s">
        <v>829</v>
      </c>
      <c r="T271" s="81">
        <v>25</v>
      </c>
      <c r="U271" s="81"/>
      <c r="V271" s="25">
        <f t="shared" si="143"/>
        <v>0</v>
      </c>
      <c r="W271" s="81">
        <v>25</v>
      </c>
      <c r="X271" s="81"/>
      <c r="Y271" s="25">
        <f t="shared" si="182"/>
        <v>0</v>
      </c>
      <c r="Z271" s="81">
        <v>25</v>
      </c>
      <c r="AA271" s="81"/>
      <c r="AB271" s="25">
        <f t="shared" si="183"/>
        <v>0</v>
      </c>
      <c r="AC271" s="81">
        <v>25</v>
      </c>
      <c r="AD271" s="81"/>
      <c r="AE271" s="25">
        <f t="shared" si="184"/>
        <v>0</v>
      </c>
      <c r="AF271" s="140">
        <f t="shared" si="168"/>
        <v>58</v>
      </c>
      <c r="AG271" s="140">
        <f t="shared" si="169"/>
        <v>0</v>
      </c>
      <c r="AH271" s="138">
        <f t="shared" si="125"/>
        <v>0</v>
      </c>
      <c r="AI271" s="113">
        <v>46054</v>
      </c>
      <c r="AJ271" s="113">
        <v>46387</v>
      </c>
      <c r="AK271" s="102" t="s">
        <v>676</v>
      </c>
      <c r="AL271" s="322"/>
      <c r="AM271" s="323"/>
      <c r="AN271" s="324">
        <v>0</v>
      </c>
      <c r="AO271" s="324">
        <v>0</v>
      </c>
      <c r="AP271" s="324">
        <v>0</v>
      </c>
      <c r="AQ271" s="326"/>
      <c r="AR271" s="102" t="s">
        <v>812</v>
      </c>
      <c r="AS271" s="102" t="s">
        <v>750</v>
      </c>
      <c r="AT271" s="151" t="s">
        <v>825</v>
      </c>
      <c r="AU271" s="102" t="s">
        <v>2264</v>
      </c>
      <c r="AV271" s="136" t="s">
        <v>2236</v>
      </c>
      <c r="AW271" s="136"/>
      <c r="AX271" s="136" t="s">
        <v>825</v>
      </c>
      <c r="AY271" s="136" t="s">
        <v>2307</v>
      </c>
      <c r="AZ271" s="271"/>
      <c r="BA271" s="183"/>
      <c r="BB271" s="184"/>
      <c r="BC271" s="209" t="e">
        <f t="shared" si="185"/>
        <v>#DIV/0!</v>
      </c>
      <c r="BD271" s="183"/>
      <c r="BE271" s="184"/>
      <c r="BF271" s="209" t="e">
        <f t="shared" si="186"/>
        <v>#DIV/0!</v>
      </c>
      <c r="BG271" s="183"/>
      <c r="BH271" s="184"/>
      <c r="BI271" s="209" t="e">
        <f t="shared" si="187"/>
        <v>#DIV/0!</v>
      </c>
      <c r="BJ271" s="210">
        <f t="shared" si="188"/>
        <v>0</v>
      </c>
      <c r="BK271" s="211">
        <f t="shared" si="189"/>
        <v>0</v>
      </c>
      <c r="BL271" s="209" t="e">
        <f t="shared" si="190"/>
        <v>#DIV/0!</v>
      </c>
      <c r="BM271" s="183"/>
      <c r="BN271" s="184"/>
      <c r="BO271" s="185" t="e">
        <f t="shared" si="170"/>
        <v>#DIV/0!</v>
      </c>
      <c r="BP271" s="183"/>
      <c r="BQ271" s="184"/>
      <c r="BR271" s="185" t="e">
        <f t="shared" si="171"/>
        <v>#DIV/0!</v>
      </c>
      <c r="BS271" s="183"/>
      <c r="BT271" s="184"/>
      <c r="BU271" s="185" t="e">
        <f t="shared" si="172"/>
        <v>#DIV/0!</v>
      </c>
      <c r="BV271" s="210">
        <f t="shared" si="191"/>
        <v>0</v>
      </c>
      <c r="BW271" s="210">
        <f t="shared" si="192"/>
        <v>0</v>
      </c>
      <c r="BX271" s="209" t="e">
        <f t="shared" si="193"/>
        <v>#DIV/0!</v>
      </c>
      <c r="BY271" s="209">
        <f t="shared" si="194"/>
        <v>0</v>
      </c>
      <c r="BZ271" s="209">
        <f t="shared" si="195"/>
        <v>0</v>
      </c>
      <c r="CA271" s="188"/>
      <c r="CB271" s="173"/>
      <c r="CC271" s="183"/>
      <c r="CD271" s="184"/>
      <c r="CE271" s="185" t="e">
        <f t="shared" si="173"/>
        <v>#DIV/0!</v>
      </c>
      <c r="CF271" s="183"/>
      <c r="CG271" s="184"/>
      <c r="CH271" s="185" t="e">
        <f t="shared" si="174"/>
        <v>#DIV/0!</v>
      </c>
      <c r="CI271" s="189"/>
      <c r="CJ271" s="190"/>
      <c r="CK271" s="185" t="e">
        <f t="shared" si="175"/>
        <v>#DIV/0!</v>
      </c>
      <c r="CL271" s="187">
        <f t="shared" si="176"/>
        <v>0</v>
      </c>
      <c r="CM271" s="186">
        <f t="shared" si="177"/>
        <v>0</v>
      </c>
      <c r="CN271" s="185" t="e">
        <f t="shared" si="178"/>
        <v>#DIV/0!</v>
      </c>
      <c r="CO271" s="173"/>
      <c r="CP271" s="188">
        <f t="shared" si="179"/>
        <v>0</v>
      </c>
      <c r="CQ271" s="188">
        <f t="shared" si="180"/>
        <v>0</v>
      </c>
      <c r="CR271" s="191" t="e">
        <f t="shared" si="181"/>
        <v>#DIV/0!</v>
      </c>
      <c r="CS271" s="279">
        <f t="shared" si="196"/>
        <v>58</v>
      </c>
      <c r="CT271" s="173"/>
      <c r="CU271" s="188">
        <f t="shared" si="197"/>
        <v>17.399999999999999</v>
      </c>
      <c r="CV271" s="277"/>
      <c r="CW271" s="191">
        <f t="shared" si="198"/>
        <v>0</v>
      </c>
      <c r="CX271" s="188">
        <f t="shared" si="199"/>
        <v>17.399999999999999</v>
      </c>
      <c r="CY271" s="277"/>
      <c r="CZ271" s="191">
        <f t="shared" si="200"/>
        <v>0</v>
      </c>
      <c r="DA271" s="188">
        <f t="shared" si="201"/>
        <v>17.399999999999999</v>
      </c>
      <c r="DB271" s="277"/>
      <c r="DC271" s="191">
        <f t="shared" si="202"/>
        <v>0</v>
      </c>
      <c r="DD271" s="188">
        <f t="shared" si="203"/>
        <v>5.8000000000000007</v>
      </c>
      <c r="DE271" s="277"/>
      <c r="DF271" s="191">
        <f t="shared" si="204"/>
        <v>0</v>
      </c>
      <c r="DG271" s="173"/>
      <c r="DH271" s="188">
        <f t="shared" si="205"/>
        <v>58</v>
      </c>
      <c r="DI271" s="188">
        <f t="shared" si="206"/>
        <v>0</v>
      </c>
      <c r="DJ271" s="191">
        <f t="shared" si="207"/>
        <v>0</v>
      </c>
      <c r="DK271" s="286">
        <f t="shared" si="208"/>
        <v>58</v>
      </c>
    </row>
    <row r="272" spans="1:117" customFormat="1" x14ac:dyDescent="0.35">
      <c r="A272" s="81">
        <v>269</v>
      </c>
      <c r="B272" s="102" t="s">
        <v>728</v>
      </c>
      <c r="C272" s="102" t="s">
        <v>118</v>
      </c>
      <c r="D272" s="102" t="s">
        <v>119</v>
      </c>
      <c r="E272" s="102" t="s">
        <v>155</v>
      </c>
      <c r="F272" s="102" t="s">
        <v>807</v>
      </c>
      <c r="G272" s="98" t="s">
        <v>711</v>
      </c>
      <c r="H272" s="98" t="s">
        <v>656</v>
      </c>
      <c r="I272" s="98" t="s">
        <v>413</v>
      </c>
      <c r="J272" s="98" t="s">
        <v>413</v>
      </c>
      <c r="K272" s="96" t="s">
        <v>754</v>
      </c>
      <c r="L272" s="96" t="s">
        <v>676</v>
      </c>
      <c r="M272" s="98"/>
      <c r="N272" s="98" t="s">
        <v>809</v>
      </c>
      <c r="O272" s="98" t="s">
        <v>659</v>
      </c>
      <c r="P272" s="98" t="s">
        <v>830</v>
      </c>
      <c r="Q272" s="98" t="s">
        <v>803</v>
      </c>
      <c r="R272" s="301">
        <v>58</v>
      </c>
      <c r="S272" s="99" t="s">
        <v>831</v>
      </c>
      <c r="T272" s="81">
        <v>25</v>
      </c>
      <c r="U272" s="81"/>
      <c r="V272" s="25">
        <f t="shared" si="143"/>
        <v>0</v>
      </c>
      <c r="W272" s="81">
        <v>25</v>
      </c>
      <c r="X272" s="81"/>
      <c r="Y272" s="25">
        <f t="shared" si="182"/>
        <v>0</v>
      </c>
      <c r="Z272" s="81">
        <v>25</v>
      </c>
      <c r="AA272" s="81"/>
      <c r="AB272" s="25">
        <f t="shared" si="183"/>
        <v>0</v>
      </c>
      <c r="AC272" s="81">
        <v>25</v>
      </c>
      <c r="AD272" s="81"/>
      <c r="AE272" s="25">
        <f t="shared" si="184"/>
        <v>0</v>
      </c>
      <c r="AF272" s="140">
        <f t="shared" si="168"/>
        <v>58</v>
      </c>
      <c r="AG272" s="140">
        <f t="shared" si="169"/>
        <v>0</v>
      </c>
      <c r="AH272" s="138">
        <f t="shared" si="125"/>
        <v>0</v>
      </c>
      <c r="AI272" s="113">
        <v>46054</v>
      </c>
      <c r="AJ272" s="113">
        <v>46387</v>
      </c>
      <c r="AK272" s="102" t="s">
        <v>676</v>
      </c>
      <c r="AL272" s="322"/>
      <c r="AM272" s="323"/>
      <c r="AN272" s="324">
        <v>0</v>
      </c>
      <c r="AO272" s="324">
        <v>0</v>
      </c>
      <c r="AP272" s="324">
        <v>0</v>
      </c>
      <c r="AQ272" s="326"/>
      <c r="AR272" s="102" t="s">
        <v>812</v>
      </c>
      <c r="AS272" s="102" t="s">
        <v>750</v>
      </c>
      <c r="AT272" s="151" t="s">
        <v>832</v>
      </c>
      <c r="AU272" s="102" t="s">
        <v>2264</v>
      </c>
      <c r="AV272" s="136" t="s">
        <v>2236</v>
      </c>
      <c r="AW272" s="136"/>
      <c r="AX272" s="136" t="s">
        <v>825</v>
      </c>
      <c r="AY272" s="136" t="s">
        <v>2307</v>
      </c>
      <c r="AZ272" s="271"/>
      <c r="BA272" s="183"/>
      <c r="BB272" s="184"/>
      <c r="BC272" s="209" t="e">
        <f t="shared" si="185"/>
        <v>#DIV/0!</v>
      </c>
      <c r="BD272" s="183"/>
      <c r="BE272" s="184"/>
      <c r="BF272" s="209" t="e">
        <f t="shared" si="186"/>
        <v>#DIV/0!</v>
      </c>
      <c r="BG272" s="183"/>
      <c r="BH272" s="184"/>
      <c r="BI272" s="209" t="e">
        <f t="shared" si="187"/>
        <v>#DIV/0!</v>
      </c>
      <c r="BJ272" s="210">
        <f t="shared" si="188"/>
        <v>0</v>
      </c>
      <c r="BK272" s="211">
        <f t="shared" si="189"/>
        <v>0</v>
      </c>
      <c r="BL272" s="209" t="e">
        <f t="shared" si="190"/>
        <v>#DIV/0!</v>
      </c>
      <c r="BM272" s="183"/>
      <c r="BN272" s="184"/>
      <c r="BO272" s="185" t="e">
        <f t="shared" si="170"/>
        <v>#DIV/0!</v>
      </c>
      <c r="BP272" s="183"/>
      <c r="BQ272" s="184"/>
      <c r="BR272" s="185" t="e">
        <f t="shared" si="171"/>
        <v>#DIV/0!</v>
      </c>
      <c r="BS272" s="183"/>
      <c r="BT272" s="184"/>
      <c r="BU272" s="185" t="e">
        <f t="shared" si="172"/>
        <v>#DIV/0!</v>
      </c>
      <c r="BV272" s="210">
        <f t="shared" si="191"/>
        <v>0</v>
      </c>
      <c r="BW272" s="210">
        <f t="shared" si="192"/>
        <v>0</v>
      </c>
      <c r="BX272" s="209" t="e">
        <f t="shared" si="193"/>
        <v>#DIV/0!</v>
      </c>
      <c r="BY272" s="209">
        <f t="shared" si="194"/>
        <v>0</v>
      </c>
      <c r="BZ272" s="209">
        <f t="shared" si="195"/>
        <v>0</v>
      </c>
      <c r="CA272" s="188"/>
      <c r="CB272" s="173"/>
      <c r="CC272" s="183"/>
      <c r="CD272" s="184"/>
      <c r="CE272" s="185" t="e">
        <f t="shared" si="173"/>
        <v>#DIV/0!</v>
      </c>
      <c r="CF272" s="183"/>
      <c r="CG272" s="184"/>
      <c r="CH272" s="185" t="e">
        <f t="shared" si="174"/>
        <v>#DIV/0!</v>
      </c>
      <c r="CI272" s="189"/>
      <c r="CJ272" s="190"/>
      <c r="CK272" s="185" t="e">
        <f t="shared" si="175"/>
        <v>#DIV/0!</v>
      </c>
      <c r="CL272" s="187">
        <f t="shared" si="176"/>
        <v>0</v>
      </c>
      <c r="CM272" s="186">
        <f t="shared" si="177"/>
        <v>0</v>
      </c>
      <c r="CN272" s="185" t="e">
        <f t="shared" si="178"/>
        <v>#DIV/0!</v>
      </c>
      <c r="CO272" s="173"/>
      <c r="CP272" s="188">
        <f t="shared" si="179"/>
        <v>0</v>
      </c>
      <c r="CQ272" s="188">
        <f t="shared" si="180"/>
        <v>0</v>
      </c>
      <c r="CR272" s="191" t="e">
        <f t="shared" si="181"/>
        <v>#DIV/0!</v>
      </c>
      <c r="CS272" s="279">
        <f t="shared" si="196"/>
        <v>58</v>
      </c>
      <c r="CT272" s="173"/>
      <c r="CU272" s="188">
        <f t="shared" si="197"/>
        <v>17.399999999999999</v>
      </c>
      <c r="CV272" s="277"/>
      <c r="CW272" s="191">
        <f t="shared" si="198"/>
        <v>0</v>
      </c>
      <c r="CX272" s="188">
        <f t="shared" si="199"/>
        <v>17.399999999999999</v>
      </c>
      <c r="CY272" s="277"/>
      <c r="CZ272" s="191">
        <f t="shared" si="200"/>
        <v>0</v>
      </c>
      <c r="DA272" s="188">
        <f t="shared" si="201"/>
        <v>17.399999999999999</v>
      </c>
      <c r="DB272" s="277"/>
      <c r="DC272" s="191">
        <f t="shared" si="202"/>
        <v>0</v>
      </c>
      <c r="DD272" s="188">
        <f t="shared" si="203"/>
        <v>5.8000000000000007</v>
      </c>
      <c r="DE272" s="277"/>
      <c r="DF272" s="191">
        <f t="shared" si="204"/>
        <v>0</v>
      </c>
      <c r="DG272" s="173"/>
      <c r="DH272" s="188">
        <f t="shared" si="205"/>
        <v>58</v>
      </c>
      <c r="DI272" s="188">
        <f t="shared" si="206"/>
        <v>0</v>
      </c>
      <c r="DJ272" s="191">
        <f t="shared" si="207"/>
        <v>0</v>
      </c>
      <c r="DK272" s="286">
        <f t="shared" si="208"/>
        <v>58</v>
      </c>
    </row>
    <row r="273" spans="1:115" customFormat="1" x14ac:dyDescent="0.35">
      <c r="A273" s="81">
        <v>270</v>
      </c>
      <c r="B273" s="102" t="s">
        <v>728</v>
      </c>
      <c r="C273" s="102" t="s">
        <v>118</v>
      </c>
      <c r="D273" s="102" t="s">
        <v>119</v>
      </c>
      <c r="E273" s="102" t="s">
        <v>155</v>
      </c>
      <c r="F273" s="102" t="s">
        <v>807</v>
      </c>
      <c r="G273" s="98" t="s">
        <v>711</v>
      </c>
      <c r="H273" s="98" t="s">
        <v>656</v>
      </c>
      <c r="I273" s="98" t="s">
        <v>413</v>
      </c>
      <c r="J273" s="98" t="s">
        <v>413</v>
      </c>
      <c r="K273" s="96" t="s">
        <v>754</v>
      </c>
      <c r="L273" s="96" t="s">
        <v>676</v>
      </c>
      <c r="M273" s="98"/>
      <c r="N273" s="98" t="s">
        <v>809</v>
      </c>
      <c r="O273" s="98" t="s">
        <v>659</v>
      </c>
      <c r="P273" s="98" t="s">
        <v>833</v>
      </c>
      <c r="Q273" s="98" t="s">
        <v>803</v>
      </c>
      <c r="R273" s="301">
        <v>100</v>
      </c>
      <c r="S273" s="99" t="s">
        <v>745</v>
      </c>
      <c r="T273" s="81">
        <v>25</v>
      </c>
      <c r="U273" s="81"/>
      <c r="V273" s="25">
        <f t="shared" si="143"/>
        <v>0</v>
      </c>
      <c r="W273" s="81">
        <v>25</v>
      </c>
      <c r="X273" s="81"/>
      <c r="Y273" s="25">
        <f t="shared" si="182"/>
        <v>0</v>
      </c>
      <c r="Z273" s="81">
        <v>25</v>
      </c>
      <c r="AA273" s="81"/>
      <c r="AB273" s="25">
        <f t="shared" si="183"/>
        <v>0</v>
      </c>
      <c r="AC273" s="81">
        <v>25</v>
      </c>
      <c r="AD273" s="81"/>
      <c r="AE273" s="25">
        <f t="shared" si="184"/>
        <v>0</v>
      </c>
      <c r="AF273" s="140">
        <f t="shared" si="168"/>
        <v>100</v>
      </c>
      <c r="AG273" s="140">
        <f t="shared" si="169"/>
        <v>0</v>
      </c>
      <c r="AH273" s="138">
        <f t="shared" si="125"/>
        <v>0</v>
      </c>
      <c r="AI273" s="113">
        <v>46054</v>
      </c>
      <c r="AJ273" s="113">
        <v>46387</v>
      </c>
      <c r="AK273" s="102" t="s">
        <v>676</v>
      </c>
      <c r="AL273" s="322"/>
      <c r="AM273" s="323"/>
      <c r="AN273" s="324">
        <v>0</v>
      </c>
      <c r="AO273" s="324">
        <v>0</v>
      </c>
      <c r="AP273" s="324">
        <v>0</v>
      </c>
      <c r="AQ273" s="326"/>
      <c r="AR273" s="102" t="s">
        <v>812</v>
      </c>
      <c r="AS273" s="102" t="s">
        <v>750</v>
      </c>
      <c r="AT273" s="151" t="s">
        <v>832</v>
      </c>
      <c r="AU273" s="102" t="s">
        <v>2264</v>
      </c>
      <c r="AV273" s="136" t="s">
        <v>2236</v>
      </c>
      <c r="AW273" s="136"/>
      <c r="AX273" s="136" t="s">
        <v>825</v>
      </c>
      <c r="AY273" s="136" t="s">
        <v>2307</v>
      </c>
      <c r="AZ273" s="271"/>
      <c r="BA273" s="183"/>
      <c r="BB273" s="184"/>
      <c r="BC273" s="209" t="e">
        <f t="shared" si="185"/>
        <v>#DIV/0!</v>
      </c>
      <c r="BD273" s="183"/>
      <c r="BE273" s="184"/>
      <c r="BF273" s="209" t="e">
        <f t="shared" si="186"/>
        <v>#DIV/0!</v>
      </c>
      <c r="BG273" s="183"/>
      <c r="BH273" s="184"/>
      <c r="BI273" s="209" t="e">
        <f t="shared" si="187"/>
        <v>#DIV/0!</v>
      </c>
      <c r="BJ273" s="210">
        <f t="shared" si="188"/>
        <v>0</v>
      </c>
      <c r="BK273" s="211">
        <f t="shared" si="189"/>
        <v>0</v>
      </c>
      <c r="BL273" s="209" t="e">
        <f t="shared" si="190"/>
        <v>#DIV/0!</v>
      </c>
      <c r="BM273" s="183"/>
      <c r="BN273" s="184"/>
      <c r="BO273" s="185" t="e">
        <f t="shared" si="170"/>
        <v>#DIV/0!</v>
      </c>
      <c r="BP273" s="183"/>
      <c r="BQ273" s="184"/>
      <c r="BR273" s="185" t="e">
        <f t="shared" si="171"/>
        <v>#DIV/0!</v>
      </c>
      <c r="BS273" s="183"/>
      <c r="BT273" s="184"/>
      <c r="BU273" s="185" t="e">
        <f t="shared" si="172"/>
        <v>#DIV/0!</v>
      </c>
      <c r="BV273" s="210">
        <f t="shared" si="191"/>
        <v>0</v>
      </c>
      <c r="BW273" s="210">
        <f t="shared" si="192"/>
        <v>0</v>
      </c>
      <c r="BX273" s="209" t="e">
        <f t="shared" si="193"/>
        <v>#DIV/0!</v>
      </c>
      <c r="BY273" s="209">
        <f t="shared" si="194"/>
        <v>0</v>
      </c>
      <c r="BZ273" s="209">
        <f t="shared" si="195"/>
        <v>0</v>
      </c>
      <c r="CA273" s="188"/>
      <c r="CB273" s="173"/>
      <c r="CC273" s="183"/>
      <c r="CD273" s="184"/>
      <c r="CE273" s="185" t="e">
        <f t="shared" si="173"/>
        <v>#DIV/0!</v>
      </c>
      <c r="CF273" s="183"/>
      <c r="CG273" s="184"/>
      <c r="CH273" s="185" t="e">
        <f t="shared" si="174"/>
        <v>#DIV/0!</v>
      </c>
      <c r="CI273" s="189"/>
      <c r="CJ273" s="190"/>
      <c r="CK273" s="185" t="e">
        <f t="shared" si="175"/>
        <v>#DIV/0!</v>
      </c>
      <c r="CL273" s="187">
        <f t="shared" si="176"/>
        <v>0</v>
      </c>
      <c r="CM273" s="186">
        <f t="shared" si="177"/>
        <v>0</v>
      </c>
      <c r="CN273" s="185" t="e">
        <f t="shared" si="178"/>
        <v>#DIV/0!</v>
      </c>
      <c r="CO273" s="173"/>
      <c r="CP273" s="188">
        <f t="shared" si="179"/>
        <v>0</v>
      </c>
      <c r="CQ273" s="188">
        <f t="shared" si="180"/>
        <v>0</v>
      </c>
      <c r="CR273" s="191" t="e">
        <f t="shared" si="181"/>
        <v>#DIV/0!</v>
      </c>
      <c r="CS273" s="279">
        <f t="shared" si="196"/>
        <v>100</v>
      </c>
      <c r="CT273" s="173"/>
      <c r="CU273" s="188">
        <f t="shared" si="197"/>
        <v>30</v>
      </c>
      <c r="CV273" s="277"/>
      <c r="CW273" s="191">
        <f t="shared" si="198"/>
        <v>0</v>
      </c>
      <c r="CX273" s="188">
        <f t="shared" si="199"/>
        <v>30</v>
      </c>
      <c r="CY273" s="277"/>
      <c r="CZ273" s="191">
        <f t="shared" si="200"/>
        <v>0</v>
      </c>
      <c r="DA273" s="188">
        <f t="shared" si="201"/>
        <v>30</v>
      </c>
      <c r="DB273" s="277"/>
      <c r="DC273" s="191">
        <f t="shared" si="202"/>
        <v>0</v>
      </c>
      <c r="DD273" s="188">
        <f t="shared" si="203"/>
        <v>10</v>
      </c>
      <c r="DE273" s="277"/>
      <c r="DF273" s="191">
        <f t="shared" si="204"/>
        <v>0</v>
      </c>
      <c r="DG273" s="173"/>
      <c r="DH273" s="188">
        <f t="shared" si="205"/>
        <v>100</v>
      </c>
      <c r="DI273" s="188">
        <f t="shared" si="206"/>
        <v>0</v>
      </c>
      <c r="DJ273" s="191">
        <f t="shared" si="207"/>
        <v>0</v>
      </c>
      <c r="DK273" s="286">
        <f t="shared" si="208"/>
        <v>100</v>
      </c>
    </row>
    <row r="274" spans="1:115" customFormat="1" ht="25" x14ac:dyDescent="0.35">
      <c r="A274" s="81">
        <v>271</v>
      </c>
      <c r="B274" s="102" t="s">
        <v>728</v>
      </c>
      <c r="C274" s="102" t="s">
        <v>118</v>
      </c>
      <c r="D274" s="102" t="s">
        <v>119</v>
      </c>
      <c r="E274" s="102" t="s">
        <v>155</v>
      </c>
      <c r="F274" s="102" t="s">
        <v>807</v>
      </c>
      <c r="G274" s="98" t="s">
        <v>711</v>
      </c>
      <c r="H274" s="98" t="s">
        <v>656</v>
      </c>
      <c r="I274" s="98" t="s">
        <v>413</v>
      </c>
      <c r="J274" s="98" t="s">
        <v>413</v>
      </c>
      <c r="K274" s="96" t="s">
        <v>754</v>
      </c>
      <c r="L274" s="96" t="s">
        <v>676</v>
      </c>
      <c r="M274" s="98"/>
      <c r="N274" s="98" t="s">
        <v>809</v>
      </c>
      <c r="O274" s="98" t="s">
        <v>659</v>
      </c>
      <c r="P274" s="241" t="s">
        <v>834</v>
      </c>
      <c r="Q274" s="98" t="s">
        <v>803</v>
      </c>
      <c r="R274" s="301">
        <v>22</v>
      </c>
      <c r="S274" s="99" t="s">
        <v>829</v>
      </c>
      <c r="T274" s="81">
        <v>25</v>
      </c>
      <c r="U274" s="81"/>
      <c r="V274" s="25">
        <f t="shared" si="143"/>
        <v>0</v>
      </c>
      <c r="W274" s="81">
        <v>25</v>
      </c>
      <c r="X274" s="81"/>
      <c r="Y274" s="25">
        <f t="shared" si="182"/>
        <v>0</v>
      </c>
      <c r="Z274" s="81">
        <v>25</v>
      </c>
      <c r="AA274" s="81"/>
      <c r="AB274" s="25">
        <f t="shared" si="183"/>
        <v>0</v>
      </c>
      <c r="AC274" s="81">
        <v>25</v>
      </c>
      <c r="AD274" s="81"/>
      <c r="AE274" s="25">
        <f t="shared" si="184"/>
        <v>0</v>
      </c>
      <c r="AF274" s="140">
        <f t="shared" si="168"/>
        <v>22</v>
      </c>
      <c r="AG274" s="140">
        <f t="shared" si="169"/>
        <v>0</v>
      </c>
      <c r="AH274" s="138">
        <f t="shared" si="125"/>
        <v>0</v>
      </c>
      <c r="AI274" s="113">
        <v>46054</v>
      </c>
      <c r="AJ274" s="113">
        <v>46387</v>
      </c>
      <c r="AK274" s="102" t="s">
        <v>676</v>
      </c>
      <c r="AL274" s="322"/>
      <c r="AM274" s="323"/>
      <c r="AN274" s="324">
        <v>0</v>
      </c>
      <c r="AO274" s="324">
        <v>0</v>
      </c>
      <c r="AP274" s="324">
        <v>0</v>
      </c>
      <c r="AQ274" s="326"/>
      <c r="AR274" s="102" t="s">
        <v>812</v>
      </c>
      <c r="AS274" s="102" t="s">
        <v>750</v>
      </c>
      <c r="AT274" s="151" t="s">
        <v>652</v>
      </c>
      <c r="AU274" s="102" t="s">
        <v>2264</v>
      </c>
      <c r="AV274" s="136" t="s">
        <v>2235</v>
      </c>
      <c r="AW274" s="136"/>
      <c r="AX274" s="136"/>
      <c r="AY274" s="136"/>
      <c r="AZ274" s="271"/>
      <c r="BA274" s="183"/>
      <c r="BB274" s="184"/>
      <c r="BC274" s="209" t="e">
        <f t="shared" si="185"/>
        <v>#DIV/0!</v>
      </c>
      <c r="BD274" s="183"/>
      <c r="BE274" s="184"/>
      <c r="BF274" s="209" t="e">
        <f t="shared" si="186"/>
        <v>#DIV/0!</v>
      </c>
      <c r="BG274" s="183"/>
      <c r="BH274" s="184"/>
      <c r="BI274" s="209" t="e">
        <f t="shared" si="187"/>
        <v>#DIV/0!</v>
      </c>
      <c r="BJ274" s="210">
        <f t="shared" si="188"/>
        <v>0</v>
      </c>
      <c r="BK274" s="211">
        <f t="shared" si="189"/>
        <v>0</v>
      </c>
      <c r="BL274" s="209" t="e">
        <f t="shared" si="190"/>
        <v>#DIV/0!</v>
      </c>
      <c r="BM274" s="183"/>
      <c r="BN274" s="184"/>
      <c r="BO274" s="185" t="e">
        <f t="shared" si="170"/>
        <v>#DIV/0!</v>
      </c>
      <c r="BP274" s="183"/>
      <c r="BQ274" s="184"/>
      <c r="BR274" s="185" t="e">
        <f t="shared" si="171"/>
        <v>#DIV/0!</v>
      </c>
      <c r="BS274" s="183"/>
      <c r="BT274" s="184"/>
      <c r="BU274" s="185" t="e">
        <f t="shared" si="172"/>
        <v>#DIV/0!</v>
      </c>
      <c r="BV274" s="210">
        <f t="shared" si="191"/>
        <v>0</v>
      </c>
      <c r="BW274" s="210">
        <f t="shared" si="192"/>
        <v>0</v>
      </c>
      <c r="BX274" s="209" t="e">
        <f t="shared" si="193"/>
        <v>#DIV/0!</v>
      </c>
      <c r="BY274" s="209">
        <f t="shared" si="194"/>
        <v>0</v>
      </c>
      <c r="BZ274" s="209">
        <f t="shared" si="195"/>
        <v>0</v>
      </c>
      <c r="CA274" s="188"/>
      <c r="CB274" s="173"/>
      <c r="CC274" s="183"/>
      <c r="CD274" s="184"/>
      <c r="CE274" s="185" t="e">
        <f t="shared" si="173"/>
        <v>#DIV/0!</v>
      </c>
      <c r="CF274" s="183"/>
      <c r="CG274" s="184"/>
      <c r="CH274" s="185" t="e">
        <f t="shared" si="174"/>
        <v>#DIV/0!</v>
      </c>
      <c r="CI274" s="189"/>
      <c r="CJ274" s="190"/>
      <c r="CK274" s="185" t="e">
        <f t="shared" si="175"/>
        <v>#DIV/0!</v>
      </c>
      <c r="CL274" s="187">
        <f t="shared" si="176"/>
        <v>0</v>
      </c>
      <c r="CM274" s="186">
        <f t="shared" si="177"/>
        <v>0</v>
      </c>
      <c r="CN274" s="185" t="e">
        <f t="shared" si="178"/>
        <v>#DIV/0!</v>
      </c>
      <c r="CO274" s="173"/>
      <c r="CP274" s="188">
        <f t="shared" si="179"/>
        <v>0</v>
      </c>
      <c r="CQ274" s="188">
        <f t="shared" si="180"/>
        <v>0</v>
      </c>
      <c r="CR274" s="191" t="e">
        <f t="shared" si="181"/>
        <v>#DIV/0!</v>
      </c>
      <c r="CS274" s="279">
        <f t="shared" si="196"/>
        <v>22</v>
      </c>
      <c r="CT274" s="173"/>
      <c r="CU274" s="188">
        <f t="shared" si="197"/>
        <v>6.6</v>
      </c>
      <c r="CV274" s="277"/>
      <c r="CW274" s="191">
        <f t="shared" si="198"/>
        <v>0</v>
      </c>
      <c r="CX274" s="188">
        <f t="shared" si="199"/>
        <v>6.6</v>
      </c>
      <c r="CY274" s="277"/>
      <c r="CZ274" s="191">
        <f t="shared" si="200"/>
        <v>0</v>
      </c>
      <c r="DA274" s="188">
        <f t="shared" si="201"/>
        <v>6.6</v>
      </c>
      <c r="DB274" s="277"/>
      <c r="DC274" s="191">
        <f t="shared" si="202"/>
        <v>0</v>
      </c>
      <c r="DD274" s="188">
        <f t="shared" si="203"/>
        <v>2.2000000000000002</v>
      </c>
      <c r="DE274" s="277"/>
      <c r="DF274" s="191">
        <f t="shared" si="204"/>
        <v>0</v>
      </c>
      <c r="DG274" s="173"/>
      <c r="DH274" s="188">
        <f t="shared" si="205"/>
        <v>22</v>
      </c>
      <c r="DI274" s="188">
        <f t="shared" si="206"/>
        <v>0</v>
      </c>
      <c r="DJ274" s="191">
        <f t="shared" si="207"/>
        <v>0</v>
      </c>
      <c r="DK274" s="286">
        <f t="shared" si="208"/>
        <v>22</v>
      </c>
    </row>
    <row r="275" spans="1:115" customFormat="1" ht="28" x14ac:dyDescent="0.35">
      <c r="A275" s="269">
        <v>272</v>
      </c>
      <c r="B275" s="26" t="s">
        <v>117</v>
      </c>
      <c r="C275" s="26" t="s">
        <v>118</v>
      </c>
      <c r="D275" s="26" t="s">
        <v>119</v>
      </c>
      <c r="E275" s="26" t="s">
        <v>120</v>
      </c>
      <c r="F275" s="26" t="s">
        <v>160</v>
      </c>
      <c r="G275" s="26" t="s">
        <v>122</v>
      </c>
      <c r="H275" s="26" t="s">
        <v>123</v>
      </c>
      <c r="I275" s="26" t="s">
        <v>153</v>
      </c>
      <c r="J275" s="26" t="s">
        <v>835</v>
      </c>
      <c r="K275" s="132" t="s">
        <v>104</v>
      </c>
      <c r="L275" s="132" t="s">
        <v>105</v>
      </c>
      <c r="M275" s="26" t="s">
        <v>106</v>
      </c>
      <c r="N275" s="26" t="s">
        <v>126</v>
      </c>
      <c r="O275" s="26" t="s">
        <v>127</v>
      </c>
      <c r="P275" s="243" t="s">
        <v>836</v>
      </c>
      <c r="Q275" s="26" t="s">
        <v>129</v>
      </c>
      <c r="R275" s="304">
        <v>100</v>
      </c>
      <c r="S275" s="26" t="s">
        <v>158</v>
      </c>
      <c r="T275" s="81">
        <v>0</v>
      </c>
      <c r="U275" s="81">
        <v>25</v>
      </c>
      <c r="V275" s="25" t="e">
        <f t="shared" si="143"/>
        <v>#DIV/0!</v>
      </c>
      <c r="W275" s="81">
        <v>30</v>
      </c>
      <c r="X275" s="81">
        <v>30</v>
      </c>
      <c r="Y275" s="25">
        <f t="shared" si="182"/>
        <v>100</v>
      </c>
      <c r="Z275" s="81">
        <v>40</v>
      </c>
      <c r="AA275" s="81"/>
      <c r="AB275" s="25">
        <f t="shared" si="183"/>
        <v>0</v>
      </c>
      <c r="AC275" s="81">
        <v>30</v>
      </c>
      <c r="AD275" s="81"/>
      <c r="AE275" s="25">
        <f t="shared" si="184"/>
        <v>0</v>
      </c>
      <c r="AF275" s="140">
        <f t="shared" si="168"/>
        <v>100</v>
      </c>
      <c r="AG275" s="140">
        <f t="shared" si="169"/>
        <v>55</v>
      </c>
      <c r="AH275" s="138">
        <f t="shared" si="125"/>
        <v>183.33333333333331</v>
      </c>
      <c r="AI275" s="113">
        <v>46054</v>
      </c>
      <c r="AJ275" s="113">
        <v>46387</v>
      </c>
      <c r="AK275" s="102" t="s">
        <v>676</v>
      </c>
      <c r="AL275" s="322"/>
      <c r="AM275" s="323"/>
      <c r="AN275" s="115">
        <v>162000364</v>
      </c>
      <c r="AO275" s="115">
        <v>162000364</v>
      </c>
      <c r="AP275" s="115">
        <v>162000364</v>
      </c>
      <c r="AQ275" s="326">
        <v>0</v>
      </c>
      <c r="AR275" s="102" t="s">
        <v>812</v>
      </c>
      <c r="AS275" s="102" t="s">
        <v>750</v>
      </c>
      <c r="AT275" s="152" t="s">
        <v>131</v>
      </c>
      <c r="AU275" s="166" t="s">
        <v>2264</v>
      </c>
      <c r="AV275" s="247" t="s">
        <v>2234</v>
      </c>
      <c r="AW275" s="136" t="s">
        <v>2258</v>
      </c>
      <c r="AX275" s="136" t="s">
        <v>2347</v>
      </c>
      <c r="AY275" s="136" t="s">
        <v>2376</v>
      </c>
      <c r="AZ275" s="271"/>
      <c r="BA275" s="272"/>
      <c r="BB275" s="273"/>
      <c r="BC275" s="209" t="e">
        <f t="shared" si="185"/>
        <v>#DIV/0!</v>
      </c>
      <c r="BD275" s="272"/>
      <c r="BE275" s="273"/>
      <c r="BF275" s="209" t="e">
        <f t="shared" si="186"/>
        <v>#DIV/0!</v>
      </c>
      <c r="BG275" s="272"/>
      <c r="BH275" s="273"/>
      <c r="BI275" s="209" t="e">
        <f t="shared" si="187"/>
        <v>#DIV/0!</v>
      </c>
      <c r="BJ275" s="210">
        <f t="shared" si="188"/>
        <v>0</v>
      </c>
      <c r="BK275" s="211">
        <f t="shared" si="189"/>
        <v>0</v>
      </c>
      <c r="BL275" s="209" t="e">
        <f t="shared" si="190"/>
        <v>#DIV/0!</v>
      </c>
      <c r="BM275" s="272"/>
      <c r="BN275" s="273"/>
      <c r="BO275" s="209" t="e">
        <f t="shared" si="170"/>
        <v>#DIV/0!</v>
      </c>
      <c r="BP275" s="272"/>
      <c r="BQ275" s="273"/>
      <c r="BR275" s="209" t="e">
        <f t="shared" si="171"/>
        <v>#DIV/0!</v>
      </c>
      <c r="BS275" s="272"/>
      <c r="BT275" s="272"/>
      <c r="BU275" s="209" t="e">
        <f t="shared" si="172"/>
        <v>#DIV/0!</v>
      </c>
      <c r="BV275" s="210">
        <f t="shared" si="191"/>
        <v>0</v>
      </c>
      <c r="BW275" s="210">
        <f t="shared" si="192"/>
        <v>0</v>
      </c>
      <c r="BX275" s="209" t="e">
        <f t="shared" si="193"/>
        <v>#DIV/0!</v>
      </c>
      <c r="BY275" s="209">
        <f t="shared" si="194"/>
        <v>0</v>
      </c>
      <c r="BZ275" s="209">
        <f t="shared" si="195"/>
        <v>0</v>
      </c>
      <c r="CA275" s="212"/>
      <c r="CB275" s="173"/>
      <c r="CC275" s="183"/>
      <c r="CD275" s="184"/>
      <c r="CE275" s="185" t="e">
        <f t="shared" si="173"/>
        <v>#DIV/0!</v>
      </c>
      <c r="CF275" s="183"/>
      <c r="CG275" s="184"/>
      <c r="CH275" s="185" t="e">
        <f t="shared" si="174"/>
        <v>#DIV/0!</v>
      </c>
      <c r="CI275" s="189"/>
      <c r="CJ275" s="190"/>
      <c r="CK275" s="185" t="e">
        <f t="shared" si="175"/>
        <v>#DIV/0!</v>
      </c>
      <c r="CL275" s="187">
        <f t="shared" si="176"/>
        <v>0</v>
      </c>
      <c r="CM275" s="186">
        <f t="shared" si="177"/>
        <v>0</v>
      </c>
      <c r="CN275" s="185" t="e">
        <f t="shared" si="178"/>
        <v>#DIV/0!</v>
      </c>
      <c r="CO275" s="173"/>
      <c r="CP275" s="188">
        <f t="shared" si="179"/>
        <v>0</v>
      </c>
      <c r="CQ275" s="188">
        <f t="shared" si="180"/>
        <v>0</v>
      </c>
      <c r="CR275" s="191" t="e">
        <f t="shared" si="181"/>
        <v>#DIV/0!</v>
      </c>
      <c r="CS275" s="279">
        <f t="shared" si="196"/>
        <v>100</v>
      </c>
      <c r="CT275" s="173"/>
      <c r="CU275" s="188">
        <f t="shared" si="197"/>
        <v>30</v>
      </c>
      <c r="CV275" s="277"/>
      <c r="CW275" s="191">
        <f t="shared" si="198"/>
        <v>0</v>
      </c>
      <c r="CX275" s="188">
        <f t="shared" si="199"/>
        <v>30</v>
      </c>
      <c r="CY275" s="277"/>
      <c r="CZ275" s="191">
        <f t="shared" si="200"/>
        <v>0</v>
      </c>
      <c r="DA275" s="188">
        <f t="shared" si="201"/>
        <v>30</v>
      </c>
      <c r="DB275" s="277"/>
      <c r="DC275" s="191">
        <f t="shared" si="202"/>
        <v>0</v>
      </c>
      <c r="DD275" s="188">
        <f t="shared" si="203"/>
        <v>10</v>
      </c>
      <c r="DE275" s="277"/>
      <c r="DF275" s="191">
        <f t="shared" si="204"/>
        <v>0</v>
      </c>
      <c r="DG275" s="173"/>
      <c r="DH275" s="188">
        <f t="shared" si="205"/>
        <v>100</v>
      </c>
      <c r="DI275" s="188">
        <f t="shared" si="206"/>
        <v>0</v>
      </c>
      <c r="DJ275" s="191">
        <f t="shared" si="207"/>
        <v>0</v>
      </c>
      <c r="DK275" s="286">
        <f t="shared" si="208"/>
        <v>100</v>
      </c>
    </row>
    <row r="276" spans="1:115" customFormat="1" x14ac:dyDescent="0.35">
      <c r="A276" s="269">
        <v>273</v>
      </c>
      <c r="B276" s="116" t="s">
        <v>270</v>
      </c>
      <c r="C276" s="116" t="s">
        <v>118</v>
      </c>
      <c r="D276" s="116" t="s">
        <v>119</v>
      </c>
      <c r="E276" s="116" t="s">
        <v>155</v>
      </c>
      <c r="F276" s="116" t="s">
        <v>412</v>
      </c>
      <c r="G276" s="116" t="s">
        <v>405</v>
      </c>
      <c r="H276" s="116" t="s">
        <v>406</v>
      </c>
      <c r="I276" s="116" t="s">
        <v>413</v>
      </c>
      <c r="J276" s="116" t="s">
        <v>837</v>
      </c>
      <c r="K276" s="133" t="s">
        <v>104</v>
      </c>
      <c r="L276" s="133" t="s">
        <v>105</v>
      </c>
      <c r="M276" s="116" t="s">
        <v>106</v>
      </c>
      <c r="N276" s="116" t="s">
        <v>380</v>
      </c>
      <c r="O276" s="116" t="s">
        <v>127</v>
      </c>
      <c r="P276" s="116" t="s">
        <v>838</v>
      </c>
      <c r="Q276" s="116" t="s">
        <v>129</v>
      </c>
      <c r="R276" s="305">
        <v>1</v>
      </c>
      <c r="S276" s="116" t="s">
        <v>111</v>
      </c>
      <c r="T276" s="81">
        <v>1</v>
      </c>
      <c r="U276" s="81">
        <v>1</v>
      </c>
      <c r="V276" s="25">
        <f t="shared" si="143"/>
        <v>100</v>
      </c>
      <c r="W276" s="81">
        <v>1</v>
      </c>
      <c r="X276" s="81">
        <v>0</v>
      </c>
      <c r="Y276" s="25">
        <f t="shared" si="182"/>
        <v>0</v>
      </c>
      <c r="Z276" s="81">
        <v>29</v>
      </c>
      <c r="AA276" s="81"/>
      <c r="AB276" s="25">
        <f t="shared" si="183"/>
        <v>0</v>
      </c>
      <c r="AC276" s="81"/>
      <c r="AD276" s="81"/>
      <c r="AE276" s="25" t="e">
        <f t="shared" si="184"/>
        <v>#DIV/0!</v>
      </c>
      <c r="AF276" s="140">
        <f t="shared" si="168"/>
        <v>1</v>
      </c>
      <c r="AG276" s="140">
        <f t="shared" si="169"/>
        <v>1</v>
      </c>
      <c r="AH276" s="138">
        <f t="shared" si="125"/>
        <v>50</v>
      </c>
      <c r="AI276" s="113">
        <v>46054</v>
      </c>
      <c r="AJ276" s="113">
        <v>46387</v>
      </c>
      <c r="AK276" s="102" t="s">
        <v>676</v>
      </c>
      <c r="AL276" s="322"/>
      <c r="AM276" s="323"/>
      <c r="AN276" s="115">
        <v>25000000</v>
      </c>
      <c r="AO276" s="115">
        <v>25000000</v>
      </c>
      <c r="AP276" s="115">
        <v>25000000</v>
      </c>
      <c r="AQ276" s="105">
        <f>AO276</f>
        <v>25000000</v>
      </c>
      <c r="AR276" s="102" t="s">
        <v>812</v>
      </c>
      <c r="AS276" s="102" t="s">
        <v>750</v>
      </c>
      <c r="AT276" s="151" t="s">
        <v>661</v>
      </c>
      <c r="AU276" s="166" t="s">
        <v>2264</v>
      </c>
      <c r="AV276" s="275" t="s">
        <v>2234</v>
      </c>
      <c r="AW276" s="165" t="s">
        <v>2241</v>
      </c>
      <c r="AX276" s="136" t="s">
        <v>2357</v>
      </c>
      <c r="AY276" s="136" t="s">
        <v>2376</v>
      </c>
      <c r="AZ276" s="271"/>
      <c r="BA276" s="272"/>
      <c r="BB276" s="273"/>
      <c r="BC276" s="209" t="e">
        <f t="shared" si="185"/>
        <v>#DIV/0!</v>
      </c>
      <c r="BD276" s="272"/>
      <c r="BE276" s="273"/>
      <c r="BF276" s="209" t="e">
        <f t="shared" si="186"/>
        <v>#DIV/0!</v>
      </c>
      <c r="BG276" s="272"/>
      <c r="BH276" s="273"/>
      <c r="BI276" s="209" t="e">
        <f t="shared" si="187"/>
        <v>#DIV/0!</v>
      </c>
      <c r="BJ276" s="210">
        <f t="shared" si="188"/>
        <v>0</v>
      </c>
      <c r="BK276" s="211">
        <f t="shared" si="189"/>
        <v>0</v>
      </c>
      <c r="BL276" s="209" t="e">
        <f t="shared" si="190"/>
        <v>#DIV/0!</v>
      </c>
      <c r="BM276" s="272"/>
      <c r="BN276" s="273"/>
      <c r="BO276" s="209" t="e">
        <f t="shared" si="170"/>
        <v>#DIV/0!</v>
      </c>
      <c r="BP276" s="272"/>
      <c r="BQ276" s="273"/>
      <c r="BR276" s="209" t="e">
        <f t="shared" si="171"/>
        <v>#DIV/0!</v>
      </c>
      <c r="BS276" s="272"/>
      <c r="BT276" s="272"/>
      <c r="BU276" s="209" t="e">
        <f t="shared" si="172"/>
        <v>#DIV/0!</v>
      </c>
      <c r="BV276" s="210">
        <f t="shared" si="191"/>
        <v>0</v>
      </c>
      <c r="BW276" s="210">
        <f t="shared" si="192"/>
        <v>0</v>
      </c>
      <c r="BX276" s="209" t="e">
        <f t="shared" si="193"/>
        <v>#DIV/0!</v>
      </c>
      <c r="BY276" s="209">
        <f t="shared" si="194"/>
        <v>0</v>
      </c>
      <c r="BZ276" s="209">
        <f t="shared" si="195"/>
        <v>0</v>
      </c>
      <c r="CA276" s="212"/>
      <c r="CB276" s="173"/>
      <c r="CC276" s="183"/>
      <c r="CD276" s="184"/>
      <c r="CE276" s="185" t="e">
        <f t="shared" si="173"/>
        <v>#DIV/0!</v>
      </c>
      <c r="CF276" s="183"/>
      <c r="CG276" s="184"/>
      <c r="CH276" s="185" t="e">
        <f t="shared" si="174"/>
        <v>#DIV/0!</v>
      </c>
      <c r="CI276" s="189"/>
      <c r="CJ276" s="190"/>
      <c r="CK276" s="185" t="e">
        <f t="shared" si="175"/>
        <v>#DIV/0!</v>
      </c>
      <c r="CL276" s="187">
        <f t="shared" si="176"/>
        <v>0</v>
      </c>
      <c r="CM276" s="186">
        <f t="shared" si="177"/>
        <v>0</v>
      </c>
      <c r="CN276" s="185" t="e">
        <f t="shared" si="178"/>
        <v>#DIV/0!</v>
      </c>
      <c r="CO276" s="173"/>
      <c r="CP276" s="188">
        <f t="shared" si="179"/>
        <v>0</v>
      </c>
      <c r="CQ276" s="188">
        <f t="shared" si="180"/>
        <v>0</v>
      </c>
      <c r="CR276" s="191" t="e">
        <f t="shared" si="181"/>
        <v>#DIV/0!</v>
      </c>
      <c r="CS276" s="279">
        <f t="shared" si="196"/>
        <v>1</v>
      </c>
      <c r="CT276" s="173"/>
      <c r="CU276" s="188">
        <f t="shared" si="197"/>
        <v>0.3</v>
      </c>
      <c r="CV276" s="277"/>
      <c r="CW276" s="191">
        <f t="shared" si="198"/>
        <v>0</v>
      </c>
      <c r="CX276" s="188">
        <f t="shared" si="199"/>
        <v>0.3</v>
      </c>
      <c r="CY276" s="277"/>
      <c r="CZ276" s="191">
        <f t="shared" si="200"/>
        <v>0</v>
      </c>
      <c r="DA276" s="188">
        <f t="shared" si="201"/>
        <v>0.3</v>
      </c>
      <c r="DB276" s="277"/>
      <c r="DC276" s="191">
        <f t="shared" si="202"/>
        <v>0</v>
      </c>
      <c r="DD276" s="188">
        <f t="shared" si="203"/>
        <v>0.1</v>
      </c>
      <c r="DE276" s="277"/>
      <c r="DF276" s="191">
        <f t="shared" si="204"/>
        <v>0</v>
      </c>
      <c r="DG276" s="173"/>
      <c r="DH276" s="188">
        <f t="shared" si="205"/>
        <v>1</v>
      </c>
      <c r="DI276" s="188">
        <f t="shared" si="206"/>
        <v>0</v>
      </c>
      <c r="DJ276" s="191">
        <f t="shared" si="207"/>
        <v>0</v>
      </c>
      <c r="DK276" s="286">
        <f t="shared" si="208"/>
        <v>1</v>
      </c>
    </row>
    <row r="277" spans="1:115" customFormat="1" x14ac:dyDescent="0.35">
      <c r="A277" s="269">
        <v>274</v>
      </c>
      <c r="B277" s="116" t="s">
        <v>270</v>
      </c>
      <c r="C277" s="116" t="s">
        <v>118</v>
      </c>
      <c r="D277" s="116" t="s">
        <v>119</v>
      </c>
      <c r="E277" s="116" t="s">
        <v>155</v>
      </c>
      <c r="F277" s="116" t="s">
        <v>412</v>
      </c>
      <c r="G277" s="116" t="s">
        <v>405</v>
      </c>
      <c r="H277" s="116" t="s">
        <v>406</v>
      </c>
      <c r="I277" s="116" t="s">
        <v>413</v>
      </c>
      <c r="J277" s="116" t="s">
        <v>837</v>
      </c>
      <c r="K277" s="133" t="s">
        <v>104</v>
      </c>
      <c r="L277" s="133" t="s">
        <v>105</v>
      </c>
      <c r="M277" s="116" t="s">
        <v>106</v>
      </c>
      <c r="N277" s="116" t="s">
        <v>380</v>
      </c>
      <c r="O277" s="116" t="s">
        <v>127</v>
      </c>
      <c r="P277" s="328" t="s">
        <v>839</v>
      </c>
      <c r="Q277" s="116" t="s">
        <v>129</v>
      </c>
      <c r="R277" s="305">
        <v>4</v>
      </c>
      <c r="S277" s="116" t="s">
        <v>111</v>
      </c>
      <c r="T277" s="81">
        <v>1</v>
      </c>
      <c r="U277" s="81">
        <v>1</v>
      </c>
      <c r="V277" s="25">
        <f t="shared" si="143"/>
        <v>100</v>
      </c>
      <c r="W277" s="81">
        <v>1</v>
      </c>
      <c r="X277" s="81">
        <v>0</v>
      </c>
      <c r="Y277" s="25">
        <f t="shared" si="182"/>
        <v>0</v>
      </c>
      <c r="Z277" s="81">
        <v>1</v>
      </c>
      <c r="AA277" s="81"/>
      <c r="AB277" s="25">
        <f t="shared" si="183"/>
        <v>0</v>
      </c>
      <c r="AC277" s="81">
        <v>1</v>
      </c>
      <c r="AD277" s="81"/>
      <c r="AE277" s="25">
        <f t="shared" si="184"/>
        <v>0</v>
      </c>
      <c r="AF277" s="140">
        <f t="shared" si="168"/>
        <v>4</v>
      </c>
      <c r="AG277" s="140">
        <f t="shared" si="169"/>
        <v>1</v>
      </c>
      <c r="AH277" s="138">
        <f t="shared" si="125"/>
        <v>50</v>
      </c>
      <c r="AI277" s="113">
        <v>46054</v>
      </c>
      <c r="AJ277" s="113">
        <v>46387</v>
      </c>
      <c r="AK277" s="102" t="s">
        <v>676</v>
      </c>
      <c r="AL277" s="322"/>
      <c r="AM277" s="323"/>
      <c r="AN277" s="115">
        <v>50000000</v>
      </c>
      <c r="AO277" s="115">
        <v>50000000</v>
      </c>
      <c r="AP277" s="115">
        <v>50000000</v>
      </c>
      <c r="AQ277" s="105">
        <f>AO277</f>
        <v>50000000</v>
      </c>
      <c r="AR277" s="102" t="s">
        <v>812</v>
      </c>
      <c r="AS277" s="102" t="s">
        <v>750</v>
      </c>
      <c r="AT277" s="151" t="s">
        <v>661</v>
      </c>
      <c r="AU277" s="166" t="s">
        <v>2264</v>
      </c>
      <c r="AV277" s="275" t="s">
        <v>2234</v>
      </c>
      <c r="AW277" s="165" t="s">
        <v>2241</v>
      </c>
      <c r="AX277" s="136" t="s">
        <v>2357</v>
      </c>
      <c r="AY277" s="136" t="s">
        <v>2376</v>
      </c>
      <c r="AZ277" s="271"/>
      <c r="BA277" s="272"/>
      <c r="BB277" s="273"/>
      <c r="BC277" s="209" t="e">
        <f t="shared" si="185"/>
        <v>#DIV/0!</v>
      </c>
      <c r="BD277" s="272"/>
      <c r="BE277" s="273"/>
      <c r="BF277" s="209" t="e">
        <f t="shared" si="186"/>
        <v>#DIV/0!</v>
      </c>
      <c r="BG277" s="272"/>
      <c r="BH277" s="273"/>
      <c r="BI277" s="209" t="e">
        <f t="shared" si="187"/>
        <v>#DIV/0!</v>
      </c>
      <c r="BJ277" s="210">
        <f t="shared" si="188"/>
        <v>0</v>
      </c>
      <c r="BK277" s="211">
        <f t="shared" si="189"/>
        <v>0</v>
      </c>
      <c r="BL277" s="209" t="e">
        <f t="shared" si="190"/>
        <v>#DIV/0!</v>
      </c>
      <c r="BM277" s="272"/>
      <c r="BN277" s="273"/>
      <c r="BO277" s="209" t="e">
        <f t="shared" si="170"/>
        <v>#DIV/0!</v>
      </c>
      <c r="BP277" s="272"/>
      <c r="BQ277" s="273"/>
      <c r="BR277" s="209" t="e">
        <f t="shared" si="171"/>
        <v>#DIV/0!</v>
      </c>
      <c r="BS277" s="272"/>
      <c r="BT277" s="272"/>
      <c r="BU277" s="209" t="e">
        <f t="shared" si="172"/>
        <v>#DIV/0!</v>
      </c>
      <c r="BV277" s="210">
        <f t="shared" si="191"/>
        <v>0</v>
      </c>
      <c r="BW277" s="210">
        <f t="shared" si="192"/>
        <v>0</v>
      </c>
      <c r="BX277" s="209" t="e">
        <f t="shared" si="193"/>
        <v>#DIV/0!</v>
      </c>
      <c r="BY277" s="209">
        <f t="shared" si="194"/>
        <v>0</v>
      </c>
      <c r="BZ277" s="209">
        <f t="shared" si="195"/>
        <v>0</v>
      </c>
      <c r="CA277" s="212"/>
      <c r="CB277" s="173"/>
      <c r="CC277" s="183"/>
      <c r="CD277" s="184"/>
      <c r="CE277" s="185" t="e">
        <f t="shared" si="173"/>
        <v>#DIV/0!</v>
      </c>
      <c r="CF277" s="183"/>
      <c r="CG277" s="184"/>
      <c r="CH277" s="185" t="e">
        <f t="shared" si="174"/>
        <v>#DIV/0!</v>
      </c>
      <c r="CI277" s="189"/>
      <c r="CJ277" s="190"/>
      <c r="CK277" s="185" t="e">
        <f t="shared" si="175"/>
        <v>#DIV/0!</v>
      </c>
      <c r="CL277" s="187">
        <f t="shared" si="176"/>
        <v>0</v>
      </c>
      <c r="CM277" s="186">
        <f t="shared" si="177"/>
        <v>0</v>
      </c>
      <c r="CN277" s="185" t="e">
        <f t="shared" si="178"/>
        <v>#DIV/0!</v>
      </c>
      <c r="CO277" s="173"/>
      <c r="CP277" s="188">
        <f t="shared" si="179"/>
        <v>0</v>
      </c>
      <c r="CQ277" s="188">
        <f t="shared" si="180"/>
        <v>0</v>
      </c>
      <c r="CR277" s="191" t="e">
        <f t="shared" si="181"/>
        <v>#DIV/0!</v>
      </c>
      <c r="CS277" s="279">
        <f t="shared" si="196"/>
        <v>4</v>
      </c>
      <c r="CT277" s="173"/>
      <c r="CU277" s="188">
        <f t="shared" si="197"/>
        <v>1.2</v>
      </c>
      <c r="CV277" s="277"/>
      <c r="CW277" s="191">
        <f t="shared" si="198"/>
        <v>0</v>
      </c>
      <c r="CX277" s="188">
        <f t="shared" si="199"/>
        <v>1.2</v>
      </c>
      <c r="CY277" s="277"/>
      <c r="CZ277" s="191">
        <f t="shared" si="200"/>
        <v>0</v>
      </c>
      <c r="DA277" s="188">
        <f t="shared" si="201"/>
        <v>1.2</v>
      </c>
      <c r="DB277" s="277"/>
      <c r="DC277" s="191">
        <f t="shared" si="202"/>
        <v>0</v>
      </c>
      <c r="DD277" s="188">
        <f t="shared" si="203"/>
        <v>0.4</v>
      </c>
      <c r="DE277" s="277"/>
      <c r="DF277" s="191">
        <f t="shared" si="204"/>
        <v>0</v>
      </c>
      <c r="DG277" s="173"/>
      <c r="DH277" s="188">
        <f t="shared" si="205"/>
        <v>4</v>
      </c>
      <c r="DI277" s="188">
        <f t="shared" si="206"/>
        <v>0</v>
      </c>
      <c r="DJ277" s="191">
        <f t="shared" si="207"/>
        <v>0</v>
      </c>
      <c r="DK277" s="286">
        <f t="shared" si="208"/>
        <v>4</v>
      </c>
    </row>
    <row r="278" spans="1:115" customFormat="1" ht="28" x14ac:dyDescent="0.35">
      <c r="A278" s="269">
        <v>275</v>
      </c>
      <c r="B278" s="26" t="s">
        <v>840</v>
      </c>
      <c r="C278" s="26" t="s">
        <v>118</v>
      </c>
      <c r="D278" s="26" t="s">
        <v>119</v>
      </c>
      <c r="E278" s="26" t="s">
        <v>155</v>
      </c>
      <c r="F278" s="26" t="s">
        <v>160</v>
      </c>
      <c r="G278" s="26" t="s">
        <v>122</v>
      </c>
      <c r="H278" s="26" t="s">
        <v>123</v>
      </c>
      <c r="I278" s="26" t="s">
        <v>124</v>
      </c>
      <c r="J278" s="97" t="s">
        <v>835</v>
      </c>
      <c r="K278" s="132" t="s">
        <v>104</v>
      </c>
      <c r="L278" s="132" t="s">
        <v>105</v>
      </c>
      <c r="M278" s="26" t="s">
        <v>106</v>
      </c>
      <c r="N278" s="26" t="s">
        <v>126</v>
      </c>
      <c r="O278" s="26" t="s">
        <v>127</v>
      </c>
      <c r="P278" s="243" t="s">
        <v>841</v>
      </c>
      <c r="Q278" s="26" t="s">
        <v>129</v>
      </c>
      <c r="R278" s="304">
        <v>1</v>
      </c>
      <c r="S278" s="26" t="s">
        <v>842</v>
      </c>
      <c r="T278" s="81">
        <v>0</v>
      </c>
      <c r="U278" s="81"/>
      <c r="V278" s="25" t="e">
        <f t="shared" si="143"/>
        <v>#DIV/0!</v>
      </c>
      <c r="W278" s="81">
        <v>1</v>
      </c>
      <c r="X278" s="81"/>
      <c r="Y278" s="25">
        <f t="shared" si="182"/>
        <v>0</v>
      </c>
      <c r="Z278" s="81"/>
      <c r="AA278" s="81"/>
      <c r="AB278" s="25" t="e">
        <f t="shared" si="183"/>
        <v>#DIV/0!</v>
      </c>
      <c r="AC278" s="81">
        <v>22</v>
      </c>
      <c r="AD278" s="81"/>
      <c r="AE278" s="25">
        <f t="shared" si="184"/>
        <v>0</v>
      </c>
      <c r="AF278" s="140">
        <f t="shared" si="168"/>
        <v>1</v>
      </c>
      <c r="AG278" s="140">
        <f t="shared" si="169"/>
        <v>0</v>
      </c>
      <c r="AH278" s="138">
        <f t="shared" si="125"/>
        <v>0</v>
      </c>
      <c r="AI278" s="113">
        <v>46054</v>
      </c>
      <c r="AJ278" s="113">
        <v>46387</v>
      </c>
      <c r="AK278" s="102" t="s">
        <v>676</v>
      </c>
      <c r="AL278" s="322"/>
      <c r="AM278" s="323"/>
      <c r="AN278" s="104">
        <v>40000000</v>
      </c>
      <c r="AO278" s="104">
        <v>40000000</v>
      </c>
      <c r="AP278" s="104">
        <v>40000000</v>
      </c>
      <c r="AQ278" s="326">
        <v>0</v>
      </c>
      <c r="AR278" s="102" t="s">
        <v>812</v>
      </c>
      <c r="AS278" s="102" t="s">
        <v>750</v>
      </c>
      <c r="AT278" s="151" t="s">
        <v>628</v>
      </c>
      <c r="AU278" s="166" t="s">
        <v>2264</v>
      </c>
      <c r="AV278" s="247" t="s">
        <v>2234</v>
      </c>
      <c r="AW278" s="136" t="s">
        <v>2266</v>
      </c>
      <c r="AX278" s="136" t="s">
        <v>2363</v>
      </c>
      <c r="AY278" s="136" t="s">
        <v>2376</v>
      </c>
      <c r="AZ278" s="271"/>
      <c r="BA278" s="272"/>
      <c r="BB278" s="273"/>
      <c r="BC278" s="209" t="e">
        <f t="shared" si="185"/>
        <v>#DIV/0!</v>
      </c>
      <c r="BD278" s="272"/>
      <c r="BE278" s="273"/>
      <c r="BF278" s="209" t="e">
        <f t="shared" si="186"/>
        <v>#DIV/0!</v>
      </c>
      <c r="BG278" s="272"/>
      <c r="BH278" s="273"/>
      <c r="BI278" s="209" t="e">
        <f t="shared" si="187"/>
        <v>#DIV/0!</v>
      </c>
      <c r="BJ278" s="210">
        <f t="shared" si="188"/>
        <v>0</v>
      </c>
      <c r="BK278" s="211">
        <f t="shared" si="189"/>
        <v>0</v>
      </c>
      <c r="BL278" s="209" t="e">
        <f t="shared" si="190"/>
        <v>#DIV/0!</v>
      </c>
      <c r="BM278" s="272"/>
      <c r="BN278" s="273"/>
      <c r="BO278" s="209" t="e">
        <f t="shared" si="170"/>
        <v>#DIV/0!</v>
      </c>
      <c r="BP278" s="272"/>
      <c r="BQ278" s="273"/>
      <c r="BR278" s="209" t="e">
        <f t="shared" si="171"/>
        <v>#DIV/0!</v>
      </c>
      <c r="BS278" s="272"/>
      <c r="BT278" s="272"/>
      <c r="BU278" s="209" t="e">
        <f t="shared" si="172"/>
        <v>#DIV/0!</v>
      </c>
      <c r="BV278" s="210">
        <f t="shared" si="191"/>
        <v>0</v>
      </c>
      <c r="BW278" s="210">
        <f t="shared" si="192"/>
        <v>0</v>
      </c>
      <c r="BX278" s="209" t="e">
        <f t="shared" si="193"/>
        <v>#DIV/0!</v>
      </c>
      <c r="BY278" s="209">
        <f t="shared" si="194"/>
        <v>0</v>
      </c>
      <c r="BZ278" s="209">
        <f t="shared" si="195"/>
        <v>0</v>
      </c>
      <c r="CA278" s="212"/>
      <c r="CB278" s="173"/>
      <c r="CC278" s="183"/>
      <c r="CD278" s="184"/>
      <c r="CE278" s="185" t="e">
        <f t="shared" si="173"/>
        <v>#DIV/0!</v>
      </c>
      <c r="CF278" s="183"/>
      <c r="CG278" s="184"/>
      <c r="CH278" s="185" t="e">
        <f t="shared" si="174"/>
        <v>#DIV/0!</v>
      </c>
      <c r="CI278" s="189"/>
      <c r="CJ278" s="190"/>
      <c r="CK278" s="185" t="e">
        <f t="shared" si="175"/>
        <v>#DIV/0!</v>
      </c>
      <c r="CL278" s="187">
        <f t="shared" si="176"/>
        <v>0</v>
      </c>
      <c r="CM278" s="186">
        <f t="shared" si="177"/>
        <v>0</v>
      </c>
      <c r="CN278" s="185" t="e">
        <f t="shared" si="178"/>
        <v>#DIV/0!</v>
      </c>
      <c r="CO278" s="173"/>
      <c r="CP278" s="188">
        <f t="shared" si="179"/>
        <v>0</v>
      </c>
      <c r="CQ278" s="188">
        <f t="shared" si="180"/>
        <v>0</v>
      </c>
      <c r="CR278" s="191" t="e">
        <f t="shared" si="181"/>
        <v>#DIV/0!</v>
      </c>
      <c r="CS278" s="279">
        <f t="shared" si="196"/>
        <v>1</v>
      </c>
      <c r="CT278" s="173"/>
      <c r="CU278" s="188">
        <f t="shared" si="197"/>
        <v>0.3</v>
      </c>
      <c r="CV278" s="277"/>
      <c r="CW278" s="191">
        <f t="shared" si="198"/>
        <v>0</v>
      </c>
      <c r="CX278" s="188">
        <f t="shared" si="199"/>
        <v>0.3</v>
      </c>
      <c r="CY278" s="277"/>
      <c r="CZ278" s="191">
        <f t="shared" si="200"/>
        <v>0</v>
      </c>
      <c r="DA278" s="188">
        <f t="shared" si="201"/>
        <v>0.3</v>
      </c>
      <c r="DB278" s="277"/>
      <c r="DC278" s="191">
        <f t="shared" si="202"/>
        <v>0</v>
      </c>
      <c r="DD278" s="188">
        <f t="shared" si="203"/>
        <v>0.1</v>
      </c>
      <c r="DE278" s="277"/>
      <c r="DF278" s="191">
        <f t="shared" si="204"/>
        <v>0</v>
      </c>
      <c r="DG278" s="173"/>
      <c r="DH278" s="188">
        <f t="shared" si="205"/>
        <v>1</v>
      </c>
      <c r="DI278" s="188">
        <f t="shared" si="206"/>
        <v>0</v>
      </c>
      <c r="DJ278" s="191">
        <f t="shared" si="207"/>
        <v>0</v>
      </c>
      <c r="DK278" s="286">
        <f t="shared" si="208"/>
        <v>1</v>
      </c>
    </row>
    <row r="279" spans="1:115" x14ac:dyDescent="0.35">
      <c r="A279" s="114">
        <v>276</v>
      </c>
      <c r="B279" s="117" t="s">
        <v>270</v>
      </c>
      <c r="C279" s="26" t="s">
        <v>118</v>
      </c>
      <c r="D279" s="26" t="s">
        <v>155</v>
      </c>
      <c r="E279" s="118" t="s">
        <v>569</v>
      </c>
      <c r="F279" s="119" t="s">
        <v>268</v>
      </c>
      <c r="G279" s="26" t="s">
        <v>122</v>
      </c>
      <c r="H279" s="26" t="s">
        <v>123</v>
      </c>
      <c r="I279" s="117" t="s">
        <v>103</v>
      </c>
      <c r="J279" s="117" t="s">
        <v>103</v>
      </c>
      <c r="K279" s="134" t="s">
        <v>104</v>
      </c>
      <c r="L279" s="135" t="s">
        <v>105</v>
      </c>
      <c r="M279" s="26" t="s">
        <v>106</v>
      </c>
      <c r="N279" s="120" t="s">
        <v>573</v>
      </c>
      <c r="O279" s="121" t="s">
        <v>659</v>
      </c>
      <c r="P279" s="181" t="s">
        <v>843</v>
      </c>
      <c r="Q279" s="26" t="s">
        <v>129</v>
      </c>
      <c r="R279" s="306">
        <v>29</v>
      </c>
      <c r="S279" s="122" t="s">
        <v>111</v>
      </c>
      <c r="T279" s="81">
        <v>3</v>
      </c>
      <c r="U279" s="81">
        <v>3</v>
      </c>
      <c r="V279" s="25">
        <f t="shared" si="143"/>
        <v>100</v>
      </c>
      <c r="W279" s="81">
        <v>4</v>
      </c>
      <c r="X279" s="81">
        <v>18</v>
      </c>
      <c r="Y279" s="25">
        <f t="shared" si="182"/>
        <v>450</v>
      </c>
      <c r="Z279" s="81">
        <v>11</v>
      </c>
      <c r="AA279" s="81"/>
      <c r="AB279" s="25">
        <f t="shared" si="183"/>
        <v>0</v>
      </c>
      <c r="AC279" s="81">
        <v>11</v>
      </c>
      <c r="AD279" s="81"/>
      <c r="AE279" s="25">
        <f t="shared" si="184"/>
        <v>0</v>
      </c>
      <c r="AF279" s="140">
        <f t="shared" si="168"/>
        <v>29</v>
      </c>
      <c r="AG279" s="140">
        <f t="shared" si="169"/>
        <v>21</v>
      </c>
      <c r="AH279" s="138">
        <f t="shared" si="125"/>
        <v>300</v>
      </c>
      <c r="AI279" s="113">
        <v>46054</v>
      </c>
      <c r="AJ279" s="113">
        <v>46387</v>
      </c>
      <c r="AK279" s="102"/>
      <c r="AL279" s="322"/>
      <c r="AM279" s="323"/>
      <c r="AN279" s="324"/>
      <c r="AO279" s="324"/>
      <c r="AP279" s="324"/>
      <c r="AQ279" s="326"/>
      <c r="AR279" s="102" t="s">
        <v>2219</v>
      </c>
      <c r="AS279" s="102" t="s">
        <v>112</v>
      </c>
      <c r="AT279" s="178" t="s">
        <v>509</v>
      </c>
      <c r="AU279" s="166" t="s">
        <v>2264</v>
      </c>
      <c r="AV279" s="246" t="s">
        <v>2317</v>
      </c>
      <c r="AX279" s="177" t="s">
        <v>2318</v>
      </c>
      <c r="AY279" s="136" t="s">
        <v>2376</v>
      </c>
      <c r="AZ279" s="270" t="s">
        <v>2370</v>
      </c>
      <c r="BA279" s="183">
        <v>0</v>
      </c>
      <c r="BB279" s="184">
        <v>0</v>
      </c>
      <c r="BC279" s="209" t="e">
        <f t="shared" si="185"/>
        <v>#DIV/0!</v>
      </c>
      <c r="BD279" s="183">
        <v>0</v>
      </c>
      <c r="BE279" s="184">
        <v>0</v>
      </c>
      <c r="BF279" s="209" t="e">
        <f t="shared" si="186"/>
        <v>#DIV/0!</v>
      </c>
      <c r="BG279" s="183">
        <v>3</v>
      </c>
      <c r="BH279" s="184">
        <v>3</v>
      </c>
      <c r="BI279" s="209">
        <f t="shared" si="187"/>
        <v>1</v>
      </c>
      <c r="BJ279" s="210">
        <f t="shared" si="188"/>
        <v>3</v>
      </c>
      <c r="BK279" s="211">
        <f t="shared" si="189"/>
        <v>3</v>
      </c>
      <c r="BL279" s="209">
        <f t="shared" si="190"/>
        <v>1</v>
      </c>
      <c r="BM279" s="183">
        <v>5</v>
      </c>
      <c r="BN279" s="184">
        <v>5</v>
      </c>
      <c r="BO279" s="185">
        <f t="shared" si="170"/>
        <v>1</v>
      </c>
      <c r="BP279" s="183">
        <v>3</v>
      </c>
      <c r="BQ279" s="184">
        <v>3</v>
      </c>
      <c r="BR279" s="185">
        <f t="shared" si="171"/>
        <v>1</v>
      </c>
      <c r="BS279" s="183">
        <v>3</v>
      </c>
      <c r="BT279" s="184">
        <v>3</v>
      </c>
      <c r="BU279" s="185">
        <f t="shared" si="172"/>
        <v>1</v>
      </c>
      <c r="BV279" s="210">
        <f t="shared" si="191"/>
        <v>11</v>
      </c>
      <c r="BW279" s="210">
        <f t="shared" si="192"/>
        <v>11</v>
      </c>
      <c r="BX279" s="209">
        <f t="shared" si="193"/>
        <v>1</v>
      </c>
      <c r="BY279" s="209">
        <f t="shared" si="194"/>
        <v>0.48275862068965519</v>
      </c>
      <c r="BZ279" s="209">
        <f t="shared" si="195"/>
        <v>-0.48275862068965519</v>
      </c>
      <c r="CA279" s="188"/>
      <c r="CB279" s="245"/>
      <c r="CC279" s="183">
        <v>0</v>
      </c>
      <c r="CD279" s="184">
        <v>0</v>
      </c>
      <c r="CE279" s="185" t="e">
        <f t="shared" si="173"/>
        <v>#DIV/0!</v>
      </c>
      <c r="CF279" s="183">
        <v>0</v>
      </c>
      <c r="CG279" s="184">
        <v>0</v>
      </c>
      <c r="CH279" s="185" t="e">
        <f t="shared" si="174"/>
        <v>#DIV/0!</v>
      </c>
      <c r="CI279" s="189"/>
      <c r="CJ279" s="190"/>
      <c r="CK279" s="185" t="e">
        <f t="shared" si="175"/>
        <v>#DIV/0!</v>
      </c>
      <c r="CL279" s="187">
        <f t="shared" si="176"/>
        <v>0</v>
      </c>
      <c r="CM279" s="186">
        <f t="shared" si="177"/>
        <v>0</v>
      </c>
      <c r="CN279" s="185" t="e">
        <f t="shared" si="178"/>
        <v>#DIV/0!</v>
      </c>
      <c r="CO279" s="245"/>
      <c r="CP279" s="188">
        <f t="shared" si="179"/>
        <v>14</v>
      </c>
      <c r="CQ279" s="188">
        <f t="shared" si="180"/>
        <v>14</v>
      </c>
      <c r="CR279" s="191">
        <f t="shared" si="181"/>
        <v>1</v>
      </c>
      <c r="CS279" s="279">
        <f t="shared" si="196"/>
        <v>15</v>
      </c>
      <c r="CT279" s="245"/>
      <c r="CU279" s="188">
        <f t="shared" si="197"/>
        <v>4.5</v>
      </c>
      <c r="CV279" s="277"/>
      <c r="CW279" s="191">
        <f t="shared" si="198"/>
        <v>0</v>
      </c>
      <c r="CX279" s="188">
        <f t="shared" si="199"/>
        <v>4.5</v>
      </c>
      <c r="CY279" s="277"/>
      <c r="CZ279" s="191">
        <f t="shared" si="200"/>
        <v>0</v>
      </c>
      <c r="DA279" s="188">
        <f t="shared" si="201"/>
        <v>4.5</v>
      </c>
      <c r="DB279" s="277"/>
      <c r="DC279" s="191">
        <f t="shared" si="202"/>
        <v>0</v>
      </c>
      <c r="DD279" s="188">
        <f t="shared" si="203"/>
        <v>1.5</v>
      </c>
      <c r="DE279" s="277"/>
      <c r="DF279" s="191">
        <f t="shared" si="204"/>
        <v>0</v>
      </c>
      <c r="DG279" s="245"/>
      <c r="DH279" s="188">
        <f t="shared" si="205"/>
        <v>29</v>
      </c>
      <c r="DI279" s="188">
        <f t="shared" si="206"/>
        <v>14</v>
      </c>
      <c r="DJ279" s="191">
        <f t="shared" si="207"/>
        <v>0.48275862068965519</v>
      </c>
      <c r="DK279" s="286">
        <f t="shared" si="208"/>
        <v>15</v>
      </c>
    </row>
    <row r="280" spans="1:115" x14ac:dyDescent="0.35">
      <c r="A280" s="114">
        <v>277</v>
      </c>
      <c r="B280" s="117" t="s">
        <v>270</v>
      </c>
      <c r="C280" s="26" t="s">
        <v>118</v>
      </c>
      <c r="D280" s="26" t="s">
        <v>155</v>
      </c>
      <c r="E280" s="118" t="s">
        <v>569</v>
      </c>
      <c r="F280" s="123" t="s">
        <v>268</v>
      </c>
      <c r="G280" s="26" t="s">
        <v>122</v>
      </c>
      <c r="H280" s="26" t="s">
        <v>123</v>
      </c>
      <c r="I280" s="117" t="s">
        <v>103</v>
      </c>
      <c r="J280" s="117" t="s">
        <v>103</v>
      </c>
      <c r="K280" s="134" t="s">
        <v>104</v>
      </c>
      <c r="L280" s="135" t="s">
        <v>105</v>
      </c>
      <c r="M280" s="26" t="s">
        <v>106</v>
      </c>
      <c r="N280" s="124" t="s">
        <v>573</v>
      </c>
      <c r="O280" s="125" t="s">
        <v>659</v>
      </c>
      <c r="P280" s="182" t="s">
        <v>844</v>
      </c>
      <c r="Q280" s="126" t="s">
        <v>129</v>
      </c>
      <c r="R280" s="307">
        <v>29</v>
      </c>
      <c r="S280" s="122" t="s">
        <v>111</v>
      </c>
      <c r="T280" s="81">
        <v>3</v>
      </c>
      <c r="U280" s="81">
        <v>3</v>
      </c>
      <c r="V280" s="25">
        <f t="shared" si="143"/>
        <v>100</v>
      </c>
      <c r="W280" s="81">
        <v>4</v>
      </c>
      <c r="X280" s="81">
        <v>18</v>
      </c>
      <c r="Y280" s="25">
        <f t="shared" si="182"/>
        <v>450</v>
      </c>
      <c r="Z280" s="81">
        <v>11</v>
      </c>
      <c r="AA280" s="81"/>
      <c r="AB280" s="25">
        <f t="shared" si="183"/>
        <v>0</v>
      </c>
      <c r="AC280" s="81">
        <v>11</v>
      </c>
      <c r="AD280" s="81"/>
      <c r="AE280" s="25">
        <f t="shared" si="184"/>
        <v>0</v>
      </c>
      <c r="AF280" s="140">
        <f t="shared" ref="AF280" si="209">R280</f>
        <v>29</v>
      </c>
      <c r="AG280" s="140">
        <f t="shared" ref="AG280" si="210">U280+X280+AA280+AD280</f>
        <v>21</v>
      </c>
      <c r="AH280" s="138">
        <f t="shared" si="125"/>
        <v>300</v>
      </c>
      <c r="AI280" s="113">
        <v>46054</v>
      </c>
      <c r="AJ280" s="113">
        <v>46387</v>
      </c>
      <c r="AK280" s="102"/>
      <c r="AL280" s="322"/>
      <c r="AM280" s="323"/>
      <c r="AN280" s="324"/>
      <c r="AO280" s="324"/>
      <c r="AP280" s="324"/>
      <c r="AQ280" s="326"/>
      <c r="AR280" s="102" t="s">
        <v>2219</v>
      </c>
      <c r="AS280" s="102" t="s">
        <v>112</v>
      </c>
      <c r="AT280" s="178" t="s">
        <v>509</v>
      </c>
      <c r="AU280" s="166" t="s">
        <v>2264</v>
      </c>
      <c r="AV280" s="246" t="s">
        <v>2317</v>
      </c>
      <c r="AX280" s="177" t="s">
        <v>2318</v>
      </c>
      <c r="AY280" s="136" t="s">
        <v>2376</v>
      </c>
      <c r="AZ280" s="270" t="s">
        <v>2370</v>
      </c>
      <c r="BA280" s="183">
        <v>0</v>
      </c>
      <c r="BB280" s="184">
        <v>0</v>
      </c>
      <c r="BC280" s="209" t="e">
        <f t="shared" si="185"/>
        <v>#DIV/0!</v>
      </c>
      <c r="BD280" s="183">
        <v>0</v>
      </c>
      <c r="BE280" s="184">
        <v>0</v>
      </c>
      <c r="BF280" s="209" t="e">
        <f t="shared" si="186"/>
        <v>#DIV/0!</v>
      </c>
      <c r="BG280" s="183">
        <v>3</v>
      </c>
      <c r="BH280" s="184">
        <v>3</v>
      </c>
      <c r="BI280" s="209">
        <f t="shared" si="187"/>
        <v>1</v>
      </c>
      <c r="BJ280" s="210">
        <f t="shared" si="188"/>
        <v>3</v>
      </c>
      <c r="BK280" s="211">
        <f t="shared" si="189"/>
        <v>3</v>
      </c>
      <c r="BL280" s="209">
        <f t="shared" si="190"/>
        <v>1</v>
      </c>
      <c r="BM280" s="183">
        <v>5</v>
      </c>
      <c r="BN280" s="184">
        <v>5</v>
      </c>
      <c r="BO280" s="185">
        <f t="shared" ref="BO280:BO281" si="211">+BN280/BM280</f>
        <v>1</v>
      </c>
      <c r="BP280" s="183">
        <v>3</v>
      </c>
      <c r="BQ280" s="184">
        <v>3</v>
      </c>
      <c r="BR280" s="185">
        <f t="shared" ref="BR280:BR281" si="212">+BQ280/BP280</f>
        <v>1</v>
      </c>
      <c r="BS280" s="183">
        <v>3</v>
      </c>
      <c r="BT280" s="184">
        <v>3</v>
      </c>
      <c r="BU280" s="185">
        <f t="shared" ref="BU280:BU281" si="213">+BT280/BS280</f>
        <v>1</v>
      </c>
      <c r="BV280" s="210">
        <f t="shared" si="191"/>
        <v>11</v>
      </c>
      <c r="BW280" s="210">
        <f t="shared" si="192"/>
        <v>11</v>
      </c>
      <c r="BX280" s="209">
        <f t="shared" si="193"/>
        <v>1</v>
      </c>
      <c r="BY280" s="209">
        <f t="shared" si="194"/>
        <v>0.48275862068965519</v>
      </c>
      <c r="BZ280" s="209">
        <f t="shared" si="195"/>
        <v>-0.48275862068965519</v>
      </c>
      <c r="CA280" s="188"/>
      <c r="CB280" s="245"/>
      <c r="CC280" s="183">
        <v>0</v>
      </c>
      <c r="CD280" s="184">
        <v>0</v>
      </c>
      <c r="CE280" s="185" t="e">
        <f t="shared" ref="CE280:CE281" si="214">+CD280/CC280</f>
        <v>#DIV/0!</v>
      </c>
      <c r="CF280" s="183">
        <v>1</v>
      </c>
      <c r="CG280" s="184">
        <v>1</v>
      </c>
      <c r="CH280" s="185">
        <f t="shared" ref="CH280:CH281" si="215">+CG280/CF280</f>
        <v>1</v>
      </c>
      <c r="CI280" s="189"/>
      <c r="CJ280" s="190"/>
      <c r="CK280" s="185" t="e">
        <f t="shared" ref="CK280:CK281" si="216">+CJ280/CI280</f>
        <v>#DIV/0!</v>
      </c>
      <c r="CL280" s="187">
        <f t="shared" ref="CL280:CL281" si="217">+CC280+CF280+CI280</f>
        <v>1</v>
      </c>
      <c r="CM280" s="186">
        <f t="shared" ref="CM280:CM281" si="218">+CD280+CG280+CJ280</f>
        <v>1</v>
      </c>
      <c r="CN280" s="185">
        <f t="shared" ref="CN280:CN281" si="219">+CM280/CL280</f>
        <v>1</v>
      </c>
      <c r="CO280" s="245"/>
      <c r="CP280" s="188">
        <f t="shared" ref="CP280:CP281" si="220">+BJ280+BV280+CL280</f>
        <v>15</v>
      </c>
      <c r="CQ280" s="188">
        <f t="shared" ref="CQ280:CQ281" si="221">+BK280+BW280+CM280</f>
        <v>15</v>
      </c>
      <c r="CR280" s="191">
        <f t="shared" ref="CR280:CR281" si="222">+CQ280/CP280</f>
        <v>1</v>
      </c>
      <c r="CS280" s="279">
        <f t="shared" si="196"/>
        <v>14</v>
      </c>
      <c r="CT280" s="245"/>
      <c r="CU280" s="188">
        <f t="shared" si="197"/>
        <v>4.2</v>
      </c>
      <c r="CV280" s="277"/>
      <c r="CW280" s="191">
        <f t="shared" si="198"/>
        <v>0</v>
      </c>
      <c r="CX280" s="188">
        <f t="shared" si="199"/>
        <v>4.2</v>
      </c>
      <c r="CY280" s="277"/>
      <c r="CZ280" s="191">
        <f t="shared" si="200"/>
        <v>0</v>
      </c>
      <c r="DA280" s="188">
        <f t="shared" si="201"/>
        <v>4.2</v>
      </c>
      <c r="DB280" s="277"/>
      <c r="DC280" s="191">
        <f t="shared" si="202"/>
        <v>0</v>
      </c>
      <c r="DD280" s="188">
        <f t="shared" si="203"/>
        <v>1.4000000000000001</v>
      </c>
      <c r="DE280" s="277"/>
      <c r="DF280" s="191">
        <f t="shared" si="204"/>
        <v>0</v>
      </c>
      <c r="DG280" s="245"/>
      <c r="DH280" s="188">
        <f t="shared" si="205"/>
        <v>29</v>
      </c>
      <c r="DI280" s="188">
        <f t="shared" si="206"/>
        <v>15</v>
      </c>
      <c r="DJ280" s="191">
        <f t="shared" si="207"/>
        <v>0.51724137931034486</v>
      </c>
      <c r="DK280" s="286">
        <f t="shared" si="208"/>
        <v>14</v>
      </c>
    </row>
    <row r="281" spans="1:115" customFormat="1" x14ac:dyDescent="0.35">
      <c r="A281" s="127"/>
      <c r="B281" s="102"/>
      <c r="C281" s="102"/>
      <c r="D281" s="102"/>
      <c r="E281" s="102"/>
      <c r="F281" s="102"/>
      <c r="G281" s="98"/>
      <c r="H281" s="98"/>
      <c r="I281" s="98"/>
      <c r="J281" s="98"/>
      <c r="K281" s="96"/>
      <c r="L281" s="96"/>
      <c r="M281" s="98"/>
      <c r="N281" s="98"/>
      <c r="O281" s="98"/>
      <c r="P281" s="241"/>
      <c r="Q281" s="98"/>
      <c r="R281" s="301"/>
      <c r="S281" s="99"/>
      <c r="T281" s="81"/>
      <c r="U281" s="81"/>
      <c r="V281" s="25" t="e">
        <f t="shared" si="143"/>
        <v>#DIV/0!</v>
      </c>
      <c r="W281" s="81"/>
      <c r="X281" s="81"/>
      <c r="Y281" s="25" t="e">
        <f t="shared" si="182"/>
        <v>#DIV/0!</v>
      </c>
      <c r="Z281" s="81"/>
      <c r="AA281" s="81"/>
      <c r="AB281" s="25" t="e">
        <f t="shared" si="183"/>
        <v>#DIV/0!</v>
      </c>
      <c r="AC281" s="81"/>
      <c r="AD281" s="81"/>
      <c r="AE281" s="25" t="e">
        <f t="shared" si="184"/>
        <v>#DIV/0!</v>
      </c>
      <c r="AF281" s="137">
        <f t="shared" ref="AF281:AG281" si="223">T281+W281+Z281+AC281</f>
        <v>0</v>
      </c>
      <c r="AG281" s="137">
        <f t="shared" si="223"/>
        <v>0</v>
      </c>
      <c r="AH281" s="138" t="e">
        <f t="shared" si="125"/>
        <v>#DIV/0!</v>
      </c>
      <c r="AI281" s="101"/>
      <c r="AJ281" s="101"/>
      <c r="AK281" s="102"/>
      <c r="AL281" s="322"/>
      <c r="AM281" s="323"/>
      <c r="AN281" s="322"/>
      <c r="AO281" s="322"/>
      <c r="AP281" s="325"/>
      <c r="AQ281" s="326"/>
      <c r="AR281" s="322"/>
      <c r="AS281" s="102"/>
      <c r="AT281" s="153"/>
      <c r="AU281" s="102"/>
      <c r="AV281" s="136"/>
      <c r="AW281" s="136"/>
      <c r="AX281" s="136"/>
      <c r="AY281" s="136"/>
      <c r="AZ281" s="271"/>
      <c r="BA281" s="183"/>
      <c r="BB281" s="184"/>
      <c r="BC281" s="209" t="e">
        <f t="shared" si="185"/>
        <v>#DIV/0!</v>
      </c>
      <c r="BD281" s="183"/>
      <c r="BE281" s="184"/>
      <c r="BF281" s="209" t="e">
        <f t="shared" si="186"/>
        <v>#DIV/0!</v>
      </c>
      <c r="BG281" s="183"/>
      <c r="BH281" s="184"/>
      <c r="BI281" s="209" t="e">
        <f t="shared" si="187"/>
        <v>#DIV/0!</v>
      </c>
      <c r="BJ281" s="210">
        <f t="shared" si="188"/>
        <v>0</v>
      </c>
      <c r="BK281" s="211">
        <f t="shared" si="189"/>
        <v>0</v>
      </c>
      <c r="BL281" s="209" t="e">
        <f t="shared" si="190"/>
        <v>#DIV/0!</v>
      </c>
      <c r="BM281" s="183"/>
      <c r="BN281" s="184"/>
      <c r="BO281" s="185" t="e">
        <f t="shared" si="211"/>
        <v>#DIV/0!</v>
      </c>
      <c r="BP281" s="183"/>
      <c r="BQ281" s="184"/>
      <c r="BR281" s="185" t="e">
        <f t="shared" si="212"/>
        <v>#DIV/0!</v>
      </c>
      <c r="BS281" s="183"/>
      <c r="BT281" s="184"/>
      <c r="BU281" s="185" t="e">
        <f t="shared" si="213"/>
        <v>#DIV/0!</v>
      </c>
      <c r="BV281" s="210">
        <f t="shared" si="191"/>
        <v>0</v>
      </c>
      <c r="BW281" s="210">
        <f t="shared" si="192"/>
        <v>0</v>
      </c>
      <c r="BX281" s="209" t="e">
        <f t="shared" si="193"/>
        <v>#DIV/0!</v>
      </c>
      <c r="BY281" s="209" t="e">
        <f t="shared" si="194"/>
        <v>#DIV/0!</v>
      </c>
      <c r="BZ281" s="209" t="e">
        <f t="shared" si="195"/>
        <v>#DIV/0!</v>
      </c>
      <c r="CA281" s="188"/>
      <c r="CB281" s="173"/>
      <c r="CC281" s="183"/>
      <c r="CD281" s="184"/>
      <c r="CE281" s="185" t="e">
        <f t="shared" si="214"/>
        <v>#DIV/0!</v>
      </c>
      <c r="CF281" s="183"/>
      <c r="CG281" s="184"/>
      <c r="CH281" s="185" t="e">
        <f t="shared" si="215"/>
        <v>#DIV/0!</v>
      </c>
      <c r="CI281" s="189"/>
      <c r="CJ281" s="190"/>
      <c r="CK281" s="185" t="e">
        <f t="shared" si="216"/>
        <v>#DIV/0!</v>
      </c>
      <c r="CL281" s="187">
        <f t="shared" si="217"/>
        <v>0</v>
      </c>
      <c r="CM281" s="186">
        <f t="shared" si="218"/>
        <v>0</v>
      </c>
      <c r="CN281" s="185" t="e">
        <f t="shared" si="219"/>
        <v>#DIV/0!</v>
      </c>
      <c r="CO281" s="173"/>
      <c r="CP281" s="188">
        <f t="shared" si="220"/>
        <v>0</v>
      </c>
      <c r="CQ281" s="188">
        <f t="shared" si="221"/>
        <v>0</v>
      </c>
      <c r="CR281" s="191" t="e">
        <f t="shared" si="222"/>
        <v>#DIV/0!</v>
      </c>
      <c r="CS281" s="279">
        <f t="shared" si="196"/>
        <v>0</v>
      </c>
      <c r="CT281" s="173"/>
      <c r="CU281" s="188">
        <f t="shared" si="197"/>
        <v>0</v>
      </c>
      <c r="CV281" s="277"/>
      <c r="CW281" s="191" t="e">
        <f t="shared" si="198"/>
        <v>#DIV/0!</v>
      </c>
      <c r="CX281" s="188">
        <f t="shared" si="199"/>
        <v>0</v>
      </c>
      <c r="CY281" s="277"/>
      <c r="CZ281" s="191" t="e">
        <f t="shared" si="200"/>
        <v>#DIV/0!</v>
      </c>
      <c r="DA281" s="188">
        <f t="shared" si="201"/>
        <v>0</v>
      </c>
      <c r="DB281" s="277"/>
      <c r="DC281" s="191" t="e">
        <f t="shared" si="202"/>
        <v>#DIV/0!</v>
      </c>
      <c r="DD281" s="188">
        <f t="shared" si="203"/>
        <v>0</v>
      </c>
      <c r="DE281" s="277"/>
      <c r="DF281" s="191" t="e">
        <f t="shared" si="204"/>
        <v>#DIV/0!</v>
      </c>
      <c r="DG281" s="173"/>
      <c r="DH281" s="188">
        <f t="shared" si="205"/>
        <v>0</v>
      </c>
      <c r="DI281" s="188">
        <f t="shared" si="206"/>
        <v>0</v>
      </c>
      <c r="DJ281" s="191" t="e">
        <f t="shared" si="207"/>
        <v>#DIV/0!</v>
      </c>
      <c r="DK281" s="286">
        <f t="shared" si="208"/>
        <v>0</v>
      </c>
    </row>
    <row r="282" spans="1:115" x14ac:dyDescent="0.35">
      <c r="R282" s="205">
        <f>SUBTOTAL(9,R5:R281)</f>
        <v>110102</v>
      </c>
      <c r="AF282" s="140">
        <f>SUM(AF5:AF281)</f>
        <v>110102</v>
      </c>
      <c r="AG282" s="150">
        <f>SUM(AG5:AG281)</f>
        <v>1500.6</v>
      </c>
      <c r="AH282" s="149">
        <f>+AG282/AF282</f>
        <v>1.3629180214709996E-2</v>
      </c>
      <c r="BA282" s="205">
        <f>SUBTOTAL(9,BA5:BA281)</f>
        <v>5879</v>
      </c>
      <c r="BB282" s="205">
        <f>SUBTOTAL(9,BB5:BB281)</f>
        <v>515.6</v>
      </c>
      <c r="BC282" s="244"/>
      <c r="BD282" s="205">
        <f>SUBTOTAL(9,BD5:BD281)</f>
        <v>6150</v>
      </c>
      <c r="BE282" s="205">
        <f>SUBTOTAL(9,BE5:BE281)</f>
        <v>1566.6</v>
      </c>
      <c r="BF282" s="244"/>
      <c r="BG282" s="205">
        <f>SUBTOTAL(9,BG5:BG281)</f>
        <v>6303</v>
      </c>
      <c r="BH282" s="205">
        <f>SUBTOTAL(9,BH5:BH281)</f>
        <v>1339.6</v>
      </c>
      <c r="BI282" s="244"/>
      <c r="BJ282" s="205">
        <f>SUBTOTAL(9,BJ5:BJ281)</f>
        <v>18332</v>
      </c>
      <c r="BK282" s="205">
        <f>SUBTOTAL(9,BK5:BK281)</f>
        <v>3421.8</v>
      </c>
      <c r="BL282" s="244"/>
      <c r="BM282" s="205">
        <f>SUBTOTAL(9,BM5:BM281)</f>
        <v>6509</v>
      </c>
      <c r="BN282" s="205">
        <f>SUBTOTAL(9,BN5:BN281)</f>
        <v>1383.6</v>
      </c>
      <c r="BO282" s="244"/>
      <c r="BP282" s="205">
        <f>SUBTOTAL(9,BP5:BP281)</f>
        <v>6766</v>
      </c>
      <c r="BQ282" s="205">
        <f>SUBTOTAL(9,BQ5:BQ281)</f>
        <v>1954.6</v>
      </c>
      <c r="BR282" s="244"/>
      <c r="BS282" s="205">
        <f>SUBTOTAL(9,BS5:BS281)</f>
        <v>6947</v>
      </c>
      <c r="BT282" s="205">
        <f>SUBTOTAL(9,BT5:BT281)</f>
        <v>901.59999999999991</v>
      </c>
      <c r="BU282" s="244"/>
      <c r="BV282" s="205">
        <f>SUBTOTAL(9,BV5:BV281)</f>
        <v>20222</v>
      </c>
      <c r="BW282" s="205">
        <f>SUBTOTAL(9,BW5:BW281)</f>
        <v>4239.8</v>
      </c>
      <c r="BX282" s="244"/>
      <c r="BY282" s="244"/>
      <c r="BZ282" s="244"/>
      <c r="CA282" s="205">
        <f>SUBTOTAL(9,CA5:CA281)</f>
        <v>0</v>
      </c>
      <c r="CC282" s="205">
        <f>SUBTOTAL(9,CC5:CC281)</f>
        <v>7509</v>
      </c>
      <c r="CD282" s="205">
        <f>SUBTOTAL(9,CD5:CD281)</f>
        <v>1740.1799999999998</v>
      </c>
      <c r="CF282" s="205">
        <f>SUBTOTAL(9,CF5:CF281)</f>
        <v>6562</v>
      </c>
      <c r="CG282" s="205">
        <f>SUBTOTAL(9,CG5:CG281)</f>
        <v>812.18</v>
      </c>
      <c r="CI282" s="205">
        <f>SUBTOTAL(9,CI5:CI281)</f>
        <v>0</v>
      </c>
      <c r="CJ282" s="205">
        <f>SUBTOTAL(9,CJ5:CJ281)</f>
        <v>0</v>
      </c>
      <c r="CL282" s="205">
        <f>SUBTOTAL(9,CL5:CL281)</f>
        <v>14071</v>
      </c>
      <c r="CM282" s="205">
        <f>SUBTOTAL(9,CM5:CM281)</f>
        <v>2552.3599999999997</v>
      </c>
      <c r="CP282" s="205">
        <f>SUBTOTAL(9,CP5:CP281)</f>
        <v>52625</v>
      </c>
      <c r="CQ282" s="205">
        <f>SUBTOTAL(9,CQ5:CQ281)</f>
        <v>10213.959999999999</v>
      </c>
      <c r="CS282" s="205">
        <f>SUBTOTAL(9,CS5:CS281)</f>
        <v>99888.040000000008</v>
      </c>
      <c r="CU282" s="205">
        <f>SUBTOTAL(9,CU5:CU281)</f>
        <v>29966.412000000029</v>
      </c>
      <c r="CV282" s="205">
        <f>SUBTOTAL(9,CV5:CV281)</f>
        <v>0</v>
      </c>
      <c r="CX282" s="205">
        <f>SUBTOTAL(9,CX5:CX281)</f>
        <v>30024.212000000032</v>
      </c>
      <c r="CY282" s="205">
        <f>SUBTOTAL(9,CY5:CY281)</f>
        <v>0</v>
      </c>
      <c r="DA282" s="205">
        <f>SUBTOTAL(9,DA5:DA281)</f>
        <v>29967.112000000034</v>
      </c>
      <c r="DB282" s="205">
        <f>SUBTOTAL(9,DB5:DB281)</f>
        <v>0</v>
      </c>
      <c r="DD282" s="205">
        <f>SUBTOTAL(9,DD5:DD281)</f>
        <v>9988.8039999999983</v>
      </c>
      <c r="DE282" s="205">
        <f>SUBTOTAL(9,DE5:DE281)</f>
        <v>0</v>
      </c>
      <c r="DH282" s="205">
        <f>SUBTOTAL(9,DH5:DH281)</f>
        <v>110102</v>
      </c>
      <c r="DI282" s="205">
        <f>SUBTOTAL(9,DI5:DI281)</f>
        <v>10213.959999999999</v>
      </c>
      <c r="DK282" s="205">
        <f>SUBTOTAL(9,DK5:DK281)</f>
        <v>99888.040000000008</v>
      </c>
    </row>
  </sheetData>
  <autoFilter ref="A4:AY281" xr:uid="{00000000-0001-0000-0200-000000000000}"/>
  <mergeCells count="30">
    <mergeCell ref="CX2:CZ2"/>
    <mergeCell ref="DA2:DC2"/>
    <mergeCell ref="DD2:DF2"/>
    <mergeCell ref="CU1:DF1"/>
    <mergeCell ref="DH1:DK3"/>
    <mergeCell ref="BA3:BC3"/>
    <mergeCell ref="BD3:BF3"/>
    <mergeCell ref="BG3:BI3"/>
    <mergeCell ref="BJ3:BL3"/>
    <mergeCell ref="BM3:BO3"/>
    <mergeCell ref="BP3:BR3"/>
    <mergeCell ref="BS3:BU3"/>
    <mergeCell ref="BV3:BX3"/>
    <mergeCell ref="CC3:CE3"/>
    <mergeCell ref="CF3:CH3"/>
    <mergeCell ref="CP2:CS3"/>
    <mergeCell ref="CU2:CW2"/>
    <mergeCell ref="S1:AT1"/>
    <mergeCell ref="A2:AT2"/>
    <mergeCell ref="T3:AH3"/>
    <mergeCell ref="AI3:AJ3"/>
    <mergeCell ref="AK3:AQ3"/>
    <mergeCell ref="BA1:CA1"/>
    <mergeCell ref="CI3:CK3"/>
    <mergeCell ref="CL3:CN3"/>
    <mergeCell ref="CC1:CN1"/>
    <mergeCell ref="BA2:BL2"/>
    <mergeCell ref="BM2:BX2"/>
    <mergeCell ref="BY2:CA3"/>
    <mergeCell ref="CC2:CN2"/>
  </mergeCells>
  <conditionalFormatting sqref="AB5:AB281 AE5:AE281 V5:V281 Y5:Y281 AH5:AH281">
    <cfRule type="cellIs" dxfId="7" priority="1" operator="greaterThan">
      <formula>100</formula>
    </cfRule>
  </conditionalFormatting>
  <conditionalFormatting sqref="AB5:AB281 AE5:AE281 V5:V281 Y5:Y281 AH5:AH281">
    <cfRule type="cellIs" dxfId="6" priority="2" operator="greaterThan">
      <formula>79.9</formula>
    </cfRule>
  </conditionalFormatting>
  <conditionalFormatting sqref="AB5:AB281 AE5:AE281 V5:V281 Y5:Y281 AH5:AH281">
    <cfRule type="cellIs" dxfId="5" priority="3" operator="greaterThan">
      <formula>59.9</formula>
    </cfRule>
  </conditionalFormatting>
  <conditionalFormatting sqref="AB5:AB281 AE5:AE281 V5:V281 Y5:Y281 AH5:AH281">
    <cfRule type="cellIs" dxfId="4" priority="4" operator="greaterThan">
      <formula>0</formula>
    </cfRule>
  </conditionalFormatting>
  <conditionalFormatting sqref="AB5:AB281 AE5:AE281 V5:V281 Y5:Y281 AH5:AH281">
    <cfRule type="cellIs" dxfId="3" priority="5" operator="equal">
      <formula>0</formula>
    </cfRule>
  </conditionalFormatting>
  <dataValidations count="11">
    <dataValidation type="decimal" operator="greaterThanOrEqual" allowBlank="1" showErrorMessage="1" sqref="U135 T5:U134 AC5:AD281 AN5:AQ281 Z5:AA281 W5:X281 T136:U281 R5:R282 AF5:AG282 BA5:BA282 BM5:BM282 DK282 BD5:BD282 BG5:BG282 CA5:CA282 BP5:BP282 BS5:BS282 CI5:CI282 BB282 BE282 BH282 BN282 BQ282 BT282 BV282:BW282 BJ282:BK282 CD282 CG282 CJ282 CL282:CM282 CP282:CQ282 CS282 DH282:DI282 DD282:DE282 BT5:BT165 BT168:BT215 BT217:BT226 BT275:BT278 CC5:CC282 CU282:CV282 CX282:CY282 DA282:DB282 CF5:CF282" xr:uid="{00000000-0002-0000-0200-000000000000}">
      <formula1>0</formula1>
    </dataValidation>
    <dataValidation type="custom" allowBlank="1" showErrorMessage="1" sqref="S5:S134 T135 S136:S281" xr:uid="{00000000-0002-0000-0200-000001000000}">
      <formula1>AND(GTE(LEN(S5),MIN((1),(500))),LTE(LEN(S5),MAX((1),(500))))</formula1>
    </dataValidation>
    <dataValidation type="decimal" operator="greaterThanOrEqual" allowBlank="1" showErrorMessage="1" sqref="I1" xr:uid="{00000000-0002-0000-0200-000003000000}">
      <formula1>1</formula1>
    </dataValidation>
    <dataValidation type="custom" allowBlank="1" showErrorMessage="1" sqref="G1" xr:uid="{00000000-0002-0000-0200-000007000000}">
      <formula1>GT(LEN(G1),(1))</formula1>
    </dataValidation>
    <dataValidation type="decimal" operator="greaterThanOrEqual" allowBlank="1" showErrorMessage="1" sqref="E1 J1" xr:uid="{00000000-0002-0000-0200-000008000000}">
      <formula1>2024</formula1>
    </dataValidation>
    <dataValidation type="custom" allowBlank="1" showErrorMessage="1" sqref="K279:N280 J5:N278 J281:N281 H5:H281 F5:F281 B5:B281 Q5:Q281" xr:uid="{00000000-0002-0000-0200-000009000000}">
      <formula1>AND(GTE(LEN(B5),MIN((10),(4000))),LTE(LEN(B5),MAX((10),(4000))))</formula1>
    </dataValidation>
    <dataValidation type="custom" allowBlank="1" showErrorMessage="1" sqref="AS5:AS281" xr:uid="{00000000-0002-0000-0200-000002000000}">
      <formula1>AND(GTE(LEN(AS5),MIN((9),(4000))),LTE(LEN(AS5),MAX((9),(4000))))</formula1>
    </dataValidation>
    <dataValidation type="custom" allowBlank="1" showErrorMessage="1" sqref="AT5:AU281" xr:uid="{00000000-0002-0000-0200-000004000000}">
      <formula1>AND(GTE(LEN(AT5),MIN((10),(1000))),LTE(LEN(AT5),MAX((10),(1000))))</formula1>
    </dataValidation>
    <dataValidation type="date" operator="greaterThan" allowBlank="1" showErrorMessage="1" sqref="AI5:AJ281" xr:uid="{00000000-0002-0000-0200-000005000000}">
      <formula1>46022</formula1>
    </dataValidation>
    <dataValidation type="custom" allowBlank="1" showErrorMessage="1" sqref="AK5:AK281" xr:uid="{00000000-0002-0000-0200-000006000000}">
      <formula1>AND(GTE(LEN(AK5),MIN((2),(500))),LTE(LEN(AK5),MAX((2),(500))))</formula1>
    </dataValidation>
    <dataValidation type="decimal" operator="greaterThan" allowBlank="1" showErrorMessage="1" sqref="A5:A281 DM254:DM259 DL5:DL23 DL178" xr:uid="{00000000-0002-0000-0200-00000A000000}">
      <formula1>0</formula1>
    </dataValidation>
  </dataValidations>
  <pageMargins left="0.70866141732283472" right="0.70866141732283472" top="0.74803149606299213" bottom="0.74803149606299213" header="0" footer="0"/>
  <pageSetup paperSize="9" scale="30" orientation="landscape"/>
  <drawing r:id="rId1"/>
  <legacyDrawing r:id="rId2"/>
  <extLst>
    <ext xmlns:x14="http://schemas.microsoft.com/office/spreadsheetml/2009/9/main" uri="{CCE6A557-97BC-4b89-ADB6-D9C93CAAB3DF}">
      <x14:dataValidations xmlns:xm="http://schemas.microsoft.com/office/excel/2006/main" count="9">
        <x14:dataValidation type="list" allowBlank="1" showErrorMessage="1" xr:uid="{00000000-0002-0000-0200-000012000000}">
          <x14:formula1>
            <xm:f>Data!$B$561:$B$659</xm:f>
          </x14:formula1>
          <xm:sqref>I5:I278 I279:J280 I281</xm:sqref>
        </x14:dataValidation>
        <x14:dataValidation type="list" allowBlank="1" showErrorMessage="1" xr:uid="{00000000-0002-0000-0200-00000B000000}">
          <x14:formula1>
            <xm:f>Data!$B$294:$B$296</xm:f>
          </x14:formula1>
          <xm:sqref>O5:O281</xm:sqref>
        </x14:dataValidation>
        <x14:dataValidation type="list" allowBlank="1" showErrorMessage="1" xr:uid="{00000000-0002-0000-0200-00000C000000}">
          <x14:formula1>
            <xm:f>Data!$B$216:$B$217</xm:f>
          </x14:formula1>
          <xm:sqref>G11:G281</xm:sqref>
        </x14:dataValidation>
        <x14:dataValidation type="list" allowBlank="1" showErrorMessage="1" xr:uid="{00000000-0002-0000-0200-00000D000000}">
          <x14:formula1>
            <xm:f>Data!$A$692:$A$694</xm:f>
          </x14:formula1>
          <xm:sqref>P5:P281</xm:sqref>
        </x14:dataValidation>
        <x14:dataValidation type="list" allowBlank="1" showErrorMessage="1" xr:uid="{00000000-0002-0000-0200-00000E000000}">
          <x14:formula1>
            <xm:f>Data!$B$538:$B$557</xm:f>
          </x14:formula1>
          <xm:sqref>AR5:AR281</xm:sqref>
        </x14:dataValidation>
        <x14:dataValidation type="list" allowBlank="1" showErrorMessage="1" xr:uid="{00000000-0002-0000-0200-00000F000000}">
          <x14:formula1>
            <xm:f>Data!$B$65</xm:f>
          </x14:formula1>
          <xm:sqref>D11:D281</xm:sqref>
        </x14:dataValidation>
        <x14:dataValidation type="list" allowBlank="1" showErrorMessage="1" xr:uid="{00000000-0002-0000-0200-000010000000}">
          <x14:formula1>
            <xm:f>Data!$B$30:$B$33</xm:f>
          </x14:formula1>
          <xm:sqref>E11:E281</xm:sqref>
        </x14:dataValidation>
        <x14:dataValidation type="list" allowBlank="1" showErrorMessage="1" xr:uid="{00000000-0002-0000-0200-000011000000}">
          <x14:formula1>
            <xm:f>Data!$B$2:$B$8</xm:f>
          </x14:formula1>
          <xm:sqref>C5:C281</xm:sqref>
        </x14:dataValidation>
        <x14:dataValidation type="list" allowBlank="1" showErrorMessage="1" xr:uid="{00000000-0002-0000-0200-000013000000}">
          <x14:formula1>
            <xm:f>Data!$B$304:$B$534</xm:f>
          </x14:formula1>
          <xm:sqref>AL5:AL281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075-7F0C-48F1-A329-40430E8788AC}">
  <sheetPr>
    <tabColor rgb="FFFFFF00"/>
  </sheetPr>
  <dimension ref="A1:M169"/>
  <sheetViews>
    <sheetView tabSelected="1" workbookViewId="0">
      <pane xSplit="4" ySplit="1" topLeftCell="E2" activePane="bottomRight" state="frozen"/>
      <selection pane="topRight" activeCell="E1" sqref="E1"/>
      <selection pane="bottomLeft" activeCell="A2" sqref="A2"/>
      <selection pane="bottomRight" activeCell="E2" sqref="E2"/>
    </sheetView>
  </sheetViews>
  <sheetFormatPr baseColWidth="10" defaultRowHeight="14.5" x14ac:dyDescent="0.35"/>
  <cols>
    <col min="1" max="1" width="7.1796875" style="170" bestFit="1" customWidth="1"/>
    <col min="2" max="2" width="12.54296875" style="170" customWidth="1"/>
    <col min="3" max="3" width="14" style="170" customWidth="1"/>
    <col min="4" max="4" width="25.81640625" style="170" customWidth="1"/>
    <col min="5" max="5" width="35.54296875" style="170" bestFit="1" customWidth="1"/>
    <col min="6" max="6" width="13.6328125" style="170" bestFit="1" customWidth="1"/>
    <col min="7" max="7" width="37.6328125" style="179" bestFit="1" customWidth="1"/>
    <col min="8" max="8" width="19" bestFit="1" customWidth="1"/>
    <col min="9" max="9" width="19.26953125" bestFit="1" customWidth="1"/>
    <col min="10" max="10" width="8.453125" bestFit="1" customWidth="1"/>
    <col min="11" max="11" width="36.08984375" bestFit="1" customWidth="1"/>
    <col min="12" max="12" width="5.6328125" bestFit="1" customWidth="1"/>
    <col min="13" max="13" width="9.453125" bestFit="1" customWidth="1"/>
  </cols>
  <sheetData>
    <row r="1" spans="1:13" ht="42" x14ac:dyDescent="0.35">
      <c r="A1" s="329" t="s">
        <v>2390</v>
      </c>
      <c r="B1" s="330" t="s">
        <v>2263</v>
      </c>
      <c r="C1" s="331" t="s">
        <v>2391</v>
      </c>
      <c r="D1" s="331" t="s">
        <v>2302</v>
      </c>
      <c r="E1" s="331" t="s">
        <v>2392</v>
      </c>
      <c r="F1" s="331" t="s">
        <v>2271</v>
      </c>
      <c r="G1" s="331" t="s">
        <v>2393</v>
      </c>
      <c r="H1" s="331" t="s">
        <v>2394</v>
      </c>
      <c r="I1" s="331" t="s">
        <v>2395</v>
      </c>
      <c r="J1" s="331" t="s">
        <v>2396</v>
      </c>
      <c r="K1" s="331"/>
      <c r="L1" s="331" t="s">
        <v>2395</v>
      </c>
      <c r="M1" s="331" t="s">
        <v>2397</v>
      </c>
    </row>
    <row r="2" spans="1:13" x14ac:dyDescent="0.35">
      <c r="A2" s="332">
        <v>1</v>
      </c>
      <c r="B2" s="333" t="s">
        <v>2234</v>
      </c>
      <c r="C2" s="333" t="s">
        <v>2398</v>
      </c>
      <c r="D2" s="333" t="s">
        <v>2399</v>
      </c>
      <c r="E2" s="333" t="s">
        <v>2400</v>
      </c>
      <c r="F2" s="333" t="s">
        <v>2307</v>
      </c>
      <c r="G2" s="333" t="s">
        <v>2401</v>
      </c>
      <c r="H2" s="333"/>
      <c r="I2" s="333" t="s">
        <v>2401</v>
      </c>
      <c r="J2" s="334" t="s">
        <v>676</v>
      </c>
      <c r="K2" s="331"/>
      <c r="L2" s="331"/>
      <c r="M2" s="333" t="s">
        <v>676</v>
      </c>
    </row>
    <row r="3" spans="1:13" s="139" customFormat="1" x14ac:dyDescent="0.35">
      <c r="A3" s="335">
        <v>1</v>
      </c>
      <c r="B3" s="336" t="s">
        <v>2234</v>
      </c>
      <c r="C3" s="336" t="s">
        <v>2252</v>
      </c>
      <c r="D3" s="336" t="s">
        <v>2342</v>
      </c>
      <c r="E3" s="336" t="s">
        <v>2402</v>
      </c>
      <c r="F3" s="336" t="s">
        <v>2308</v>
      </c>
      <c r="G3" s="336"/>
      <c r="H3" s="336" t="s">
        <v>2403</v>
      </c>
      <c r="I3" s="336" t="s">
        <v>2404</v>
      </c>
      <c r="J3" s="337">
        <v>46336</v>
      </c>
      <c r="K3" s="338"/>
      <c r="L3" s="338"/>
      <c r="M3" s="336" t="s">
        <v>2405</v>
      </c>
    </row>
    <row r="4" spans="1:13" x14ac:dyDescent="0.35">
      <c r="A4" s="335">
        <v>1</v>
      </c>
      <c r="B4" s="336" t="s">
        <v>2234</v>
      </c>
      <c r="C4" s="336" t="s">
        <v>2252</v>
      </c>
      <c r="D4" s="336" t="s">
        <v>2406</v>
      </c>
      <c r="E4" s="336" t="s">
        <v>2407</v>
      </c>
      <c r="F4" s="336" t="s">
        <v>2308</v>
      </c>
      <c r="G4" s="336"/>
      <c r="H4" s="336"/>
      <c r="I4" s="336" t="s">
        <v>2404</v>
      </c>
      <c r="J4" s="337"/>
      <c r="K4" s="338"/>
      <c r="L4" s="338"/>
      <c r="M4" s="336" t="s">
        <v>2408</v>
      </c>
    </row>
    <row r="5" spans="1:13" x14ac:dyDescent="0.35">
      <c r="A5" s="335">
        <v>1</v>
      </c>
      <c r="B5" s="336" t="s">
        <v>2234</v>
      </c>
      <c r="C5" s="336" t="s">
        <v>2252</v>
      </c>
      <c r="D5" s="336" t="s">
        <v>2409</v>
      </c>
      <c r="E5" s="336" t="s">
        <v>2410</v>
      </c>
      <c r="F5" s="336" t="s">
        <v>2307</v>
      </c>
      <c r="G5" s="336"/>
      <c r="H5" s="336"/>
      <c r="I5" s="336" t="s">
        <v>676</v>
      </c>
      <c r="J5" s="336" t="s">
        <v>676</v>
      </c>
      <c r="K5" s="338"/>
      <c r="L5" s="338"/>
      <c r="M5" s="336" t="s">
        <v>2408</v>
      </c>
    </row>
    <row r="6" spans="1:13" x14ac:dyDescent="0.35">
      <c r="A6" s="335">
        <v>1</v>
      </c>
      <c r="B6" s="336" t="s">
        <v>2234</v>
      </c>
      <c r="C6" s="336" t="s">
        <v>2252</v>
      </c>
      <c r="D6" s="336" t="s">
        <v>2411</v>
      </c>
      <c r="E6" s="336" t="s">
        <v>2412</v>
      </c>
      <c r="F6" s="336" t="s">
        <v>2308</v>
      </c>
      <c r="G6" s="336"/>
      <c r="H6" s="336" t="s">
        <v>2403</v>
      </c>
      <c r="I6" s="336" t="s">
        <v>2404</v>
      </c>
      <c r="J6" s="337"/>
      <c r="K6" s="338"/>
      <c r="L6" s="338"/>
      <c r="M6" s="336" t="s">
        <v>2408</v>
      </c>
    </row>
    <row r="7" spans="1:13" x14ac:dyDescent="0.35">
      <c r="A7" s="335">
        <v>1</v>
      </c>
      <c r="B7" s="336" t="s">
        <v>2234</v>
      </c>
      <c r="C7" s="339" t="s">
        <v>2343</v>
      </c>
      <c r="D7" s="340" t="s">
        <v>2344</v>
      </c>
      <c r="E7" s="336" t="s">
        <v>2413</v>
      </c>
      <c r="F7" s="336" t="s">
        <v>2308</v>
      </c>
      <c r="G7" s="336"/>
      <c r="H7" s="336" t="s">
        <v>2401</v>
      </c>
      <c r="I7" s="336" t="s">
        <v>2404</v>
      </c>
      <c r="J7" s="337"/>
      <c r="K7" s="338"/>
      <c r="L7" s="338"/>
      <c r="M7" s="336" t="s">
        <v>2405</v>
      </c>
    </row>
    <row r="8" spans="1:13" x14ac:dyDescent="0.35">
      <c r="A8" s="335">
        <v>1</v>
      </c>
      <c r="B8" s="336" t="s">
        <v>2234</v>
      </c>
      <c r="C8" s="339" t="s">
        <v>2265</v>
      </c>
      <c r="D8" s="336" t="s">
        <v>2345</v>
      </c>
      <c r="E8" s="336" t="s">
        <v>2402</v>
      </c>
      <c r="F8" s="336" t="s">
        <v>2308</v>
      </c>
      <c r="G8" s="336"/>
      <c r="H8" s="336"/>
      <c r="I8" s="336" t="s">
        <v>2404</v>
      </c>
      <c r="J8" s="337"/>
      <c r="K8" s="338"/>
      <c r="L8" s="338"/>
      <c r="M8" s="336" t="s">
        <v>2405</v>
      </c>
    </row>
    <row r="9" spans="1:13" s="139" customFormat="1" x14ac:dyDescent="0.35">
      <c r="A9" s="335">
        <v>1</v>
      </c>
      <c r="B9" s="336" t="s">
        <v>2234</v>
      </c>
      <c r="C9" s="339" t="s">
        <v>2243</v>
      </c>
      <c r="D9" s="341" t="s">
        <v>2346</v>
      </c>
      <c r="E9" s="336" t="s">
        <v>2413</v>
      </c>
      <c r="F9" s="336" t="s">
        <v>2307</v>
      </c>
      <c r="G9" s="336"/>
      <c r="H9" s="336" t="s">
        <v>2401</v>
      </c>
      <c r="I9" s="336" t="s">
        <v>676</v>
      </c>
      <c r="J9" s="336" t="s">
        <v>676</v>
      </c>
      <c r="K9" s="338"/>
      <c r="L9" s="338"/>
      <c r="M9" s="336" t="s">
        <v>2405</v>
      </c>
    </row>
    <row r="10" spans="1:13" x14ac:dyDescent="0.35">
      <c r="A10" s="335">
        <v>1</v>
      </c>
      <c r="B10" s="336" t="s">
        <v>2234</v>
      </c>
      <c r="C10" s="339" t="s">
        <v>2243</v>
      </c>
      <c r="D10" s="342" t="s">
        <v>2414</v>
      </c>
      <c r="E10" s="336" t="s">
        <v>2413</v>
      </c>
      <c r="F10" s="336" t="s">
        <v>2308</v>
      </c>
      <c r="G10" s="336"/>
      <c r="H10" s="336"/>
      <c r="I10" s="336" t="s">
        <v>2404</v>
      </c>
      <c r="J10" s="337"/>
      <c r="K10" s="338"/>
      <c r="L10" s="338"/>
      <c r="M10" s="336" t="s">
        <v>2408</v>
      </c>
    </row>
    <row r="11" spans="1:13" x14ac:dyDescent="0.35">
      <c r="A11" s="335">
        <v>1</v>
      </c>
      <c r="B11" s="336" t="s">
        <v>2234</v>
      </c>
      <c r="C11" s="339" t="s">
        <v>2243</v>
      </c>
      <c r="D11" s="342" t="s">
        <v>2415</v>
      </c>
      <c r="E11" s="336" t="s">
        <v>2413</v>
      </c>
      <c r="F11" s="336" t="s">
        <v>2308</v>
      </c>
      <c r="G11" s="336"/>
      <c r="H11" s="336"/>
      <c r="I11" s="336" t="s">
        <v>2404</v>
      </c>
      <c r="J11" s="337"/>
      <c r="K11" s="338"/>
      <c r="L11" s="338"/>
      <c r="M11" s="336" t="s">
        <v>2408</v>
      </c>
    </row>
    <row r="12" spans="1:13" x14ac:dyDescent="0.35">
      <c r="A12" s="335">
        <v>1</v>
      </c>
      <c r="B12" s="336" t="s">
        <v>2234</v>
      </c>
      <c r="C12" s="339" t="s">
        <v>2243</v>
      </c>
      <c r="D12" s="342" t="s">
        <v>2416</v>
      </c>
      <c r="E12" s="336" t="s">
        <v>2402</v>
      </c>
      <c r="F12" s="336" t="s">
        <v>2308</v>
      </c>
      <c r="G12" s="336"/>
      <c r="H12" s="336"/>
      <c r="I12" s="336" t="s">
        <v>2404</v>
      </c>
      <c r="J12" s="337"/>
      <c r="K12" s="338"/>
      <c r="L12" s="338"/>
      <c r="M12" s="336" t="s">
        <v>2408</v>
      </c>
    </row>
    <row r="13" spans="1:13" s="139" customFormat="1" x14ac:dyDescent="0.35">
      <c r="A13" s="335">
        <v>1</v>
      </c>
      <c r="B13" s="336" t="s">
        <v>2234</v>
      </c>
      <c r="C13" s="339" t="s">
        <v>2243</v>
      </c>
      <c r="D13" s="342" t="s">
        <v>2417</v>
      </c>
      <c r="E13" s="336" t="s">
        <v>2413</v>
      </c>
      <c r="F13" s="336" t="s">
        <v>2308</v>
      </c>
      <c r="G13" s="336"/>
      <c r="H13" s="336"/>
      <c r="I13" s="336" t="s">
        <v>2404</v>
      </c>
      <c r="J13" s="337"/>
      <c r="K13" s="338"/>
      <c r="L13" s="338"/>
      <c r="M13" s="336" t="s">
        <v>2408</v>
      </c>
    </row>
    <row r="14" spans="1:13" x14ac:dyDescent="0.35">
      <c r="A14" s="335">
        <v>1</v>
      </c>
      <c r="B14" s="336" t="s">
        <v>2234</v>
      </c>
      <c r="C14" s="339" t="s">
        <v>2258</v>
      </c>
      <c r="D14" s="336" t="s">
        <v>2347</v>
      </c>
      <c r="E14" s="336" t="s">
        <v>2418</v>
      </c>
      <c r="F14" s="336" t="s">
        <v>2307</v>
      </c>
      <c r="G14" s="336"/>
      <c r="H14" s="336" t="s">
        <v>2419</v>
      </c>
      <c r="I14" s="336" t="s">
        <v>676</v>
      </c>
      <c r="J14" s="336" t="s">
        <v>676</v>
      </c>
      <c r="K14" s="338"/>
      <c r="L14" s="338"/>
      <c r="M14" s="336" t="s">
        <v>2405</v>
      </c>
    </row>
    <row r="15" spans="1:13" x14ac:dyDescent="0.35">
      <c r="A15" s="335">
        <v>1</v>
      </c>
      <c r="B15" s="336" t="s">
        <v>2234</v>
      </c>
      <c r="C15" s="339" t="s">
        <v>2258</v>
      </c>
      <c r="D15" s="336" t="s">
        <v>2420</v>
      </c>
      <c r="E15" s="336" t="s">
        <v>2421</v>
      </c>
      <c r="F15" s="336" t="s">
        <v>2307</v>
      </c>
      <c r="G15" s="336"/>
      <c r="H15" s="336"/>
      <c r="I15" s="336" t="s">
        <v>676</v>
      </c>
      <c r="J15" s="336" t="s">
        <v>676</v>
      </c>
      <c r="K15" s="338"/>
      <c r="L15" s="338"/>
      <c r="M15" s="336" t="s">
        <v>2408</v>
      </c>
    </row>
    <row r="16" spans="1:13" x14ac:dyDescent="0.35">
      <c r="A16" s="335">
        <v>1</v>
      </c>
      <c r="B16" s="336" t="s">
        <v>2234</v>
      </c>
      <c r="C16" s="339" t="s">
        <v>2258</v>
      </c>
      <c r="D16" s="336" t="s">
        <v>2422</v>
      </c>
      <c r="E16" s="336" t="s">
        <v>2421</v>
      </c>
      <c r="F16" s="336" t="s">
        <v>2307</v>
      </c>
      <c r="G16" s="336"/>
      <c r="H16" s="336" t="s">
        <v>2421</v>
      </c>
      <c r="I16" s="336" t="s">
        <v>676</v>
      </c>
      <c r="J16" s="336" t="s">
        <v>676</v>
      </c>
      <c r="K16" s="338"/>
      <c r="L16" s="338"/>
      <c r="M16" s="336" t="s">
        <v>2408</v>
      </c>
    </row>
    <row r="17" spans="1:13" x14ac:dyDescent="0.35">
      <c r="A17" s="335">
        <v>1</v>
      </c>
      <c r="B17" s="336" t="s">
        <v>2234</v>
      </c>
      <c r="C17" s="339" t="s">
        <v>2258</v>
      </c>
      <c r="D17" s="336" t="s">
        <v>2423</v>
      </c>
      <c r="E17" s="336"/>
      <c r="F17" s="336" t="s">
        <v>2308</v>
      </c>
      <c r="G17" s="336"/>
      <c r="H17" s="336"/>
      <c r="I17" s="336" t="s">
        <v>2404</v>
      </c>
      <c r="J17" s="337"/>
      <c r="K17" s="338"/>
      <c r="L17" s="338"/>
      <c r="M17" s="336" t="s">
        <v>2408</v>
      </c>
    </row>
    <row r="18" spans="1:13" x14ac:dyDescent="0.35">
      <c r="A18" s="335">
        <v>1</v>
      </c>
      <c r="B18" s="336" t="s">
        <v>2234</v>
      </c>
      <c r="C18" s="339" t="s">
        <v>2258</v>
      </c>
      <c r="D18" s="336" t="s">
        <v>2424</v>
      </c>
      <c r="E18" s="336"/>
      <c r="F18" s="336" t="s">
        <v>2308</v>
      </c>
      <c r="G18" s="336"/>
      <c r="H18" s="336"/>
      <c r="I18" s="336" t="s">
        <v>2404</v>
      </c>
      <c r="J18" s="337"/>
      <c r="K18" s="338"/>
      <c r="L18" s="338"/>
      <c r="M18" s="336" t="s">
        <v>2408</v>
      </c>
    </row>
    <row r="19" spans="1:13" x14ac:dyDescent="0.35">
      <c r="A19" s="335">
        <v>1</v>
      </c>
      <c r="B19" s="336" t="s">
        <v>2234</v>
      </c>
      <c r="C19" s="339" t="s">
        <v>2258</v>
      </c>
      <c r="D19" s="336" t="s">
        <v>2425</v>
      </c>
      <c r="E19" s="336"/>
      <c r="F19" s="336" t="s">
        <v>2308</v>
      </c>
      <c r="G19" s="336"/>
      <c r="H19" s="336"/>
      <c r="I19" s="336" t="s">
        <v>2404</v>
      </c>
      <c r="J19" s="337"/>
      <c r="K19" s="338"/>
      <c r="L19" s="338"/>
      <c r="M19" s="336" t="s">
        <v>2408</v>
      </c>
    </row>
    <row r="20" spans="1:13" s="139" customFormat="1" x14ac:dyDescent="0.35">
      <c r="A20" s="335">
        <v>1</v>
      </c>
      <c r="B20" s="336" t="s">
        <v>2234</v>
      </c>
      <c r="C20" s="339" t="s">
        <v>2258</v>
      </c>
      <c r="D20" s="336" t="s">
        <v>2426</v>
      </c>
      <c r="E20" s="336"/>
      <c r="F20" s="336" t="s">
        <v>2308</v>
      </c>
      <c r="G20" s="336"/>
      <c r="H20" s="336"/>
      <c r="I20" s="336" t="s">
        <v>2404</v>
      </c>
      <c r="J20" s="337"/>
      <c r="K20" s="338"/>
      <c r="L20" s="338"/>
      <c r="M20" s="336" t="s">
        <v>2408</v>
      </c>
    </row>
    <row r="21" spans="1:13" x14ac:dyDescent="0.35">
      <c r="A21" s="335">
        <v>1</v>
      </c>
      <c r="B21" s="336" t="s">
        <v>2234</v>
      </c>
      <c r="C21" s="339" t="s">
        <v>2258</v>
      </c>
      <c r="D21" s="336" t="s">
        <v>2427</v>
      </c>
      <c r="E21" s="336"/>
      <c r="F21" s="336" t="s">
        <v>2308</v>
      </c>
      <c r="G21" s="336"/>
      <c r="H21" s="336"/>
      <c r="I21" s="336" t="s">
        <v>2404</v>
      </c>
      <c r="J21" s="337"/>
      <c r="K21" s="338"/>
      <c r="L21" s="338"/>
      <c r="M21" s="336" t="s">
        <v>2408</v>
      </c>
    </row>
    <row r="22" spans="1:13" x14ac:dyDescent="0.35">
      <c r="A22" s="335">
        <v>1</v>
      </c>
      <c r="B22" s="336" t="s">
        <v>2234</v>
      </c>
      <c r="C22" s="339" t="s">
        <v>2258</v>
      </c>
      <c r="D22" s="336" t="s">
        <v>2428</v>
      </c>
      <c r="E22" s="336"/>
      <c r="F22" s="336" t="s">
        <v>2308</v>
      </c>
      <c r="G22" s="336"/>
      <c r="H22" s="336"/>
      <c r="I22" s="336" t="s">
        <v>2404</v>
      </c>
      <c r="J22" s="337"/>
      <c r="K22" s="338"/>
      <c r="L22" s="338"/>
      <c r="M22" s="336" t="s">
        <v>2408</v>
      </c>
    </row>
    <row r="23" spans="1:13" x14ac:dyDescent="0.35">
      <c r="A23" s="335">
        <v>1</v>
      </c>
      <c r="B23" s="336" t="s">
        <v>2234</v>
      </c>
      <c r="C23" s="339" t="s">
        <v>2258</v>
      </c>
      <c r="D23" s="336" t="s">
        <v>2429</v>
      </c>
      <c r="E23" s="336"/>
      <c r="F23" s="336" t="s">
        <v>2308</v>
      </c>
      <c r="G23" s="336"/>
      <c r="H23" s="336"/>
      <c r="I23" s="336" t="s">
        <v>2404</v>
      </c>
      <c r="J23" s="337"/>
      <c r="K23" s="338"/>
      <c r="L23" s="338"/>
      <c r="M23" s="336" t="s">
        <v>2408</v>
      </c>
    </row>
    <row r="24" spans="1:13" x14ac:dyDescent="0.35">
      <c r="A24" s="335">
        <v>1</v>
      </c>
      <c r="B24" s="336" t="s">
        <v>2234</v>
      </c>
      <c r="C24" s="339" t="s">
        <v>2258</v>
      </c>
      <c r="D24" s="336" t="s">
        <v>2430</v>
      </c>
      <c r="E24" s="336"/>
      <c r="F24" s="336" t="s">
        <v>2308</v>
      </c>
      <c r="G24" s="336"/>
      <c r="H24" s="336"/>
      <c r="I24" s="336" t="s">
        <v>2404</v>
      </c>
      <c r="J24" s="337"/>
      <c r="K24" s="338"/>
      <c r="L24" s="338"/>
      <c r="M24" s="336" t="s">
        <v>2408</v>
      </c>
    </row>
    <row r="25" spans="1:13" x14ac:dyDescent="0.35">
      <c r="A25" s="335">
        <v>1</v>
      </c>
      <c r="B25" s="336" t="s">
        <v>2234</v>
      </c>
      <c r="C25" s="339" t="s">
        <v>2258</v>
      </c>
      <c r="D25" s="336" t="s">
        <v>2431</v>
      </c>
      <c r="E25" s="336"/>
      <c r="F25" s="336" t="s">
        <v>2308</v>
      </c>
      <c r="G25" s="336"/>
      <c r="H25" s="336"/>
      <c r="I25" s="336" t="s">
        <v>2404</v>
      </c>
      <c r="J25" s="337"/>
      <c r="K25" s="338"/>
      <c r="L25" s="338"/>
      <c r="M25" s="336" t="s">
        <v>2408</v>
      </c>
    </row>
    <row r="26" spans="1:13" x14ac:dyDescent="0.35">
      <c r="A26" s="335">
        <v>1</v>
      </c>
      <c r="B26" s="336" t="s">
        <v>2234</v>
      </c>
      <c r="C26" s="339" t="s">
        <v>2258</v>
      </c>
      <c r="D26" s="336" t="s">
        <v>2432</v>
      </c>
      <c r="E26" s="336"/>
      <c r="F26" s="336" t="s">
        <v>2308</v>
      </c>
      <c r="G26" s="336"/>
      <c r="H26" s="336"/>
      <c r="I26" s="336" t="s">
        <v>2404</v>
      </c>
      <c r="J26" s="337"/>
      <c r="K26" s="338"/>
      <c r="L26" s="338"/>
      <c r="M26" s="336" t="s">
        <v>2408</v>
      </c>
    </row>
    <row r="27" spans="1:13" s="139" customFormat="1" x14ac:dyDescent="0.35">
      <c r="A27" s="335">
        <v>1</v>
      </c>
      <c r="B27" s="336" t="s">
        <v>2234</v>
      </c>
      <c r="C27" s="339" t="s">
        <v>2258</v>
      </c>
      <c r="D27" s="336" t="s">
        <v>2433</v>
      </c>
      <c r="E27" s="336"/>
      <c r="F27" s="336" t="s">
        <v>2308</v>
      </c>
      <c r="G27" s="336"/>
      <c r="H27" s="336"/>
      <c r="I27" s="336" t="s">
        <v>2404</v>
      </c>
      <c r="J27" s="337"/>
      <c r="K27" s="338"/>
      <c r="L27" s="338"/>
      <c r="M27" s="336" t="s">
        <v>2408</v>
      </c>
    </row>
    <row r="28" spans="1:13" x14ac:dyDescent="0.35">
      <c r="A28" s="335">
        <v>1</v>
      </c>
      <c r="B28" s="336" t="s">
        <v>2234</v>
      </c>
      <c r="C28" s="339" t="s">
        <v>2255</v>
      </c>
      <c r="D28" s="336" t="s">
        <v>2348</v>
      </c>
      <c r="E28" s="336" t="s">
        <v>2402</v>
      </c>
      <c r="F28" s="336" t="s">
        <v>2308</v>
      </c>
      <c r="G28" s="336"/>
      <c r="H28" s="336"/>
      <c r="I28" s="336" t="s">
        <v>2404</v>
      </c>
      <c r="J28" s="337"/>
      <c r="K28" s="338"/>
      <c r="L28" s="338"/>
      <c r="M28" s="336" t="s">
        <v>2405</v>
      </c>
    </row>
    <row r="29" spans="1:13" x14ac:dyDescent="0.35">
      <c r="A29" s="335">
        <v>1</v>
      </c>
      <c r="B29" s="336" t="s">
        <v>2234</v>
      </c>
      <c r="C29" s="339" t="s">
        <v>2255</v>
      </c>
      <c r="D29" s="341" t="s">
        <v>2434</v>
      </c>
      <c r="E29" s="336" t="s">
        <v>2435</v>
      </c>
      <c r="F29" s="336" t="s">
        <v>2307</v>
      </c>
      <c r="G29" s="336"/>
      <c r="H29" s="336"/>
      <c r="I29" s="336" t="s">
        <v>676</v>
      </c>
      <c r="J29" s="336" t="s">
        <v>676</v>
      </c>
      <c r="K29" s="338"/>
      <c r="L29" s="338"/>
      <c r="M29" s="336" t="s">
        <v>2408</v>
      </c>
    </row>
    <row r="30" spans="1:13" x14ac:dyDescent="0.35">
      <c r="A30" s="335">
        <v>1</v>
      </c>
      <c r="B30" s="336" t="s">
        <v>2234</v>
      </c>
      <c r="C30" s="339" t="s">
        <v>2349</v>
      </c>
      <c r="D30" s="336" t="s">
        <v>2350</v>
      </c>
      <c r="E30" s="336" t="s">
        <v>2412</v>
      </c>
      <c r="F30" s="336" t="s">
        <v>2307</v>
      </c>
      <c r="G30" s="336"/>
      <c r="H30" s="336" t="s">
        <v>2436</v>
      </c>
      <c r="I30" s="336" t="s">
        <v>676</v>
      </c>
      <c r="J30" s="336" t="s">
        <v>676</v>
      </c>
      <c r="K30" s="338"/>
      <c r="L30" s="338"/>
      <c r="M30" s="336" t="s">
        <v>2405</v>
      </c>
    </row>
    <row r="31" spans="1:13" x14ac:dyDescent="0.35">
      <c r="A31" s="335">
        <v>1</v>
      </c>
      <c r="B31" s="336" t="s">
        <v>2234</v>
      </c>
      <c r="C31" s="339" t="s">
        <v>2349</v>
      </c>
      <c r="D31" s="336" t="s">
        <v>2437</v>
      </c>
      <c r="E31" s="336" t="s">
        <v>2412</v>
      </c>
      <c r="F31" s="336" t="s">
        <v>2308</v>
      </c>
      <c r="G31" s="336"/>
      <c r="H31" s="336"/>
      <c r="I31" s="336" t="s">
        <v>2404</v>
      </c>
      <c r="J31" s="337"/>
      <c r="K31" s="338"/>
      <c r="L31" s="338"/>
      <c r="M31" s="336" t="s">
        <v>2408</v>
      </c>
    </row>
    <row r="32" spans="1:13" x14ac:dyDescent="0.35">
      <c r="A32" s="335">
        <v>1</v>
      </c>
      <c r="B32" s="336" t="s">
        <v>2234</v>
      </c>
      <c r="C32" s="339" t="s">
        <v>2349</v>
      </c>
      <c r="D32" s="336" t="s">
        <v>2438</v>
      </c>
      <c r="E32" s="336" t="s">
        <v>2412</v>
      </c>
      <c r="F32" s="336" t="s">
        <v>2308</v>
      </c>
      <c r="G32" s="336"/>
      <c r="H32" s="336"/>
      <c r="I32" s="336" t="s">
        <v>2404</v>
      </c>
      <c r="J32" s="337"/>
      <c r="K32" s="338"/>
      <c r="L32" s="338"/>
      <c r="M32" s="336" t="s">
        <v>2408</v>
      </c>
    </row>
    <row r="33" spans="1:13" x14ac:dyDescent="0.35">
      <c r="A33" s="335">
        <v>1</v>
      </c>
      <c r="B33" s="336" t="s">
        <v>2234</v>
      </c>
      <c r="C33" s="339" t="s">
        <v>2351</v>
      </c>
      <c r="D33" s="336" t="s">
        <v>2352</v>
      </c>
      <c r="E33" s="336" t="s">
        <v>2412</v>
      </c>
      <c r="F33" s="336" t="s">
        <v>2308</v>
      </c>
      <c r="G33" s="336"/>
      <c r="H33" s="336" t="s">
        <v>2419</v>
      </c>
      <c r="I33" s="336" t="s">
        <v>2404</v>
      </c>
      <c r="J33" s="337">
        <v>46336</v>
      </c>
      <c r="K33" s="338"/>
      <c r="L33" s="338"/>
      <c r="M33" s="336" t="s">
        <v>2405</v>
      </c>
    </row>
    <row r="34" spans="1:13" x14ac:dyDescent="0.35">
      <c r="A34" s="335">
        <v>1</v>
      </c>
      <c r="B34" s="336" t="s">
        <v>2234</v>
      </c>
      <c r="C34" s="343" t="s">
        <v>2249</v>
      </c>
      <c r="D34" s="336" t="s">
        <v>2353</v>
      </c>
      <c r="E34" s="336" t="s">
        <v>2435</v>
      </c>
      <c r="F34" s="336" t="s">
        <v>2308</v>
      </c>
      <c r="G34" s="336"/>
      <c r="H34" s="336" t="s">
        <v>2436</v>
      </c>
      <c r="I34" s="336" t="s">
        <v>2404</v>
      </c>
      <c r="J34" s="337">
        <v>46368</v>
      </c>
      <c r="K34" s="338"/>
      <c r="L34" s="338"/>
      <c r="M34" s="336" t="s">
        <v>2405</v>
      </c>
    </row>
    <row r="35" spans="1:13" x14ac:dyDescent="0.35">
      <c r="A35" s="335">
        <v>1</v>
      </c>
      <c r="B35" s="336" t="s">
        <v>2234</v>
      </c>
      <c r="C35" s="336" t="s">
        <v>2249</v>
      </c>
      <c r="D35" s="336" t="s">
        <v>2439</v>
      </c>
      <c r="E35" s="336" t="s">
        <v>2412</v>
      </c>
      <c r="F35" s="336" t="s">
        <v>2308</v>
      </c>
      <c r="G35" s="336"/>
      <c r="H35" s="336"/>
      <c r="I35" s="336" t="s">
        <v>2404</v>
      </c>
      <c r="J35" s="337"/>
      <c r="K35" s="338"/>
      <c r="L35" s="338"/>
      <c r="M35" s="336" t="s">
        <v>2408</v>
      </c>
    </row>
    <row r="36" spans="1:13" x14ac:dyDescent="0.35">
      <c r="A36" s="335">
        <v>1</v>
      </c>
      <c r="B36" s="336" t="s">
        <v>2234</v>
      </c>
      <c r="C36" s="336" t="s">
        <v>2250</v>
      </c>
      <c r="D36" s="336" t="s">
        <v>2354</v>
      </c>
      <c r="E36" s="336" t="s">
        <v>2402</v>
      </c>
      <c r="F36" s="336" t="s">
        <v>2308</v>
      </c>
      <c r="G36" s="336"/>
      <c r="H36" s="336"/>
      <c r="I36" s="336" t="s">
        <v>2404</v>
      </c>
      <c r="J36" s="337"/>
      <c r="K36" s="338"/>
      <c r="L36" s="338"/>
      <c r="M36" s="336" t="s">
        <v>2405</v>
      </c>
    </row>
    <row r="37" spans="1:13" x14ac:dyDescent="0.35">
      <c r="A37" s="335">
        <v>1</v>
      </c>
      <c r="B37" s="336" t="s">
        <v>2234</v>
      </c>
      <c r="C37" s="336" t="s">
        <v>2355</v>
      </c>
      <c r="D37" s="336" t="s">
        <v>2356</v>
      </c>
      <c r="E37" s="336" t="s">
        <v>2402</v>
      </c>
      <c r="F37" s="336" t="s">
        <v>2308</v>
      </c>
      <c r="G37" s="336"/>
      <c r="H37" s="336" t="s">
        <v>2436</v>
      </c>
      <c r="I37" s="336" t="s">
        <v>2404</v>
      </c>
      <c r="J37" s="337">
        <v>46346</v>
      </c>
      <c r="K37" s="338"/>
      <c r="L37" s="338"/>
      <c r="M37" s="336" t="s">
        <v>2405</v>
      </c>
    </row>
    <row r="38" spans="1:13" x14ac:dyDescent="0.35">
      <c r="A38" s="335">
        <v>1</v>
      </c>
      <c r="B38" s="336" t="s">
        <v>2234</v>
      </c>
      <c r="C38" s="336" t="s">
        <v>2241</v>
      </c>
      <c r="D38" s="341" t="s">
        <v>2440</v>
      </c>
      <c r="E38" s="341" t="s">
        <v>2441</v>
      </c>
      <c r="F38" s="341" t="s">
        <v>2307</v>
      </c>
      <c r="G38" s="341"/>
      <c r="H38" s="336" t="s">
        <v>2421</v>
      </c>
      <c r="I38" s="336" t="s">
        <v>676</v>
      </c>
      <c r="J38" s="336" t="s">
        <v>676</v>
      </c>
      <c r="K38" s="338"/>
      <c r="L38" s="338"/>
      <c r="M38" s="336" t="s">
        <v>2408</v>
      </c>
    </row>
    <row r="39" spans="1:13" x14ac:dyDescent="0.35">
      <c r="A39" s="335">
        <v>1</v>
      </c>
      <c r="B39" s="336" t="s">
        <v>2234</v>
      </c>
      <c r="C39" s="336" t="s">
        <v>2241</v>
      </c>
      <c r="D39" s="342" t="s">
        <v>2442</v>
      </c>
      <c r="E39" s="342" t="s">
        <v>2402</v>
      </c>
      <c r="F39" s="342" t="s">
        <v>2308</v>
      </c>
      <c r="G39" s="342"/>
      <c r="H39" s="342"/>
      <c r="I39" s="336" t="s">
        <v>2404</v>
      </c>
      <c r="J39" s="344"/>
      <c r="K39" s="338"/>
      <c r="L39" s="338"/>
      <c r="M39" s="336" t="s">
        <v>2408</v>
      </c>
    </row>
    <row r="40" spans="1:13" x14ac:dyDescent="0.35">
      <c r="A40" s="335">
        <v>1</v>
      </c>
      <c r="B40" s="336" t="s">
        <v>2234</v>
      </c>
      <c r="C40" s="336" t="s">
        <v>2241</v>
      </c>
      <c r="D40" s="342" t="s">
        <v>2443</v>
      </c>
      <c r="E40" s="342" t="s">
        <v>2402</v>
      </c>
      <c r="F40" s="342" t="s">
        <v>2308</v>
      </c>
      <c r="G40" s="342"/>
      <c r="H40" s="342"/>
      <c r="I40" s="336" t="s">
        <v>2404</v>
      </c>
      <c r="J40" s="344"/>
      <c r="K40" s="338"/>
      <c r="L40" s="338"/>
      <c r="M40" s="336" t="s">
        <v>2408</v>
      </c>
    </row>
    <row r="41" spans="1:13" x14ac:dyDescent="0.35">
      <c r="A41" s="335">
        <v>1</v>
      </c>
      <c r="B41" s="336" t="s">
        <v>2234</v>
      </c>
      <c r="C41" s="336" t="s">
        <v>2241</v>
      </c>
      <c r="D41" s="342" t="s">
        <v>2444</v>
      </c>
      <c r="E41" s="342" t="s">
        <v>2402</v>
      </c>
      <c r="F41" s="342" t="s">
        <v>2308</v>
      </c>
      <c r="G41" s="342"/>
      <c r="H41" s="342"/>
      <c r="I41" s="336" t="s">
        <v>2404</v>
      </c>
      <c r="J41" s="344"/>
      <c r="K41" s="338"/>
      <c r="L41" s="338"/>
      <c r="M41" s="336" t="s">
        <v>2408</v>
      </c>
    </row>
    <row r="42" spans="1:13" x14ac:dyDescent="0.35">
      <c r="A42" s="335">
        <v>1</v>
      </c>
      <c r="B42" s="336" t="s">
        <v>2234</v>
      </c>
      <c r="C42" s="336" t="s">
        <v>2241</v>
      </c>
      <c r="D42" s="342" t="s">
        <v>2445</v>
      </c>
      <c r="E42" s="342" t="s">
        <v>2446</v>
      </c>
      <c r="F42" s="342" t="s">
        <v>2308</v>
      </c>
      <c r="G42" s="342"/>
      <c r="H42" s="342"/>
      <c r="I42" s="336" t="s">
        <v>2404</v>
      </c>
      <c r="J42" s="344"/>
      <c r="K42" s="338"/>
      <c r="L42" s="338"/>
      <c r="M42" s="336" t="s">
        <v>2408</v>
      </c>
    </row>
    <row r="43" spans="1:13" x14ac:dyDescent="0.35">
      <c r="A43" s="335">
        <v>1</v>
      </c>
      <c r="B43" s="336" t="s">
        <v>2234</v>
      </c>
      <c r="C43" s="336" t="s">
        <v>2241</v>
      </c>
      <c r="D43" s="342" t="s">
        <v>2447</v>
      </c>
      <c r="E43" s="342" t="s">
        <v>2448</v>
      </c>
      <c r="F43" s="342" t="s">
        <v>2308</v>
      </c>
      <c r="G43" s="342"/>
      <c r="H43" s="342"/>
      <c r="I43" s="336" t="s">
        <v>2404</v>
      </c>
      <c r="J43" s="344"/>
      <c r="K43" s="338"/>
      <c r="L43" s="338"/>
      <c r="M43" s="336" t="s">
        <v>2408</v>
      </c>
    </row>
    <row r="44" spans="1:13" x14ac:dyDescent="0.35">
      <c r="A44" s="335">
        <v>1</v>
      </c>
      <c r="B44" s="336" t="s">
        <v>2234</v>
      </c>
      <c r="C44" s="336" t="s">
        <v>2241</v>
      </c>
      <c r="D44" s="341" t="s">
        <v>2357</v>
      </c>
      <c r="E44" s="336" t="s">
        <v>2435</v>
      </c>
      <c r="F44" s="336" t="s">
        <v>2307</v>
      </c>
      <c r="G44" s="336"/>
      <c r="H44" s="336" t="s">
        <v>2403</v>
      </c>
      <c r="I44" s="336" t="s">
        <v>676</v>
      </c>
      <c r="J44" s="336" t="s">
        <v>676</v>
      </c>
      <c r="K44" s="338"/>
      <c r="L44" s="338"/>
      <c r="M44" s="336" t="s">
        <v>2405</v>
      </c>
    </row>
    <row r="45" spans="1:13" x14ac:dyDescent="0.35">
      <c r="A45" s="335">
        <v>1</v>
      </c>
      <c r="B45" s="336" t="s">
        <v>2234</v>
      </c>
      <c r="C45" s="339" t="s">
        <v>2242</v>
      </c>
      <c r="D45" s="336" t="s">
        <v>2358</v>
      </c>
      <c r="E45" s="336" t="s">
        <v>2418</v>
      </c>
      <c r="F45" s="336" t="s">
        <v>2307</v>
      </c>
      <c r="G45" s="336"/>
      <c r="H45" s="336" t="s">
        <v>2436</v>
      </c>
      <c r="I45" s="336" t="s">
        <v>676</v>
      </c>
      <c r="J45" s="336" t="s">
        <v>676</v>
      </c>
      <c r="K45" s="338"/>
      <c r="L45" s="338"/>
      <c r="M45" s="336" t="s">
        <v>2405</v>
      </c>
    </row>
    <row r="46" spans="1:13" x14ac:dyDescent="0.35">
      <c r="A46" s="335">
        <v>1</v>
      </c>
      <c r="B46" s="336" t="s">
        <v>2234</v>
      </c>
      <c r="C46" s="339" t="s">
        <v>2242</v>
      </c>
      <c r="D46" s="336" t="s">
        <v>2449</v>
      </c>
      <c r="E46" s="336" t="s">
        <v>2446</v>
      </c>
      <c r="F46" s="336" t="s">
        <v>2307</v>
      </c>
      <c r="G46" s="336"/>
      <c r="H46" s="336" t="s">
        <v>2450</v>
      </c>
      <c r="I46" s="336" t="s">
        <v>676</v>
      </c>
      <c r="J46" s="336" t="s">
        <v>676</v>
      </c>
      <c r="K46" s="338"/>
      <c r="L46" s="338"/>
      <c r="M46" s="336" t="s">
        <v>2408</v>
      </c>
    </row>
    <row r="47" spans="1:13" x14ac:dyDescent="0.35">
      <c r="A47" s="335">
        <v>1</v>
      </c>
      <c r="B47" s="336" t="s">
        <v>2234</v>
      </c>
      <c r="C47" s="339" t="s">
        <v>2242</v>
      </c>
      <c r="D47" s="336" t="s">
        <v>2451</v>
      </c>
      <c r="E47" s="336" t="s">
        <v>2448</v>
      </c>
      <c r="F47" s="336" t="s">
        <v>2307</v>
      </c>
      <c r="G47" s="336"/>
      <c r="H47" s="336" t="s">
        <v>2452</v>
      </c>
      <c r="I47" s="336" t="s">
        <v>676</v>
      </c>
      <c r="J47" s="336" t="s">
        <v>676</v>
      </c>
      <c r="K47" s="338"/>
      <c r="L47" s="338"/>
      <c r="M47" s="336" t="s">
        <v>2408</v>
      </c>
    </row>
    <row r="48" spans="1:13" x14ac:dyDescent="0.35">
      <c r="A48" s="335">
        <v>1</v>
      </c>
      <c r="B48" s="336" t="s">
        <v>2234</v>
      </c>
      <c r="C48" s="339" t="s">
        <v>2242</v>
      </c>
      <c r="D48" s="336" t="s">
        <v>2453</v>
      </c>
      <c r="E48" s="336" t="s">
        <v>2448</v>
      </c>
      <c r="F48" s="336" t="s">
        <v>2307</v>
      </c>
      <c r="G48" s="336"/>
      <c r="H48" s="336" t="s">
        <v>2452</v>
      </c>
      <c r="I48" s="336" t="s">
        <v>676</v>
      </c>
      <c r="J48" s="336" t="s">
        <v>676</v>
      </c>
      <c r="K48" s="338"/>
      <c r="L48" s="338"/>
      <c r="M48" s="336" t="s">
        <v>2408</v>
      </c>
    </row>
    <row r="49" spans="1:13" x14ac:dyDescent="0.35">
      <c r="A49" s="335">
        <v>1</v>
      </c>
      <c r="B49" s="336" t="s">
        <v>2234</v>
      </c>
      <c r="C49" s="339" t="s">
        <v>2242</v>
      </c>
      <c r="D49" s="336" t="s">
        <v>2454</v>
      </c>
      <c r="E49" s="336" t="s">
        <v>2448</v>
      </c>
      <c r="F49" s="336" t="s">
        <v>2307</v>
      </c>
      <c r="G49" s="336"/>
      <c r="H49" s="336" t="s">
        <v>2452</v>
      </c>
      <c r="I49" s="336" t="s">
        <v>676</v>
      </c>
      <c r="J49" s="336" t="s">
        <v>676</v>
      </c>
      <c r="K49" s="338"/>
      <c r="L49" s="338"/>
      <c r="M49" s="336" t="s">
        <v>2408</v>
      </c>
    </row>
    <row r="50" spans="1:13" x14ac:dyDescent="0.35">
      <c r="A50" s="335">
        <v>1</v>
      </c>
      <c r="B50" s="336" t="s">
        <v>2234</v>
      </c>
      <c r="C50" s="339" t="s">
        <v>2242</v>
      </c>
      <c r="D50" s="336" t="s">
        <v>2455</v>
      </c>
      <c r="E50" s="336" t="s">
        <v>2448</v>
      </c>
      <c r="F50" s="336" t="s">
        <v>2307</v>
      </c>
      <c r="G50" s="336"/>
      <c r="H50" s="336" t="s">
        <v>2452</v>
      </c>
      <c r="I50" s="336" t="s">
        <v>676</v>
      </c>
      <c r="J50" s="336" t="s">
        <v>676</v>
      </c>
      <c r="K50" s="338"/>
      <c r="L50" s="338"/>
      <c r="M50" s="336" t="s">
        <v>2408</v>
      </c>
    </row>
    <row r="51" spans="1:13" x14ac:dyDescent="0.35">
      <c r="A51" s="335">
        <v>1</v>
      </c>
      <c r="B51" s="336" t="s">
        <v>2234</v>
      </c>
      <c r="C51" s="339" t="s">
        <v>2242</v>
      </c>
      <c r="D51" s="336" t="s">
        <v>2456</v>
      </c>
      <c r="E51" s="336" t="s">
        <v>2448</v>
      </c>
      <c r="F51" s="336" t="s">
        <v>2307</v>
      </c>
      <c r="G51" s="336"/>
      <c r="H51" s="336" t="s">
        <v>2452</v>
      </c>
      <c r="I51" s="336" t="s">
        <v>676</v>
      </c>
      <c r="J51" s="336" t="s">
        <v>676</v>
      </c>
      <c r="K51" s="338"/>
      <c r="L51" s="338"/>
      <c r="M51" s="336" t="s">
        <v>2408</v>
      </c>
    </row>
    <row r="52" spans="1:13" x14ac:dyDescent="0.35">
      <c r="A52" s="335">
        <v>1</v>
      </c>
      <c r="B52" s="336" t="s">
        <v>2234</v>
      </c>
      <c r="C52" s="339" t="s">
        <v>2242</v>
      </c>
      <c r="D52" s="336" t="s">
        <v>2457</v>
      </c>
      <c r="E52" s="336" t="s">
        <v>2448</v>
      </c>
      <c r="F52" s="336" t="s">
        <v>2307</v>
      </c>
      <c r="G52" s="336"/>
      <c r="H52" s="336" t="s">
        <v>2452</v>
      </c>
      <c r="I52" s="336" t="s">
        <v>676</v>
      </c>
      <c r="J52" s="336" t="s">
        <v>676</v>
      </c>
      <c r="K52" s="338"/>
      <c r="L52" s="338"/>
      <c r="M52" s="336" t="s">
        <v>2408</v>
      </c>
    </row>
    <row r="53" spans="1:13" x14ac:dyDescent="0.35">
      <c r="A53" s="335">
        <v>1</v>
      </c>
      <c r="B53" s="336" t="s">
        <v>2234</v>
      </c>
      <c r="C53" s="339" t="s">
        <v>2242</v>
      </c>
      <c r="D53" s="345" t="s">
        <v>2458</v>
      </c>
      <c r="E53" s="336" t="s">
        <v>2448</v>
      </c>
      <c r="F53" s="336" t="s">
        <v>2307</v>
      </c>
      <c r="G53" s="336"/>
      <c r="H53" s="336" t="s">
        <v>2459</v>
      </c>
      <c r="I53" s="336" t="s">
        <v>676</v>
      </c>
      <c r="J53" s="336" t="s">
        <v>676</v>
      </c>
      <c r="K53" s="338"/>
      <c r="L53" s="338"/>
      <c r="M53" s="336" t="s">
        <v>2408</v>
      </c>
    </row>
    <row r="54" spans="1:13" x14ac:dyDescent="0.35">
      <c r="A54" s="335">
        <v>1</v>
      </c>
      <c r="B54" s="336" t="s">
        <v>2234</v>
      </c>
      <c r="C54" s="339" t="s">
        <v>2242</v>
      </c>
      <c r="D54" s="336" t="s">
        <v>2460</v>
      </c>
      <c r="E54" s="336" t="s">
        <v>2448</v>
      </c>
      <c r="F54" s="336" t="s">
        <v>2307</v>
      </c>
      <c r="G54" s="336"/>
      <c r="H54" s="336" t="s">
        <v>2421</v>
      </c>
      <c r="I54" s="336" t="s">
        <v>676</v>
      </c>
      <c r="J54" s="336" t="s">
        <v>676</v>
      </c>
      <c r="K54" s="338"/>
      <c r="L54" s="338"/>
      <c r="M54" s="336" t="s">
        <v>2408</v>
      </c>
    </row>
    <row r="55" spans="1:13" x14ac:dyDescent="0.35">
      <c r="A55" s="335">
        <v>1</v>
      </c>
      <c r="B55" s="336" t="s">
        <v>2234</v>
      </c>
      <c r="C55" s="339" t="s">
        <v>2242</v>
      </c>
      <c r="D55" s="336" t="s">
        <v>2461</v>
      </c>
      <c r="E55" s="336" t="s">
        <v>2448</v>
      </c>
      <c r="F55" s="336" t="s">
        <v>2307</v>
      </c>
      <c r="G55" s="336"/>
      <c r="H55" s="336" t="s">
        <v>2462</v>
      </c>
      <c r="I55" s="336" t="s">
        <v>676</v>
      </c>
      <c r="J55" s="336" t="s">
        <v>676</v>
      </c>
      <c r="K55" s="338"/>
      <c r="L55" s="338"/>
      <c r="M55" s="336" t="s">
        <v>2408</v>
      </c>
    </row>
    <row r="56" spans="1:13" x14ac:dyDescent="0.35">
      <c r="A56" s="335">
        <v>1</v>
      </c>
      <c r="B56" s="336" t="s">
        <v>2234</v>
      </c>
      <c r="C56" s="339" t="s">
        <v>2242</v>
      </c>
      <c r="D56" s="341" t="s">
        <v>2463</v>
      </c>
      <c r="E56" s="336" t="s">
        <v>2448</v>
      </c>
      <c r="F56" s="336" t="s">
        <v>2307</v>
      </c>
      <c r="G56" s="336"/>
      <c r="H56" s="336"/>
      <c r="I56" s="336" t="s">
        <v>676</v>
      </c>
      <c r="J56" s="336" t="s">
        <v>676</v>
      </c>
      <c r="K56" s="338"/>
      <c r="L56" s="338"/>
      <c r="M56" s="336" t="s">
        <v>2408</v>
      </c>
    </row>
    <row r="57" spans="1:13" x14ac:dyDescent="0.35">
      <c r="A57" s="335">
        <v>1</v>
      </c>
      <c r="B57" s="336" t="s">
        <v>2234</v>
      </c>
      <c r="C57" s="339" t="s">
        <v>2242</v>
      </c>
      <c r="D57" s="346"/>
      <c r="E57" s="336" t="s">
        <v>2464</v>
      </c>
      <c r="F57" s="336" t="s">
        <v>2308</v>
      </c>
      <c r="G57" s="336"/>
      <c r="H57" s="336"/>
      <c r="I57" s="336" t="s">
        <v>2404</v>
      </c>
      <c r="J57" s="337"/>
      <c r="K57" s="338"/>
      <c r="L57" s="338"/>
      <c r="M57" s="336" t="s">
        <v>2408</v>
      </c>
    </row>
    <row r="58" spans="1:13" x14ac:dyDescent="0.35">
      <c r="A58" s="335">
        <v>1</v>
      </c>
      <c r="B58" s="336" t="s">
        <v>2234</v>
      </c>
      <c r="C58" s="339" t="s">
        <v>2242</v>
      </c>
      <c r="D58" s="346"/>
      <c r="E58" s="336" t="s">
        <v>2418</v>
      </c>
      <c r="F58" s="336" t="s">
        <v>2308</v>
      </c>
      <c r="G58" s="336"/>
      <c r="H58" s="336"/>
      <c r="I58" s="336" t="s">
        <v>2404</v>
      </c>
      <c r="J58" s="337"/>
      <c r="K58" s="338"/>
      <c r="L58" s="338"/>
      <c r="M58" s="336" t="s">
        <v>2408</v>
      </c>
    </row>
    <row r="59" spans="1:13" x14ac:dyDescent="0.35">
      <c r="A59" s="335">
        <v>1</v>
      </c>
      <c r="B59" s="336" t="s">
        <v>2234</v>
      </c>
      <c r="C59" s="339" t="s">
        <v>2242</v>
      </c>
      <c r="D59" s="336" t="s">
        <v>2465</v>
      </c>
      <c r="E59" s="336" t="s">
        <v>2448</v>
      </c>
      <c r="F59" s="336" t="s">
        <v>2308</v>
      </c>
      <c r="G59" s="336"/>
      <c r="H59" s="336"/>
      <c r="I59" s="336" t="s">
        <v>2404</v>
      </c>
      <c r="J59" s="337"/>
      <c r="K59" s="338"/>
      <c r="L59" s="338"/>
      <c r="M59" s="336" t="s">
        <v>2408</v>
      </c>
    </row>
    <row r="60" spans="1:13" x14ac:dyDescent="0.35">
      <c r="A60" s="335">
        <v>1</v>
      </c>
      <c r="B60" s="336" t="s">
        <v>2234</v>
      </c>
      <c r="C60" s="339" t="s">
        <v>2242</v>
      </c>
      <c r="D60" s="336" t="s">
        <v>2466</v>
      </c>
      <c r="E60" s="336" t="s">
        <v>2418</v>
      </c>
      <c r="F60" s="336" t="s">
        <v>2308</v>
      </c>
      <c r="G60" s="336"/>
      <c r="H60" s="336"/>
      <c r="I60" s="336" t="s">
        <v>2404</v>
      </c>
      <c r="J60" s="337"/>
      <c r="K60" s="338"/>
      <c r="L60" s="338"/>
      <c r="M60" s="336" t="s">
        <v>2408</v>
      </c>
    </row>
    <row r="61" spans="1:13" x14ac:dyDescent="0.35">
      <c r="A61" s="335">
        <v>1</v>
      </c>
      <c r="B61" s="336" t="s">
        <v>2234</v>
      </c>
      <c r="C61" s="339" t="s">
        <v>2242</v>
      </c>
      <c r="D61" s="336" t="s">
        <v>2467</v>
      </c>
      <c r="E61" s="336" t="s">
        <v>2468</v>
      </c>
      <c r="F61" s="336" t="s">
        <v>2308</v>
      </c>
      <c r="G61" s="336"/>
      <c r="H61" s="336"/>
      <c r="I61" s="336" t="s">
        <v>2404</v>
      </c>
      <c r="J61" s="337"/>
      <c r="K61" s="338"/>
      <c r="L61" s="338"/>
      <c r="M61" s="336" t="s">
        <v>2408</v>
      </c>
    </row>
    <row r="62" spans="1:13" x14ac:dyDescent="0.35">
      <c r="A62" s="335">
        <v>1</v>
      </c>
      <c r="B62" s="336" t="s">
        <v>2234</v>
      </c>
      <c r="C62" s="339" t="s">
        <v>2242</v>
      </c>
      <c r="D62" s="336" t="s">
        <v>2469</v>
      </c>
      <c r="E62" s="336" t="s">
        <v>2446</v>
      </c>
      <c r="F62" s="336" t="s">
        <v>2308</v>
      </c>
      <c r="G62" s="336"/>
      <c r="H62" s="336"/>
      <c r="I62" s="336" t="s">
        <v>2404</v>
      </c>
      <c r="J62" s="337"/>
      <c r="K62" s="338"/>
      <c r="L62" s="338"/>
      <c r="M62" s="336" t="s">
        <v>2408</v>
      </c>
    </row>
    <row r="63" spans="1:13" x14ac:dyDescent="0.35">
      <c r="A63" s="335">
        <v>1</v>
      </c>
      <c r="B63" s="336" t="s">
        <v>2234</v>
      </c>
      <c r="C63" s="339" t="s">
        <v>2242</v>
      </c>
      <c r="D63" s="341" t="s">
        <v>2470</v>
      </c>
      <c r="E63" s="336" t="s">
        <v>2471</v>
      </c>
      <c r="F63" s="336" t="s">
        <v>2307</v>
      </c>
      <c r="G63" s="336"/>
      <c r="H63" s="336" t="s">
        <v>2436</v>
      </c>
      <c r="I63" s="336" t="s">
        <v>676</v>
      </c>
      <c r="J63" s="336" t="s">
        <v>676</v>
      </c>
      <c r="K63" s="338"/>
      <c r="L63" s="338"/>
      <c r="M63" s="336" t="s">
        <v>2408</v>
      </c>
    </row>
    <row r="64" spans="1:13" x14ac:dyDescent="0.35">
      <c r="A64" s="335">
        <v>1</v>
      </c>
      <c r="B64" s="336" t="s">
        <v>2234</v>
      </c>
      <c r="C64" s="343" t="s">
        <v>2260</v>
      </c>
      <c r="D64" s="336" t="s">
        <v>2359</v>
      </c>
      <c r="E64" s="336" t="s">
        <v>2472</v>
      </c>
      <c r="F64" s="336" t="s">
        <v>2308</v>
      </c>
      <c r="G64" s="336"/>
      <c r="H64" s="336" t="s">
        <v>2473</v>
      </c>
      <c r="I64" s="336" t="s">
        <v>2404</v>
      </c>
      <c r="J64" s="337">
        <v>46376</v>
      </c>
      <c r="K64" s="338"/>
      <c r="L64" s="338"/>
      <c r="M64" s="336" t="s">
        <v>2405</v>
      </c>
    </row>
    <row r="65" spans="1:13" x14ac:dyDescent="0.35">
      <c r="A65" s="335">
        <v>1</v>
      </c>
      <c r="B65" s="336" t="s">
        <v>2234</v>
      </c>
      <c r="C65" s="343" t="s">
        <v>2260</v>
      </c>
      <c r="D65" s="336" t="s">
        <v>2474</v>
      </c>
      <c r="E65" s="336" t="s">
        <v>2448</v>
      </c>
      <c r="F65" s="336" t="s">
        <v>2308</v>
      </c>
      <c r="G65" s="336"/>
      <c r="H65" s="336"/>
      <c r="I65" s="336" t="s">
        <v>2404</v>
      </c>
      <c r="J65" s="337"/>
      <c r="K65" s="338"/>
      <c r="L65" s="338"/>
      <c r="M65" s="336" t="s">
        <v>2408</v>
      </c>
    </row>
    <row r="66" spans="1:13" x14ac:dyDescent="0.35">
      <c r="A66" s="347">
        <v>1</v>
      </c>
      <c r="B66" s="341" t="s">
        <v>2234</v>
      </c>
      <c r="C66" s="348" t="s">
        <v>2360</v>
      </c>
      <c r="D66" s="341" t="s">
        <v>2361</v>
      </c>
      <c r="E66" s="341" t="s">
        <v>2472</v>
      </c>
      <c r="F66" s="341" t="s">
        <v>2308</v>
      </c>
      <c r="G66" s="341"/>
      <c r="H66" s="336" t="s">
        <v>2473</v>
      </c>
      <c r="I66" s="341" t="s">
        <v>2475</v>
      </c>
      <c r="J66" s="349"/>
      <c r="K66" s="338"/>
      <c r="L66" s="338"/>
      <c r="M66" s="341" t="s">
        <v>2405</v>
      </c>
    </row>
    <row r="67" spans="1:13" x14ac:dyDescent="0.35">
      <c r="A67" s="335">
        <v>1</v>
      </c>
      <c r="B67" s="336" t="s">
        <v>2234</v>
      </c>
      <c r="C67" s="343" t="s">
        <v>2360</v>
      </c>
      <c r="D67" s="336" t="s">
        <v>2476</v>
      </c>
      <c r="E67" s="336" t="s">
        <v>2448</v>
      </c>
      <c r="F67" s="336" t="s">
        <v>2308</v>
      </c>
      <c r="G67" s="336"/>
      <c r="H67" s="336"/>
      <c r="I67" s="336" t="s">
        <v>2404</v>
      </c>
      <c r="J67" s="337"/>
      <c r="K67" s="338"/>
      <c r="L67" s="338"/>
      <c r="M67" s="336" t="s">
        <v>2408</v>
      </c>
    </row>
    <row r="68" spans="1:13" x14ac:dyDescent="0.35">
      <c r="A68" s="335">
        <v>1</v>
      </c>
      <c r="B68" s="336" t="s">
        <v>2234</v>
      </c>
      <c r="C68" s="339" t="s">
        <v>2362</v>
      </c>
      <c r="D68" s="336" t="s">
        <v>2363</v>
      </c>
      <c r="E68" s="336" t="s">
        <v>2472</v>
      </c>
      <c r="F68" s="336" t="s">
        <v>2307</v>
      </c>
      <c r="G68" s="336"/>
      <c r="H68" s="336" t="s">
        <v>2473</v>
      </c>
      <c r="I68" s="336" t="s">
        <v>676</v>
      </c>
      <c r="J68" s="336" t="s">
        <v>676</v>
      </c>
      <c r="K68" s="338"/>
      <c r="L68" s="338"/>
      <c r="M68" s="336" t="s">
        <v>2405</v>
      </c>
    </row>
    <row r="69" spans="1:13" x14ac:dyDescent="0.35">
      <c r="A69" s="335">
        <v>1</v>
      </c>
      <c r="B69" s="336" t="s">
        <v>2234</v>
      </c>
      <c r="C69" s="339" t="s">
        <v>2362</v>
      </c>
      <c r="D69" s="336" t="s">
        <v>2477</v>
      </c>
      <c r="E69" s="336" t="s">
        <v>2472</v>
      </c>
      <c r="F69" s="336" t="s">
        <v>2307</v>
      </c>
      <c r="G69" s="336"/>
      <c r="H69" s="336" t="s">
        <v>2436</v>
      </c>
      <c r="I69" s="336" t="s">
        <v>676</v>
      </c>
      <c r="J69" s="336" t="s">
        <v>676</v>
      </c>
      <c r="K69" s="338"/>
      <c r="L69" s="338"/>
      <c r="M69" s="336" t="s">
        <v>2408</v>
      </c>
    </row>
    <row r="70" spans="1:13" x14ac:dyDescent="0.35">
      <c r="A70" s="335">
        <v>1</v>
      </c>
      <c r="B70" s="336" t="s">
        <v>2234</v>
      </c>
      <c r="C70" s="339" t="s">
        <v>2362</v>
      </c>
      <c r="D70" s="336" t="s">
        <v>2478</v>
      </c>
      <c r="E70" s="336" t="s">
        <v>2472</v>
      </c>
      <c r="F70" s="336" t="s">
        <v>2307</v>
      </c>
      <c r="G70" s="336"/>
      <c r="H70" s="336" t="s">
        <v>2436</v>
      </c>
      <c r="I70" s="336" t="s">
        <v>676</v>
      </c>
      <c r="J70" s="336" t="s">
        <v>676</v>
      </c>
      <c r="K70" s="338"/>
      <c r="L70" s="338"/>
      <c r="M70" s="336" t="s">
        <v>2408</v>
      </c>
    </row>
    <row r="71" spans="1:13" x14ac:dyDescent="0.35">
      <c r="A71" s="335">
        <v>1</v>
      </c>
      <c r="B71" s="336" t="s">
        <v>2234</v>
      </c>
      <c r="C71" s="339" t="s">
        <v>2362</v>
      </c>
      <c r="D71" s="336" t="s">
        <v>2479</v>
      </c>
      <c r="E71" s="336" t="s">
        <v>2472</v>
      </c>
      <c r="F71" s="336" t="s">
        <v>2307</v>
      </c>
      <c r="G71" s="336"/>
      <c r="H71" s="336" t="s">
        <v>2473</v>
      </c>
      <c r="I71" s="336" t="s">
        <v>676</v>
      </c>
      <c r="J71" s="336" t="s">
        <v>676</v>
      </c>
      <c r="K71" s="338"/>
      <c r="L71" s="338"/>
      <c r="M71" s="336" t="s">
        <v>2408</v>
      </c>
    </row>
    <row r="72" spans="1:13" x14ac:dyDescent="0.35">
      <c r="A72" s="335">
        <v>1</v>
      </c>
      <c r="B72" s="336" t="s">
        <v>2234</v>
      </c>
      <c r="C72" s="339" t="s">
        <v>2362</v>
      </c>
      <c r="D72" s="336" t="s">
        <v>2480</v>
      </c>
      <c r="E72" s="336" t="s">
        <v>2472</v>
      </c>
      <c r="F72" s="336" t="s">
        <v>2307</v>
      </c>
      <c r="G72" s="336"/>
      <c r="H72" s="336" t="s">
        <v>2421</v>
      </c>
      <c r="I72" s="336" t="s">
        <v>676</v>
      </c>
      <c r="J72" s="336" t="s">
        <v>676</v>
      </c>
      <c r="K72" s="338"/>
      <c r="L72" s="338"/>
      <c r="M72" s="336" t="s">
        <v>2408</v>
      </c>
    </row>
    <row r="73" spans="1:13" x14ac:dyDescent="0.35">
      <c r="A73" s="335">
        <v>1</v>
      </c>
      <c r="B73" s="336" t="s">
        <v>2234</v>
      </c>
      <c r="C73" s="339" t="s">
        <v>2245</v>
      </c>
      <c r="D73" s="336" t="s">
        <v>2364</v>
      </c>
      <c r="E73" s="336" t="s">
        <v>2402</v>
      </c>
      <c r="F73" s="336" t="s">
        <v>2307</v>
      </c>
      <c r="G73" s="336"/>
      <c r="H73" s="336" t="s">
        <v>2473</v>
      </c>
      <c r="I73" s="336" t="s">
        <v>676</v>
      </c>
      <c r="J73" s="336" t="s">
        <v>676</v>
      </c>
      <c r="K73" s="338"/>
      <c r="L73" s="338"/>
      <c r="M73" s="336" t="s">
        <v>2405</v>
      </c>
    </row>
    <row r="74" spans="1:13" x14ac:dyDescent="0.35">
      <c r="A74" s="335">
        <v>1</v>
      </c>
      <c r="B74" s="336" t="s">
        <v>2234</v>
      </c>
      <c r="C74" s="339" t="s">
        <v>2245</v>
      </c>
      <c r="D74" s="336" t="s">
        <v>2481</v>
      </c>
      <c r="E74" s="336" t="s">
        <v>2472</v>
      </c>
      <c r="F74" s="336" t="s">
        <v>2307</v>
      </c>
      <c r="G74" s="336"/>
      <c r="H74" s="336" t="s">
        <v>2473</v>
      </c>
      <c r="I74" s="336" t="s">
        <v>676</v>
      </c>
      <c r="J74" s="336" t="s">
        <v>676</v>
      </c>
      <c r="K74" s="338"/>
      <c r="L74" s="338"/>
      <c r="M74" s="336" t="s">
        <v>2408</v>
      </c>
    </row>
    <row r="75" spans="1:13" x14ac:dyDescent="0.35">
      <c r="A75" s="335">
        <v>1</v>
      </c>
      <c r="B75" s="336" t="s">
        <v>2234</v>
      </c>
      <c r="C75" s="339" t="s">
        <v>2270</v>
      </c>
      <c r="D75" s="336" t="s">
        <v>2365</v>
      </c>
      <c r="E75" s="336" t="s">
        <v>2482</v>
      </c>
      <c r="F75" s="336" t="s">
        <v>2307</v>
      </c>
      <c r="G75" s="336"/>
      <c r="H75" s="336" t="s">
        <v>2403</v>
      </c>
      <c r="I75" s="336" t="s">
        <v>676</v>
      </c>
      <c r="J75" s="336" t="s">
        <v>676</v>
      </c>
      <c r="K75" s="338"/>
      <c r="L75" s="338"/>
      <c r="M75" s="336" t="s">
        <v>2405</v>
      </c>
    </row>
    <row r="76" spans="1:13" x14ac:dyDescent="0.35">
      <c r="A76" s="335">
        <v>1</v>
      </c>
      <c r="B76" s="336" t="s">
        <v>2234</v>
      </c>
      <c r="C76" s="339" t="s">
        <v>2270</v>
      </c>
      <c r="D76" s="336" t="s">
        <v>2483</v>
      </c>
      <c r="E76" s="336" t="s">
        <v>2484</v>
      </c>
      <c r="F76" s="336" t="s">
        <v>2308</v>
      </c>
      <c r="G76" s="336"/>
      <c r="H76" s="336"/>
      <c r="I76" s="336" t="s">
        <v>2404</v>
      </c>
      <c r="J76" s="337"/>
      <c r="K76" s="338"/>
      <c r="L76" s="338"/>
      <c r="M76" s="336" t="s">
        <v>2408</v>
      </c>
    </row>
    <row r="77" spans="1:13" x14ac:dyDescent="0.35">
      <c r="A77" s="335">
        <v>1</v>
      </c>
      <c r="B77" s="336" t="s">
        <v>2234</v>
      </c>
      <c r="C77" s="339" t="s">
        <v>2270</v>
      </c>
      <c r="D77" s="336" t="s">
        <v>2485</v>
      </c>
      <c r="E77" s="336" t="s">
        <v>2484</v>
      </c>
      <c r="F77" s="336" t="s">
        <v>2308</v>
      </c>
      <c r="G77" s="336"/>
      <c r="H77" s="336"/>
      <c r="I77" s="336" t="s">
        <v>2404</v>
      </c>
      <c r="J77" s="337"/>
      <c r="K77" s="338"/>
      <c r="L77" s="338"/>
      <c r="M77" s="336" t="s">
        <v>2408</v>
      </c>
    </row>
    <row r="78" spans="1:13" x14ac:dyDescent="0.35">
      <c r="A78" s="335">
        <v>1</v>
      </c>
      <c r="B78" s="336" t="s">
        <v>2234</v>
      </c>
      <c r="C78" s="343" t="s">
        <v>2366</v>
      </c>
      <c r="D78" s="336" t="s">
        <v>2367</v>
      </c>
      <c r="E78" s="336" t="s">
        <v>2418</v>
      </c>
      <c r="F78" s="336" t="s">
        <v>2307</v>
      </c>
      <c r="G78" s="336"/>
      <c r="H78" s="336" t="s">
        <v>2436</v>
      </c>
      <c r="I78" s="336" t="s">
        <v>676</v>
      </c>
      <c r="J78" s="336" t="s">
        <v>676</v>
      </c>
      <c r="K78" s="338"/>
      <c r="L78" s="338"/>
      <c r="M78" s="336" t="s">
        <v>2405</v>
      </c>
    </row>
    <row r="79" spans="1:13" x14ac:dyDescent="0.35">
      <c r="A79" s="335">
        <v>1</v>
      </c>
      <c r="B79" s="336" t="s">
        <v>2234</v>
      </c>
      <c r="C79" s="343" t="s">
        <v>2366</v>
      </c>
      <c r="D79" s="336" t="s">
        <v>2486</v>
      </c>
      <c r="E79" s="336" t="s">
        <v>2487</v>
      </c>
      <c r="F79" s="336" t="s">
        <v>2308</v>
      </c>
      <c r="G79" s="336"/>
      <c r="H79" s="336"/>
      <c r="I79" s="336" t="s">
        <v>2404</v>
      </c>
      <c r="J79" s="337"/>
      <c r="K79" s="338"/>
      <c r="L79" s="338"/>
      <c r="M79" s="336" t="s">
        <v>2408</v>
      </c>
    </row>
    <row r="80" spans="1:13" x14ac:dyDescent="0.35">
      <c r="A80" s="335">
        <v>1</v>
      </c>
      <c r="B80" s="336" t="s">
        <v>2234</v>
      </c>
      <c r="C80" s="343" t="s">
        <v>2247</v>
      </c>
      <c r="D80" s="336" t="s">
        <v>2368</v>
      </c>
      <c r="E80" s="336" t="s">
        <v>2488</v>
      </c>
      <c r="F80" s="336" t="s">
        <v>2307</v>
      </c>
      <c r="G80" s="336"/>
      <c r="H80" s="336" t="s">
        <v>2436</v>
      </c>
      <c r="I80" s="336" t="s">
        <v>676</v>
      </c>
      <c r="J80" s="336" t="s">
        <v>676</v>
      </c>
      <c r="K80" s="338"/>
      <c r="L80" s="338"/>
      <c r="M80" s="336" t="s">
        <v>2405</v>
      </c>
    </row>
    <row r="81" spans="1:13" x14ac:dyDescent="0.35">
      <c r="A81" s="332">
        <v>2</v>
      </c>
      <c r="B81" s="333" t="s">
        <v>2237</v>
      </c>
      <c r="C81" s="333" t="s">
        <v>2398</v>
      </c>
      <c r="D81" s="333" t="s">
        <v>2303</v>
      </c>
      <c r="E81" s="333" t="s">
        <v>2489</v>
      </c>
      <c r="F81" s="333" t="s">
        <v>2307</v>
      </c>
      <c r="G81" s="333" t="s">
        <v>2306</v>
      </c>
      <c r="H81" s="333"/>
      <c r="I81" s="333" t="s">
        <v>2403</v>
      </c>
      <c r="J81" s="333" t="s">
        <v>676</v>
      </c>
      <c r="K81" s="251"/>
      <c r="L81" s="251"/>
      <c r="M81" s="333" t="s">
        <v>676</v>
      </c>
    </row>
    <row r="82" spans="1:13" x14ac:dyDescent="0.35">
      <c r="A82" s="174">
        <v>2</v>
      </c>
      <c r="B82" s="174" t="s">
        <v>2237</v>
      </c>
      <c r="C82" s="174" t="s">
        <v>2490</v>
      </c>
      <c r="D82" s="174" t="s">
        <v>2304</v>
      </c>
      <c r="E82" s="174" t="s">
        <v>2402</v>
      </c>
      <c r="F82" s="174" t="s">
        <v>2307</v>
      </c>
      <c r="G82" s="174" t="s">
        <v>2491</v>
      </c>
      <c r="H82" s="174" t="s">
        <v>2403</v>
      </c>
      <c r="I82" s="174" t="s">
        <v>2403</v>
      </c>
      <c r="J82" s="174" t="s">
        <v>676</v>
      </c>
      <c r="K82" s="350"/>
      <c r="L82" s="350"/>
      <c r="M82" s="174" t="s">
        <v>2405</v>
      </c>
    </row>
    <row r="83" spans="1:13" x14ac:dyDescent="0.35">
      <c r="A83" s="174">
        <v>2</v>
      </c>
      <c r="B83" s="174" t="s">
        <v>2237</v>
      </c>
      <c r="C83" s="174" t="s">
        <v>2492</v>
      </c>
      <c r="D83" s="174" t="s">
        <v>2305</v>
      </c>
      <c r="E83" s="174" t="s">
        <v>2471</v>
      </c>
      <c r="F83" s="174" t="s">
        <v>2307</v>
      </c>
      <c r="G83" s="174" t="s">
        <v>2493</v>
      </c>
      <c r="H83" s="174" t="s">
        <v>2403</v>
      </c>
      <c r="I83" s="174" t="s">
        <v>2403</v>
      </c>
      <c r="J83" s="174" t="s">
        <v>676</v>
      </c>
      <c r="K83" s="350"/>
      <c r="L83" s="350"/>
      <c r="M83" s="174" t="s">
        <v>2405</v>
      </c>
    </row>
    <row r="84" spans="1:13" x14ac:dyDescent="0.35">
      <c r="A84" s="174">
        <v>2</v>
      </c>
      <c r="B84" s="174" t="s">
        <v>2237</v>
      </c>
      <c r="C84" s="174" t="s">
        <v>2490</v>
      </c>
      <c r="D84" s="174" t="s">
        <v>2272</v>
      </c>
      <c r="E84" s="174" t="s">
        <v>2402</v>
      </c>
      <c r="F84" s="174" t="s">
        <v>2308</v>
      </c>
      <c r="G84" s="174" t="s">
        <v>2250</v>
      </c>
      <c r="H84" s="350"/>
      <c r="I84" s="174" t="s">
        <v>2404</v>
      </c>
      <c r="J84" s="351">
        <v>46356</v>
      </c>
      <c r="K84" s="350"/>
      <c r="L84" s="350"/>
      <c r="M84" s="174" t="s">
        <v>2408</v>
      </c>
    </row>
    <row r="85" spans="1:13" x14ac:dyDescent="0.35">
      <c r="A85" s="174">
        <v>2</v>
      </c>
      <c r="B85" s="174" t="s">
        <v>2237</v>
      </c>
      <c r="C85" s="174" t="s">
        <v>2490</v>
      </c>
      <c r="D85" s="174" t="s">
        <v>2273</v>
      </c>
      <c r="E85" s="174" t="s">
        <v>2402</v>
      </c>
      <c r="F85" s="174" t="s">
        <v>2308</v>
      </c>
      <c r="G85" s="174" t="s">
        <v>2381</v>
      </c>
      <c r="H85" s="350"/>
      <c r="I85" s="174" t="s">
        <v>2404</v>
      </c>
      <c r="J85" s="351">
        <v>46369</v>
      </c>
      <c r="K85" s="350"/>
      <c r="L85" s="350"/>
      <c r="M85" s="174" t="s">
        <v>2408</v>
      </c>
    </row>
    <row r="86" spans="1:13" x14ac:dyDescent="0.35">
      <c r="A86" s="174">
        <v>2</v>
      </c>
      <c r="B86" s="174" t="s">
        <v>2237</v>
      </c>
      <c r="C86" s="174" t="s">
        <v>2490</v>
      </c>
      <c r="D86" s="174" t="s">
        <v>2274</v>
      </c>
      <c r="E86" s="174" t="s">
        <v>2402</v>
      </c>
      <c r="F86" s="174" t="s">
        <v>2308</v>
      </c>
      <c r="G86" s="174" t="s">
        <v>2494</v>
      </c>
      <c r="H86" s="350"/>
      <c r="I86" s="174" t="s">
        <v>2404</v>
      </c>
      <c r="J86" s="351">
        <v>46369</v>
      </c>
      <c r="K86" s="350"/>
      <c r="L86" s="350"/>
      <c r="M86" s="174" t="s">
        <v>2408</v>
      </c>
    </row>
    <row r="87" spans="1:13" x14ac:dyDescent="0.35">
      <c r="A87" s="174">
        <v>2</v>
      </c>
      <c r="B87" s="174" t="s">
        <v>2237</v>
      </c>
      <c r="C87" s="174" t="s">
        <v>2490</v>
      </c>
      <c r="D87" s="174" t="s">
        <v>2275</v>
      </c>
      <c r="E87" s="174" t="s">
        <v>2464</v>
      </c>
      <c r="F87" s="174" t="s">
        <v>2308</v>
      </c>
      <c r="G87" s="174" t="s">
        <v>2495</v>
      </c>
      <c r="H87" s="350"/>
      <c r="I87" s="174" t="s">
        <v>2404</v>
      </c>
      <c r="J87" s="351">
        <v>46357</v>
      </c>
      <c r="K87" s="350"/>
      <c r="L87" s="350"/>
      <c r="M87" s="174" t="s">
        <v>2408</v>
      </c>
    </row>
    <row r="88" spans="1:13" x14ac:dyDescent="0.35">
      <c r="A88" s="174">
        <v>2</v>
      </c>
      <c r="B88" s="174" t="s">
        <v>2237</v>
      </c>
      <c r="C88" s="174" t="s">
        <v>2309</v>
      </c>
      <c r="D88" s="174" t="s">
        <v>800</v>
      </c>
      <c r="E88" s="174" t="s">
        <v>2496</v>
      </c>
      <c r="F88" s="174" t="s">
        <v>2307</v>
      </c>
      <c r="G88" s="174" t="s">
        <v>2257</v>
      </c>
      <c r="H88" s="327" t="s">
        <v>2401</v>
      </c>
      <c r="I88" s="174" t="s">
        <v>2403</v>
      </c>
      <c r="J88" s="351" t="s">
        <v>676</v>
      </c>
      <c r="K88" s="350"/>
      <c r="L88" s="350"/>
      <c r="M88" s="174" t="s">
        <v>2405</v>
      </c>
    </row>
    <row r="89" spans="1:13" x14ac:dyDescent="0.35">
      <c r="A89" s="174">
        <v>2</v>
      </c>
      <c r="B89" s="174" t="s">
        <v>2237</v>
      </c>
      <c r="C89" s="174" t="s">
        <v>2309</v>
      </c>
      <c r="D89" s="174" t="s">
        <v>2276</v>
      </c>
      <c r="E89" s="174" t="s">
        <v>2446</v>
      </c>
      <c r="F89" s="174" t="s">
        <v>2308</v>
      </c>
      <c r="G89" s="174" t="s">
        <v>2497</v>
      </c>
      <c r="H89" s="174"/>
      <c r="I89" s="174" t="s">
        <v>2404</v>
      </c>
      <c r="J89" s="351">
        <v>46377</v>
      </c>
      <c r="K89" s="350"/>
      <c r="L89" s="350"/>
      <c r="M89" s="174" t="s">
        <v>2408</v>
      </c>
    </row>
    <row r="90" spans="1:13" x14ac:dyDescent="0.35">
      <c r="A90" s="174">
        <v>2</v>
      </c>
      <c r="B90" s="174" t="s">
        <v>2237</v>
      </c>
      <c r="C90" s="174" t="s">
        <v>2309</v>
      </c>
      <c r="D90" s="174" t="s">
        <v>2277</v>
      </c>
      <c r="E90" s="174" t="s">
        <v>2498</v>
      </c>
      <c r="F90" s="174" t="s">
        <v>2308</v>
      </c>
      <c r="G90" s="174" t="s">
        <v>2499</v>
      </c>
      <c r="H90" s="174"/>
      <c r="I90" s="174" t="s">
        <v>2404</v>
      </c>
      <c r="J90" s="351">
        <v>46344</v>
      </c>
      <c r="K90" s="350"/>
      <c r="L90" s="350"/>
      <c r="M90" s="174" t="s">
        <v>2408</v>
      </c>
    </row>
    <row r="91" spans="1:13" x14ac:dyDescent="0.35">
      <c r="A91" s="174">
        <v>2</v>
      </c>
      <c r="B91" s="174" t="s">
        <v>2237</v>
      </c>
      <c r="C91" s="174" t="s">
        <v>2309</v>
      </c>
      <c r="D91" s="174" t="s">
        <v>2278</v>
      </c>
      <c r="E91" s="174" t="s">
        <v>2446</v>
      </c>
      <c r="F91" s="174" t="s">
        <v>2308</v>
      </c>
      <c r="G91" s="174" t="s">
        <v>2500</v>
      </c>
      <c r="H91" s="174"/>
      <c r="I91" s="174" t="s">
        <v>2404</v>
      </c>
      <c r="J91" s="351">
        <v>46375</v>
      </c>
      <c r="K91" s="350"/>
      <c r="L91" s="350"/>
      <c r="M91" s="174" t="s">
        <v>2408</v>
      </c>
    </row>
    <row r="92" spans="1:13" x14ac:dyDescent="0.35">
      <c r="A92" s="174">
        <v>2</v>
      </c>
      <c r="B92" s="174" t="s">
        <v>2237</v>
      </c>
      <c r="C92" s="174" t="s">
        <v>2501</v>
      </c>
      <c r="D92" s="352" t="s">
        <v>2279</v>
      </c>
      <c r="E92" s="174" t="s">
        <v>2502</v>
      </c>
      <c r="F92" s="174" t="s">
        <v>2307</v>
      </c>
      <c r="G92" s="174" t="s">
        <v>2503</v>
      </c>
      <c r="H92" s="350" t="s">
        <v>2401</v>
      </c>
      <c r="I92" s="174" t="s">
        <v>2403</v>
      </c>
      <c r="J92" s="351" t="s">
        <v>676</v>
      </c>
      <c r="K92" s="353" t="s">
        <v>2504</v>
      </c>
      <c r="L92" s="350"/>
      <c r="M92" s="174" t="s">
        <v>2405</v>
      </c>
    </row>
    <row r="93" spans="1:13" x14ac:dyDescent="0.35">
      <c r="A93" s="174">
        <v>2</v>
      </c>
      <c r="B93" s="174" t="s">
        <v>2237</v>
      </c>
      <c r="C93" s="174" t="s">
        <v>2501</v>
      </c>
      <c r="D93" s="352" t="s">
        <v>2280</v>
      </c>
      <c r="E93" s="174" t="s">
        <v>2412</v>
      </c>
      <c r="F93" s="174" t="s">
        <v>2307</v>
      </c>
      <c r="G93" s="174" t="s">
        <v>2268</v>
      </c>
      <c r="H93" s="350"/>
      <c r="I93" s="174" t="s">
        <v>2403</v>
      </c>
      <c r="J93" s="351" t="s">
        <v>676</v>
      </c>
      <c r="K93" s="353"/>
      <c r="L93" s="350"/>
      <c r="M93" s="174" t="s">
        <v>2408</v>
      </c>
    </row>
    <row r="94" spans="1:13" x14ac:dyDescent="0.35">
      <c r="A94" s="174">
        <v>2</v>
      </c>
      <c r="B94" s="174" t="s">
        <v>2237</v>
      </c>
      <c r="C94" s="174" t="s">
        <v>2501</v>
      </c>
      <c r="D94" s="169" t="s">
        <v>2281</v>
      </c>
      <c r="E94" s="174" t="s">
        <v>2412</v>
      </c>
      <c r="F94" s="174" t="s">
        <v>2308</v>
      </c>
      <c r="G94" s="174" t="s">
        <v>2268</v>
      </c>
      <c r="H94" s="350"/>
      <c r="I94" s="174" t="s">
        <v>2404</v>
      </c>
      <c r="J94" s="351">
        <v>42725</v>
      </c>
      <c r="K94" s="353"/>
      <c r="L94" s="350"/>
      <c r="M94" s="174" t="s">
        <v>2408</v>
      </c>
    </row>
    <row r="95" spans="1:13" x14ac:dyDescent="0.35">
      <c r="A95" s="174">
        <v>2</v>
      </c>
      <c r="B95" s="174" t="s">
        <v>2237</v>
      </c>
      <c r="C95" s="174" t="s">
        <v>2501</v>
      </c>
      <c r="D95" s="352" t="s">
        <v>2282</v>
      </c>
      <c r="E95" s="352" t="s">
        <v>2412</v>
      </c>
      <c r="F95" s="352" t="s">
        <v>2308</v>
      </c>
      <c r="G95" s="352" t="s">
        <v>2505</v>
      </c>
      <c r="H95" s="353"/>
      <c r="I95" s="352" t="s">
        <v>2404</v>
      </c>
      <c r="J95" s="354">
        <v>46381</v>
      </c>
      <c r="K95" s="353"/>
      <c r="L95" s="350"/>
      <c r="M95" s="174" t="s">
        <v>2408</v>
      </c>
    </row>
    <row r="96" spans="1:13" x14ac:dyDescent="0.35">
      <c r="A96" s="174">
        <v>2</v>
      </c>
      <c r="B96" s="174" t="s">
        <v>2237</v>
      </c>
      <c r="C96" s="174" t="s">
        <v>2501</v>
      </c>
      <c r="D96" s="169" t="s">
        <v>2283</v>
      </c>
      <c r="E96" s="174" t="s">
        <v>2412</v>
      </c>
      <c r="F96" s="174" t="s">
        <v>2308</v>
      </c>
      <c r="G96" s="174" t="s">
        <v>2506</v>
      </c>
      <c r="H96" s="350"/>
      <c r="I96" s="174" t="s">
        <v>2404</v>
      </c>
      <c r="J96" s="351">
        <v>46376</v>
      </c>
      <c r="K96" s="353"/>
      <c r="L96" s="350"/>
      <c r="M96" s="174" t="s">
        <v>2408</v>
      </c>
    </row>
    <row r="97" spans="1:13" x14ac:dyDescent="0.35">
      <c r="A97" s="174">
        <v>2</v>
      </c>
      <c r="B97" s="174" t="s">
        <v>2237</v>
      </c>
      <c r="C97" s="174" t="s">
        <v>2501</v>
      </c>
      <c r="D97" s="169" t="s">
        <v>2284</v>
      </c>
      <c r="E97" s="174" t="s">
        <v>2472</v>
      </c>
      <c r="F97" s="174" t="s">
        <v>2308</v>
      </c>
      <c r="G97" s="174" t="s">
        <v>2506</v>
      </c>
      <c r="H97" s="350"/>
      <c r="I97" s="174" t="s">
        <v>2404</v>
      </c>
      <c r="J97" s="351">
        <v>46369</v>
      </c>
      <c r="K97" s="353"/>
      <c r="L97" s="350"/>
      <c r="M97" s="174" t="s">
        <v>2408</v>
      </c>
    </row>
    <row r="98" spans="1:13" x14ac:dyDescent="0.35">
      <c r="A98" s="174">
        <v>2</v>
      </c>
      <c r="B98" s="174" t="s">
        <v>2237</v>
      </c>
      <c r="C98" s="174" t="s">
        <v>2501</v>
      </c>
      <c r="D98" s="174" t="s">
        <v>2285</v>
      </c>
      <c r="E98" s="174" t="s">
        <v>2502</v>
      </c>
      <c r="F98" s="174" t="s">
        <v>2308</v>
      </c>
      <c r="G98" s="174" t="s">
        <v>2506</v>
      </c>
      <c r="H98" s="350"/>
      <c r="I98" s="174" t="s">
        <v>2404</v>
      </c>
      <c r="J98" s="351">
        <v>46372</v>
      </c>
      <c r="K98" s="353"/>
      <c r="L98" s="350"/>
      <c r="M98" s="174" t="s">
        <v>2408</v>
      </c>
    </row>
    <row r="99" spans="1:13" x14ac:dyDescent="0.35">
      <c r="A99" s="174">
        <v>2</v>
      </c>
      <c r="B99" s="174" t="s">
        <v>2237</v>
      </c>
      <c r="C99" s="174" t="s">
        <v>2310</v>
      </c>
      <c r="D99" s="174" t="s">
        <v>2286</v>
      </c>
      <c r="E99" s="174" t="s">
        <v>2507</v>
      </c>
      <c r="F99" s="174" t="s">
        <v>2308</v>
      </c>
      <c r="G99" s="174" t="s">
        <v>2310</v>
      </c>
      <c r="H99" s="350"/>
      <c r="I99" s="174" t="s">
        <v>2404</v>
      </c>
      <c r="J99" s="351">
        <v>46375</v>
      </c>
      <c r="K99" s="353"/>
      <c r="L99" s="350"/>
      <c r="M99" s="174" t="s">
        <v>2408</v>
      </c>
    </row>
    <row r="100" spans="1:13" x14ac:dyDescent="0.35">
      <c r="A100" s="174">
        <v>2</v>
      </c>
      <c r="B100" s="174" t="s">
        <v>2237</v>
      </c>
      <c r="C100" s="174" t="s">
        <v>2310</v>
      </c>
      <c r="D100" s="174" t="s">
        <v>2287</v>
      </c>
      <c r="E100" s="174" t="s">
        <v>2508</v>
      </c>
      <c r="F100" s="174" t="s">
        <v>2308</v>
      </c>
      <c r="G100" s="174" t="s">
        <v>2310</v>
      </c>
      <c r="H100" s="350"/>
      <c r="I100" s="174" t="s">
        <v>2404</v>
      </c>
      <c r="J100" s="351">
        <v>46369</v>
      </c>
      <c r="K100" s="353"/>
      <c r="L100" s="350"/>
      <c r="M100" s="174" t="s">
        <v>2408</v>
      </c>
    </row>
    <row r="101" spans="1:13" x14ac:dyDescent="0.35">
      <c r="A101" s="174">
        <v>2</v>
      </c>
      <c r="B101" s="174" t="s">
        <v>2237</v>
      </c>
      <c r="C101" s="174" t="s">
        <v>2310</v>
      </c>
      <c r="D101" s="174" t="s">
        <v>2288</v>
      </c>
      <c r="E101" s="174" t="s">
        <v>2410</v>
      </c>
      <c r="F101" s="174" t="s">
        <v>2308</v>
      </c>
      <c r="G101" s="174" t="s">
        <v>2310</v>
      </c>
      <c r="H101" s="350"/>
      <c r="I101" s="174" t="s">
        <v>2404</v>
      </c>
      <c r="J101" s="351">
        <v>46385</v>
      </c>
      <c r="K101" s="353"/>
      <c r="L101" s="350"/>
      <c r="M101" s="174" t="s">
        <v>2408</v>
      </c>
    </row>
    <row r="102" spans="1:13" x14ac:dyDescent="0.35">
      <c r="A102" s="174">
        <v>2</v>
      </c>
      <c r="B102" s="174" t="s">
        <v>2237</v>
      </c>
      <c r="C102" s="174" t="s">
        <v>2310</v>
      </c>
      <c r="D102" s="174" t="s">
        <v>2289</v>
      </c>
      <c r="E102" s="174" t="s">
        <v>2509</v>
      </c>
      <c r="F102" s="174" t="s">
        <v>2308</v>
      </c>
      <c r="G102" s="174" t="s">
        <v>2310</v>
      </c>
      <c r="H102" s="350"/>
      <c r="I102" s="174" t="s">
        <v>2404</v>
      </c>
      <c r="J102" s="351">
        <v>46387</v>
      </c>
      <c r="K102" s="353"/>
      <c r="L102" s="350"/>
      <c r="M102" s="174" t="s">
        <v>2408</v>
      </c>
    </row>
    <row r="103" spans="1:13" x14ac:dyDescent="0.35">
      <c r="A103" s="174">
        <v>2</v>
      </c>
      <c r="B103" s="174" t="s">
        <v>2237</v>
      </c>
      <c r="C103" s="174" t="s">
        <v>2310</v>
      </c>
      <c r="D103" s="174" t="s">
        <v>2290</v>
      </c>
      <c r="E103" s="174" t="s">
        <v>2507</v>
      </c>
      <c r="F103" s="174" t="s">
        <v>2308</v>
      </c>
      <c r="G103" s="174" t="s">
        <v>2310</v>
      </c>
      <c r="H103" s="350"/>
      <c r="I103" s="174" t="s">
        <v>2404</v>
      </c>
      <c r="J103" s="351">
        <v>46350</v>
      </c>
      <c r="K103" s="353"/>
      <c r="L103" s="350"/>
      <c r="M103" s="174" t="s">
        <v>2408</v>
      </c>
    </row>
    <row r="104" spans="1:13" x14ac:dyDescent="0.35">
      <c r="A104" s="174">
        <v>2</v>
      </c>
      <c r="B104" s="174" t="s">
        <v>2237</v>
      </c>
      <c r="C104" s="174" t="s">
        <v>2310</v>
      </c>
      <c r="D104" s="174" t="s">
        <v>2291</v>
      </c>
      <c r="E104" s="174" t="s">
        <v>2510</v>
      </c>
      <c r="F104" s="174" t="s">
        <v>2308</v>
      </c>
      <c r="G104" s="174" t="s">
        <v>2310</v>
      </c>
      <c r="H104" s="350"/>
      <c r="I104" s="174" t="s">
        <v>2404</v>
      </c>
      <c r="J104" s="351">
        <v>46381</v>
      </c>
      <c r="K104" s="353"/>
      <c r="L104" s="350"/>
      <c r="M104" s="174" t="s">
        <v>2408</v>
      </c>
    </row>
    <row r="105" spans="1:13" x14ac:dyDescent="0.35">
      <c r="A105" s="174">
        <v>2</v>
      </c>
      <c r="B105" s="174" t="s">
        <v>2237</v>
      </c>
      <c r="C105" s="174" t="s">
        <v>2310</v>
      </c>
      <c r="D105" s="174" t="s">
        <v>2292</v>
      </c>
      <c r="E105" s="174" t="s">
        <v>2509</v>
      </c>
      <c r="F105" s="174" t="s">
        <v>2307</v>
      </c>
      <c r="G105" s="174" t="s">
        <v>2310</v>
      </c>
      <c r="H105" s="327" t="s">
        <v>2401</v>
      </c>
      <c r="I105" s="174" t="s">
        <v>2403</v>
      </c>
      <c r="J105" s="351" t="s">
        <v>676</v>
      </c>
      <c r="K105" s="353"/>
      <c r="L105" s="350"/>
      <c r="M105" s="174" t="s">
        <v>2405</v>
      </c>
    </row>
    <row r="106" spans="1:13" x14ac:dyDescent="0.35">
      <c r="A106" s="174">
        <v>2</v>
      </c>
      <c r="B106" s="174" t="s">
        <v>2237</v>
      </c>
      <c r="C106" s="174" t="s">
        <v>2253</v>
      </c>
      <c r="D106" s="169" t="s">
        <v>2293</v>
      </c>
      <c r="E106" s="174" t="s">
        <v>2446</v>
      </c>
      <c r="F106" s="174" t="s">
        <v>2308</v>
      </c>
      <c r="G106" s="174" t="s">
        <v>2511</v>
      </c>
      <c r="H106" s="174"/>
      <c r="I106" s="174" t="s">
        <v>2404</v>
      </c>
      <c r="J106" s="351">
        <v>46337</v>
      </c>
      <c r="K106" s="353"/>
      <c r="L106" s="350"/>
      <c r="M106" s="174" t="s">
        <v>2408</v>
      </c>
    </row>
    <row r="107" spans="1:13" x14ac:dyDescent="0.35">
      <c r="A107" s="174">
        <v>2</v>
      </c>
      <c r="B107" s="174" t="s">
        <v>2237</v>
      </c>
      <c r="C107" s="174" t="s">
        <v>2253</v>
      </c>
      <c r="D107" s="169" t="s">
        <v>2294</v>
      </c>
      <c r="E107" s="174" t="s">
        <v>2446</v>
      </c>
      <c r="F107" s="174" t="s">
        <v>2308</v>
      </c>
      <c r="G107" s="174" t="s">
        <v>2511</v>
      </c>
      <c r="H107" s="174"/>
      <c r="I107" s="174" t="s">
        <v>2404</v>
      </c>
      <c r="J107" s="351">
        <v>46339</v>
      </c>
      <c r="K107" s="353"/>
      <c r="L107" s="350"/>
      <c r="M107" s="174" t="s">
        <v>2408</v>
      </c>
    </row>
    <row r="108" spans="1:13" x14ac:dyDescent="0.35">
      <c r="A108" s="174">
        <v>2</v>
      </c>
      <c r="B108" s="174" t="s">
        <v>2237</v>
      </c>
      <c r="C108" s="174" t="s">
        <v>2253</v>
      </c>
      <c r="D108" s="169" t="s">
        <v>2295</v>
      </c>
      <c r="E108" s="174" t="s">
        <v>2446</v>
      </c>
      <c r="F108" s="174" t="s">
        <v>2308</v>
      </c>
      <c r="G108" s="174" t="s">
        <v>2511</v>
      </c>
      <c r="H108" s="174"/>
      <c r="I108" s="174" t="s">
        <v>2404</v>
      </c>
      <c r="J108" s="351">
        <v>46344</v>
      </c>
      <c r="K108" s="353"/>
      <c r="L108" s="350"/>
      <c r="M108" s="174" t="s">
        <v>2408</v>
      </c>
    </row>
    <row r="109" spans="1:13" x14ac:dyDescent="0.35">
      <c r="A109" s="174">
        <v>2</v>
      </c>
      <c r="B109" s="174" t="s">
        <v>2237</v>
      </c>
      <c r="C109" s="174" t="s">
        <v>2253</v>
      </c>
      <c r="D109" s="169" t="s">
        <v>2296</v>
      </c>
      <c r="E109" s="174" t="s">
        <v>2413</v>
      </c>
      <c r="F109" s="174" t="s">
        <v>2308</v>
      </c>
      <c r="G109" s="174" t="s">
        <v>2511</v>
      </c>
      <c r="H109" s="174"/>
      <c r="I109" s="174" t="s">
        <v>2404</v>
      </c>
      <c r="J109" s="351">
        <v>46378</v>
      </c>
      <c r="K109" s="353"/>
      <c r="L109" s="350"/>
      <c r="M109" s="174" t="s">
        <v>2408</v>
      </c>
    </row>
    <row r="110" spans="1:13" x14ac:dyDescent="0.35">
      <c r="A110" s="174">
        <v>2</v>
      </c>
      <c r="B110" s="174" t="s">
        <v>2237</v>
      </c>
      <c r="C110" s="174" t="s">
        <v>2253</v>
      </c>
      <c r="D110" s="169" t="s">
        <v>2297</v>
      </c>
      <c r="E110" s="174" t="s">
        <v>2496</v>
      </c>
      <c r="F110" s="174" t="s">
        <v>2308</v>
      </c>
      <c r="G110" s="174" t="s">
        <v>2511</v>
      </c>
      <c r="H110" s="174"/>
      <c r="I110" s="174" t="s">
        <v>2404</v>
      </c>
      <c r="J110" s="351">
        <v>46376</v>
      </c>
      <c r="K110" s="353"/>
      <c r="L110" s="350"/>
      <c r="M110" s="174" t="s">
        <v>2408</v>
      </c>
    </row>
    <row r="111" spans="1:13" x14ac:dyDescent="0.35">
      <c r="A111" s="174">
        <v>2</v>
      </c>
      <c r="B111" s="174" t="s">
        <v>2237</v>
      </c>
      <c r="C111" s="174" t="s">
        <v>2253</v>
      </c>
      <c r="D111" s="169" t="s">
        <v>2298</v>
      </c>
      <c r="E111" s="174" t="s">
        <v>2512</v>
      </c>
      <c r="F111" s="174" t="s">
        <v>2308</v>
      </c>
      <c r="G111" s="174" t="s">
        <v>2511</v>
      </c>
      <c r="H111" s="174"/>
      <c r="I111" s="174" t="s">
        <v>2404</v>
      </c>
      <c r="J111" s="351">
        <v>46383</v>
      </c>
      <c r="K111" s="353"/>
      <c r="L111" s="350"/>
      <c r="M111" s="174" t="s">
        <v>2408</v>
      </c>
    </row>
    <row r="112" spans="1:13" x14ac:dyDescent="0.35">
      <c r="A112" s="174">
        <v>2</v>
      </c>
      <c r="B112" s="174" t="s">
        <v>2237</v>
      </c>
      <c r="C112" s="174" t="s">
        <v>2253</v>
      </c>
      <c r="D112" s="169" t="s">
        <v>2299</v>
      </c>
      <c r="E112" s="174" t="s">
        <v>2413</v>
      </c>
      <c r="F112" s="174" t="s">
        <v>2308</v>
      </c>
      <c r="G112" s="174" t="s">
        <v>2511</v>
      </c>
      <c r="H112" s="174"/>
      <c r="I112" s="174" t="s">
        <v>2404</v>
      </c>
      <c r="J112" s="351">
        <v>46342</v>
      </c>
      <c r="K112" s="353"/>
      <c r="L112" s="350"/>
      <c r="M112" s="174" t="s">
        <v>2408</v>
      </c>
    </row>
    <row r="113" spans="1:13" x14ac:dyDescent="0.35">
      <c r="A113" s="174">
        <v>2</v>
      </c>
      <c r="B113" s="174" t="s">
        <v>2237</v>
      </c>
      <c r="C113" s="174" t="s">
        <v>2253</v>
      </c>
      <c r="D113" s="169" t="s">
        <v>2513</v>
      </c>
      <c r="E113" s="174" t="s">
        <v>2496</v>
      </c>
      <c r="F113" s="174" t="s">
        <v>2308</v>
      </c>
      <c r="G113" s="174" t="s">
        <v>2511</v>
      </c>
      <c r="H113" s="174"/>
      <c r="I113" s="174" t="s">
        <v>2404</v>
      </c>
      <c r="J113" s="355"/>
      <c r="K113" s="353"/>
      <c r="L113" s="350"/>
      <c r="M113" s="174" t="s">
        <v>2408</v>
      </c>
    </row>
    <row r="114" spans="1:13" x14ac:dyDescent="0.35">
      <c r="A114" s="174">
        <v>2</v>
      </c>
      <c r="B114" s="174" t="s">
        <v>2237</v>
      </c>
      <c r="C114" s="174" t="s">
        <v>2253</v>
      </c>
      <c r="D114" s="174" t="s">
        <v>2300</v>
      </c>
      <c r="E114" s="174" t="s">
        <v>2496</v>
      </c>
      <c r="F114" s="174" t="s">
        <v>2307</v>
      </c>
      <c r="G114" s="174"/>
      <c r="H114" s="327" t="s">
        <v>2401</v>
      </c>
      <c r="I114" s="174" t="s">
        <v>2401</v>
      </c>
      <c r="J114" s="351" t="s">
        <v>676</v>
      </c>
      <c r="K114" s="356" t="s">
        <v>2514</v>
      </c>
      <c r="L114" s="350"/>
      <c r="M114" s="174" t="s">
        <v>2405</v>
      </c>
    </row>
    <row r="115" spans="1:13" x14ac:dyDescent="0.35">
      <c r="A115" s="356">
        <v>3</v>
      </c>
      <c r="B115" s="356" t="s">
        <v>2238</v>
      </c>
      <c r="C115" s="333" t="s">
        <v>2398</v>
      </c>
      <c r="D115" s="356" t="s">
        <v>2384</v>
      </c>
      <c r="E115" s="356" t="s">
        <v>2472</v>
      </c>
      <c r="F115" s="356" t="s">
        <v>2307</v>
      </c>
      <c r="G115" s="356" t="s">
        <v>2306</v>
      </c>
      <c r="H115" s="356"/>
      <c r="I115" s="356" t="s">
        <v>2401</v>
      </c>
      <c r="J115" s="356" t="s">
        <v>676</v>
      </c>
      <c r="K115" s="174"/>
      <c r="L115" s="174"/>
      <c r="M115" s="356"/>
    </row>
    <row r="116" spans="1:13" x14ac:dyDescent="0.35">
      <c r="A116" s="174">
        <v>3</v>
      </c>
      <c r="B116" s="174" t="s">
        <v>2238</v>
      </c>
      <c r="C116" s="249" t="s">
        <v>2515</v>
      </c>
      <c r="D116" s="357" t="s">
        <v>2516</v>
      </c>
      <c r="E116" s="357"/>
      <c r="F116" s="251" t="s">
        <v>2307</v>
      </c>
      <c r="G116" s="251" t="s">
        <v>2515</v>
      </c>
      <c r="H116" s="358"/>
      <c r="I116" s="358"/>
      <c r="J116" s="174"/>
      <c r="K116" s="350"/>
      <c r="L116" s="350"/>
      <c r="M116" s="358"/>
    </row>
    <row r="117" spans="1:13" x14ac:dyDescent="0.35">
      <c r="A117" s="174">
        <v>3</v>
      </c>
      <c r="B117" s="174" t="s">
        <v>2238</v>
      </c>
      <c r="C117" s="249" t="s">
        <v>2517</v>
      </c>
      <c r="D117" s="174" t="s">
        <v>2518</v>
      </c>
      <c r="E117" s="174" t="s">
        <v>2498</v>
      </c>
      <c r="F117" s="174" t="s">
        <v>2308</v>
      </c>
      <c r="G117" s="174" t="s">
        <v>2519</v>
      </c>
      <c r="H117" s="355" t="s">
        <v>2520</v>
      </c>
      <c r="I117" s="355"/>
      <c r="J117" s="174"/>
      <c r="K117" s="350"/>
      <c r="L117" s="350"/>
      <c r="M117" s="355"/>
    </row>
    <row r="118" spans="1:13" x14ac:dyDescent="0.35">
      <c r="A118" s="174">
        <v>3</v>
      </c>
      <c r="B118" s="174" t="s">
        <v>2238</v>
      </c>
      <c r="C118" s="174" t="s">
        <v>2521</v>
      </c>
      <c r="D118" s="174" t="s">
        <v>2522</v>
      </c>
      <c r="E118" s="174" t="s">
        <v>2510</v>
      </c>
      <c r="F118" s="174" t="s">
        <v>2308</v>
      </c>
      <c r="G118" s="174" t="s">
        <v>2523</v>
      </c>
      <c r="H118" s="359" t="s">
        <v>2524</v>
      </c>
      <c r="I118" s="355"/>
      <c r="J118" s="174"/>
      <c r="K118" s="350"/>
      <c r="L118" s="350"/>
      <c r="M118" s="355" t="s">
        <v>2408</v>
      </c>
    </row>
    <row r="119" spans="1:13" x14ac:dyDescent="0.35">
      <c r="A119" s="174">
        <v>3</v>
      </c>
      <c r="B119" s="174" t="s">
        <v>2238</v>
      </c>
      <c r="C119" s="174" t="s">
        <v>2521</v>
      </c>
      <c r="D119" s="174" t="s">
        <v>2525</v>
      </c>
      <c r="E119" s="174" t="s">
        <v>2510</v>
      </c>
      <c r="F119" s="174" t="s">
        <v>2308</v>
      </c>
      <c r="G119" s="174" t="s">
        <v>2523</v>
      </c>
      <c r="H119" s="359" t="s">
        <v>2524</v>
      </c>
      <c r="I119" s="355"/>
      <c r="J119" s="174"/>
      <c r="K119" s="350"/>
      <c r="L119" s="350"/>
      <c r="M119" s="355" t="s">
        <v>2408</v>
      </c>
    </row>
    <row r="120" spans="1:13" x14ac:dyDescent="0.35">
      <c r="A120" s="174">
        <v>3</v>
      </c>
      <c r="B120" s="174" t="s">
        <v>2238</v>
      </c>
      <c r="C120" s="174" t="s">
        <v>2521</v>
      </c>
      <c r="D120" s="174" t="s">
        <v>2526</v>
      </c>
      <c r="E120" s="174" t="s">
        <v>2527</v>
      </c>
      <c r="F120" s="174" t="s">
        <v>2308</v>
      </c>
      <c r="G120" s="174" t="s">
        <v>2523</v>
      </c>
      <c r="H120" s="359" t="s">
        <v>2524</v>
      </c>
      <c r="I120" s="355"/>
      <c r="J120" s="174"/>
      <c r="K120" s="350"/>
      <c r="L120" s="350"/>
      <c r="M120" s="355" t="s">
        <v>2408</v>
      </c>
    </row>
    <row r="121" spans="1:13" x14ac:dyDescent="0.35">
      <c r="A121" s="174">
        <v>3</v>
      </c>
      <c r="B121" s="174" t="s">
        <v>2238</v>
      </c>
      <c r="C121" s="250" t="s">
        <v>2528</v>
      </c>
      <c r="D121" s="357" t="s">
        <v>2516</v>
      </c>
      <c r="E121" s="357"/>
      <c r="F121" s="360" t="s">
        <v>2307</v>
      </c>
      <c r="G121" s="360" t="s">
        <v>2529</v>
      </c>
      <c r="H121" s="358"/>
      <c r="I121" s="358"/>
      <c r="J121" s="174"/>
      <c r="K121" s="350"/>
      <c r="L121" s="350"/>
      <c r="M121" s="358"/>
    </row>
    <row r="122" spans="1:13" x14ac:dyDescent="0.35">
      <c r="A122" s="174">
        <v>3</v>
      </c>
      <c r="B122" s="174" t="s">
        <v>2238</v>
      </c>
      <c r="C122" s="250" t="s">
        <v>2528</v>
      </c>
      <c r="D122" s="174" t="s">
        <v>2530</v>
      </c>
      <c r="E122" s="174" t="s">
        <v>2510</v>
      </c>
      <c r="F122" s="174" t="s">
        <v>2308</v>
      </c>
      <c r="G122" s="174" t="s">
        <v>2528</v>
      </c>
      <c r="H122" s="359" t="s">
        <v>2524</v>
      </c>
      <c r="I122" s="355"/>
      <c r="J122" s="174"/>
      <c r="K122" s="350"/>
      <c r="L122" s="350"/>
      <c r="M122" s="355" t="s">
        <v>2408</v>
      </c>
    </row>
    <row r="123" spans="1:13" x14ac:dyDescent="0.35">
      <c r="A123" s="174">
        <v>3</v>
      </c>
      <c r="B123" s="174" t="s">
        <v>2238</v>
      </c>
      <c r="C123" s="250" t="s">
        <v>2528</v>
      </c>
      <c r="D123" s="174" t="s">
        <v>2531</v>
      </c>
      <c r="E123" s="174" t="s">
        <v>2402</v>
      </c>
      <c r="F123" s="174" t="s">
        <v>2308</v>
      </c>
      <c r="G123" s="174" t="s">
        <v>2528</v>
      </c>
      <c r="H123" s="359" t="s">
        <v>2524</v>
      </c>
      <c r="I123" s="355"/>
      <c r="J123" s="174"/>
      <c r="K123" s="350"/>
      <c r="L123" s="350"/>
      <c r="M123" s="355" t="s">
        <v>2408</v>
      </c>
    </row>
    <row r="124" spans="1:13" x14ac:dyDescent="0.35">
      <c r="A124" s="174">
        <v>3</v>
      </c>
      <c r="B124" s="174" t="s">
        <v>2238</v>
      </c>
      <c r="C124" s="250" t="s">
        <v>2528</v>
      </c>
      <c r="D124" s="174" t="s">
        <v>2532</v>
      </c>
      <c r="E124" s="174" t="s">
        <v>2533</v>
      </c>
      <c r="F124" s="174" t="s">
        <v>2308</v>
      </c>
      <c r="G124" s="174" t="s">
        <v>2528</v>
      </c>
      <c r="H124" s="359" t="s">
        <v>2524</v>
      </c>
      <c r="I124" s="355"/>
      <c r="J124" s="174"/>
      <c r="K124" s="350"/>
      <c r="L124" s="350"/>
      <c r="M124" s="355" t="s">
        <v>2408</v>
      </c>
    </row>
    <row r="125" spans="1:13" x14ac:dyDescent="0.35">
      <c r="A125" s="174">
        <v>3</v>
      </c>
      <c r="B125" s="174" t="s">
        <v>2238</v>
      </c>
      <c r="C125" s="250" t="s">
        <v>2528</v>
      </c>
      <c r="D125" s="174" t="s">
        <v>2534</v>
      </c>
      <c r="E125" s="174" t="s">
        <v>2510</v>
      </c>
      <c r="F125" s="174" t="s">
        <v>2308</v>
      </c>
      <c r="G125" s="174" t="s">
        <v>2528</v>
      </c>
      <c r="H125" s="359" t="s">
        <v>2524</v>
      </c>
      <c r="I125" s="355"/>
      <c r="J125" s="174"/>
      <c r="K125" s="350"/>
      <c r="L125" s="350"/>
      <c r="M125" s="355" t="s">
        <v>2408</v>
      </c>
    </row>
    <row r="126" spans="1:13" x14ac:dyDescent="0.35">
      <c r="A126" s="174">
        <v>3</v>
      </c>
      <c r="B126" s="174" t="s">
        <v>2238</v>
      </c>
      <c r="C126" s="249" t="s">
        <v>2535</v>
      </c>
      <c r="D126" s="174" t="s">
        <v>2536</v>
      </c>
      <c r="E126" s="174" t="s">
        <v>2510</v>
      </c>
      <c r="F126" s="174" t="s">
        <v>2308</v>
      </c>
      <c r="G126" s="174" t="s">
        <v>2535</v>
      </c>
      <c r="H126" s="359" t="s">
        <v>2524</v>
      </c>
      <c r="I126" s="355"/>
      <c r="J126" s="174"/>
      <c r="K126" s="350"/>
      <c r="L126" s="350"/>
      <c r="M126" s="355" t="s">
        <v>2408</v>
      </c>
    </row>
    <row r="127" spans="1:13" x14ac:dyDescent="0.35">
      <c r="A127" s="174">
        <v>3</v>
      </c>
      <c r="B127" s="174" t="s">
        <v>2238</v>
      </c>
      <c r="C127" s="249" t="s">
        <v>2535</v>
      </c>
      <c r="D127" s="174" t="s">
        <v>2537</v>
      </c>
      <c r="E127" s="174" t="s">
        <v>2509</v>
      </c>
      <c r="F127" s="174" t="s">
        <v>2308</v>
      </c>
      <c r="G127" s="174" t="s">
        <v>2535</v>
      </c>
      <c r="H127" s="359" t="s">
        <v>2524</v>
      </c>
      <c r="I127" s="355"/>
      <c r="J127" s="174"/>
      <c r="K127" s="350"/>
      <c r="L127" s="350"/>
      <c r="M127" s="355" t="s">
        <v>2408</v>
      </c>
    </row>
    <row r="128" spans="1:13" x14ac:dyDescent="0.35">
      <c r="A128" s="174">
        <v>3</v>
      </c>
      <c r="B128" s="174" t="s">
        <v>2238</v>
      </c>
      <c r="C128" s="249" t="s">
        <v>2535</v>
      </c>
      <c r="D128" s="174" t="s">
        <v>2538</v>
      </c>
      <c r="E128" s="174" t="s">
        <v>2509</v>
      </c>
      <c r="F128" s="174" t="s">
        <v>2308</v>
      </c>
      <c r="G128" s="174" t="s">
        <v>2535</v>
      </c>
      <c r="H128" s="359" t="s">
        <v>2524</v>
      </c>
      <c r="I128" s="355"/>
      <c r="J128" s="174"/>
      <c r="K128" s="350"/>
      <c r="L128" s="350"/>
      <c r="M128" s="355" t="s">
        <v>2408</v>
      </c>
    </row>
    <row r="129" spans="1:13" x14ac:dyDescent="0.35">
      <c r="A129" s="174">
        <v>3</v>
      </c>
      <c r="B129" s="174" t="s">
        <v>2238</v>
      </c>
      <c r="C129" s="249" t="s">
        <v>2535</v>
      </c>
      <c r="D129" s="174" t="s">
        <v>2539</v>
      </c>
      <c r="E129" s="174" t="s">
        <v>2510</v>
      </c>
      <c r="F129" s="174" t="s">
        <v>2308</v>
      </c>
      <c r="G129" s="174" t="s">
        <v>2535</v>
      </c>
      <c r="H129" s="359" t="s">
        <v>2524</v>
      </c>
      <c r="I129" s="355"/>
      <c r="J129" s="174"/>
      <c r="K129" s="350"/>
      <c r="L129" s="350"/>
      <c r="M129" s="355" t="s">
        <v>2408</v>
      </c>
    </row>
    <row r="130" spans="1:13" x14ac:dyDescent="0.35">
      <c r="A130" s="174">
        <v>3</v>
      </c>
      <c r="B130" s="174" t="s">
        <v>2238</v>
      </c>
      <c r="C130" s="249" t="s">
        <v>2535</v>
      </c>
      <c r="D130" s="174" t="s">
        <v>2540</v>
      </c>
      <c r="E130" s="174" t="s">
        <v>2510</v>
      </c>
      <c r="F130" s="174" t="s">
        <v>2308</v>
      </c>
      <c r="G130" s="174" t="s">
        <v>2535</v>
      </c>
      <c r="H130" s="359" t="s">
        <v>2524</v>
      </c>
      <c r="I130" s="355"/>
      <c r="J130" s="174"/>
      <c r="K130" s="350"/>
      <c r="L130" s="350"/>
      <c r="M130" s="355" t="s">
        <v>2408</v>
      </c>
    </row>
    <row r="131" spans="1:13" x14ac:dyDescent="0.35">
      <c r="A131" s="174">
        <v>3</v>
      </c>
      <c r="B131" s="174" t="s">
        <v>2238</v>
      </c>
      <c r="C131" s="249" t="s">
        <v>2535</v>
      </c>
      <c r="D131" s="174" t="s">
        <v>2541</v>
      </c>
      <c r="E131" s="174" t="s">
        <v>2510</v>
      </c>
      <c r="F131" s="174" t="s">
        <v>2308</v>
      </c>
      <c r="G131" s="174" t="s">
        <v>2535</v>
      </c>
      <c r="H131" s="359" t="s">
        <v>2524</v>
      </c>
      <c r="I131" s="355"/>
      <c r="J131" s="174"/>
      <c r="K131" s="350"/>
      <c r="L131" s="350"/>
      <c r="M131" s="355" t="s">
        <v>2408</v>
      </c>
    </row>
    <row r="132" spans="1:13" x14ac:dyDescent="0.35">
      <c r="A132" s="174">
        <v>3</v>
      </c>
      <c r="B132" s="174" t="s">
        <v>2238</v>
      </c>
      <c r="C132" s="250" t="s">
        <v>2542</v>
      </c>
      <c r="D132" s="251" t="s">
        <v>2543</v>
      </c>
      <c r="E132" s="251" t="s">
        <v>2544</v>
      </c>
      <c r="F132" s="251" t="s">
        <v>2307</v>
      </c>
      <c r="G132" s="251" t="s">
        <v>2545</v>
      </c>
      <c r="H132" s="361" t="s">
        <v>676</v>
      </c>
      <c r="I132" s="358"/>
      <c r="J132" s="174"/>
      <c r="K132" s="350"/>
      <c r="L132" s="350"/>
      <c r="M132" s="358"/>
    </row>
    <row r="133" spans="1:13" x14ac:dyDescent="0.35">
      <c r="A133" s="174">
        <v>3</v>
      </c>
      <c r="B133" s="174" t="s">
        <v>2238</v>
      </c>
      <c r="C133" s="250" t="s">
        <v>2542</v>
      </c>
      <c r="D133" s="174" t="s">
        <v>2546</v>
      </c>
      <c r="E133" s="174" t="s">
        <v>2400</v>
      </c>
      <c r="F133" s="174" t="s">
        <v>2308</v>
      </c>
      <c r="G133" s="174" t="s">
        <v>2542</v>
      </c>
      <c r="H133" s="359" t="s">
        <v>2524</v>
      </c>
      <c r="I133" s="355"/>
      <c r="J133" s="174"/>
      <c r="K133" s="350"/>
      <c r="L133" s="350"/>
      <c r="M133" s="355" t="s">
        <v>2408</v>
      </c>
    </row>
    <row r="134" spans="1:13" x14ac:dyDescent="0.35">
      <c r="A134" s="174">
        <v>3</v>
      </c>
      <c r="B134" s="174" t="s">
        <v>2238</v>
      </c>
      <c r="C134" s="250" t="s">
        <v>2542</v>
      </c>
      <c r="D134" s="362"/>
      <c r="E134" s="362" t="s">
        <v>2402</v>
      </c>
      <c r="F134" s="362" t="s">
        <v>2308</v>
      </c>
      <c r="G134" s="362" t="s">
        <v>2542</v>
      </c>
      <c r="H134" s="355"/>
      <c r="I134" s="355"/>
      <c r="J134" s="174"/>
      <c r="K134" s="350"/>
      <c r="L134" s="350"/>
      <c r="M134" s="355"/>
    </row>
    <row r="135" spans="1:13" x14ac:dyDescent="0.35">
      <c r="A135" s="174">
        <v>3</v>
      </c>
      <c r="B135" s="174" t="s">
        <v>2238</v>
      </c>
      <c r="C135" s="250" t="s">
        <v>2542</v>
      </c>
      <c r="D135" s="362"/>
      <c r="E135" s="362" t="s">
        <v>2402</v>
      </c>
      <c r="F135" s="362" t="s">
        <v>2308</v>
      </c>
      <c r="G135" s="362" t="s">
        <v>2542</v>
      </c>
      <c r="H135" s="355"/>
      <c r="I135" s="355"/>
      <c r="J135" s="174"/>
      <c r="K135" s="350"/>
      <c r="L135" s="350"/>
      <c r="M135" s="355"/>
    </row>
    <row r="136" spans="1:13" x14ac:dyDescent="0.35">
      <c r="A136" s="174">
        <v>3</v>
      </c>
      <c r="B136" s="174" t="s">
        <v>2238</v>
      </c>
      <c r="C136" s="250" t="s">
        <v>2542</v>
      </c>
      <c r="D136" s="362"/>
      <c r="E136" s="362" t="s">
        <v>2547</v>
      </c>
      <c r="F136" s="362" t="s">
        <v>2308</v>
      </c>
      <c r="G136" s="362" t="s">
        <v>2542</v>
      </c>
      <c r="H136" s="355"/>
      <c r="I136" s="355"/>
      <c r="J136" s="174"/>
      <c r="K136" s="350"/>
      <c r="L136" s="350"/>
      <c r="M136" s="355"/>
    </row>
    <row r="137" spans="1:13" x14ac:dyDescent="0.35">
      <c r="A137" s="174">
        <v>3</v>
      </c>
      <c r="B137" s="174" t="s">
        <v>2238</v>
      </c>
      <c r="C137" s="250" t="s">
        <v>2542</v>
      </c>
      <c r="D137" s="174" t="s">
        <v>2548</v>
      </c>
      <c r="E137" s="174" t="s">
        <v>2549</v>
      </c>
      <c r="F137" s="174" t="s">
        <v>2308</v>
      </c>
      <c r="G137" s="174" t="s">
        <v>2542</v>
      </c>
      <c r="H137" s="359" t="s">
        <v>2524</v>
      </c>
      <c r="I137" s="355"/>
      <c r="J137" s="174"/>
      <c r="K137" s="350"/>
      <c r="L137" s="350"/>
      <c r="M137" s="355" t="s">
        <v>2408</v>
      </c>
    </row>
    <row r="138" spans="1:13" x14ac:dyDescent="0.35">
      <c r="A138" s="174">
        <v>3</v>
      </c>
      <c r="B138" s="174" t="s">
        <v>2238</v>
      </c>
      <c r="C138" s="250" t="s">
        <v>2542</v>
      </c>
      <c r="D138" s="174" t="s">
        <v>2550</v>
      </c>
      <c r="E138" s="174" t="s">
        <v>2551</v>
      </c>
      <c r="F138" s="174" t="s">
        <v>2308</v>
      </c>
      <c r="G138" s="174" t="s">
        <v>2542</v>
      </c>
      <c r="H138" s="359" t="s">
        <v>2524</v>
      </c>
      <c r="I138" s="355"/>
      <c r="J138" s="174"/>
      <c r="K138" s="350"/>
      <c r="L138" s="350"/>
      <c r="M138" s="355" t="s">
        <v>2408</v>
      </c>
    </row>
    <row r="139" spans="1:13" x14ac:dyDescent="0.35">
      <c r="A139" s="174">
        <v>3</v>
      </c>
      <c r="B139" s="174" t="s">
        <v>2238</v>
      </c>
      <c r="C139" s="250" t="s">
        <v>2542</v>
      </c>
      <c r="D139" s="174" t="s">
        <v>2552</v>
      </c>
      <c r="E139" s="174" t="s">
        <v>2551</v>
      </c>
      <c r="F139" s="174" t="s">
        <v>2308</v>
      </c>
      <c r="G139" s="174" t="s">
        <v>2542</v>
      </c>
      <c r="H139" s="359" t="s">
        <v>2524</v>
      </c>
      <c r="I139" s="359"/>
      <c r="J139" s="174"/>
      <c r="K139" s="350"/>
      <c r="L139" s="350"/>
      <c r="M139" s="359" t="s">
        <v>2408</v>
      </c>
    </row>
    <row r="140" spans="1:13" x14ac:dyDescent="0.35">
      <c r="A140" s="174">
        <v>3</v>
      </c>
      <c r="B140" s="174" t="s">
        <v>2238</v>
      </c>
      <c r="C140" s="174" t="s">
        <v>2497</v>
      </c>
      <c r="D140" s="174"/>
      <c r="E140" s="174" t="s">
        <v>2553</v>
      </c>
      <c r="F140" s="174" t="s">
        <v>2308</v>
      </c>
      <c r="G140" s="174" t="s">
        <v>2497</v>
      </c>
      <c r="H140" s="359" t="s">
        <v>2524</v>
      </c>
      <c r="I140" s="355"/>
      <c r="J140" s="174"/>
      <c r="K140" s="350"/>
      <c r="L140" s="350"/>
      <c r="M140" s="355" t="s">
        <v>2408</v>
      </c>
    </row>
    <row r="141" spans="1:13" x14ac:dyDescent="0.35">
      <c r="A141" s="356">
        <v>4</v>
      </c>
      <c r="B141" s="356" t="s">
        <v>2262</v>
      </c>
      <c r="C141" s="333" t="s">
        <v>2398</v>
      </c>
      <c r="D141" s="356" t="s">
        <v>2554</v>
      </c>
      <c r="E141" s="356" t="s">
        <v>2464</v>
      </c>
      <c r="F141" s="356" t="s">
        <v>2307</v>
      </c>
      <c r="G141" s="356"/>
      <c r="H141" s="356"/>
      <c r="I141" s="356" t="s">
        <v>2401</v>
      </c>
      <c r="J141" s="356" t="s">
        <v>676</v>
      </c>
      <c r="K141" s="350"/>
      <c r="L141" s="350"/>
      <c r="M141" s="356" t="s">
        <v>676</v>
      </c>
    </row>
    <row r="142" spans="1:13" ht="21" x14ac:dyDescent="0.35">
      <c r="A142" s="174">
        <v>4</v>
      </c>
      <c r="B142" s="174" t="s">
        <v>2262</v>
      </c>
      <c r="C142" s="249" t="s">
        <v>2555</v>
      </c>
      <c r="D142" s="174" t="s">
        <v>2556</v>
      </c>
      <c r="E142" s="174" t="s">
        <v>2402</v>
      </c>
      <c r="F142" s="174" t="s">
        <v>2308</v>
      </c>
      <c r="G142" s="174" t="s">
        <v>2557</v>
      </c>
      <c r="H142" s="174"/>
      <c r="I142" s="174" t="s">
        <v>2404</v>
      </c>
      <c r="J142" s="363">
        <v>46353</v>
      </c>
      <c r="K142" s="350"/>
      <c r="L142" s="350"/>
      <c r="M142" s="174" t="s">
        <v>2408</v>
      </c>
    </row>
    <row r="143" spans="1:13" ht="21" x14ac:dyDescent="0.35">
      <c r="A143" s="174">
        <v>4</v>
      </c>
      <c r="B143" s="174" t="s">
        <v>2262</v>
      </c>
      <c r="C143" s="249" t="s">
        <v>2262</v>
      </c>
      <c r="D143" s="174" t="s">
        <v>2558</v>
      </c>
      <c r="E143" s="174" t="s">
        <v>2559</v>
      </c>
      <c r="F143" s="174" t="s">
        <v>2308</v>
      </c>
      <c r="G143" s="174" t="s">
        <v>2560</v>
      </c>
      <c r="H143" s="174"/>
      <c r="I143" s="174" t="s">
        <v>2404</v>
      </c>
      <c r="J143" s="363">
        <v>46382</v>
      </c>
      <c r="K143" s="350"/>
      <c r="L143" s="350"/>
      <c r="M143" s="174" t="s">
        <v>2408</v>
      </c>
    </row>
    <row r="144" spans="1:13" x14ac:dyDescent="0.35">
      <c r="A144" s="174">
        <v>4</v>
      </c>
      <c r="B144" s="174" t="s">
        <v>2262</v>
      </c>
      <c r="C144" s="249" t="s">
        <v>2561</v>
      </c>
      <c r="D144" s="174" t="s">
        <v>2562</v>
      </c>
      <c r="E144" s="174" t="s">
        <v>2563</v>
      </c>
      <c r="F144" s="174" t="s">
        <v>2308</v>
      </c>
      <c r="G144" s="174" t="s">
        <v>2564</v>
      </c>
      <c r="H144" s="174"/>
      <c r="I144" s="174" t="s">
        <v>2404</v>
      </c>
      <c r="J144" s="363">
        <v>46357</v>
      </c>
      <c r="K144" s="350"/>
      <c r="L144" s="350"/>
      <c r="M144" s="174" t="s">
        <v>2408</v>
      </c>
    </row>
    <row r="145" spans="1:13" x14ac:dyDescent="0.35">
      <c r="A145" s="174">
        <v>4</v>
      </c>
      <c r="B145" s="174" t="s">
        <v>2262</v>
      </c>
      <c r="C145" s="249" t="s">
        <v>2565</v>
      </c>
      <c r="D145" s="362" t="s">
        <v>2566</v>
      </c>
      <c r="E145" s="174" t="s">
        <v>2567</v>
      </c>
      <c r="F145" s="174" t="s">
        <v>2308</v>
      </c>
      <c r="G145" s="174" t="s">
        <v>2557</v>
      </c>
      <c r="H145" s="174"/>
      <c r="I145" s="174" t="s">
        <v>2404</v>
      </c>
      <c r="J145" s="363">
        <v>41243</v>
      </c>
      <c r="K145" s="350"/>
      <c r="L145" s="350"/>
      <c r="M145" s="174" t="s">
        <v>2408</v>
      </c>
    </row>
    <row r="146" spans="1:13" ht="21" x14ac:dyDescent="0.35">
      <c r="A146" s="174">
        <v>4</v>
      </c>
      <c r="B146" s="174" t="s">
        <v>2262</v>
      </c>
      <c r="C146" s="249" t="s">
        <v>2568</v>
      </c>
      <c r="D146" s="174" t="s">
        <v>2569</v>
      </c>
      <c r="E146" s="174" t="s">
        <v>2570</v>
      </c>
      <c r="F146" s="174" t="s">
        <v>2308</v>
      </c>
      <c r="G146" s="174" t="s">
        <v>2561</v>
      </c>
      <c r="H146" s="174"/>
      <c r="I146" s="174" t="s">
        <v>2404</v>
      </c>
      <c r="J146" s="363">
        <v>46352</v>
      </c>
      <c r="K146" s="350"/>
      <c r="L146" s="350"/>
      <c r="M146" s="174" t="s">
        <v>2408</v>
      </c>
    </row>
    <row r="147" spans="1:13" ht="21" x14ac:dyDescent="0.35">
      <c r="A147" s="174">
        <v>4</v>
      </c>
      <c r="B147" s="174" t="s">
        <v>2262</v>
      </c>
      <c r="C147" s="249" t="s">
        <v>2571</v>
      </c>
      <c r="D147" s="174" t="s">
        <v>2572</v>
      </c>
      <c r="E147" s="174" t="s">
        <v>2413</v>
      </c>
      <c r="F147" s="174" t="s">
        <v>2308</v>
      </c>
      <c r="G147" s="174" t="s">
        <v>2565</v>
      </c>
      <c r="H147" s="174"/>
      <c r="I147" s="174" t="s">
        <v>2404</v>
      </c>
      <c r="J147" s="363">
        <v>46344</v>
      </c>
      <c r="K147" s="350"/>
      <c r="L147" s="350"/>
      <c r="M147" s="174" t="s">
        <v>2408</v>
      </c>
    </row>
    <row r="148" spans="1:13" x14ac:dyDescent="0.35">
      <c r="A148" s="174">
        <v>4</v>
      </c>
      <c r="B148" s="174" t="s">
        <v>2262</v>
      </c>
      <c r="C148" s="249" t="s">
        <v>2573</v>
      </c>
      <c r="D148" s="174" t="s">
        <v>2574</v>
      </c>
      <c r="E148" s="174" t="s">
        <v>2464</v>
      </c>
      <c r="F148" s="174" t="s">
        <v>2308</v>
      </c>
      <c r="G148" s="174" t="s">
        <v>2557</v>
      </c>
      <c r="H148" s="174"/>
      <c r="I148" s="174" t="s">
        <v>2404</v>
      </c>
      <c r="J148" s="363">
        <v>46382</v>
      </c>
      <c r="K148" s="350"/>
      <c r="L148" s="350"/>
      <c r="M148" s="174" t="s">
        <v>2408</v>
      </c>
    </row>
    <row r="149" spans="1:13" x14ac:dyDescent="0.35">
      <c r="A149" s="174">
        <v>4</v>
      </c>
      <c r="B149" s="174" t="s">
        <v>2262</v>
      </c>
      <c r="C149" s="249"/>
      <c r="D149" s="362" t="s">
        <v>2575</v>
      </c>
      <c r="E149" s="174" t="s">
        <v>2576</v>
      </c>
      <c r="F149" s="174" t="s">
        <v>2308</v>
      </c>
      <c r="G149" s="174" t="s">
        <v>2557</v>
      </c>
      <c r="H149" s="174"/>
      <c r="I149" s="174" t="s">
        <v>2404</v>
      </c>
      <c r="J149" s="362"/>
      <c r="K149" s="350"/>
      <c r="L149" s="350"/>
      <c r="M149" s="174" t="s">
        <v>2408</v>
      </c>
    </row>
    <row r="150" spans="1:13" x14ac:dyDescent="0.35">
      <c r="A150" s="174">
        <v>4</v>
      </c>
      <c r="B150" s="174" t="s">
        <v>2262</v>
      </c>
      <c r="C150" s="249"/>
      <c r="D150" s="362" t="s">
        <v>2577</v>
      </c>
      <c r="E150" s="174" t="s">
        <v>2576</v>
      </c>
      <c r="F150" s="174" t="s">
        <v>2308</v>
      </c>
      <c r="G150" s="174" t="s">
        <v>2557</v>
      </c>
      <c r="H150" s="174"/>
      <c r="I150" s="174" t="s">
        <v>2404</v>
      </c>
      <c r="J150" s="362"/>
      <c r="K150" s="350"/>
      <c r="L150" s="350"/>
      <c r="M150" s="174" t="s">
        <v>2408</v>
      </c>
    </row>
    <row r="151" spans="1:13" x14ac:dyDescent="0.35">
      <c r="A151" s="174">
        <v>4</v>
      </c>
      <c r="B151" s="174" t="s">
        <v>2262</v>
      </c>
      <c r="C151" s="249"/>
      <c r="D151" s="174" t="s">
        <v>2578</v>
      </c>
      <c r="E151" s="174" t="s">
        <v>2579</v>
      </c>
      <c r="F151" s="174" t="s">
        <v>2308</v>
      </c>
      <c r="G151" s="174"/>
      <c r="H151" s="174"/>
      <c r="I151" s="364" t="s">
        <v>2475</v>
      </c>
      <c r="J151" s="362"/>
      <c r="K151" s="350"/>
      <c r="L151" s="350"/>
      <c r="M151" s="174" t="s">
        <v>2408</v>
      </c>
    </row>
    <row r="152" spans="1:13" x14ac:dyDescent="0.35">
      <c r="A152" s="356">
        <v>5</v>
      </c>
      <c r="B152" s="365" t="s">
        <v>2317</v>
      </c>
      <c r="C152" s="333" t="s">
        <v>2398</v>
      </c>
      <c r="D152" s="365" t="s">
        <v>2580</v>
      </c>
      <c r="E152" s="356" t="s">
        <v>2581</v>
      </c>
      <c r="F152" s="356" t="s">
        <v>2308</v>
      </c>
      <c r="G152" s="356" t="s">
        <v>2306</v>
      </c>
      <c r="H152" s="356"/>
      <c r="I152" s="356" t="s">
        <v>2404</v>
      </c>
      <c r="J152" s="356" t="s">
        <v>676</v>
      </c>
      <c r="K152" s="350"/>
      <c r="L152" s="350"/>
      <c r="M152" s="356" t="s">
        <v>676</v>
      </c>
    </row>
    <row r="153" spans="1:13" x14ac:dyDescent="0.35">
      <c r="A153" s="174">
        <v>5</v>
      </c>
      <c r="B153" s="254" t="s">
        <v>2317</v>
      </c>
      <c r="C153" s="249"/>
      <c r="D153" s="174" t="s">
        <v>2582</v>
      </c>
      <c r="E153" s="174" t="s">
        <v>2583</v>
      </c>
      <c r="F153" s="174" t="s">
        <v>2308</v>
      </c>
      <c r="G153" s="174" t="s">
        <v>2584</v>
      </c>
      <c r="H153" s="174"/>
      <c r="I153" s="174" t="s">
        <v>2404</v>
      </c>
      <c r="J153" s="363">
        <v>46352</v>
      </c>
      <c r="K153" s="350"/>
      <c r="L153" s="350"/>
      <c r="M153" s="174" t="s">
        <v>2408</v>
      </c>
    </row>
    <row r="154" spans="1:13" x14ac:dyDescent="0.35">
      <c r="A154" s="174">
        <v>5</v>
      </c>
      <c r="B154" s="254" t="s">
        <v>2317</v>
      </c>
      <c r="C154" s="249"/>
      <c r="D154" s="174" t="s">
        <v>2585</v>
      </c>
      <c r="E154" s="174" t="s">
        <v>2586</v>
      </c>
      <c r="F154" s="174" t="s">
        <v>2308</v>
      </c>
      <c r="G154" s="174" t="s">
        <v>2587</v>
      </c>
      <c r="H154" s="174"/>
      <c r="I154" s="174" t="s">
        <v>2404</v>
      </c>
      <c r="J154" s="363">
        <v>46358</v>
      </c>
      <c r="K154" s="350"/>
      <c r="L154" s="350"/>
      <c r="M154" s="174" t="s">
        <v>2408</v>
      </c>
    </row>
    <row r="155" spans="1:13" x14ac:dyDescent="0.35">
      <c r="A155" s="174">
        <v>5</v>
      </c>
      <c r="B155" s="254" t="s">
        <v>2317</v>
      </c>
      <c r="C155" s="249"/>
      <c r="D155" s="174" t="s">
        <v>2588</v>
      </c>
      <c r="E155" s="174" t="s">
        <v>2586</v>
      </c>
      <c r="F155" s="174" t="s">
        <v>2308</v>
      </c>
      <c r="G155" s="174" t="s">
        <v>2589</v>
      </c>
      <c r="H155" s="174"/>
      <c r="I155" s="174" t="s">
        <v>2404</v>
      </c>
      <c r="J155" s="363">
        <v>46359</v>
      </c>
      <c r="K155" s="350"/>
      <c r="L155" s="350"/>
      <c r="M155" s="174" t="s">
        <v>2408</v>
      </c>
    </row>
    <row r="156" spans="1:13" x14ac:dyDescent="0.35">
      <c r="A156" s="174">
        <v>5</v>
      </c>
      <c r="B156" s="254" t="s">
        <v>2317</v>
      </c>
      <c r="C156" s="249"/>
      <c r="D156" s="174" t="s">
        <v>2590</v>
      </c>
      <c r="E156" s="174" t="s">
        <v>2591</v>
      </c>
      <c r="F156" s="174" t="s">
        <v>2308</v>
      </c>
      <c r="G156" s="174" t="s">
        <v>2592</v>
      </c>
      <c r="H156" s="174"/>
      <c r="I156" s="174" t="s">
        <v>2404</v>
      </c>
      <c r="J156" s="363">
        <v>46338</v>
      </c>
      <c r="K156" s="350"/>
      <c r="L156" s="350"/>
      <c r="M156" s="174" t="s">
        <v>2408</v>
      </c>
    </row>
    <row r="157" spans="1:13" x14ac:dyDescent="0.35">
      <c r="A157" s="174">
        <v>5</v>
      </c>
      <c r="B157" s="254" t="s">
        <v>2317</v>
      </c>
      <c r="C157" s="249"/>
      <c r="D157" s="174" t="s">
        <v>2593</v>
      </c>
      <c r="E157" s="174" t="s">
        <v>2594</v>
      </c>
      <c r="F157" s="174" t="s">
        <v>2308</v>
      </c>
      <c r="G157" s="174" t="s">
        <v>2595</v>
      </c>
      <c r="H157" s="174"/>
      <c r="I157" s="174" t="s">
        <v>2404</v>
      </c>
      <c r="J157" s="363">
        <v>46359</v>
      </c>
      <c r="K157" s="350"/>
      <c r="L157" s="350"/>
      <c r="M157" s="174" t="s">
        <v>2408</v>
      </c>
    </row>
    <row r="158" spans="1:13" x14ac:dyDescent="0.35">
      <c r="A158" s="356">
        <v>6</v>
      </c>
      <c r="B158" s="356" t="s">
        <v>2596</v>
      </c>
      <c r="C158" s="333" t="s">
        <v>2398</v>
      </c>
      <c r="D158" s="366" t="s">
        <v>2597</v>
      </c>
      <c r="E158" s="356"/>
      <c r="F158" s="356" t="s">
        <v>2308</v>
      </c>
      <c r="G158" s="356"/>
      <c r="H158" s="356" t="s">
        <v>2401</v>
      </c>
      <c r="I158" s="356" t="s">
        <v>2404</v>
      </c>
      <c r="J158" s="356"/>
      <c r="K158" s="174"/>
      <c r="L158" s="174"/>
      <c r="M158" s="356"/>
    </row>
    <row r="159" spans="1:13" x14ac:dyDescent="0.35">
      <c r="A159" s="356">
        <v>7</v>
      </c>
      <c r="B159" s="356" t="s">
        <v>2236</v>
      </c>
      <c r="C159" s="333" t="s">
        <v>2398</v>
      </c>
      <c r="D159" s="366" t="s">
        <v>2598</v>
      </c>
      <c r="E159" s="356"/>
      <c r="F159" s="356" t="s">
        <v>2307</v>
      </c>
      <c r="G159" s="356"/>
      <c r="H159" s="356"/>
      <c r="I159" s="356" t="s">
        <v>2403</v>
      </c>
      <c r="J159" s="356" t="s">
        <v>676</v>
      </c>
      <c r="K159" s="174"/>
      <c r="L159" s="174"/>
      <c r="M159" s="356" t="s">
        <v>676</v>
      </c>
    </row>
    <row r="160" spans="1:13" x14ac:dyDescent="0.35">
      <c r="A160" s="174">
        <v>7</v>
      </c>
      <c r="B160" s="174" t="s">
        <v>2236</v>
      </c>
      <c r="C160" s="249"/>
      <c r="D160" s="174" t="s">
        <v>2599</v>
      </c>
      <c r="E160" s="174"/>
      <c r="F160" s="174" t="s">
        <v>2307</v>
      </c>
      <c r="G160" s="174"/>
      <c r="H160" s="174" t="s">
        <v>2600</v>
      </c>
      <c r="I160" s="174"/>
      <c r="J160" s="174"/>
      <c r="K160" s="174"/>
      <c r="L160" s="174"/>
      <c r="M160" s="174" t="s">
        <v>2408</v>
      </c>
    </row>
    <row r="161" spans="1:13" x14ac:dyDescent="0.35">
      <c r="A161" s="174">
        <v>7</v>
      </c>
      <c r="B161" s="174" t="s">
        <v>2236</v>
      </c>
      <c r="C161" s="249"/>
      <c r="D161" s="174" t="s">
        <v>2601</v>
      </c>
      <c r="E161" s="174"/>
      <c r="F161" s="174" t="s">
        <v>2307</v>
      </c>
      <c r="G161" s="174"/>
      <c r="H161" s="174" t="s">
        <v>2403</v>
      </c>
      <c r="I161" s="174"/>
      <c r="J161" s="174"/>
      <c r="K161" s="174" t="s">
        <v>2602</v>
      </c>
      <c r="L161" s="174"/>
      <c r="M161" s="174" t="s">
        <v>2408</v>
      </c>
    </row>
    <row r="162" spans="1:13" x14ac:dyDescent="0.35">
      <c r="A162" s="174">
        <v>7</v>
      </c>
      <c r="B162" s="174" t="s">
        <v>2236</v>
      </c>
      <c r="C162" s="249"/>
      <c r="D162" s="174" t="s">
        <v>2603</v>
      </c>
      <c r="E162" s="174"/>
      <c r="F162" s="174" t="s">
        <v>2307</v>
      </c>
      <c r="G162" s="174"/>
      <c r="H162" s="174" t="s">
        <v>2473</v>
      </c>
      <c r="I162" s="174"/>
      <c r="J162" s="174"/>
      <c r="K162" s="174"/>
      <c r="L162" s="174"/>
      <c r="M162" s="174" t="s">
        <v>2408</v>
      </c>
    </row>
    <row r="163" spans="1:13" x14ac:dyDescent="0.35">
      <c r="A163" s="174">
        <v>7</v>
      </c>
      <c r="B163" s="174" t="s">
        <v>2236</v>
      </c>
      <c r="C163" s="249"/>
      <c r="D163" s="174" t="s">
        <v>2604</v>
      </c>
      <c r="E163" s="174"/>
      <c r="F163" s="174" t="s">
        <v>2307</v>
      </c>
      <c r="G163" s="174"/>
      <c r="H163" s="174" t="s">
        <v>2401</v>
      </c>
      <c r="I163" s="174"/>
      <c r="J163" s="174"/>
      <c r="K163" s="174"/>
      <c r="L163" s="174"/>
      <c r="M163" s="174" t="s">
        <v>2408</v>
      </c>
    </row>
    <row r="164" spans="1:13" x14ac:dyDescent="0.35">
      <c r="A164" s="174" t="s">
        <v>2233</v>
      </c>
      <c r="B164" s="174" t="s">
        <v>2605</v>
      </c>
      <c r="C164" s="249"/>
      <c r="D164" s="174" t="s">
        <v>2606</v>
      </c>
      <c r="E164" s="174"/>
      <c r="F164" s="174" t="s">
        <v>2307</v>
      </c>
      <c r="G164" s="174"/>
      <c r="H164" s="174" t="s">
        <v>2436</v>
      </c>
      <c r="I164" s="174"/>
      <c r="J164" s="174"/>
      <c r="K164" s="174"/>
      <c r="L164" s="174"/>
      <c r="M164" s="174"/>
    </row>
    <row r="165" spans="1:13" x14ac:dyDescent="0.35">
      <c r="A165" s="356" t="s">
        <v>2233</v>
      </c>
      <c r="B165" s="356" t="s">
        <v>2605</v>
      </c>
      <c r="C165" s="333" t="s">
        <v>2398</v>
      </c>
      <c r="D165" s="366" t="s">
        <v>2607</v>
      </c>
      <c r="E165" s="356"/>
      <c r="F165" s="356" t="s">
        <v>2307</v>
      </c>
      <c r="G165" s="356"/>
      <c r="H165" s="356" t="s">
        <v>2436</v>
      </c>
      <c r="I165" s="356"/>
      <c r="J165" s="356"/>
      <c r="K165" s="174"/>
      <c r="L165" s="174"/>
      <c r="M165" s="356"/>
    </row>
    <row r="166" spans="1:13" x14ac:dyDescent="0.35">
      <c r="A166" s="174" t="s">
        <v>2233</v>
      </c>
      <c r="B166" s="174" t="s">
        <v>2605</v>
      </c>
      <c r="C166" s="249"/>
      <c r="D166" s="174" t="s">
        <v>2608</v>
      </c>
      <c r="E166" s="174"/>
      <c r="F166" s="174" t="s">
        <v>2307</v>
      </c>
      <c r="G166" s="174"/>
      <c r="H166" s="174" t="s">
        <v>2473</v>
      </c>
      <c r="I166" s="174"/>
      <c r="J166" s="174"/>
      <c r="K166" s="356" t="s">
        <v>2609</v>
      </c>
      <c r="L166" s="174"/>
      <c r="M166" s="174"/>
    </row>
    <row r="167" spans="1:13" x14ac:dyDescent="0.35">
      <c r="A167" s="356" t="s">
        <v>2233</v>
      </c>
      <c r="B167" s="356" t="s">
        <v>823</v>
      </c>
      <c r="C167" s="333" t="s">
        <v>2398</v>
      </c>
      <c r="D167" s="366" t="s">
        <v>2610</v>
      </c>
      <c r="E167" s="356"/>
      <c r="F167" s="356" t="s">
        <v>2307</v>
      </c>
      <c r="G167" s="356"/>
      <c r="H167" s="356" t="s">
        <v>2473</v>
      </c>
      <c r="I167" s="356"/>
      <c r="J167" s="356"/>
      <c r="K167" s="174"/>
      <c r="L167" s="174"/>
      <c r="M167" s="356"/>
    </row>
    <row r="168" spans="1:13" x14ac:dyDescent="0.35">
      <c r="A168" s="174" t="s">
        <v>2235</v>
      </c>
      <c r="B168" s="174" t="s">
        <v>2235</v>
      </c>
      <c r="C168" s="249" t="s">
        <v>2611</v>
      </c>
      <c r="D168" s="174" t="s">
        <v>2612</v>
      </c>
      <c r="E168" s="174"/>
      <c r="F168" s="174" t="s">
        <v>2307</v>
      </c>
      <c r="G168" s="174"/>
      <c r="H168" s="174" t="s">
        <v>2421</v>
      </c>
      <c r="I168" s="174"/>
      <c r="J168" s="174"/>
      <c r="K168" s="174"/>
      <c r="L168" s="174"/>
      <c r="M168" s="174"/>
    </row>
    <row r="169" spans="1:13" x14ac:dyDescent="0.35">
      <c r="A169" s="174" t="s">
        <v>2235</v>
      </c>
      <c r="B169" s="174" t="s">
        <v>2235</v>
      </c>
      <c r="C169" s="249" t="s">
        <v>2613</v>
      </c>
      <c r="D169" s="174" t="s">
        <v>2614</v>
      </c>
      <c r="E169" s="174"/>
      <c r="F169" s="174" t="s">
        <v>2307</v>
      </c>
      <c r="G169" s="174"/>
      <c r="H169" s="174" t="s">
        <v>2615</v>
      </c>
      <c r="I169" s="174"/>
      <c r="J169" s="174"/>
      <c r="K169" s="174"/>
      <c r="L169" s="174"/>
      <c r="M169" s="174"/>
    </row>
  </sheetData>
  <autoFilter ref="A1:G34" xr:uid="{0B46B075-7F0C-48F1-A329-40430E8788AC}"/>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CFCCB-EA5E-400E-9DE0-994AA3CAB6F0}">
  <sheetPr>
    <tabColor rgb="FFFFFF00"/>
  </sheetPr>
  <dimension ref="A1:E44"/>
  <sheetViews>
    <sheetView zoomScaleNormal="100" workbookViewId="0">
      <pane xSplit="1" ySplit="1" topLeftCell="B2" activePane="bottomRight" state="frozen"/>
      <selection pane="topRight" activeCell="B1" sqref="B1"/>
      <selection pane="bottomLeft" activeCell="A2" sqref="A2"/>
      <selection pane="bottomRight" activeCell="C12" sqref="C12"/>
    </sheetView>
  </sheetViews>
  <sheetFormatPr baseColWidth="10" defaultRowHeight="13" x14ac:dyDescent="0.35"/>
  <cols>
    <col min="1" max="1" width="33.81640625" style="158" customWidth="1"/>
    <col min="2" max="2" width="9.7265625" style="143" bestFit="1" customWidth="1"/>
    <col min="3" max="3" width="22.54296875" style="143" customWidth="1"/>
    <col min="4" max="4" width="21.1796875" style="143" customWidth="1"/>
    <col min="5" max="5" width="12.36328125" style="143" bestFit="1" customWidth="1"/>
    <col min="6" max="16384" width="10.90625" style="143"/>
  </cols>
  <sheetData>
    <row r="1" spans="1:5" ht="32" customHeight="1" x14ac:dyDescent="0.35">
      <c r="A1" s="155" t="s">
        <v>2230</v>
      </c>
      <c r="B1" s="141" t="s">
        <v>2231</v>
      </c>
      <c r="C1" s="163" t="s">
        <v>2233</v>
      </c>
      <c r="D1" s="141" t="s">
        <v>1149</v>
      </c>
      <c r="E1" s="141" t="s">
        <v>2240</v>
      </c>
    </row>
    <row r="2" spans="1:5" x14ac:dyDescent="0.35">
      <c r="A2" s="156" t="s">
        <v>628</v>
      </c>
      <c r="B2" s="145">
        <v>22</v>
      </c>
      <c r="C2" s="145" t="s">
        <v>2234</v>
      </c>
      <c r="D2" s="145" t="s">
        <v>2246</v>
      </c>
      <c r="E2" s="146">
        <v>0</v>
      </c>
    </row>
    <row r="3" spans="1:5" x14ac:dyDescent="0.35">
      <c r="A3" s="156" t="s">
        <v>382</v>
      </c>
      <c r="B3" s="145">
        <v>17</v>
      </c>
      <c r="C3" s="145" t="s">
        <v>2234</v>
      </c>
      <c r="D3" s="145" t="s">
        <v>2241</v>
      </c>
      <c r="E3" s="146">
        <v>0</v>
      </c>
    </row>
    <row r="4" spans="1:5" x14ac:dyDescent="0.35">
      <c r="A4" s="156" t="s">
        <v>2220</v>
      </c>
      <c r="B4" s="145">
        <v>14</v>
      </c>
      <c r="C4" s="145" t="s">
        <v>2234</v>
      </c>
      <c r="D4" s="145" t="s">
        <v>2242</v>
      </c>
      <c r="E4" s="146">
        <v>0</v>
      </c>
    </row>
    <row r="5" spans="1:5" x14ac:dyDescent="0.35">
      <c r="A5" s="156" t="s">
        <v>247</v>
      </c>
      <c r="B5" s="145">
        <v>15</v>
      </c>
      <c r="C5" s="145" t="s">
        <v>2234</v>
      </c>
      <c r="D5" s="145" t="s">
        <v>2243</v>
      </c>
      <c r="E5" s="146">
        <v>0</v>
      </c>
    </row>
    <row r="6" spans="1:5" x14ac:dyDescent="0.35">
      <c r="A6" s="156" t="s">
        <v>449</v>
      </c>
      <c r="B6" s="145">
        <v>11</v>
      </c>
      <c r="C6" s="145" t="s">
        <v>2234</v>
      </c>
      <c r="D6" s="145" t="s">
        <v>2244</v>
      </c>
      <c r="E6" s="146">
        <v>0</v>
      </c>
    </row>
    <row r="7" spans="1:5" x14ac:dyDescent="0.35">
      <c r="A7" s="156" t="s">
        <v>602</v>
      </c>
      <c r="B7" s="145">
        <v>10</v>
      </c>
      <c r="C7" s="145" t="s">
        <v>2234</v>
      </c>
      <c r="D7" s="145" t="s">
        <v>2245</v>
      </c>
      <c r="E7" s="146">
        <v>0</v>
      </c>
    </row>
    <row r="8" spans="1:5" x14ac:dyDescent="0.35">
      <c r="A8" s="156" t="s">
        <v>200</v>
      </c>
      <c r="B8" s="145">
        <v>9</v>
      </c>
      <c r="C8" s="145" t="s">
        <v>2234</v>
      </c>
      <c r="D8" s="145" t="s">
        <v>2247</v>
      </c>
      <c r="E8" s="146">
        <v>0</v>
      </c>
    </row>
    <row r="9" spans="1:5" ht="14.5" x14ac:dyDescent="0.35">
      <c r="A9" s="156" t="s">
        <v>674</v>
      </c>
      <c r="B9" s="145">
        <v>3</v>
      </c>
      <c r="C9" s="145" t="s">
        <v>2234</v>
      </c>
      <c r="D9" s="145" t="s">
        <v>2248</v>
      </c>
      <c r="E9" s="147">
        <v>0.3044</v>
      </c>
    </row>
    <row r="10" spans="1:5" ht="14.5" x14ac:dyDescent="0.35">
      <c r="A10" s="156" t="s">
        <v>674</v>
      </c>
      <c r="B10" s="145">
        <v>6</v>
      </c>
      <c r="C10" s="145" t="s">
        <v>2262</v>
      </c>
      <c r="D10" s="145" t="s">
        <v>2262</v>
      </c>
      <c r="E10" s="147">
        <v>0.3044</v>
      </c>
    </row>
    <row r="11" spans="1:5" x14ac:dyDescent="0.35">
      <c r="A11" s="156" t="s">
        <v>652</v>
      </c>
      <c r="B11" s="145">
        <v>6</v>
      </c>
      <c r="C11" s="145" t="s">
        <v>2235</v>
      </c>
      <c r="D11" s="145" t="s">
        <v>2235</v>
      </c>
      <c r="E11" s="146">
        <v>0</v>
      </c>
    </row>
    <row r="12" spans="1:5" x14ac:dyDescent="0.35">
      <c r="A12" s="156" t="s">
        <v>815</v>
      </c>
      <c r="B12" s="145">
        <v>6</v>
      </c>
      <c r="C12" s="145" t="s">
        <v>2236</v>
      </c>
      <c r="D12" s="145" t="s">
        <v>2236</v>
      </c>
      <c r="E12" s="146">
        <v>0</v>
      </c>
    </row>
    <row r="13" spans="1:5" ht="14.5" x14ac:dyDescent="0.35">
      <c r="A13" s="156" t="s">
        <v>2229</v>
      </c>
      <c r="B13" s="145">
        <v>5</v>
      </c>
      <c r="C13" s="145"/>
      <c r="D13" s="145"/>
      <c r="E13" s="148">
        <v>0.2</v>
      </c>
    </row>
    <row r="14" spans="1:5" ht="14.5" x14ac:dyDescent="0.35">
      <c r="A14" s="156" t="s">
        <v>661</v>
      </c>
      <c r="B14" s="145">
        <v>2</v>
      </c>
      <c r="C14" s="145" t="s">
        <v>2234</v>
      </c>
      <c r="D14" s="145" t="s">
        <v>2241</v>
      </c>
      <c r="E14" s="147">
        <v>0.2</v>
      </c>
    </row>
    <row r="15" spans="1:5" x14ac:dyDescent="0.35">
      <c r="A15" s="159" t="s">
        <v>758</v>
      </c>
      <c r="B15" s="160">
        <v>4</v>
      </c>
      <c r="C15" s="160" t="s">
        <v>2237</v>
      </c>
      <c r="D15" s="160" t="s">
        <v>2237</v>
      </c>
      <c r="E15" s="146">
        <v>0</v>
      </c>
    </row>
    <row r="16" spans="1:5" x14ac:dyDescent="0.35">
      <c r="A16" s="156" t="s">
        <v>825</v>
      </c>
      <c r="B16" s="145">
        <v>4</v>
      </c>
      <c r="C16" s="145" t="s">
        <v>2236</v>
      </c>
      <c r="D16" s="145" t="s">
        <v>2236</v>
      </c>
      <c r="E16" s="146">
        <v>0</v>
      </c>
    </row>
    <row r="17" spans="1:5" ht="14.5" x14ac:dyDescent="0.35">
      <c r="A17" s="156" t="s">
        <v>309</v>
      </c>
      <c r="B17" s="145">
        <v>3</v>
      </c>
      <c r="C17" s="145" t="s">
        <v>2234</v>
      </c>
      <c r="D17" s="145" t="s">
        <v>2250</v>
      </c>
      <c r="E17" s="147">
        <v>0.33329999999999999</v>
      </c>
    </row>
    <row r="18" spans="1:5" x14ac:dyDescent="0.35">
      <c r="A18" s="159" t="s">
        <v>792</v>
      </c>
      <c r="B18" s="160">
        <v>3</v>
      </c>
      <c r="C18" s="160" t="s">
        <v>2237</v>
      </c>
      <c r="D18" s="160" t="s">
        <v>2251</v>
      </c>
      <c r="E18" s="146">
        <v>0</v>
      </c>
    </row>
    <row r="19" spans="1:5" x14ac:dyDescent="0.35">
      <c r="A19" s="156" t="s">
        <v>832</v>
      </c>
      <c r="B19" s="145">
        <v>2</v>
      </c>
      <c r="C19" s="145" t="s">
        <v>2236</v>
      </c>
      <c r="D19" s="145" t="s">
        <v>2236</v>
      </c>
      <c r="E19" s="146">
        <v>0</v>
      </c>
    </row>
    <row r="20" spans="1:5" ht="14.5" x14ac:dyDescent="0.35">
      <c r="A20" s="156" t="s">
        <v>353</v>
      </c>
      <c r="B20" s="145">
        <v>2</v>
      </c>
      <c r="C20" s="145" t="s">
        <v>2234</v>
      </c>
      <c r="D20" s="145" t="s">
        <v>2242</v>
      </c>
      <c r="E20" s="147">
        <v>0.25</v>
      </c>
    </row>
    <row r="21" spans="1:5" x14ac:dyDescent="0.35">
      <c r="A21" s="159" t="s">
        <v>784</v>
      </c>
      <c r="B21" s="160">
        <v>2</v>
      </c>
      <c r="C21" s="160" t="s">
        <v>2237</v>
      </c>
      <c r="D21" s="160" t="s">
        <v>2251</v>
      </c>
      <c r="E21" s="146">
        <v>0</v>
      </c>
    </row>
    <row r="22" spans="1:5" ht="14.5" x14ac:dyDescent="0.35">
      <c r="A22" s="156" t="s">
        <v>2224</v>
      </c>
      <c r="B22" s="145">
        <v>2</v>
      </c>
      <c r="C22" s="145" t="s">
        <v>2234</v>
      </c>
      <c r="D22" s="145" t="s">
        <v>2250</v>
      </c>
      <c r="E22" s="147">
        <v>0.5</v>
      </c>
    </row>
    <row r="23" spans="1:5" x14ac:dyDescent="0.35">
      <c r="A23" s="156" t="s">
        <v>471</v>
      </c>
      <c r="B23" s="145">
        <v>1</v>
      </c>
      <c r="C23" s="145" t="s">
        <v>2234</v>
      </c>
      <c r="D23" s="145" t="s">
        <v>2244</v>
      </c>
      <c r="E23" s="146">
        <v>0</v>
      </c>
    </row>
    <row r="24" spans="1:5" x14ac:dyDescent="0.35">
      <c r="A24" s="156" t="s">
        <v>823</v>
      </c>
      <c r="B24" s="145">
        <v>1</v>
      </c>
      <c r="C24" s="145" t="s">
        <v>823</v>
      </c>
      <c r="D24" s="145"/>
      <c r="E24" s="146">
        <v>0</v>
      </c>
    </row>
    <row r="25" spans="1:5" x14ac:dyDescent="0.35">
      <c r="A25" s="156" t="s">
        <v>116</v>
      </c>
      <c r="B25" s="145">
        <v>1</v>
      </c>
      <c r="C25" s="145" t="s">
        <v>2234</v>
      </c>
      <c r="D25" s="145" t="s">
        <v>2252</v>
      </c>
      <c r="E25" s="146">
        <v>0</v>
      </c>
    </row>
    <row r="26" spans="1:5" x14ac:dyDescent="0.35">
      <c r="A26" s="159" t="s">
        <v>787</v>
      </c>
      <c r="B26" s="160">
        <v>1</v>
      </c>
      <c r="C26" s="160" t="s">
        <v>2237</v>
      </c>
      <c r="D26" s="160" t="s">
        <v>2251</v>
      </c>
      <c r="E26" s="146">
        <v>0</v>
      </c>
    </row>
    <row r="27" spans="1:5" x14ac:dyDescent="0.35">
      <c r="A27" s="159" t="s">
        <v>738</v>
      </c>
      <c r="B27" s="160">
        <v>6</v>
      </c>
      <c r="C27" s="160" t="s">
        <v>2237</v>
      </c>
      <c r="D27" s="160" t="s">
        <v>2253</v>
      </c>
      <c r="E27" s="146">
        <v>0</v>
      </c>
    </row>
    <row r="28" spans="1:5" x14ac:dyDescent="0.35">
      <c r="A28" s="156" t="s">
        <v>718</v>
      </c>
      <c r="B28" s="145">
        <v>5</v>
      </c>
      <c r="C28" s="145" t="s">
        <v>2238</v>
      </c>
      <c r="D28" s="145" t="s">
        <v>2238</v>
      </c>
      <c r="E28" s="146">
        <v>0</v>
      </c>
    </row>
    <row r="29" spans="1:5" x14ac:dyDescent="0.35">
      <c r="A29" s="156" t="s">
        <v>427</v>
      </c>
      <c r="B29" s="145">
        <v>8</v>
      </c>
      <c r="C29" s="145" t="s">
        <v>2234</v>
      </c>
      <c r="D29" s="145" t="s">
        <v>2254</v>
      </c>
      <c r="E29" s="146">
        <v>0</v>
      </c>
    </row>
    <row r="30" spans="1:5" x14ac:dyDescent="0.35">
      <c r="A30" s="156" t="s">
        <v>229</v>
      </c>
      <c r="B30" s="145">
        <v>4</v>
      </c>
      <c r="C30" s="145" t="s">
        <v>2234</v>
      </c>
      <c r="D30" s="145" t="s">
        <v>2255</v>
      </c>
      <c r="E30" s="146">
        <v>0</v>
      </c>
    </row>
    <row r="31" spans="1:5" x14ac:dyDescent="0.35">
      <c r="A31" s="156" t="s">
        <v>221</v>
      </c>
      <c r="B31" s="145">
        <v>4</v>
      </c>
      <c r="C31" s="145" t="s">
        <v>2234</v>
      </c>
      <c r="D31" s="145" t="s">
        <v>2255</v>
      </c>
      <c r="E31" s="146">
        <v>0</v>
      </c>
    </row>
    <row r="32" spans="1:5" ht="14.5" x14ac:dyDescent="0.35">
      <c r="A32" s="156" t="s">
        <v>298</v>
      </c>
      <c r="B32" s="145">
        <v>11</v>
      </c>
      <c r="C32" s="145" t="s">
        <v>2234</v>
      </c>
      <c r="D32" s="145" t="s">
        <v>2249</v>
      </c>
      <c r="E32" s="147">
        <v>0.31809999999999999</v>
      </c>
    </row>
    <row r="33" spans="1:5" x14ac:dyDescent="0.35">
      <c r="A33" s="156" t="s">
        <v>2228</v>
      </c>
      <c r="B33" s="145">
        <v>1</v>
      </c>
      <c r="C33" s="145" t="s">
        <v>2234</v>
      </c>
      <c r="D33" s="145" t="s">
        <v>2256</v>
      </c>
      <c r="E33" s="146">
        <v>0</v>
      </c>
    </row>
    <row r="34" spans="1:5" x14ac:dyDescent="0.35">
      <c r="A34" s="159" t="s">
        <v>800</v>
      </c>
      <c r="B34" s="160">
        <v>1</v>
      </c>
      <c r="C34" s="160" t="s">
        <v>2237</v>
      </c>
      <c r="D34" s="160" t="s">
        <v>2257</v>
      </c>
      <c r="E34" s="146">
        <v>0</v>
      </c>
    </row>
    <row r="35" spans="1:5" x14ac:dyDescent="0.35">
      <c r="A35" s="156" t="s">
        <v>131</v>
      </c>
      <c r="B35" s="145">
        <v>24</v>
      </c>
      <c r="C35" s="145" t="s">
        <v>2234</v>
      </c>
      <c r="D35" s="145" t="s">
        <v>2258</v>
      </c>
      <c r="E35" s="146">
        <v>0</v>
      </c>
    </row>
    <row r="36" spans="1:5" x14ac:dyDescent="0.35">
      <c r="A36" s="159" t="s">
        <v>778</v>
      </c>
      <c r="B36" s="160">
        <v>2</v>
      </c>
      <c r="C36" s="160" t="s">
        <v>2237</v>
      </c>
      <c r="D36" s="160" t="s">
        <v>2251</v>
      </c>
      <c r="E36" s="146">
        <v>0</v>
      </c>
    </row>
    <row r="37" spans="1:5" x14ac:dyDescent="0.35">
      <c r="A37" s="157" t="s">
        <v>2225</v>
      </c>
      <c r="B37" s="145">
        <v>6</v>
      </c>
      <c r="C37" s="145" t="s">
        <v>2234</v>
      </c>
      <c r="D37" s="145" t="s">
        <v>2248</v>
      </c>
      <c r="E37" s="146">
        <v>0</v>
      </c>
    </row>
    <row r="38" spans="1:5" x14ac:dyDescent="0.35">
      <c r="A38" s="156" t="s">
        <v>509</v>
      </c>
      <c r="B38" s="145">
        <v>45</v>
      </c>
      <c r="C38" s="145" t="s">
        <v>2234</v>
      </c>
      <c r="D38" s="145" t="s">
        <v>2259</v>
      </c>
      <c r="E38" s="146">
        <v>0</v>
      </c>
    </row>
    <row r="39" spans="1:5" x14ac:dyDescent="0.35">
      <c r="A39" s="156" t="s">
        <v>478</v>
      </c>
      <c r="B39" s="145">
        <v>7</v>
      </c>
      <c r="C39" s="145" t="s">
        <v>2234</v>
      </c>
      <c r="D39" s="145" t="s">
        <v>2260</v>
      </c>
      <c r="E39" s="146">
        <v>0</v>
      </c>
    </row>
    <row r="44" spans="1:5" ht="14.5" x14ac:dyDescent="0.35">
      <c r="C44" s="161" t="s">
        <v>2261</v>
      </c>
    </row>
  </sheetData>
  <autoFilter ref="A1:E39" xr:uid="{087CFCCB-EA5E-400E-9DE0-994AA3CAB6F0}">
    <sortState xmlns:xlrd2="http://schemas.microsoft.com/office/spreadsheetml/2017/richdata2" ref="A2:E26">
      <sortCondition descending="1" ref="B1"/>
    </sortState>
  </autoFilter>
  <dataValidations count="1">
    <dataValidation type="custom" allowBlank="1" showErrorMessage="1" sqref="A37" xr:uid="{3C9F70B1-3813-482D-BD96-49720709A7D3}">
      <formula1>AND(GTE(LEN(A37),MIN((10),(1000))),LTE(LEN(A37),MAX((10),(1000))))</formula1>
    </dataValidation>
  </dataValidations>
  <hyperlinks>
    <hyperlink ref="C44" r:id="rId1" xr:uid="{A6C1F354-F33F-4320-8843-C84BF8B86D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BF471-9801-4E14-9467-11B64718957B}">
  <dimension ref="A1:F21"/>
  <sheetViews>
    <sheetView workbookViewId="0">
      <pane xSplit="2" ySplit="1" topLeftCell="C2" activePane="bottomRight" state="frozen"/>
      <selection pane="topRight" activeCell="B1" sqref="B1"/>
      <selection pane="bottomLeft" activeCell="A2" sqref="A2"/>
      <selection pane="bottomRight" activeCell="D2" sqref="D2:D21"/>
    </sheetView>
  </sheetViews>
  <sheetFormatPr baseColWidth="10" defaultColWidth="11" defaultRowHeight="14.5" x14ac:dyDescent="0.35"/>
  <cols>
    <col min="1" max="1" width="12.453125" style="128" bestFit="1" customWidth="1"/>
    <col min="2" max="2" width="12.453125" bestFit="1" customWidth="1"/>
    <col min="3" max="3" width="24.36328125" bestFit="1" customWidth="1"/>
    <col min="4" max="4" width="10.36328125" customWidth="1"/>
    <col min="5" max="6" width="9.54296875" customWidth="1"/>
  </cols>
  <sheetData>
    <row r="1" spans="1:6" s="242" customFormat="1" ht="35.5" customHeight="1" x14ac:dyDescent="0.35">
      <c r="A1" s="256" t="s">
        <v>2263</v>
      </c>
      <c r="B1" s="256" t="s">
        <v>1149</v>
      </c>
      <c r="C1" s="256" t="s">
        <v>2339</v>
      </c>
      <c r="D1" s="256" t="s">
        <v>2271</v>
      </c>
      <c r="E1" s="256" t="s">
        <v>2340</v>
      </c>
      <c r="F1" s="256" t="s">
        <v>2341</v>
      </c>
    </row>
    <row r="2" spans="1:6" x14ac:dyDescent="0.35">
      <c r="A2" s="251" t="s">
        <v>2369</v>
      </c>
      <c r="B2" s="252" t="s">
        <v>2252</v>
      </c>
      <c r="C2" s="174" t="s">
        <v>2342</v>
      </c>
      <c r="D2" s="174" t="s">
        <v>2308</v>
      </c>
      <c r="E2" s="175"/>
      <c r="F2" s="175"/>
    </row>
    <row r="3" spans="1:6" x14ac:dyDescent="0.35">
      <c r="A3" s="251" t="s">
        <v>2369</v>
      </c>
      <c r="B3" s="252" t="s">
        <v>2343</v>
      </c>
      <c r="C3" s="174" t="s">
        <v>2344</v>
      </c>
      <c r="D3" s="174" t="s">
        <v>2308</v>
      </c>
      <c r="E3" s="175"/>
      <c r="F3" s="175"/>
    </row>
    <row r="4" spans="1:6" x14ac:dyDescent="0.35">
      <c r="A4" s="251" t="s">
        <v>2369</v>
      </c>
      <c r="B4" s="252" t="s">
        <v>2265</v>
      </c>
      <c r="C4" s="174" t="s">
        <v>2345</v>
      </c>
      <c r="D4" s="174" t="s">
        <v>2308</v>
      </c>
      <c r="E4" s="175"/>
      <c r="F4" s="175"/>
    </row>
    <row r="5" spans="1:6" x14ac:dyDescent="0.35">
      <c r="A5" s="251" t="s">
        <v>2369</v>
      </c>
      <c r="B5" s="253" t="s">
        <v>2243</v>
      </c>
      <c r="C5" s="254" t="s">
        <v>2346</v>
      </c>
      <c r="D5" s="254" t="s">
        <v>2307</v>
      </c>
      <c r="E5" s="255"/>
      <c r="F5" s="255"/>
    </row>
    <row r="6" spans="1:6" x14ac:dyDescent="0.35">
      <c r="A6" s="251" t="s">
        <v>2369</v>
      </c>
      <c r="B6" s="253" t="s">
        <v>2258</v>
      </c>
      <c r="C6" s="254" t="s">
        <v>2347</v>
      </c>
      <c r="D6" s="254" t="s">
        <v>2307</v>
      </c>
      <c r="E6" s="255"/>
      <c r="F6" s="255"/>
    </row>
    <row r="7" spans="1:6" x14ac:dyDescent="0.35">
      <c r="A7" s="251" t="s">
        <v>2369</v>
      </c>
      <c r="B7" s="253" t="s">
        <v>2255</v>
      </c>
      <c r="C7" s="254" t="s">
        <v>2348</v>
      </c>
      <c r="D7" s="254" t="s">
        <v>2308</v>
      </c>
      <c r="E7" s="255"/>
      <c r="F7" s="255"/>
    </row>
    <row r="8" spans="1:6" x14ac:dyDescent="0.35">
      <c r="A8" s="251" t="s">
        <v>2369</v>
      </c>
      <c r="B8" s="253" t="s">
        <v>2349</v>
      </c>
      <c r="C8" s="254" t="s">
        <v>2350</v>
      </c>
      <c r="D8" s="254" t="s">
        <v>2307</v>
      </c>
      <c r="E8" s="255"/>
      <c r="F8" s="255"/>
    </row>
    <row r="9" spans="1:6" x14ac:dyDescent="0.35">
      <c r="A9" s="251" t="s">
        <v>2369</v>
      </c>
      <c r="B9" s="252" t="s">
        <v>2351</v>
      </c>
      <c r="C9" s="174" t="s">
        <v>2352</v>
      </c>
      <c r="D9" s="174" t="s">
        <v>2308</v>
      </c>
      <c r="E9" s="175"/>
      <c r="F9" s="175"/>
    </row>
    <row r="10" spans="1:6" x14ac:dyDescent="0.35">
      <c r="A10" s="251" t="s">
        <v>2369</v>
      </c>
      <c r="B10" s="253" t="s">
        <v>2249</v>
      </c>
      <c r="C10" s="254" t="s">
        <v>2353</v>
      </c>
      <c r="D10" s="254" t="s">
        <v>2308</v>
      </c>
      <c r="E10" s="255"/>
      <c r="F10" s="255"/>
    </row>
    <row r="11" spans="1:6" x14ac:dyDescent="0.35">
      <c r="A11" s="251" t="s">
        <v>2369</v>
      </c>
      <c r="B11" s="252" t="s">
        <v>2250</v>
      </c>
      <c r="C11" s="174" t="s">
        <v>2354</v>
      </c>
      <c r="D11" s="174" t="s">
        <v>2308</v>
      </c>
      <c r="E11" s="175"/>
      <c r="F11" s="175"/>
    </row>
    <row r="12" spans="1:6" x14ac:dyDescent="0.35">
      <c r="A12" s="251" t="s">
        <v>2369</v>
      </c>
      <c r="B12" s="252" t="s">
        <v>2355</v>
      </c>
      <c r="C12" s="174" t="s">
        <v>2356</v>
      </c>
      <c r="D12" s="174" t="s">
        <v>2308</v>
      </c>
      <c r="E12" s="175"/>
      <c r="F12" s="175"/>
    </row>
    <row r="13" spans="1:6" x14ac:dyDescent="0.35">
      <c r="A13" s="251" t="s">
        <v>2369</v>
      </c>
      <c r="B13" s="252" t="s">
        <v>2241</v>
      </c>
      <c r="C13" s="174" t="s">
        <v>2357</v>
      </c>
      <c r="D13" s="174" t="s">
        <v>2307</v>
      </c>
      <c r="E13" s="175"/>
      <c r="F13" s="175"/>
    </row>
    <row r="14" spans="1:6" x14ac:dyDescent="0.35">
      <c r="A14" s="251" t="s">
        <v>2369</v>
      </c>
      <c r="B14" s="252" t="s">
        <v>2242</v>
      </c>
      <c r="C14" s="174" t="s">
        <v>2358</v>
      </c>
      <c r="D14" s="174" t="s">
        <v>2307</v>
      </c>
      <c r="E14" s="175"/>
      <c r="F14" s="175"/>
    </row>
    <row r="15" spans="1:6" x14ac:dyDescent="0.35">
      <c r="A15" s="251" t="s">
        <v>2369</v>
      </c>
      <c r="B15" s="253" t="s">
        <v>2260</v>
      </c>
      <c r="C15" s="254" t="s">
        <v>2359</v>
      </c>
      <c r="D15" s="254" t="s">
        <v>2308</v>
      </c>
      <c r="E15" s="255"/>
      <c r="F15" s="255"/>
    </row>
    <row r="16" spans="1:6" x14ac:dyDescent="0.35">
      <c r="A16" s="251" t="s">
        <v>2369</v>
      </c>
      <c r="B16" s="253" t="s">
        <v>2360</v>
      </c>
      <c r="C16" s="254" t="s">
        <v>2361</v>
      </c>
      <c r="D16" s="254" t="s">
        <v>2308</v>
      </c>
      <c r="E16" s="255"/>
      <c r="F16" s="255"/>
    </row>
    <row r="17" spans="1:6" x14ac:dyDescent="0.35">
      <c r="A17" s="251" t="s">
        <v>2369</v>
      </c>
      <c r="B17" s="252" t="s">
        <v>2362</v>
      </c>
      <c r="C17" s="174" t="s">
        <v>2363</v>
      </c>
      <c r="D17" s="174" t="s">
        <v>2307</v>
      </c>
      <c r="E17" s="175"/>
      <c r="F17" s="175"/>
    </row>
    <row r="18" spans="1:6" x14ac:dyDescent="0.35">
      <c r="A18" s="251" t="s">
        <v>2369</v>
      </c>
      <c r="B18" s="252" t="s">
        <v>2245</v>
      </c>
      <c r="C18" s="174" t="s">
        <v>2364</v>
      </c>
      <c r="D18" s="174" t="s">
        <v>2307</v>
      </c>
      <c r="E18" s="175"/>
      <c r="F18" s="175"/>
    </row>
    <row r="19" spans="1:6" x14ac:dyDescent="0.35">
      <c r="A19" s="251" t="s">
        <v>2369</v>
      </c>
      <c r="B19" s="253" t="s">
        <v>2270</v>
      </c>
      <c r="C19" s="254" t="s">
        <v>2365</v>
      </c>
      <c r="D19" s="254" t="s">
        <v>2307</v>
      </c>
      <c r="E19" s="255"/>
      <c r="F19" s="255"/>
    </row>
    <row r="20" spans="1:6" x14ac:dyDescent="0.35">
      <c r="A20" s="251" t="s">
        <v>2369</v>
      </c>
      <c r="B20" s="253" t="s">
        <v>2366</v>
      </c>
      <c r="C20" s="254" t="s">
        <v>2367</v>
      </c>
      <c r="D20" s="254" t="s">
        <v>2307</v>
      </c>
      <c r="E20" s="255"/>
      <c r="F20" s="255"/>
    </row>
    <row r="21" spans="1:6" x14ac:dyDescent="0.35">
      <c r="A21" s="251" t="s">
        <v>2369</v>
      </c>
      <c r="B21" s="252" t="s">
        <v>2247</v>
      </c>
      <c r="C21" s="174" t="s">
        <v>2368</v>
      </c>
      <c r="D21" s="174" t="s">
        <v>2307</v>
      </c>
      <c r="E21" s="175"/>
      <c r="F21" s="1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E895-2990-491A-8836-B776842B09AD}">
  <sheetPr>
    <tabColor rgb="FFFF0000"/>
  </sheetPr>
  <dimension ref="A2:F10"/>
  <sheetViews>
    <sheetView workbookViewId="0">
      <selection activeCell="F2" sqref="F2"/>
    </sheetView>
  </sheetViews>
  <sheetFormatPr baseColWidth="10" defaultRowHeight="14.5" x14ac:dyDescent="0.35"/>
  <cols>
    <col min="1" max="1" width="5.453125" customWidth="1"/>
    <col min="2" max="2" width="56.54296875" customWidth="1"/>
    <col min="5" max="5" width="3.54296875" customWidth="1"/>
    <col min="6" max="6" width="22" customWidth="1"/>
  </cols>
  <sheetData>
    <row r="2" spans="1:6" ht="31.5" x14ac:dyDescent="0.35">
      <c r="B2" s="171" t="s">
        <v>2301</v>
      </c>
      <c r="F2" s="176" t="s">
        <v>2316</v>
      </c>
    </row>
    <row r="4" spans="1:6" x14ac:dyDescent="0.35">
      <c r="A4" s="174">
        <v>1</v>
      </c>
      <c r="B4" s="175" t="s">
        <v>2311</v>
      </c>
    </row>
    <row r="5" spans="1:6" x14ac:dyDescent="0.35">
      <c r="A5" s="174">
        <v>2</v>
      </c>
      <c r="B5" s="175" t="s">
        <v>2312</v>
      </c>
    </row>
    <row r="6" spans="1:6" x14ac:dyDescent="0.35">
      <c r="A6" s="174">
        <v>3</v>
      </c>
      <c r="B6" s="175" t="s">
        <v>2313</v>
      </c>
    </row>
    <row r="7" spans="1:6" x14ac:dyDescent="0.35">
      <c r="A7" s="174">
        <v>4</v>
      </c>
      <c r="B7" s="175" t="s">
        <v>2314</v>
      </c>
      <c r="E7" s="172"/>
      <c r="F7" s="173"/>
    </row>
    <row r="8" spans="1:6" x14ac:dyDescent="0.35">
      <c r="A8" s="174">
        <v>5</v>
      </c>
      <c r="B8" s="175" t="s">
        <v>2315</v>
      </c>
      <c r="E8" s="173"/>
      <c r="F8" s="173"/>
    </row>
    <row r="9" spans="1:6" x14ac:dyDescent="0.35">
      <c r="E9" s="173"/>
      <c r="F9" s="173"/>
    </row>
    <row r="10" spans="1:6" x14ac:dyDescent="0.35">
      <c r="E10" s="173"/>
      <c r="F10" s="1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A13BB-C413-48FE-95F1-160EDD602922}">
  <dimension ref="A1:C4"/>
  <sheetViews>
    <sheetView workbookViewId="0">
      <selection activeCell="E4" sqref="E4"/>
    </sheetView>
  </sheetViews>
  <sheetFormatPr baseColWidth="10" defaultRowHeight="14.5" x14ac:dyDescent="0.35"/>
  <cols>
    <col min="1" max="1" width="30.81640625" bestFit="1" customWidth="1"/>
    <col min="2" max="2" width="56.1796875" bestFit="1" customWidth="1"/>
    <col min="3" max="3" width="10.90625" style="128"/>
  </cols>
  <sheetData>
    <row r="1" spans="1:2" x14ac:dyDescent="0.35">
      <c r="A1" s="142" t="s">
        <v>94</v>
      </c>
      <c r="B1" t="s">
        <v>2232</v>
      </c>
    </row>
    <row r="3" spans="1:2" x14ac:dyDescent="0.35">
      <c r="A3" t="s">
        <v>2239</v>
      </c>
    </row>
    <row r="4" spans="1:2" x14ac:dyDescent="0.35">
      <c r="A4" t="e">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D1000"/>
  <sheetViews>
    <sheetView workbookViewId="0">
      <selection activeCell="AT59" sqref="AT59"/>
    </sheetView>
  </sheetViews>
  <sheetFormatPr baseColWidth="10" defaultColWidth="14.453125" defaultRowHeight="15" customHeight="1" x14ac:dyDescent="0.35"/>
  <cols>
    <col min="1" max="1" width="26.54296875" customWidth="1"/>
    <col min="2" max="2" width="17.26953125" customWidth="1"/>
    <col min="3" max="3" width="10.7265625" customWidth="1"/>
    <col min="4" max="4" width="26.54296875" customWidth="1"/>
    <col min="5" max="5" width="17.26953125" customWidth="1"/>
    <col min="6" max="6" width="23" customWidth="1"/>
    <col min="7" max="22" width="10.7265625" customWidth="1"/>
    <col min="23" max="23" width="17.7265625" customWidth="1"/>
    <col min="24" max="24" width="11.81640625" customWidth="1"/>
    <col min="25" max="30" width="10.7265625" customWidth="1"/>
  </cols>
  <sheetData>
    <row r="1" spans="1:30" ht="14.25" customHeight="1" x14ac:dyDescent="0.35"/>
    <row r="2" spans="1:30" ht="14.25" customHeight="1" x14ac:dyDescent="0.35">
      <c r="W2" s="30" t="s">
        <v>845</v>
      </c>
    </row>
    <row r="3" spans="1:30" ht="14.25" customHeight="1" x14ac:dyDescent="0.35">
      <c r="A3" s="87"/>
      <c r="B3" s="85"/>
      <c r="C3" s="86"/>
      <c r="D3" s="87"/>
      <c r="E3" s="85"/>
      <c r="F3" s="86"/>
      <c r="G3" s="87"/>
      <c r="H3" s="85"/>
      <c r="I3" s="86"/>
      <c r="J3" s="87"/>
      <c r="K3" s="85"/>
      <c r="L3" s="86"/>
      <c r="M3" s="87"/>
      <c r="N3" s="85"/>
      <c r="O3" s="86"/>
      <c r="P3" s="87"/>
      <c r="Q3" s="85"/>
      <c r="R3" s="86"/>
      <c r="S3" s="87"/>
      <c r="T3" s="85"/>
      <c r="U3" s="86"/>
      <c r="X3" s="31" t="s">
        <v>118</v>
      </c>
      <c r="Y3" s="31" t="s">
        <v>195</v>
      </c>
      <c r="Z3" s="31" t="s">
        <v>97</v>
      </c>
      <c r="AA3" s="31" t="s">
        <v>685</v>
      </c>
      <c r="AB3" s="31" t="s">
        <v>436</v>
      </c>
      <c r="AC3" s="31" t="s">
        <v>133</v>
      </c>
      <c r="AD3" s="31" t="s">
        <v>653</v>
      </c>
    </row>
    <row r="4" spans="1:30" ht="14.5" x14ac:dyDescent="0.35">
      <c r="A4" s="90"/>
      <c r="B4" s="82"/>
      <c r="C4" s="91"/>
      <c r="D4" s="90"/>
      <c r="E4" s="82"/>
      <c r="F4" s="91"/>
      <c r="G4" s="90"/>
      <c r="H4" s="82"/>
      <c r="I4" s="91"/>
      <c r="J4" s="90"/>
      <c r="K4" s="82"/>
      <c r="L4" s="91"/>
      <c r="M4" s="90"/>
      <c r="N4" s="82"/>
      <c r="O4" s="91"/>
      <c r="P4" s="90"/>
      <c r="Q4" s="82"/>
      <c r="R4" s="91"/>
      <c r="S4" s="90"/>
      <c r="T4" s="82"/>
      <c r="U4" s="91"/>
      <c r="X4" s="30">
        <f>IF(B4="(en blanco)",0,COUNTIF(B4:B30,"*"))</f>
        <v>0</v>
      </c>
      <c r="Y4" s="30">
        <f>IF(E4="(en blanco)",0,COUNTIF(E4:E30,"*"))</f>
        <v>0</v>
      </c>
      <c r="Z4" s="30">
        <f>IF(H4="(en blanco)",0,COUNTIF(H4:H30,"*"))</f>
        <v>0</v>
      </c>
      <c r="AA4" s="30">
        <f>IF(K4="(en blanco)",0,COUNTIF(K4:K30,"*"))</f>
        <v>0</v>
      </c>
      <c r="AB4" s="30">
        <f>IF(N4="(en blanco)",0,COUNTIF(N4:N30,"*"))</f>
        <v>0</v>
      </c>
      <c r="AC4" s="30">
        <f>IF(Q4="(en blanco)",0,COUNTIF(Q4:Q30,"*"))</f>
        <v>0</v>
      </c>
      <c r="AD4" s="30">
        <f>IF(T4="(en blanco)",0,COUNTIF(T4:T30,"*"))</f>
        <v>0</v>
      </c>
    </row>
    <row r="5" spans="1:30" ht="14.5" x14ac:dyDescent="0.35">
      <c r="A5" s="90"/>
      <c r="B5" s="82"/>
      <c r="C5" s="91"/>
      <c r="D5" s="90"/>
      <c r="E5" s="82"/>
      <c r="F5" s="91"/>
      <c r="G5" s="90"/>
      <c r="H5" s="82"/>
      <c r="I5" s="91"/>
      <c r="J5" s="90"/>
      <c r="K5" s="82"/>
      <c r="L5" s="91"/>
      <c r="M5" s="90"/>
      <c r="N5" s="82"/>
      <c r="O5" s="91"/>
      <c r="P5" s="90"/>
      <c r="Q5" s="82"/>
      <c r="R5" s="91"/>
      <c r="S5" s="90"/>
      <c r="T5" s="82"/>
      <c r="U5" s="91"/>
    </row>
    <row r="6" spans="1:30" ht="14.5" x14ac:dyDescent="0.35">
      <c r="A6" s="90"/>
      <c r="B6" s="82"/>
      <c r="C6" s="91"/>
      <c r="D6" s="90"/>
      <c r="E6" s="82"/>
      <c r="F6" s="91"/>
      <c r="G6" s="90"/>
      <c r="H6" s="82"/>
      <c r="I6" s="91"/>
      <c r="J6" s="90"/>
      <c r="K6" s="82"/>
      <c r="L6" s="91"/>
      <c r="M6" s="90"/>
      <c r="N6" s="82"/>
      <c r="O6" s="91"/>
      <c r="P6" s="90"/>
      <c r="Q6" s="82"/>
      <c r="R6" s="91"/>
      <c r="S6" s="90"/>
      <c r="T6" s="82"/>
      <c r="U6" s="91"/>
    </row>
    <row r="7" spans="1:30" ht="14.5" x14ac:dyDescent="0.35">
      <c r="A7" s="90"/>
      <c r="B7" s="82"/>
      <c r="C7" s="91"/>
      <c r="D7" s="90"/>
      <c r="E7" s="82"/>
      <c r="F7" s="91"/>
      <c r="G7" s="90"/>
      <c r="H7" s="82"/>
      <c r="I7" s="91"/>
      <c r="J7" s="90"/>
      <c r="K7" s="82"/>
      <c r="L7" s="91"/>
      <c r="M7" s="90"/>
      <c r="N7" s="82"/>
      <c r="O7" s="91"/>
      <c r="P7" s="90"/>
      <c r="Q7" s="82"/>
      <c r="R7" s="91"/>
      <c r="S7" s="90"/>
      <c r="T7" s="82"/>
      <c r="U7" s="91"/>
    </row>
    <row r="8" spans="1:30" ht="14.5" x14ac:dyDescent="0.35">
      <c r="A8" s="90"/>
      <c r="B8" s="82"/>
      <c r="C8" s="91"/>
      <c r="D8" s="90"/>
      <c r="E8" s="82"/>
      <c r="F8" s="91"/>
      <c r="G8" s="90"/>
      <c r="H8" s="82"/>
      <c r="I8" s="91"/>
      <c r="J8" s="90"/>
      <c r="K8" s="82"/>
      <c r="L8" s="91"/>
      <c r="M8" s="90"/>
      <c r="N8" s="82"/>
      <c r="O8" s="91"/>
      <c r="P8" s="90"/>
      <c r="Q8" s="82"/>
      <c r="R8" s="91"/>
      <c r="S8" s="90"/>
      <c r="T8" s="82"/>
      <c r="U8" s="91"/>
    </row>
    <row r="9" spans="1:30" ht="14.5" x14ac:dyDescent="0.35">
      <c r="A9" s="90"/>
      <c r="B9" s="82"/>
      <c r="C9" s="91"/>
      <c r="D9" s="90"/>
      <c r="E9" s="82"/>
      <c r="F9" s="91"/>
      <c r="G9" s="90"/>
      <c r="H9" s="82"/>
      <c r="I9" s="91"/>
      <c r="J9" s="90"/>
      <c r="K9" s="82"/>
      <c r="L9" s="91"/>
      <c r="M9" s="90"/>
      <c r="N9" s="82"/>
      <c r="O9" s="91"/>
      <c r="P9" s="90"/>
      <c r="Q9" s="82"/>
      <c r="R9" s="91"/>
      <c r="S9" s="90"/>
      <c r="T9" s="82"/>
      <c r="U9" s="91"/>
    </row>
    <row r="10" spans="1:30" ht="14.5" x14ac:dyDescent="0.35">
      <c r="A10" s="90"/>
      <c r="B10" s="82"/>
      <c r="C10" s="91"/>
      <c r="D10" s="90"/>
      <c r="E10" s="82"/>
      <c r="F10" s="91"/>
      <c r="G10" s="90"/>
      <c r="H10" s="82"/>
      <c r="I10" s="91"/>
      <c r="J10" s="90"/>
      <c r="K10" s="82"/>
      <c r="L10" s="91"/>
      <c r="M10" s="90"/>
      <c r="N10" s="82"/>
      <c r="O10" s="91"/>
      <c r="P10" s="90"/>
      <c r="Q10" s="82"/>
      <c r="R10" s="91"/>
      <c r="S10" s="90"/>
      <c r="T10" s="82"/>
      <c r="U10" s="91"/>
    </row>
    <row r="11" spans="1:30" ht="14.5" x14ac:dyDescent="0.35">
      <c r="A11" s="90"/>
      <c r="B11" s="82"/>
      <c r="C11" s="91"/>
      <c r="D11" s="90"/>
      <c r="E11" s="82"/>
      <c r="F11" s="91"/>
      <c r="G11" s="90"/>
      <c r="H11" s="82"/>
      <c r="I11" s="91"/>
      <c r="J11" s="90"/>
      <c r="K11" s="82"/>
      <c r="L11" s="91"/>
      <c r="M11" s="90"/>
      <c r="N11" s="82"/>
      <c r="O11" s="91"/>
      <c r="P11" s="90"/>
      <c r="Q11" s="82"/>
      <c r="R11" s="91"/>
      <c r="S11" s="90"/>
      <c r="T11" s="82"/>
      <c r="U11" s="91"/>
    </row>
    <row r="12" spans="1:30" ht="14.5" x14ac:dyDescent="0.35">
      <c r="A12" s="90"/>
      <c r="B12" s="82"/>
      <c r="C12" s="91"/>
      <c r="D12" s="90"/>
      <c r="E12" s="82"/>
      <c r="F12" s="91"/>
      <c r="G12" s="90"/>
      <c r="H12" s="82"/>
      <c r="I12" s="91"/>
      <c r="J12" s="90"/>
      <c r="K12" s="82"/>
      <c r="L12" s="91"/>
      <c r="M12" s="90"/>
      <c r="N12" s="82"/>
      <c r="O12" s="91"/>
      <c r="P12" s="90"/>
      <c r="Q12" s="82"/>
      <c r="R12" s="91"/>
      <c r="S12" s="90"/>
      <c r="T12" s="82"/>
      <c r="U12" s="91"/>
    </row>
    <row r="13" spans="1:30" ht="14.5" x14ac:dyDescent="0.35">
      <c r="A13" s="90"/>
      <c r="B13" s="82"/>
      <c r="C13" s="91"/>
      <c r="D13" s="90"/>
      <c r="E13" s="82"/>
      <c r="F13" s="91"/>
      <c r="G13" s="90"/>
      <c r="H13" s="82"/>
      <c r="I13" s="91"/>
      <c r="J13" s="90"/>
      <c r="K13" s="82"/>
      <c r="L13" s="91"/>
      <c r="M13" s="90"/>
      <c r="N13" s="82"/>
      <c r="O13" s="91"/>
      <c r="P13" s="90"/>
      <c r="Q13" s="82"/>
      <c r="R13" s="91"/>
      <c r="S13" s="90"/>
      <c r="T13" s="82"/>
      <c r="U13" s="91"/>
    </row>
    <row r="14" spans="1:30" ht="14.5" x14ac:dyDescent="0.35">
      <c r="A14" s="90"/>
      <c r="B14" s="82"/>
      <c r="C14" s="91"/>
      <c r="D14" s="90"/>
      <c r="E14" s="82"/>
      <c r="F14" s="91"/>
      <c r="G14" s="90"/>
      <c r="H14" s="82"/>
      <c r="I14" s="91"/>
      <c r="J14" s="90"/>
      <c r="K14" s="82"/>
      <c r="L14" s="91"/>
      <c r="M14" s="90"/>
      <c r="N14" s="82"/>
      <c r="O14" s="91"/>
      <c r="P14" s="90"/>
      <c r="Q14" s="82"/>
      <c r="R14" s="91"/>
      <c r="S14" s="90"/>
      <c r="T14" s="82"/>
      <c r="U14" s="91"/>
    </row>
    <row r="15" spans="1:30" ht="14.5" x14ac:dyDescent="0.35">
      <c r="A15" s="90"/>
      <c r="B15" s="82"/>
      <c r="C15" s="91"/>
      <c r="D15" s="90"/>
      <c r="E15" s="82"/>
      <c r="F15" s="91"/>
      <c r="G15" s="90"/>
      <c r="H15" s="82"/>
      <c r="I15" s="91"/>
      <c r="J15" s="90"/>
      <c r="K15" s="82"/>
      <c r="L15" s="91"/>
      <c r="M15" s="90"/>
      <c r="N15" s="82"/>
      <c r="O15" s="91"/>
      <c r="P15" s="90"/>
      <c r="Q15" s="82"/>
      <c r="R15" s="91"/>
      <c r="S15" s="90"/>
      <c r="T15" s="82"/>
      <c r="U15" s="91"/>
    </row>
    <row r="16" spans="1:30" ht="14.5" x14ac:dyDescent="0.35">
      <c r="A16" s="90"/>
      <c r="B16" s="82"/>
      <c r="C16" s="91"/>
      <c r="D16" s="90"/>
      <c r="E16" s="82"/>
      <c r="F16" s="91"/>
      <c r="G16" s="90"/>
      <c r="H16" s="82"/>
      <c r="I16" s="91"/>
      <c r="J16" s="90"/>
      <c r="K16" s="82"/>
      <c r="L16" s="91"/>
      <c r="M16" s="90"/>
      <c r="N16" s="82"/>
      <c r="O16" s="91"/>
      <c r="P16" s="90"/>
      <c r="Q16" s="82"/>
      <c r="R16" s="91"/>
      <c r="S16" s="90"/>
      <c r="T16" s="82"/>
      <c r="U16" s="91"/>
    </row>
    <row r="17" spans="1:21" ht="14.5" x14ac:dyDescent="0.35">
      <c r="A17" s="90"/>
      <c r="B17" s="82"/>
      <c r="C17" s="91"/>
      <c r="D17" s="90"/>
      <c r="E17" s="82"/>
      <c r="F17" s="91"/>
      <c r="G17" s="90"/>
      <c r="H17" s="82"/>
      <c r="I17" s="91"/>
      <c r="J17" s="90"/>
      <c r="K17" s="82"/>
      <c r="L17" s="91"/>
      <c r="M17" s="90"/>
      <c r="N17" s="82"/>
      <c r="O17" s="91"/>
      <c r="P17" s="90"/>
      <c r="Q17" s="82"/>
      <c r="R17" s="91"/>
      <c r="S17" s="90"/>
      <c r="T17" s="82"/>
      <c r="U17" s="91"/>
    </row>
    <row r="18" spans="1:21" ht="14.5" x14ac:dyDescent="0.35">
      <c r="A18" s="90"/>
      <c r="B18" s="82"/>
      <c r="C18" s="91"/>
      <c r="D18" s="90"/>
      <c r="E18" s="82"/>
      <c r="F18" s="91"/>
      <c r="G18" s="90"/>
      <c r="H18" s="82"/>
      <c r="I18" s="91"/>
      <c r="J18" s="90"/>
      <c r="K18" s="82"/>
      <c r="L18" s="91"/>
      <c r="M18" s="90"/>
      <c r="N18" s="82"/>
      <c r="O18" s="91"/>
      <c r="P18" s="90"/>
      <c r="Q18" s="82"/>
      <c r="R18" s="91"/>
      <c r="S18" s="90"/>
      <c r="T18" s="82"/>
      <c r="U18" s="91"/>
    </row>
    <row r="19" spans="1:21" ht="14.5" x14ac:dyDescent="0.35">
      <c r="A19" s="90"/>
      <c r="B19" s="82"/>
      <c r="C19" s="91"/>
      <c r="D19" s="90"/>
      <c r="E19" s="82"/>
      <c r="F19" s="91"/>
      <c r="G19" s="90"/>
      <c r="H19" s="82"/>
      <c r="I19" s="91"/>
      <c r="J19" s="90"/>
      <c r="K19" s="82"/>
      <c r="L19" s="91"/>
      <c r="M19" s="90"/>
      <c r="N19" s="82"/>
      <c r="O19" s="91"/>
      <c r="P19" s="90"/>
      <c r="Q19" s="82"/>
      <c r="R19" s="91"/>
      <c r="S19" s="90"/>
      <c r="T19" s="82"/>
      <c r="U19" s="91"/>
    </row>
    <row r="20" spans="1:21" ht="14.5" x14ac:dyDescent="0.35">
      <c r="A20" s="92"/>
      <c r="B20" s="93"/>
      <c r="C20" s="94"/>
      <c r="D20" s="92"/>
      <c r="E20" s="93"/>
      <c r="F20" s="94"/>
      <c r="G20" s="92"/>
      <c r="H20" s="93"/>
      <c r="I20" s="94"/>
      <c r="J20" s="92"/>
      <c r="K20" s="93"/>
      <c r="L20" s="94"/>
      <c r="M20" s="92"/>
      <c r="N20" s="93"/>
      <c r="O20" s="94"/>
      <c r="P20" s="92"/>
      <c r="Q20" s="93"/>
      <c r="R20" s="94"/>
      <c r="S20" s="92"/>
      <c r="T20" s="93"/>
      <c r="U20" s="94"/>
    </row>
    <row r="21" spans="1:21" ht="14.25" customHeight="1" x14ac:dyDescent="0.35">
      <c r="B21" s="32"/>
      <c r="E21" s="32"/>
      <c r="H21" s="32"/>
      <c r="K21" s="32"/>
      <c r="N21" s="32"/>
      <c r="Q21" s="32"/>
      <c r="T21" s="32"/>
    </row>
    <row r="22" spans="1:21" ht="14.25" customHeight="1" x14ac:dyDescent="0.35">
      <c r="B22" s="32"/>
      <c r="E22" s="32"/>
      <c r="H22" s="32"/>
      <c r="K22" s="32"/>
      <c r="N22" s="32"/>
      <c r="Q22" s="32"/>
      <c r="T22" s="32"/>
    </row>
    <row r="23" spans="1:21" ht="14.25" customHeight="1" x14ac:dyDescent="0.35">
      <c r="B23" s="32"/>
      <c r="E23" s="32"/>
      <c r="H23" s="32"/>
      <c r="K23" s="32"/>
      <c r="N23" s="32"/>
      <c r="Q23" s="32"/>
      <c r="T23" s="32"/>
    </row>
    <row r="24" spans="1:21" ht="14.25" customHeight="1" x14ac:dyDescent="0.35">
      <c r="B24" s="32"/>
      <c r="E24" s="32"/>
      <c r="H24" s="32"/>
      <c r="K24" s="32"/>
      <c r="N24" s="32"/>
      <c r="Q24" s="32"/>
      <c r="T24" s="32"/>
    </row>
    <row r="25" spans="1:21" ht="14.25" customHeight="1" x14ac:dyDescent="0.35">
      <c r="B25" s="32"/>
      <c r="E25" s="32"/>
      <c r="H25" s="32"/>
      <c r="K25" s="32"/>
      <c r="N25" s="32"/>
      <c r="Q25" s="32"/>
      <c r="T25" s="32"/>
    </row>
    <row r="26" spans="1:21" ht="14.25" customHeight="1" x14ac:dyDescent="0.35">
      <c r="B26" s="32"/>
      <c r="E26" s="32"/>
      <c r="H26" s="32"/>
      <c r="K26" s="32"/>
      <c r="N26" s="32"/>
      <c r="Q26" s="32"/>
      <c r="T26" s="32"/>
    </row>
    <row r="27" spans="1:21" ht="14.25" customHeight="1" x14ac:dyDescent="0.35">
      <c r="B27" s="32"/>
      <c r="E27" s="32"/>
      <c r="H27" s="32"/>
      <c r="K27" s="32"/>
      <c r="N27" s="32"/>
      <c r="Q27" s="32"/>
      <c r="T27" s="32"/>
    </row>
    <row r="28" spans="1:21" ht="14.25" customHeight="1" x14ac:dyDescent="0.35">
      <c r="B28" s="32"/>
      <c r="E28" s="32"/>
      <c r="H28" s="32"/>
      <c r="K28" s="32"/>
      <c r="N28" s="32"/>
      <c r="Q28" s="32"/>
      <c r="T28" s="32"/>
    </row>
    <row r="29" spans="1:21" ht="14.25" customHeight="1" x14ac:dyDescent="0.35">
      <c r="B29" s="32"/>
      <c r="E29" s="32"/>
      <c r="H29" s="32"/>
      <c r="K29" s="32"/>
      <c r="N29" s="32"/>
      <c r="Q29" s="32"/>
      <c r="T29" s="32"/>
    </row>
    <row r="30" spans="1:21" ht="14.25" customHeight="1" x14ac:dyDescent="0.35">
      <c r="B30" s="32"/>
      <c r="E30" s="32"/>
      <c r="H30" s="32"/>
      <c r="K30" s="32"/>
      <c r="N30" s="32"/>
      <c r="Q30" s="32"/>
      <c r="T30" s="32"/>
    </row>
    <row r="31" spans="1:21" ht="14.25" customHeight="1" x14ac:dyDescent="0.35"/>
    <row r="32" spans="1:21" ht="14.25" customHeight="1" x14ac:dyDescent="0.35"/>
    <row r="33" spans="1:6" ht="14.25" customHeight="1" x14ac:dyDescent="0.35"/>
    <row r="34" spans="1:6" ht="14.25" customHeight="1" x14ac:dyDescent="0.35">
      <c r="F34" s="30" t="s">
        <v>846</v>
      </c>
    </row>
    <row r="35" spans="1:6" ht="14.25" customHeight="1" x14ac:dyDescent="0.35">
      <c r="F35" s="30" t="s">
        <v>847</v>
      </c>
    </row>
    <row r="36" spans="1:6" ht="14.25" customHeight="1" x14ac:dyDescent="0.35"/>
    <row r="37" spans="1:6" ht="14.25" customHeight="1" x14ac:dyDescent="0.35"/>
    <row r="38" spans="1:6" ht="14.25" customHeight="1" x14ac:dyDescent="0.35"/>
    <row r="39" spans="1:6" ht="14.25" customHeight="1" x14ac:dyDescent="0.35">
      <c r="B39" s="84" t="s">
        <v>2209</v>
      </c>
      <c r="C39" s="85"/>
      <c r="D39" s="85"/>
      <c r="E39" s="85"/>
      <c r="F39" s="86"/>
    </row>
    <row r="40" spans="1:6" ht="14.25" customHeight="1" x14ac:dyDescent="0.35">
      <c r="B40" s="87" t="s">
        <v>2210</v>
      </c>
      <c r="C40" s="88" t="s">
        <v>2211</v>
      </c>
      <c r="D40" s="88" t="s">
        <v>2212</v>
      </c>
      <c r="E40" s="88" t="s">
        <v>2213</v>
      </c>
      <c r="F40" s="89" t="s">
        <v>2214</v>
      </c>
    </row>
    <row r="41" spans="1:6" ht="14.25" customHeight="1" x14ac:dyDescent="0.35">
      <c r="B41" s="238">
        <v>29.770083356233396</v>
      </c>
      <c r="C41" s="239">
        <v>38.569441224205889</v>
      </c>
      <c r="D41" s="239">
        <v>0.46881592723976806</v>
      </c>
      <c r="E41" s="239">
        <v>0</v>
      </c>
      <c r="F41" s="240">
        <v>1.3629180214709995</v>
      </c>
    </row>
    <row r="42" spans="1:6" ht="14.25" customHeight="1" x14ac:dyDescent="0.35">
      <c r="B42" s="33" t="s">
        <v>848</v>
      </c>
      <c r="C42" s="33" t="s">
        <v>849</v>
      </c>
      <c r="D42" s="33" t="s">
        <v>850</v>
      </c>
      <c r="E42" s="33" t="s">
        <v>851</v>
      </c>
      <c r="F42" s="33" t="s">
        <v>852</v>
      </c>
    </row>
    <row r="43" spans="1:6" ht="14.25" customHeight="1" x14ac:dyDescent="0.35">
      <c r="A43" s="30" t="s">
        <v>853</v>
      </c>
      <c r="B43" s="33" t="str">
        <f t="shared" ref="B43:F43" si="0">B40</f>
        <v>SUM of  % Cumplimiento I trim</v>
      </c>
      <c r="C43" s="33" t="str">
        <f t="shared" si="0"/>
        <v>SUM of  % Cumplimiento II Trim</v>
      </c>
      <c r="D43" s="33" t="str">
        <f t="shared" si="0"/>
        <v>SUM of  % Cumplimiento III Trim</v>
      </c>
      <c r="E43" s="33" t="str">
        <f t="shared" si="0"/>
        <v>SUM of  % Cumplimiento IV Trimestre</v>
      </c>
      <c r="F43" s="33" t="str">
        <f t="shared" si="0"/>
        <v>SUM of  % Cumplimiento total</v>
      </c>
    </row>
    <row r="44" spans="1:6" ht="14.25" customHeight="1" x14ac:dyDescent="0.35">
      <c r="A44" s="30" t="s">
        <v>854</v>
      </c>
      <c r="B44" s="30">
        <v>60</v>
      </c>
      <c r="C44" s="30">
        <v>60</v>
      </c>
      <c r="D44" s="30">
        <v>60</v>
      </c>
      <c r="E44" s="30">
        <v>60</v>
      </c>
      <c r="F44" s="30">
        <v>60</v>
      </c>
    </row>
    <row r="45" spans="1:6" ht="14.25" customHeight="1" x14ac:dyDescent="0.35">
      <c r="A45" s="30" t="s">
        <v>855</v>
      </c>
      <c r="B45" s="30">
        <v>80</v>
      </c>
      <c r="C45" s="30">
        <v>80</v>
      </c>
      <c r="D45" s="30">
        <v>80</v>
      </c>
      <c r="E45" s="30">
        <v>80</v>
      </c>
      <c r="F45" s="30">
        <v>80</v>
      </c>
    </row>
    <row r="46" spans="1:6" ht="14.25" customHeight="1" x14ac:dyDescent="0.35">
      <c r="A46" s="30" t="s">
        <v>856</v>
      </c>
      <c r="B46" s="30">
        <v>100</v>
      </c>
      <c r="C46" s="30">
        <v>100</v>
      </c>
      <c r="D46" s="30">
        <v>100</v>
      </c>
      <c r="E46" s="30">
        <v>100</v>
      </c>
      <c r="F46" s="30">
        <v>100</v>
      </c>
    </row>
    <row r="47" spans="1:6" ht="14.25" customHeight="1" x14ac:dyDescent="0.35">
      <c r="A47" s="30" t="s">
        <v>857</v>
      </c>
      <c r="B47" s="30">
        <v>120</v>
      </c>
      <c r="C47" s="30">
        <v>120</v>
      </c>
      <c r="D47" s="30">
        <v>120</v>
      </c>
      <c r="E47" s="30">
        <v>120</v>
      </c>
      <c r="F47" s="30">
        <v>120</v>
      </c>
    </row>
    <row r="48" spans="1:6" ht="14.25" customHeight="1" x14ac:dyDescent="0.35"/>
    <row r="49" spans="6:6" ht="14.25" customHeight="1" x14ac:dyDescent="0.35"/>
    <row r="50" spans="6:6" ht="14.25" customHeight="1" x14ac:dyDescent="0.35"/>
    <row r="51" spans="6:6" ht="14.25" customHeight="1" x14ac:dyDescent="0.35"/>
    <row r="52" spans="6:6" ht="14.25" customHeight="1" x14ac:dyDescent="0.35"/>
    <row r="53" spans="6:6" ht="14.25" customHeight="1" x14ac:dyDescent="0.35"/>
    <row r="54" spans="6:6" ht="14.25" customHeight="1" x14ac:dyDescent="0.35"/>
    <row r="55" spans="6:6" ht="14.25" customHeight="1" x14ac:dyDescent="0.35"/>
    <row r="56" spans="6:6" ht="14.25" customHeight="1" x14ac:dyDescent="0.35"/>
    <row r="57" spans="6:6" ht="14.25" customHeight="1" x14ac:dyDescent="0.35"/>
    <row r="58" spans="6:6" ht="14.25" customHeight="1" x14ac:dyDescent="0.35"/>
    <row r="59" spans="6:6" ht="14.25" customHeight="1" x14ac:dyDescent="0.35"/>
    <row r="60" spans="6:6" ht="14.25" customHeight="1" x14ac:dyDescent="0.35"/>
    <row r="61" spans="6:6" ht="14.25" customHeight="1" x14ac:dyDescent="0.35"/>
    <row r="62" spans="6:6" ht="14.25" customHeight="1" x14ac:dyDescent="0.35"/>
    <row r="63" spans="6:6" ht="14.25" customHeight="1" x14ac:dyDescent="0.35">
      <c r="F63" s="30" t="s">
        <v>858</v>
      </c>
    </row>
    <row r="64" spans="6:6" ht="14.25" customHeight="1" x14ac:dyDescent="0.35"/>
    <row r="65" spans="1:4" ht="14.25" customHeight="1" x14ac:dyDescent="0.35"/>
    <row r="66" spans="1:4" ht="14.25" customHeight="1" x14ac:dyDescent="0.35">
      <c r="A66" s="84" t="s">
        <v>2209</v>
      </c>
      <c r="B66" s="85"/>
      <c r="C66" s="85"/>
      <c r="D66" s="86"/>
    </row>
    <row r="67" spans="1:4" ht="14.25" customHeight="1" x14ac:dyDescent="0.35">
      <c r="A67" s="87" t="s">
        <v>2215</v>
      </c>
      <c r="B67" s="88" t="s">
        <v>2216</v>
      </c>
      <c r="C67" s="88" t="s">
        <v>2217</v>
      </c>
      <c r="D67" s="89" t="s">
        <v>2218</v>
      </c>
    </row>
    <row r="68" spans="1:4" ht="14.25" customHeight="1" x14ac:dyDescent="0.35">
      <c r="A68" s="238">
        <v>29.770083356233396</v>
      </c>
      <c r="B68" s="239">
        <v>38.569441224205889</v>
      </c>
      <c r="C68" s="239">
        <v>0.46881592723976806</v>
      </c>
      <c r="D68" s="240">
        <v>0</v>
      </c>
    </row>
    <row r="69" spans="1:4" ht="14.25" customHeight="1" x14ac:dyDescent="0.35"/>
    <row r="70" spans="1:4" ht="14.25" customHeight="1" x14ac:dyDescent="0.35"/>
    <row r="71" spans="1:4" ht="14.25" customHeight="1" x14ac:dyDescent="0.35"/>
    <row r="72" spans="1:4" ht="14.25" customHeight="1" x14ac:dyDescent="0.35"/>
    <row r="73" spans="1:4" ht="14.25" customHeight="1" x14ac:dyDescent="0.35"/>
    <row r="74" spans="1:4" ht="14.25" customHeight="1" x14ac:dyDescent="0.35"/>
    <row r="75" spans="1:4" ht="14.25" customHeight="1" x14ac:dyDescent="0.35"/>
    <row r="76" spans="1:4" ht="14.25" customHeight="1" x14ac:dyDescent="0.35"/>
    <row r="77" spans="1:4" ht="14.25" customHeight="1" x14ac:dyDescent="0.35"/>
    <row r="78" spans="1:4" ht="14.25" customHeight="1" x14ac:dyDescent="0.35"/>
    <row r="79" spans="1:4" ht="14.25" customHeight="1" x14ac:dyDescent="0.35"/>
    <row r="80" spans="1:4"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conditionalFormatting sqref="B40:F40">
    <cfRule type="cellIs" dxfId="2" priority="1" operator="equal">
      <formula>0</formula>
    </cfRule>
  </conditionalFormatting>
  <conditionalFormatting sqref="B40:F40">
    <cfRule type="cellIs" dxfId="1" priority="2" operator="greaterThan">
      <formula>0</formula>
    </cfRule>
  </conditionalFormatting>
  <conditionalFormatting sqref="B40:F40">
    <cfRule type="cellIs" dxfId="0" priority="3" operator="greaterThan">
      <formula>80</formula>
    </cfRule>
  </conditionalFormatting>
  <pageMargins left="0.7" right="0.7" top="0.75" bottom="0.75" header="0" footer="0"/>
  <pageSetup orientation="portrait"/>
  <drawing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C1000"/>
  <sheetViews>
    <sheetView showGridLines="0" topLeftCell="A29" workbookViewId="0">
      <selection sqref="A1:C1"/>
    </sheetView>
  </sheetViews>
  <sheetFormatPr baseColWidth="10" defaultColWidth="14.453125" defaultRowHeight="15" customHeight="1" x14ac:dyDescent="0.35"/>
  <cols>
    <col min="1" max="2" width="11.7265625" customWidth="1"/>
    <col min="3" max="3" width="97.1796875" customWidth="1"/>
    <col min="4" max="26" width="10.7265625" customWidth="1"/>
  </cols>
  <sheetData>
    <row r="1" spans="1:3" ht="14.25" customHeight="1" x14ac:dyDescent="0.35">
      <c r="A1" s="234" t="s">
        <v>859</v>
      </c>
      <c r="B1" s="218"/>
      <c r="C1" s="218"/>
    </row>
    <row r="2" spans="1:3" ht="14.25" customHeight="1" x14ac:dyDescent="0.35"/>
    <row r="3" spans="1:3" ht="14.25" customHeight="1" x14ac:dyDescent="0.35">
      <c r="A3" s="34" t="s">
        <v>860</v>
      </c>
      <c r="B3" s="34" t="s">
        <v>861</v>
      </c>
      <c r="C3" s="34" t="s">
        <v>862</v>
      </c>
    </row>
    <row r="4" spans="1:3" ht="14.25" customHeight="1" x14ac:dyDescent="0.35">
      <c r="A4" s="12">
        <v>5</v>
      </c>
      <c r="B4" s="12">
        <v>2</v>
      </c>
      <c r="C4" s="12" t="s">
        <v>863</v>
      </c>
    </row>
    <row r="5" spans="1:3" ht="14.25" customHeight="1" x14ac:dyDescent="0.35">
      <c r="A5" s="12">
        <v>5</v>
      </c>
      <c r="B5" s="12">
        <v>3</v>
      </c>
      <c r="C5" s="12" t="s">
        <v>864</v>
      </c>
    </row>
    <row r="6" spans="1:3" ht="14.25" customHeight="1" x14ac:dyDescent="0.35">
      <c r="A6" s="12">
        <v>5</v>
      </c>
      <c r="B6" s="12">
        <v>6</v>
      </c>
      <c r="C6" s="12" t="s">
        <v>865</v>
      </c>
    </row>
    <row r="7" spans="1:3" ht="14.25" customHeight="1" x14ac:dyDescent="0.35">
      <c r="A7" s="12">
        <v>5</v>
      </c>
      <c r="B7" s="12">
        <v>7</v>
      </c>
      <c r="C7" s="12" t="s">
        <v>866</v>
      </c>
    </row>
    <row r="8" spans="1:3" ht="14.25" customHeight="1" x14ac:dyDescent="0.35">
      <c r="A8" s="12">
        <v>5</v>
      </c>
      <c r="B8" s="12">
        <v>8</v>
      </c>
      <c r="C8" s="12" t="s">
        <v>867</v>
      </c>
    </row>
    <row r="9" spans="1:3" ht="14.25" customHeight="1" x14ac:dyDescent="0.35">
      <c r="A9" s="12">
        <v>5</v>
      </c>
      <c r="B9" s="12">
        <v>9</v>
      </c>
      <c r="C9" s="12" t="s">
        <v>868</v>
      </c>
    </row>
    <row r="10" spans="1:3" ht="14.25" customHeight="1" x14ac:dyDescent="0.35">
      <c r="A10" s="12">
        <v>5</v>
      </c>
      <c r="B10" s="12">
        <v>10</v>
      </c>
      <c r="C10" s="12" t="s">
        <v>869</v>
      </c>
    </row>
    <row r="11" spans="1:3" ht="14.25" customHeight="1" x14ac:dyDescent="0.35">
      <c r="A11" s="12">
        <v>5</v>
      </c>
      <c r="B11" s="12">
        <v>11</v>
      </c>
      <c r="C11" s="12" t="s">
        <v>870</v>
      </c>
    </row>
    <row r="12" spans="1:3" ht="14.25" customHeight="1" x14ac:dyDescent="0.35">
      <c r="A12" s="12">
        <v>5</v>
      </c>
      <c r="B12" s="12">
        <v>12</v>
      </c>
      <c r="C12" s="12" t="s">
        <v>871</v>
      </c>
    </row>
    <row r="13" spans="1:3" ht="14.25" customHeight="1" x14ac:dyDescent="0.35">
      <c r="A13" s="12">
        <v>5</v>
      </c>
      <c r="B13" s="12">
        <v>13</v>
      </c>
      <c r="C13" s="12" t="s">
        <v>872</v>
      </c>
    </row>
    <row r="14" spans="1:3" ht="14.25" customHeight="1" x14ac:dyDescent="0.35">
      <c r="A14" s="12">
        <v>5</v>
      </c>
      <c r="B14" s="12">
        <v>14</v>
      </c>
      <c r="C14" s="12" t="s">
        <v>873</v>
      </c>
    </row>
    <row r="15" spans="1:3" ht="14.25" customHeight="1" x14ac:dyDescent="0.35">
      <c r="A15" s="12">
        <v>5</v>
      </c>
      <c r="B15" s="12">
        <v>15</v>
      </c>
      <c r="C15" s="12" t="s">
        <v>874</v>
      </c>
    </row>
    <row r="16" spans="1:3" ht="14.25" customHeight="1" x14ac:dyDescent="0.35">
      <c r="A16" s="12">
        <v>5</v>
      </c>
      <c r="B16" s="12">
        <v>18</v>
      </c>
      <c r="C16" s="12" t="s">
        <v>875</v>
      </c>
    </row>
    <row r="17" spans="1:3" ht="14.25" customHeight="1" x14ac:dyDescent="0.35">
      <c r="A17" s="12">
        <v>5</v>
      </c>
      <c r="B17" s="12">
        <v>18</v>
      </c>
      <c r="C17" s="12" t="s">
        <v>876</v>
      </c>
    </row>
    <row r="18" spans="1:3" ht="14.25" customHeight="1" x14ac:dyDescent="0.35">
      <c r="A18" s="12">
        <v>5</v>
      </c>
      <c r="B18" s="12">
        <v>19</v>
      </c>
      <c r="C18" s="12" t="s">
        <v>877</v>
      </c>
    </row>
    <row r="19" spans="1:3" ht="14.25" customHeight="1" x14ac:dyDescent="0.35">
      <c r="A19" s="12">
        <v>5</v>
      </c>
      <c r="B19" s="12">
        <v>20</v>
      </c>
      <c r="C19" s="12" t="s">
        <v>878</v>
      </c>
    </row>
    <row r="20" spans="1:3" ht="14.25" customHeight="1" x14ac:dyDescent="0.35">
      <c r="A20" s="12">
        <v>5</v>
      </c>
      <c r="B20" s="12">
        <v>21</v>
      </c>
      <c r="C20" s="12" t="s">
        <v>879</v>
      </c>
    </row>
    <row r="21" spans="1:3" ht="14.25" customHeight="1" x14ac:dyDescent="0.35">
      <c r="A21" s="12">
        <v>5</v>
      </c>
      <c r="B21" s="12">
        <v>23</v>
      </c>
      <c r="C21" s="12" t="s">
        <v>880</v>
      </c>
    </row>
    <row r="22" spans="1:3" ht="14.25" customHeight="1" x14ac:dyDescent="0.35">
      <c r="A22" s="12">
        <v>5</v>
      </c>
      <c r="B22" s="12">
        <v>24</v>
      </c>
      <c r="C22" s="12" t="s">
        <v>881</v>
      </c>
    </row>
    <row r="23" spans="1:3" ht="14.25" customHeight="1" x14ac:dyDescent="0.35">
      <c r="A23" s="12">
        <v>5</v>
      </c>
      <c r="B23" s="12">
        <v>26</v>
      </c>
      <c r="C23" s="12" t="s">
        <v>882</v>
      </c>
    </row>
    <row r="24" spans="1:3" ht="14.25" customHeight="1" x14ac:dyDescent="0.35">
      <c r="A24" s="12">
        <v>5</v>
      </c>
      <c r="B24" s="12">
        <v>27</v>
      </c>
      <c r="C24" s="12" t="s">
        <v>883</v>
      </c>
    </row>
    <row r="25" spans="1:3" ht="14.25" customHeight="1" x14ac:dyDescent="0.35">
      <c r="A25" s="12">
        <v>5</v>
      </c>
      <c r="B25" s="12">
        <v>29</v>
      </c>
      <c r="C25" s="12" t="s">
        <v>884</v>
      </c>
    </row>
    <row r="26" spans="1:3" ht="14.25" customHeight="1" x14ac:dyDescent="0.35">
      <c r="A26" s="12">
        <v>5</v>
      </c>
      <c r="B26" s="12">
        <v>30</v>
      </c>
      <c r="C26" s="12" t="s">
        <v>885</v>
      </c>
    </row>
    <row r="27" spans="1:3" ht="14.25" customHeight="1" x14ac:dyDescent="0.35">
      <c r="A27" s="12">
        <v>5</v>
      </c>
      <c r="B27" s="12">
        <v>29</v>
      </c>
      <c r="C27" s="12" t="s">
        <v>886</v>
      </c>
    </row>
    <row r="28" spans="1:3" ht="14.25" customHeight="1" x14ac:dyDescent="0.35">
      <c r="A28" s="12">
        <v>5</v>
      </c>
      <c r="B28" s="12">
        <v>35</v>
      </c>
      <c r="C28" s="12" t="s">
        <v>887</v>
      </c>
    </row>
    <row r="29" spans="1:3" ht="14.25" customHeight="1" x14ac:dyDescent="0.35">
      <c r="A29" s="12">
        <v>5</v>
      </c>
      <c r="B29" s="12">
        <v>36</v>
      </c>
      <c r="C29" s="12" t="s">
        <v>888</v>
      </c>
    </row>
    <row r="30" spans="1:3" ht="14.25" customHeight="1" x14ac:dyDescent="0.35">
      <c r="A30" s="12">
        <v>5</v>
      </c>
      <c r="B30" s="12">
        <v>36</v>
      </c>
      <c r="C30" s="12" t="s">
        <v>889</v>
      </c>
    </row>
    <row r="31" spans="1:3" ht="14.25" customHeight="1" x14ac:dyDescent="0.35">
      <c r="A31" s="12">
        <v>5</v>
      </c>
      <c r="B31" s="12">
        <v>37</v>
      </c>
      <c r="C31" s="12" t="s">
        <v>890</v>
      </c>
    </row>
    <row r="32" spans="1:3" ht="14.25" customHeight="1" x14ac:dyDescent="0.35">
      <c r="A32" s="12">
        <v>5</v>
      </c>
      <c r="B32" s="12">
        <v>38</v>
      </c>
      <c r="C32" s="12" t="s">
        <v>891</v>
      </c>
    </row>
    <row r="33" spans="1:3" ht="14.25" customHeight="1" x14ac:dyDescent="0.35">
      <c r="A33" s="12">
        <v>5</v>
      </c>
      <c r="B33" s="12">
        <v>40</v>
      </c>
      <c r="C33" s="12" t="s">
        <v>892</v>
      </c>
    </row>
    <row r="34" spans="1:3" ht="14.25" customHeight="1" x14ac:dyDescent="0.35">
      <c r="A34" s="12">
        <v>5</v>
      </c>
      <c r="B34" s="12">
        <v>41</v>
      </c>
      <c r="C34" s="12" t="s">
        <v>893</v>
      </c>
    </row>
    <row r="35" spans="1:3" ht="14.25" customHeight="1" x14ac:dyDescent="0.35">
      <c r="A35" s="12">
        <v>5</v>
      </c>
      <c r="B35" s="12">
        <v>42</v>
      </c>
      <c r="C35" s="12" t="s">
        <v>894</v>
      </c>
    </row>
    <row r="36" spans="1:3" ht="14.25" customHeight="1" x14ac:dyDescent="0.35">
      <c r="A36" s="12">
        <v>5</v>
      </c>
      <c r="B36" s="12">
        <v>43</v>
      </c>
      <c r="C36" s="12" t="s">
        <v>895</v>
      </c>
    </row>
    <row r="37" spans="1:3" ht="14.25" customHeight="1" x14ac:dyDescent="0.35">
      <c r="A37" s="12">
        <v>5</v>
      </c>
      <c r="B37" s="12">
        <v>44</v>
      </c>
      <c r="C37" s="12" t="s">
        <v>896</v>
      </c>
    </row>
    <row r="38" spans="1:3" ht="14.25" customHeight="1" x14ac:dyDescent="0.35">
      <c r="A38" s="12">
        <v>5</v>
      </c>
      <c r="B38" s="12">
        <v>45</v>
      </c>
      <c r="C38" s="12" t="s">
        <v>897</v>
      </c>
    </row>
    <row r="39" spans="1:3" ht="14.25" customHeight="1" x14ac:dyDescent="0.35">
      <c r="A39" s="12">
        <v>5</v>
      </c>
      <c r="B39" s="12">
        <v>46</v>
      </c>
      <c r="C39" s="12" t="s">
        <v>898</v>
      </c>
    </row>
    <row r="40" spans="1:3" ht="14.25" customHeight="1" x14ac:dyDescent="0.35">
      <c r="A40" s="12">
        <v>5</v>
      </c>
      <c r="B40" s="12">
        <v>47</v>
      </c>
      <c r="C40" s="12" t="s">
        <v>899</v>
      </c>
    </row>
    <row r="41" spans="1:3" ht="14.25" customHeight="1" x14ac:dyDescent="0.35">
      <c r="A41" s="12">
        <v>5</v>
      </c>
      <c r="B41" s="12">
        <v>48</v>
      </c>
      <c r="C41" s="12" t="s">
        <v>900</v>
      </c>
    </row>
    <row r="42" spans="1:3" ht="14.25" customHeight="1" x14ac:dyDescent="0.35">
      <c r="A42" s="12"/>
      <c r="B42" s="12"/>
      <c r="C42" s="12"/>
    </row>
    <row r="43" spans="1:3" ht="14.25" customHeight="1" x14ac:dyDescent="0.35">
      <c r="A43" s="12"/>
      <c r="B43" s="12"/>
      <c r="C43" s="12"/>
    </row>
    <row r="44" spans="1:3" ht="14.25" customHeight="1" x14ac:dyDescent="0.35">
      <c r="A44" s="12"/>
      <c r="B44" s="12"/>
      <c r="C44" s="12"/>
    </row>
    <row r="45" spans="1:3" ht="14.25" customHeight="1" x14ac:dyDescent="0.35">
      <c r="A45" s="12"/>
      <c r="B45" s="12"/>
      <c r="C45" s="12"/>
    </row>
    <row r="46" spans="1:3" ht="14.25" customHeight="1" x14ac:dyDescent="0.35">
      <c r="A46" s="12"/>
      <c r="B46" s="12"/>
      <c r="C46" s="12"/>
    </row>
    <row r="47" spans="1:3" ht="14.25" customHeight="1" x14ac:dyDescent="0.35">
      <c r="A47" s="12"/>
      <c r="B47" s="12"/>
      <c r="C47" s="12"/>
    </row>
    <row r="48" spans="1:3" ht="14.25" customHeight="1" x14ac:dyDescent="0.35">
      <c r="A48" s="12"/>
      <c r="B48" s="12"/>
      <c r="C48" s="12"/>
    </row>
    <row r="49" spans="1:3" ht="14.25" customHeight="1" x14ac:dyDescent="0.35">
      <c r="A49" s="12"/>
      <c r="B49" s="12"/>
      <c r="C49" s="12"/>
    </row>
    <row r="50" spans="1:3" ht="14.25" customHeight="1" x14ac:dyDescent="0.35">
      <c r="A50" s="12"/>
      <c r="B50" s="12"/>
      <c r="C50" s="12"/>
    </row>
    <row r="51" spans="1:3" ht="14.25" customHeight="1" x14ac:dyDescent="0.35">
      <c r="A51" s="12"/>
      <c r="B51" s="12"/>
      <c r="C51" s="12"/>
    </row>
    <row r="52" spans="1:3" ht="14.25" customHeight="1" x14ac:dyDescent="0.35">
      <c r="A52" s="12"/>
      <c r="B52" s="12"/>
      <c r="C52" s="12"/>
    </row>
    <row r="53" spans="1:3" ht="14.25" customHeight="1" x14ac:dyDescent="0.35">
      <c r="A53" s="12"/>
      <c r="B53" s="12"/>
      <c r="C53" s="12"/>
    </row>
    <row r="54" spans="1:3" ht="14.25" customHeight="1" x14ac:dyDescent="0.35">
      <c r="A54" s="12"/>
      <c r="B54" s="12"/>
      <c r="C54" s="12"/>
    </row>
    <row r="55" spans="1:3" ht="14.25" customHeight="1" x14ac:dyDescent="0.35">
      <c r="A55" s="12"/>
      <c r="B55" s="12"/>
      <c r="C55" s="12"/>
    </row>
    <row r="56" spans="1:3" ht="14.25" customHeight="1" x14ac:dyDescent="0.35">
      <c r="A56" s="12"/>
      <c r="B56" s="12"/>
      <c r="C56" s="12"/>
    </row>
    <row r="57" spans="1:3" ht="14.25" customHeight="1" x14ac:dyDescent="0.35">
      <c r="A57" s="12"/>
      <c r="B57" s="12"/>
      <c r="C57" s="12"/>
    </row>
    <row r="58" spans="1:3" ht="14.25" customHeight="1" x14ac:dyDescent="0.35">
      <c r="A58" s="12"/>
      <c r="B58" s="12"/>
      <c r="C58" s="12"/>
    </row>
    <row r="59" spans="1:3" ht="14.25" customHeight="1" x14ac:dyDescent="0.35">
      <c r="A59" s="12"/>
      <c r="B59" s="12"/>
      <c r="C59" s="12"/>
    </row>
    <row r="60" spans="1:3" ht="14.25" customHeight="1" x14ac:dyDescent="0.35">
      <c r="A60" s="12"/>
      <c r="B60" s="12"/>
      <c r="C60" s="12"/>
    </row>
    <row r="61" spans="1:3" ht="14.25" customHeight="1" x14ac:dyDescent="0.35">
      <c r="A61" s="12"/>
      <c r="B61" s="12"/>
      <c r="C61" s="12"/>
    </row>
    <row r="62" spans="1:3" ht="14.25" customHeight="1" x14ac:dyDescent="0.35">
      <c r="A62" s="12"/>
      <c r="B62" s="12"/>
      <c r="C62" s="12"/>
    </row>
    <row r="63" spans="1:3" ht="14.25" customHeight="1" x14ac:dyDescent="0.35">
      <c r="A63" s="12"/>
      <c r="B63" s="12"/>
      <c r="C63" s="12"/>
    </row>
    <row r="64" spans="1:3" ht="14.25" customHeight="1" x14ac:dyDescent="0.35">
      <c r="A64" s="12"/>
      <c r="B64" s="12"/>
      <c r="C64" s="12"/>
    </row>
    <row r="65" spans="1:3" ht="14.25" customHeight="1" x14ac:dyDescent="0.35">
      <c r="A65" s="12"/>
      <c r="B65" s="12"/>
      <c r="C65" s="12"/>
    </row>
    <row r="66" spans="1:3" ht="14.25" customHeight="1" x14ac:dyDescent="0.35">
      <c r="A66" s="12"/>
      <c r="B66" s="12"/>
      <c r="C66" s="12"/>
    </row>
    <row r="67" spans="1:3" ht="14.25" customHeight="1" x14ac:dyDescent="0.35">
      <c r="A67" s="12"/>
      <c r="B67" s="12"/>
      <c r="C67" s="12"/>
    </row>
    <row r="68" spans="1:3" ht="14.25" customHeight="1" x14ac:dyDescent="0.35">
      <c r="A68" s="12"/>
      <c r="B68" s="12"/>
      <c r="C68" s="12"/>
    </row>
    <row r="69" spans="1:3" ht="14.25" customHeight="1" x14ac:dyDescent="0.35">
      <c r="A69" s="12"/>
      <c r="B69" s="12"/>
      <c r="C69" s="12"/>
    </row>
    <row r="70" spans="1:3" ht="14.25" customHeight="1" x14ac:dyDescent="0.35">
      <c r="A70" s="12"/>
      <c r="B70" s="12"/>
      <c r="C70" s="12"/>
    </row>
    <row r="71" spans="1:3" ht="14.25" customHeight="1" x14ac:dyDescent="0.35">
      <c r="A71" s="12"/>
      <c r="B71" s="12"/>
      <c r="C71" s="12"/>
    </row>
    <row r="72" spans="1:3" ht="14.25" customHeight="1" x14ac:dyDescent="0.35">
      <c r="A72" s="12"/>
      <c r="B72" s="12"/>
      <c r="C72" s="12"/>
    </row>
    <row r="73" spans="1:3" ht="14.25" customHeight="1" x14ac:dyDescent="0.35">
      <c r="A73" s="12"/>
      <c r="B73" s="12"/>
      <c r="C73" s="12"/>
    </row>
    <row r="74" spans="1:3" ht="14.25" customHeight="1" x14ac:dyDescent="0.35">
      <c r="A74" s="12"/>
      <c r="B74" s="12"/>
      <c r="C74" s="12"/>
    </row>
    <row r="75" spans="1:3" ht="14.25" customHeight="1" x14ac:dyDescent="0.35">
      <c r="A75" s="12"/>
      <c r="B75" s="12"/>
      <c r="C75" s="12"/>
    </row>
    <row r="76" spans="1:3" ht="14.25" customHeight="1" x14ac:dyDescent="0.35">
      <c r="A76" s="12"/>
      <c r="B76" s="12"/>
      <c r="C76" s="12"/>
    </row>
    <row r="77" spans="1:3" ht="14.25" customHeight="1" x14ac:dyDescent="0.35">
      <c r="A77" s="12"/>
      <c r="B77" s="12"/>
      <c r="C77" s="12"/>
    </row>
    <row r="78" spans="1:3" ht="14.25" customHeight="1" x14ac:dyDescent="0.35">
      <c r="A78" s="12"/>
      <c r="B78" s="12"/>
      <c r="C78" s="12"/>
    </row>
    <row r="79" spans="1:3" ht="14.25" customHeight="1" x14ac:dyDescent="0.35">
      <c r="A79" s="12"/>
      <c r="B79" s="12"/>
      <c r="C79" s="12"/>
    </row>
    <row r="80" spans="1:3" ht="14.25" customHeight="1" x14ac:dyDescent="0.35">
      <c r="A80" s="12"/>
      <c r="B80" s="12"/>
      <c r="C80" s="12"/>
    </row>
    <row r="81" spans="1:3" ht="14.25" customHeight="1" x14ac:dyDescent="0.35">
      <c r="A81" s="12"/>
      <c r="B81" s="12"/>
      <c r="C81" s="12"/>
    </row>
    <row r="82" spans="1:3" ht="14.25" customHeight="1" x14ac:dyDescent="0.35">
      <c r="A82" s="12"/>
      <c r="B82" s="12"/>
      <c r="C82" s="12"/>
    </row>
    <row r="83" spans="1:3" ht="14.25" customHeight="1" x14ac:dyDescent="0.35">
      <c r="A83" s="12"/>
      <c r="B83" s="12"/>
      <c r="C83" s="12"/>
    </row>
    <row r="84" spans="1:3" ht="14.25" customHeight="1" x14ac:dyDescent="0.35">
      <c r="A84" s="12"/>
      <c r="B84" s="12"/>
      <c r="C84" s="12"/>
    </row>
    <row r="85" spans="1:3" ht="14.25" customHeight="1" x14ac:dyDescent="0.35">
      <c r="A85" s="12"/>
      <c r="B85" s="12"/>
      <c r="C85" s="12"/>
    </row>
    <row r="86" spans="1:3" ht="14.25" customHeight="1" x14ac:dyDescent="0.35">
      <c r="A86" s="12"/>
      <c r="B86" s="12"/>
      <c r="C86" s="12"/>
    </row>
    <row r="87" spans="1:3" ht="14.25" customHeight="1" x14ac:dyDescent="0.35">
      <c r="A87" s="12"/>
      <c r="B87" s="12"/>
      <c r="C87" s="12"/>
    </row>
    <row r="88" spans="1:3" ht="14.25" customHeight="1" x14ac:dyDescent="0.35">
      <c r="A88" s="12"/>
      <c r="B88" s="12"/>
      <c r="C88" s="12"/>
    </row>
    <row r="89" spans="1:3" ht="14.25" customHeight="1" x14ac:dyDescent="0.35">
      <c r="A89" s="12"/>
      <c r="B89" s="12"/>
      <c r="C89" s="12"/>
    </row>
    <row r="90" spans="1:3" ht="14.25" customHeight="1" x14ac:dyDescent="0.35">
      <c r="A90" s="12"/>
      <c r="B90" s="12"/>
      <c r="C90" s="12"/>
    </row>
    <row r="91" spans="1:3" ht="14.25" customHeight="1" x14ac:dyDescent="0.35">
      <c r="A91" s="12"/>
      <c r="B91" s="12"/>
      <c r="C91" s="12"/>
    </row>
    <row r="92" spans="1:3" ht="14.25" customHeight="1" x14ac:dyDescent="0.35">
      <c r="A92" s="12"/>
      <c r="B92" s="12"/>
      <c r="C92" s="12"/>
    </row>
    <row r="93" spans="1:3" ht="14.25" customHeight="1" x14ac:dyDescent="0.35">
      <c r="A93" s="12"/>
      <c r="B93" s="12"/>
      <c r="C93" s="12"/>
    </row>
    <row r="94" spans="1:3" ht="14.25" customHeight="1" x14ac:dyDescent="0.35">
      <c r="A94" s="12"/>
      <c r="B94" s="12"/>
      <c r="C94" s="12"/>
    </row>
    <row r="95" spans="1:3" ht="14.25" customHeight="1" x14ac:dyDescent="0.35">
      <c r="A95" s="12"/>
      <c r="B95" s="12"/>
      <c r="C95" s="12"/>
    </row>
    <row r="96" spans="1:3" ht="14.25" customHeight="1" x14ac:dyDescent="0.35">
      <c r="A96" s="12"/>
      <c r="B96" s="12"/>
      <c r="C96" s="12"/>
    </row>
    <row r="97" spans="1:3" ht="14.25" customHeight="1" x14ac:dyDescent="0.35">
      <c r="A97" s="12"/>
      <c r="B97" s="12"/>
      <c r="C97" s="12"/>
    </row>
    <row r="98" spans="1:3" ht="14.25" customHeight="1" x14ac:dyDescent="0.35">
      <c r="A98" s="12"/>
      <c r="B98" s="12"/>
      <c r="C98" s="12"/>
    </row>
    <row r="99" spans="1:3" ht="14.25" customHeight="1" x14ac:dyDescent="0.35">
      <c r="A99" s="12"/>
      <c r="B99" s="12"/>
      <c r="C99" s="12"/>
    </row>
    <row r="100" spans="1:3" ht="14.25" customHeight="1" x14ac:dyDescent="0.35">
      <c r="A100" s="12"/>
      <c r="B100" s="12"/>
      <c r="C100" s="12"/>
    </row>
    <row r="101" spans="1:3" ht="14.25" customHeight="1" x14ac:dyDescent="0.35">
      <c r="A101" s="12"/>
      <c r="B101" s="12"/>
      <c r="C101" s="12"/>
    </row>
    <row r="102" spans="1:3" ht="14.25" customHeight="1" x14ac:dyDescent="0.35">
      <c r="A102" s="12"/>
      <c r="B102" s="12"/>
      <c r="C102" s="12"/>
    </row>
    <row r="103" spans="1:3" ht="14.25" customHeight="1" x14ac:dyDescent="0.35">
      <c r="A103" s="12"/>
      <c r="B103" s="12"/>
      <c r="C103" s="12"/>
    </row>
    <row r="104" spans="1:3" ht="14.25" customHeight="1" x14ac:dyDescent="0.35">
      <c r="A104" s="12"/>
      <c r="B104" s="12"/>
      <c r="C104" s="12"/>
    </row>
    <row r="105" spans="1:3" ht="14.25" customHeight="1" x14ac:dyDescent="0.35">
      <c r="A105" s="12"/>
      <c r="B105" s="12"/>
      <c r="C105" s="12"/>
    </row>
    <row r="106" spans="1:3" ht="14.25" customHeight="1" x14ac:dyDescent="0.35">
      <c r="A106" s="12"/>
      <c r="B106" s="12"/>
      <c r="C106" s="12"/>
    </row>
    <row r="107" spans="1:3" ht="14.25" customHeight="1" x14ac:dyDescent="0.35">
      <c r="A107" s="12"/>
      <c r="B107" s="12"/>
      <c r="C107" s="12"/>
    </row>
    <row r="108" spans="1:3" ht="14.25" customHeight="1" x14ac:dyDescent="0.35">
      <c r="A108" s="12"/>
      <c r="B108" s="12"/>
      <c r="C108" s="12"/>
    </row>
    <row r="109" spans="1:3" ht="14.25" customHeight="1" x14ac:dyDescent="0.35">
      <c r="A109" s="12"/>
      <c r="B109" s="12"/>
      <c r="C109" s="12"/>
    </row>
    <row r="110" spans="1:3" ht="14.25" customHeight="1" x14ac:dyDescent="0.35">
      <c r="A110" s="12"/>
      <c r="B110" s="12"/>
      <c r="C110" s="12"/>
    </row>
    <row r="111" spans="1:3" ht="14.25" customHeight="1" x14ac:dyDescent="0.35">
      <c r="A111" s="12"/>
      <c r="B111" s="12"/>
      <c r="C111" s="12"/>
    </row>
    <row r="112" spans="1:3" ht="14.25" customHeight="1" x14ac:dyDescent="0.35">
      <c r="A112" s="12"/>
      <c r="B112" s="12"/>
      <c r="C112" s="12"/>
    </row>
    <row r="113" spans="1:3" ht="14.25" customHeight="1" x14ac:dyDescent="0.35">
      <c r="A113" s="12"/>
      <c r="B113" s="12"/>
      <c r="C113" s="12"/>
    </row>
    <row r="114" spans="1:3" ht="14.25" customHeight="1" x14ac:dyDescent="0.35">
      <c r="A114" s="12"/>
      <c r="B114" s="12"/>
      <c r="C114" s="12"/>
    </row>
    <row r="115" spans="1:3" ht="14.25" customHeight="1" x14ac:dyDescent="0.35">
      <c r="A115" s="12"/>
      <c r="B115" s="12"/>
      <c r="C115" s="12"/>
    </row>
    <row r="116" spans="1:3" ht="14.25" customHeight="1" x14ac:dyDescent="0.35">
      <c r="A116" s="12"/>
      <c r="B116" s="12"/>
      <c r="C116" s="12"/>
    </row>
    <row r="117" spans="1:3" ht="14.25" customHeight="1" x14ac:dyDescent="0.35">
      <c r="A117" s="12"/>
      <c r="B117" s="12"/>
      <c r="C117" s="12"/>
    </row>
    <row r="118" spans="1:3" ht="14.25" customHeight="1" x14ac:dyDescent="0.35">
      <c r="A118" s="12"/>
      <c r="B118" s="12"/>
      <c r="C118" s="12"/>
    </row>
    <row r="119" spans="1:3" ht="14.25" customHeight="1" x14ac:dyDescent="0.35">
      <c r="A119" s="12"/>
      <c r="B119" s="12"/>
      <c r="C119" s="12"/>
    </row>
    <row r="120" spans="1:3" ht="14.25" customHeight="1" x14ac:dyDescent="0.35">
      <c r="A120" s="12"/>
      <c r="B120" s="12"/>
      <c r="C120" s="12"/>
    </row>
    <row r="121" spans="1:3" ht="14.25" customHeight="1" x14ac:dyDescent="0.35">
      <c r="A121" s="12"/>
      <c r="B121" s="12"/>
      <c r="C121" s="12"/>
    </row>
    <row r="122" spans="1:3" ht="14.25" customHeight="1" x14ac:dyDescent="0.35">
      <c r="A122" s="12"/>
      <c r="B122" s="12"/>
      <c r="C122" s="12"/>
    </row>
    <row r="123" spans="1:3" ht="14.25" customHeight="1" x14ac:dyDescent="0.35">
      <c r="A123" s="12"/>
      <c r="B123" s="12"/>
      <c r="C123" s="12"/>
    </row>
    <row r="124" spans="1:3" ht="14.25" customHeight="1" x14ac:dyDescent="0.35">
      <c r="A124" s="12"/>
      <c r="B124" s="12"/>
      <c r="C124" s="12"/>
    </row>
    <row r="125" spans="1:3" ht="14.25" customHeight="1" x14ac:dyDescent="0.35">
      <c r="A125" s="12"/>
      <c r="B125" s="12"/>
      <c r="C125" s="12"/>
    </row>
    <row r="126" spans="1:3" ht="14.25" customHeight="1" x14ac:dyDescent="0.35">
      <c r="A126" s="12"/>
      <c r="B126" s="12"/>
      <c r="C126" s="12"/>
    </row>
    <row r="127" spans="1:3" ht="14.25" customHeight="1" x14ac:dyDescent="0.35">
      <c r="A127" s="12"/>
      <c r="B127" s="12"/>
      <c r="C127" s="12"/>
    </row>
    <row r="128" spans="1:3" ht="14.25" customHeight="1" x14ac:dyDescent="0.35">
      <c r="A128" s="12"/>
      <c r="B128" s="12"/>
      <c r="C128" s="12"/>
    </row>
    <row r="129" spans="1:3" ht="14.25" customHeight="1" x14ac:dyDescent="0.35">
      <c r="A129" s="12"/>
      <c r="B129" s="12"/>
      <c r="C129" s="12"/>
    </row>
    <row r="130" spans="1:3" ht="14.25" customHeight="1" x14ac:dyDescent="0.35">
      <c r="A130" s="12"/>
      <c r="B130" s="12"/>
      <c r="C130" s="12"/>
    </row>
    <row r="131" spans="1:3" ht="14.25" customHeight="1" x14ac:dyDescent="0.35">
      <c r="A131" s="12"/>
      <c r="B131" s="12"/>
      <c r="C131" s="12"/>
    </row>
    <row r="132" spans="1:3" ht="14.25" customHeight="1" x14ac:dyDescent="0.35">
      <c r="A132" s="12"/>
      <c r="B132" s="12"/>
      <c r="C132" s="12"/>
    </row>
    <row r="133" spans="1:3" ht="14.25" customHeight="1" x14ac:dyDescent="0.35">
      <c r="A133" s="12"/>
      <c r="B133" s="12"/>
      <c r="C133" s="12"/>
    </row>
    <row r="134" spans="1:3" ht="14.25" customHeight="1" x14ac:dyDescent="0.35">
      <c r="A134" s="12"/>
      <c r="B134" s="12"/>
      <c r="C134" s="12"/>
    </row>
    <row r="135" spans="1:3" ht="14.25" customHeight="1" x14ac:dyDescent="0.35">
      <c r="A135" s="12"/>
      <c r="B135" s="12"/>
      <c r="C135" s="12"/>
    </row>
    <row r="136" spans="1:3" ht="14.25" customHeight="1" x14ac:dyDescent="0.35">
      <c r="A136" s="12"/>
      <c r="B136" s="12"/>
      <c r="C136" s="12"/>
    </row>
    <row r="137" spans="1:3" ht="14.25" customHeight="1" x14ac:dyDescent="0.35">
      <c r="A137" s="12"/>
      <c r="B137" s="12"/>
      <c r="C137" s="12"/>
    </row>
    <row r="138" spans="1:3" ht="14.25" customHeight="1" x14ac:dyDescent="0.35">
      <c r="A138" s="12"/>
      <c r="B138" s="12"/>
      <c r="C138" s="12"/>
    </row>
    <row r="139" spans="1:3" ht="14.25" customHeight="1" x14ac:dyDescent="0.35">
      <c r="A139" s="12"/>
      <c r="B139" s="12"/>
      <c r="C139" s="12"/>
    </row>
    <row r="140" spans="1:3" ht="14.25" customHeight="1" x14ac:dyDescent="0.35">
      <c r="A140" s="12"/>
      <c r="B140" s="12"/>
      <c r="C140" s="12"/>
    </row>
    <row r="141" spans="1:3" ht="14.25" customHeight="1" x14ac:dyDescent="0.35">
      <c r="A141" s="12"/>
      <c r="B141" s="12"/>
      <c r="C141" s="12"/>
    </row>
    <row r="142" spans="1:3" ht="14.25" customHeight="1" x14ac:dyDescent="0.35">
      <c r="A142" s="12"/>
      <c r="B142" s="12"/>
      <c r="C142" s="12"/>
    </row>
    <row r="143" spans="1:3" ht="14.25" customHeight="1" x14ac:dyDescent="0.35">
      <c r="A143" s="12"/>
      <c r="B143" s="12"/>
      <c r="C143" s="12"/>
    </row>
    <row r="144" spans="1:3" ht="14.25" customHeight="1" x14ac:dyDescent="0.35">
      <c r="A144" s="12"/>
      <c r="B144" s="12"/>
      <c r="C144" s="12"/>
    </row>
    <row r="145" spans="1:3" ht="14.25" customHeight="1" x14ac:dyDescent="0.35">
      <c r="A145" s="12"/>
      <c r="B145" s="12"/>
      <c r="C145" s="12"/>
    </row>
    <row r="146" spans="1:3" ht="14.25" customHeight="1" x14ac:dyDescent="0.35">
      <c r="A146" s="12"/>
      <c r="B146" s="12"/>
      <c r="C146" s="12"/>
    </row>
    <row r="147" spans="1:3" ht="14.25" customHeight="1" x14ac:dyDescent="0.35">
      <c r="A147" s="12"/>
      <c r="B147" s="12"/>
      <c r="C147" s="12"/>
    </row>
    <row r="148" spans="1:3" ht="14.25" customHeight="1" x14ac:dyDescent="0.35">
      <c r="A148" s="12"/>
      <c r="B148" s="12"/>
      <c r="C148" s="12"/>
    </row>
    <row r="149" spans="1:3" ht="14.25" customHeight="1" x14ac:dyDescent="0.35">
      <c r="A149" s="12"/>
      <c r="B149" s="12"/>
      <c r="C149" s="12"/>
    </row>
    <row r="150" spans="1:3" ht="14.25" customHeight="1" x14ac:dyDescent="0.35">
      <c r="A150" s="12"/>
      <c r="B150" s="12"/>
      <c r="C150" s="12"/>
    </row>
    <row r="151" spans="1:3" ht="14.25" customHeight="1" x14ac:dyDescent="0.35">
      <c r="A151" s="12"/>
      <c r="B151" s="12"/>
      <c r="C151" s="12"/>
    </row>
    <row r="152" spans="1:3" ht="14.25" customHeight="1" x14ac:dyDescent="0.35">
      <c r="A152" s="12"/>
      <c r="B152" s="12"/>
      <c r="C152" s="12"/>
    </row>
    <row r="153" spans="1:3" ht="14.25" customHeight="1" x14ac:dyDescent="0.35">
      <c r="A153" s="12"/>
      <c r="B153" s="12"/>
      <c r="C153" s="12"/>
    </row>
    <row r="154" spans="1:3" ht="14.25" customHeight="1" x14ac:dyDescent="0.35">
      <c r="A154" s="12"/>
      <c r="B154" s="12"/>
      <c r="C154" s="12"/>
    </row>
    <row r="155" spans="1:3" ht="14.25" customHeight="1" x14ac:dyDescent="0.35">
      <c r="A155" s="12"/>
      <c r="B155" s="12"/>
      <c r="C155" s="12"/>
    </row>
    <row r="156" spans="1:3" ht="14.25" customHeight="1" x14ac:dyDescent="0.35">
      <c r="A156" s="12"/>
      <c r="B156" s="12"/>
      <c r="C156" s="12"/>
    </row>
    <row r="157" spans="1:3" ht="14.25" customHeight="1" x14ac:dyDescent="0.35">
      <c r="A157" s="12"/>
      <c r="B157" s="12"/>
      <c r="C157" s="12"/>
    </row>
    <row r="158" spans="1:3" ht="14.25" customHeight="1" x14ac:dyDescent="0.35">
      <c r="A158" s="12"/>
      <c r="B158" s="12"/>
      <c r="C158" s="12"/>
    </row>
    <row r="159" spans="1:3" ht="14.25" customHeight="1" x14ac:dyDescent="0.35">
      <c r="A159" s="12"/>
      <c r="B159" s="12"/>
      <c r="C159" s="12"/>
    </row>
    <row r="160" spans="1:3" ht="14.25" customHeight="1" x14ac:dyDescent="0.35">
      <c r="A160" s="12"/>
      <c r="B160" s="12"/>
      <c r="C160" s="12"/>
    </row>
    <row r="161" spans="1:3" ht="14.25" customHeight="1" x14ac:dyDescent="0.35">
      <c r="A161" s="12"/>
      <c r="B161" s="12"/>
      <c r="C161" s="12"/>
    </row>
    <row r="162" spans="1:3" ht="14.25" customHeight="1" x14ac:dyDescent="0.35">
      <c r="A162" s="12"/>
      <c r="B162" s="12"/>
      <c r="C162" s="12"/>
    </row>
    <row r="163" spans="1:3" ht="14.25" customHeight="1" x14ac:dyDescent="0.35">
      <c r="A163" s="12"/>
      <c r="B163" s="12"/>
      <c r="C163" s="12"/>
    </row>
    <row r="164" spans="1:3" ht="14.25" customHeight="1" x14ac:dyDescent="0.35">
      <c r="A164" s="12"/>
      <c r="B164" s="12"/>
      <c r="C164" s="12"/>
    </row>
    <row r="165" spans="1:3" ht="14.25" customHeight="1" x14ac:dyDescent="0.35">
      <c r="A165" s="12"/>
      <c r="B165" s="12"/>
      <c r="C165" s="12"/>
    </row>
    <row r="166" spans="1:3" ht="14.25" customHeight="1" x14ac:dyDescent="0.35">
      <c r="A166" s="12"/>
      <c r="B166" s="12"/>
      <c r="C166" s="12"/>
    </row>
    <row r="167" spans="1:3" ht="14.25" customHeight="1" x14ac:dyDescent="0.35">
      <c r="A167" s="12"/>
      <c r="B167" s="12"/>
      <c r="C167" s="12"/>
    </row>
    <row r="168" spans="1:3" ht="14.25" customHeight="1" x14ac:dyDescent="0.35">
      <c r="A168" s="12"/>
      <c r="B168" s="12"/>
      <c r="C168" s="12"/>
    </row>
    <row r="169" spans="1:3" ht="14.25" customHeight="1" x14ac:dyDescent="0.35">
      <c r="A169" s="12"/>
      <c r="B169" s="12"/>
      <c r="C169" s="12"/>
    </row>
    <row r="170" spans="1:3" ht="14.25" customHeight="1" x14ac:dyDescent="0.35">
      <c r="A170" s="12"/>
      <c r="B170" s="12"/>
      <c r="C170" s="12"/>
    </row>
    <row r="171" spans="1:3" ht="14.25" customHeight="1" x14ac:dyDescent="0.35">
      <c r="A171" s="12"/>
      <c r="B171" s="12"/>
      <c r="C171" s="12"/>
    </row>
    <row r="172" spans="1:3" ht="14.25" customHeight="1" x14ac:dyDescent="0.35">
      <c r="A172" s="12"/>
      <c r="B172" s="12"/>
      <c r="C172" s="12"/>
    </row>
    <row r="173" spans="1:3" ht="14.25" customHeight="1" x14ac:dyDescent="0.35">
      <c r="A173" s="12"/>
      <c r="B173" s="12"/>
      <c r="C173" s="12"/>
    </row>
    <row r="174" spans="1:3" ht="14.25" customHeight="1" x14ac:dyDescent="0.35">
      <c r="A174" s="12"/>
      <c r="B174" s="12"/>
      <c r="C174" s="12"/>
    </row>
    <row r="175" spans="1:3" ht="14.25" customHeight="1" x14ac:dyDescent="0.35">
      <c r="A175" s="12"/>
      <c r="B175" s="12"/>
      <c r="C175" s="12"/>
    </row>
    <row r="176" spans="1:3" ht="14.25" customHeight="1" x14ac:dyDescent="0.35">
      <c r="A176" s="12"/>
      <c r="B176" s="12"/>
      <c r="C176" s="12"/>
    </row>
    <row r="177" spans="1:3" ht="14.25" customHeight="1" x14ac:dyDescent="0.35">
      <c r="A177" s="12"/>
      <c r="B177" s="12"/>
      <c r="C177" s="12"/>
    </row>
    <row r="178" spans="1:3" ht="14.25" customHeight="1" x14ac:dyDescent="0.35">
      <c r="A178" s="12"/>
      <c r="B178" s="12"/>
      <c r="C178" s="12"/>
    </row>
    <row r="179" spans="1:3" ht="14.25" customHeight="1" x14ac:dyDescent="0.35">
      <c r="A179" s="12"/>
      <c r="B179" s="12"/>
      <c r="C179" s="12"/>
    </row>
    <row r="180" spans="1:3" ht="14.25" customHeight="1" x14ac:dyDescent="0.35">
      <c r="A180" s="12"/>
      <c r="B180" s="12"/>
      <c r="C180" s="12"/>
    </row>
    <row r="181" spans="1:3" ht="14.25" customHeight="1" x14ac:dyDescent="0.35">
      <c r="A181" s="12"/>
      <c r="B181" s="12"/>
      <c r="C181" s="12"/>
    </row>
    <row r="182" spans="1:3" ht="14.25" customHeight="1" x14ac:dyDescent="0.35">
      <c r="A182" s="12"/>
      <c r="B182" s="12"/>
      <c r="C182" s="12"/>
    </row>
    <row r="183" spans="1:3" ht="14.25" customHeight="1" x14ac:dyDescent="0.35">
      <c r="A183" s="12"/>
      <c r="B183" s="12"/>
      <c r="C183" s="12"/>
    </row>
    <row r="184" spans="1:3" ht="14.25" customHeight="1" x14ac:dyDescent="0.35">
      <c r="A184" s="12"/>
      <c r="B184" s="12"/>
      <c r="C184" s="12"/>
    </row>
    <row r="185" spans="1:3" ht="14.25" customHeight="1" x14ac:dyDescent="0.35">
      <c r="A185" s="12"/>
      <c r="B185" s="12"/>
      <c r="C185" s="12"/>
    </row>
    <row r="186" spans="1:3" ht="14.25" customHeight="1" x14ac:dyDescent="0.35">
      <c r="A186" s="12"/>
      <c r="B186" s="12"/>
      <c r="C186" s="12"/>
    </row>
    <row r="187" spans="1:3" ht="14.25" customHeight="1" x14ac:dyDescent="0.35">
      <c r="A187" s="12"/>
      <c r="B187" s="12"/>
      <c r="C187" s="12"/>
    </row>
    <row r="188" spans="1:3" ht="14.25" customHeight="1" x14ac:dyDescent="0.35">
      <c r="A188" s="12"/>
      <c r="B188" s="12"/>
      <c r="C188" s="12"/>
    </row>
    <row r="189" spans="1:3" ht="14.25" customHeight="1" x14ac:dyDescent="0.35">
      <c r="A189" s="12"/>
      <c r="B189" s="12"/>
      <c r="C189" s="12"/>
    </row>
    <row r="190" spans="1:3" ht="14.25" customHeight="1" x14ac:dyDescent="0.35">
      <c r="A190" s="12"/>
      <c r="B190" s="12"/>
      <c r="C190" s="12"/>
    </row>
    <row r="191" spans="1:3" ht="14.25" customHeight="1" x14ac:dyDescent="0.35">
      <c r="A191" s="12"/>
      <c r="B191" s="12"/>
      <c r="C191" s="12"/>
    </row>
    <row r="192" spans="1:3" ht="14.25" customHeight="1" x14ac:dyDescent="0.35">
      <c r="A192" s="12"/>
      <c r="B192" s="12"/>
      <c r="C192" s="12"/>
    </row>
    <row r="193" spans="1:3" ht="14.25" customHeight="1" x14ac:dyDescent="0.35">
      <c r="A193" s="12"/>
      <c r="B193" s="12"/>
      <c r="C193" s="12"/>
    </row>
    <row r="194" spans="1:3" ht="14.25" customHeight="1" x14ac:dyDescent="0.35">
      <c r="A194" s="12"/>
      <c r="B194" s="12"/>
      <c r="C194" s="12"/>
    </row>
    <row r="195" spans="1:3" ht="14.25" customHeight="1" x14ac:dyDescent="0.35">
      <c r="A195" s="12"/>
      <c r="B195" s="12"/>
      <c r="C195" s="12"/>
    </row>
    <row r="196" spans="1:3" ht="14.25" customHeight="1" x14ac:dyDescent="0.35">
      <c r="A196" s="12"/>
      <c r="B196" s="12"/>
      <c r="C196" s="12"/>
    </row>
    <row r="197" spans="1:3" ht="14.25" customHeight="1" x14ac:dyDescent="0.35">
      <c r="A197" s="12"/>
      <c r="B197" s="12"/>
      <c r="C197" s="12"/>
    </row>
    <row r="198" spans="1:3" ht="14.25" customHeight="1" x14ac:dyDescent="0.35">
      <c r="A198" s="12"/>
      <c r="B198" s="12"/>
      <c r="C198" s="12"/>
    </row>
    <row r="199" spans="1:3" ht="14.25" customHeight="1" x14ac:dyDescent="0.35">
      <c r="A199" s="12"/>
      <c r="B199" s="12"/>
      <c r="C199" s="12"/>
    </row>
    <row r="200" spans="1:3" ht="14.25" customHeight="1" x14ac:dyDescent="0.35">
      <c r="A200" s="12"/>
      <c r="B200" s="12"/>
      <c r="C200" s="12"/>
    </row>
    <row r="201" spans="1:3" ht="14.25" customHeight="1" x14ac:dyDescent="0.35">
      <c r="A201" s="12"/>
      <c r="B201" s="12"/>
      <c r="C201" s="12"/>
    </row>
    <row r="202" spans="1:3" ht="14.25" customHeight="1" x14ac:dyDescent="0.35">
      <c r="A202" s="12"/>
      <c r="B202" s="12"/>
      <c r="C202" s="12"/>
    </row>
    <row r="203" spans="1:3" ht="14.25" customHeight="1" x14ac:dyDescent="0.35">
      <c r="A203" s="12"/>
      <c r="B203" s="12"/>
      <c r="C203" s="12"/>
    </row>
    <row r="204" spans="1:3" ht="14.25" customHeight="1" x14ac:dyDescent="0.35">
      <c r="A204" s="12"/>
      <c r="B204" s="12"/>
      <c r="C204" s="12"/>
    </row>
    <row r="205" spans="1:3" ht="14.25" customHeight="1" x14ac:dyDescent="0.35">
      <c r="A205" s="12"/>
      <c r="B205" s="12"/>
      <c r="C205" s="12"/>
    </row>
    <row r="206" spans="1:3" ht="14.25" customHeight="1" x14ac:dyDescent="0.35">
      <c r="A206" s="12"/>
      <c r="B206" s="12"/>
      <c r="C206" s="12"/>
    </row>
    <row r="207" spans="1:3" ht="14.25" customHeight="1" x14ac:dyDescent="0.35">
      <c r="A207" s="12"/>
      <c r="B207" s="12"/>
      <c r="C207" s="12"/>
    </row>
    <row r="208" spans="1:3" ht="14.25" customHeight="1" x14ac:dyDescent="0.35">
      <c r="A208" s="12"/>
      <c r="B208" s="12"/>
      <c r="C208" s="12"/>
    </row>
    <row r="209" spans="1:3" ht="14.25" customHeight="1" x14ac:dyDescent="0.35">
      <c r="A209" s="12"/>
      <c r="B209" s="12"/>
      <c r="C209" s="12"/>
    </row>
    <row r="210" spans="1:3" ht="14.25" customHeight="1" x14ac:dyDescent="0.35">
      <c r="A210" s="12"/>
      <c r="B210" s="12"/>
      <c r="C210" s="12"/>
    </row>
    <row r="211" spans="1:3" ht="14.25" customHeight="1" x14ac:dyDescent="0.35">
      <c r="A211" s="12"/>
      <c r="B211" s="12"/>
      <c r="C211" s="12"/>
    </row>
    <row r="212" spans="1:3" ht="14.25" customHeight="1" x14ac:dyDescent="0.35">
      <c r="A212" s="12"/>
      <c r="B212" s="12"/>
      <c r="C212" s="12"/>
    </row>
    <row r="213" spans="1:3" ht="14.25" customHeight="1" x14ac:dyDescent="0.35">
      <c r="A213" s="12"/>
      <c r="B213" s="12"/>
      <c r="C213" s="12"/>
    </row>
    <row r="214" spans="1:3" ht="14.25" customHeight="1" x14ac:dyDescent="0.35">
      <c r="A214" s="12"/>
      <c r="B214" s="12"/>
      <c r="C214" s="12"/>
    </row>
    <row r="215" spans="1:3" ht="14.25" customHeight="1" x14ac:dyDescent="0.35">
      <c r="A215" s="12"/>
      <c r="B215" s="12"/>
      <c r="C215" s="12"/>
    </row>
    <row r="216" spans="1:3" ht="14.25" customHeight="1" x14ac:dyDescent="0.35">
      <c r="A216" s="12"/>
      <c r="B216" s="12"/>
      <c r="C216" s="12"/>
    </row>
    <row r="217" spans="1:3" ht="14.25" customHeight="1" x14ac:dyDescent="0.35">
      <c r="A217" s="12"/>
      <c r="B217" s="12"/>
      <c r="C217" s="12"/>
    </row>
    <row r="218" spans="1:3" ht="14.25" customHeight="1" x14ac:dyDescent="0.35">
      <c r="A218" s="12"/>
      <c r="B218" s="12"/>
      <c r="C218" s="12"/>
    </row>
    <row r="219" spans="1:3" ht="14.25" customHeight="1" x14ac:dyDescent="0.35">
      <c r="A219" s="12"/>
      <c r="B219" s="12"/>
      <c r="C219" s="12"/>
    </row>
    <row r="220" spans="1:3" ht="14.25" customHeight="1" x14ac:dyDescent="0.35">
      <c r="A220" s="12"/>
      <c r="B220" s="12"/>
      <c r="C220" s="12"/>
    </row>
    <row r="221" spans="1:3" ht="14.25" customHeight="1" x14ac:dyDescent="0.35">
      <c r="A221" s="12"/>
      <c r="B221" s="12"/>
      <c r="C221" s="12"/>
    </row>
    <row r="222" spans="1:3" ht="14.25" customHeight="1" x14ac:dyDescent="0.35">
      <c r="A222" s="12"/>
      <c r="B222" s="12"/>
      <c r="C222" s="12"/>
    </row>
    <row r="223" spans="1:3" ht="14.25" customHeight="1" x14ac:dyDescent="0.35">
      <c r="A223" s="12"/>
      <c r="B223" s="12"/>
      <c r="C223" s="12"/>
    </row>
    <row r="224" spans="1:3" ht="14.25" customHeight="1" x14ac:dyDescent="0.35">
      <c r="A224" s="12"/>
      <c r="B224" s="12"/>
      <c r="C224" s="12"/>
    </row>
    <row r="225" spans="1:3" ht="14.25" customHeight="1" x14ac:dyDescent="0.35">
      <c r="A225" s="12"/>
      <c r="B225" s="12"/>
      <c r="C225" s="12"/>
    </row>
    <row r="226" spans="1:3" ht="14.25" customHeight="1" x14ac:dyDescent="0.35">
      <c r="A226" s="12"/>
      <c r="B226" s="12"/>
      <c r="C226" s="12"/>
    </row>
    <row r="227" spans="1:3" ht="14.25" customHeight="1" x14ac:dyDescent="0.35">
      <c r="A227" s="12"/>
      <c r="B227" s="12"/>
      <c r="C227" s="12"/>
    </row>
    <row r="228" spans="1:3" ht="14.25" customHeight="1" x14ac:dyDescent="0.35">
      <c r="A228" s="12"/>
      <c r="B228" s="12"/>
      <c r="C228" s="12"/>
    </row>
    <row r="229" spans="1:3" ht="14.25" customHeight="1" x14ac:dyDescent="0.35">
      <c r="A229" s="12"/>
      <c r="B229" s="12"/>
      <c r="C229" s="12"/>
    </row>
    <row r="230" spans="1:3" ht="14.25" customHeight="1" x14ac:dyDescent="0.35">
      <c r="A230" s="12"/>
      <c r="B230" s="12"/>
      <c r="C230" s="12"/>
    </row>
    <row r="231" spans="1:3" ht="14.25" customHeight="1" x14ac:dyDescent="0.35">
      <c r="A231" s="12"/>
      <c r="B231" s="12"/>
      <c r="C231" s="12"/>
    </row>
    <row r="232" spans="1:3" ht="14.25" customHeight="1" x14ac:dyDescent="0.35">
      <c r="A232" s="12"/>
      <c r="B232" s="12"/>
      <c r="C232" s="12"/>
    </row>
    <row r="233" spans="1:3" ht="14.25" customHeight="1" x14ac:dyDescent="0.35">
      <c r="A233" s="12"/>
      <c r="B233" s="12"/>
      <c r="C233" s="12"/>
    </row>
    <row r="234" spans="1:3" ht="14.25" customHeight="1" x14ac:dyDescent="0.35">
      <c r="A234" s="12"/>
      <c r="B234" s="12"/>
      <c r="C234" s="12"/>
    </row>
    <row r="235" spans="1:3" ht="14.25" customHeight="1" x14ac:dyDescent="0.35">
      <c r="A235" s="12"/>
      <c r="B235" s="12"/>
      <c r="C235" s="12"/>
    </row>
    <row r="236" spans="1:3" ht="14.25" customHeight="1" x14ac:dyDescent="0.35">
      <c r="A236" s="12"/>
      <c r="B236" s="12"/>
      <c r="C236" s="12"/>
    </row>
    <row r="237" spans="1:3" ht="14.25" customHeight="1" x14ac:dyDescent="0.35">
      <c r="A237" s="12"/>
      <c r="B237" s="12"/>
      <c r="C237" s="12"/>
    </row>
    <row r="238" spans="1:3" ht="14.25" customHeight="1" x14ac:dyDescent="0.35">
      <c r="A238" s="12"/>
      <c r="B238" s="12"/>
      <c r="C238" s="12"/>
    </row>
    <row r="239" spans="1:3" ht="14.25" customHeight="1" x14ac:dyDescent="0.35">
      <c r="A239" s="12"/>
      <c r="B239" s="12"/>
      <c r="C239" s="12"/>
    </row>
    <row r="240" spans="1:3" ht="14.25" customHeight="1" x14ac:dyDescent="0.35">
      <c r="A240" s="12"/>
      <c r="B240" s="12"/>
      <c r="C240" s="12"/>
    </row>
    <row r="241" spans="1:3" ht="14.25" customHeight="1" x14ac:dyDescent="0.35">
      <c r="A241" s="12"/>
      <c r="B241" s="12"/>
      <c r="C241" s="12"/>
    </row>
    <row r="242" spans="1:3" ht="14.25" customHeight="1" x14ac:dyDescent="0.35"/>
    <row r="243" spans="1:3" ht="14.25" customHeight="1" x14ac:dyDescent="0.35"/>
    <row r="244" spans="1:3" ht="14.25" customHeight="1" x14ac:dyDescent="0.35"/>
    <row r="245" spans="1:3" ht="14.25" customHeight="1" x14ac:dyDescent="0.35"/>
    <row r="246" spans="1:3" ht="14.25" customHeight="1" x14ac:dyDescent="0.35"/>
    <row r="247" spans="1:3" ht="14.25" customHeight="1" x14ac:dyDescent="0.35"/>
    <row r="248" spans="1:3" ht="14.25" customHeight="1" x14ac:dyDescent="0.35"/>
    <row r="249" spans="1:3" ht="14.25" customHeight="1" x14ac:dyDescent="0.35"/>
    <row r="250" spans="1:3" ht="14.25" customHeight="1" x14ac:dyDescent="0.35"/>
    <row r="251" spans="1:3" ht="14.25" customHeight="1" x14ac:dyDescent="0.35"/>
    <row r="252" spans="1:3" ht="14.25" customHeight="1" x14ac:dyDescent="0.35"/>
    <row r="253" spans="1:3" ht="14.25" customHeight="1" x14ac:dyDescent="0.35"/>
    <row r="254" spans="1:3" ht="14.25" customHeight="1" x14ac:dyDescent="0.35"/>
    <row r="255" spans="1:3" ht="14.25" customHeight="1" x14ac:dyDescent="0.35"/>
    <row r="256" spans="1:3"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1">
    <mergeCell ref="A1:C1"/>
  </mergeCell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ata"/>
  <dimension ref="A1:I1000"/>
  <sheetViews>
    <sheetView workbookViewId="0"/>
  </sheetViews>
  <sheetFormatPr baseColWidth="10" defaultColWidth="14.453125" defaultRowHeight="15" customHeight="1" x14ac:dyDescent="0.35"/>
  <cols>
    <col min="1" max="1" width="48" customWidth="1"/>
    <col min="2" max="2" width="119.7265625" customWidth="1"/>
    <col min="3" max="3" width="48.1796875" customWidth="1"/>
    <col min="4" max="4" width="53.1796875" customWidth="1"/>
    <col min="5" max="26" width="9.1796875" customWidth="1"/>
  </cols>
  <sheetData>
    <row r="1" spans="1:9" ht="14.25" customHeight="1" x14ac:dyDescent="0.35">
      <c r="A1" s="35" t="s">
        <v>901</v>
      </c>
      <c r="B1" s="36"/>
      <c r="C1" s="37"/>
      <c r="D1" s="37"/>
      <c r="E1" s="37"/>
      <c r="F1" s="37"/>
      <c r="G1" s="37"/>
      <c r="H1" s="37"/>
      <c r="I1" s="37"/>
    </row>
    <row r="2" spans="1:9" ht="14.25" customHeight="1" x14ac:dyDescent="0.35">
      <c r="A2" s="36">
        <v>1</v>
      </c>
      <c r="B2" s="36" t="s">
        <v>118</v>
      </c>
      <c r="C2" s="37"/>
      <c r="D2" s="37"/>
      <c r="E2" s="37"/>
      <c r="F2" s="37"/>
      <c r="G2" s="37"/>
      <c r="H2" s="37"/>
      <c r="I2" s="37"/>
    </row>
    <row r="3" spans="1:9" ht="14.25" customHeight="1" x14ac:dyDescent="0.35">
      <c r="A3" s="36">
        <v>2</v>
      </c>
      <c r="B3" s="36" t="s">
        <v>195</v>
      </c>
      <c r="C3" s="37"/>
      <c r="D3" s="37"/>
      <c r="E3" s="37"/>
      <c r="F3" s="37"/>
      <c r="G3" s="37"/>
      <c r="H3" s="37"/>
      <c r="I3" s="37"/>
    </row>
    <row r="4" spans="1:9" ht="14.25" customHeight="1" x14ac:dyDescent="0.35">
      <c r="A4" s="36">
        <v>3</v>
      </c>
      <c r="B4" s="36" t="s">
        <v>653</v>
      </c>
      <c r="C4" s="37"/>
      <c r="D4" s="37"/>
      <c r="E4" s="37"/>
      <c r="F4" s="37"/>
      <c r="G4" s="37"/>
      <c r="H4" s="37"/>
      <c r="I4" s="37"/>
    </row>
    <row r="5" spans="1:9" ht="14.25" customHeight="1" x14ac:dyDescent="0.35">
      <c r="A5" s="36">
        <v>4</v>
      </c>
      <c r="B5" s="36" t="s">
        <v>97</v>
      </c>
      <c r="C5" s="37"/>
      <c r="D5" s="37"/>
      <c r="E5" s="37"/>
      <c r="F5" s="37"/>
      <c r="G5" s="37"/>
      <c r="H5" s="37"/>
      <c r="I5" s="37"/>
    </row>
    <row r="6" spans="1:9" ht="14.25" customHeight="1" x14ac:dyDescent="0.35">
      <c r="A6" s="36">
        <v>5</v>
      </c>
      <c r="B6" s="36" t="s">
        <v>685</v>
      </c>
      <c r="C6" s="37"/>
      <c r="D6" s="37"/>
      <c r="E6" s="37"/>
      <c r="F6" s="37"/>
      <c r="G6" s="37"/>
      <c r="H6" s="37"/>
      <c r="I6" s="37"/>
    </row>
    <row r="7" spans="1:9" ht="14.25" customHeight="1" x14ac:dyDescent="0.35">
      <c r="A7" s="36">
        <v>6</v>
      </c>
      <c r="B7" s="36" t="s">
        <v>133</v>
      </c>
      <c r="C7" s="37"/>
      <c r="D7" s="37"/>
      <c r="E7" s="37"/>
      <c r="F7" s="37"/>
      <c r="G7" s="37"/>
      <c r="H7" s="37"/>
      <c r="I7" s="37"/>
    </row>
    <row r="8" spans="1:9" ht="14.25" customHeight="1" x14ac:dyDescent="0.35">
      <c r="A8" s="36">
        <v>7</v>
      </c>
      <c r="B8" s="36" t="s">
        <v>436</v>
      </c>
      <c r="C8" s="37"/>
      <c r="D8" s="37"/>
      <c r="E8" s="37"/>
      <c r="F8" s="37"/>
      <c r="G8" s="37"/>
      <c r="H8" s="37"/>
      <c r="I8" s="37"/>
    </row>
    <row r="9" spans="1:9" ht="14.25" customHeight="1" x14ac:dyDescent="0.35">
      <c r="A9" s="37"/>
      <c r="B9" s="37"/>
      <c r="C9" s="37"/>
      <c r="D9" s="37"/>
      <c r="E9" s="37"/>
      <c r="F9" s="37"/>
      <c r="G9" s="37"/>
      <c r="H9" s="37"/>
      <c r="I9" s="37"/>
    </row>
    <row r="10" spans="1:9" ht="14.25" customHeight="1" x14ac:dyDescent="0.35">
      <c r="A10" s="35" t="s">
        <v>902</v>
      </c>
      <c r="B10" s="35"/>
      <c r="C10" s="37"/>
      <c r="D10" s="37"/>
      <c r="E10" s="37"/>
      <c r="F10" s="37"/>
      <c r="G10" s="37"/>
      <c r="H10" s="37"/>
      <c r="I10" s="37"/>
    </row>
    <row r="11" spans="1:9" ht="14.25" customHeight="1" x14ac:dyDescent="0.35">
      <c r="A11" s="35" t="s">
        <v>903</v>
      </c>
      <c r="B11" s="35" t="s">
        <v>904</v>
      </c>
      <c r="C11" s="37"/>
      <c r="D11" s="37"/>
      <c r="E11" s="37"/>
      <c r="F11" s="37"/>
      <c r="G11" s="37"/>
      <c r="H11" s="37"/>
      <c r="I11" s="37"/>
    </row>
    <row r="12" spans="1:9" ht="14.25" customHeight="1" x14ac:dyDescent="0.35">
      <c r="A12" s="36" t="s">
        <v>118</v>
      </c>
      <c r="B12" s="36" t="s">
        <v>905</v>
      </c>
      <c r="C12" s="37"/>
      <c r="D12" s="37"/>
      <c r="E12" s="37"/>
      <c r="F12" s="37"/>
      <c r="G12" s="37"/>
      <c r="H12" s="37"/>
      <c r="I12" s="37"/>
    </row>
    <row r="13" spans="1:9" ht="14.25" customHeight="1" x14ac:dyDescent="0.35">
      <c r="A13" s="36" t="s">
        <v>118</v>
      </c>
      <c r="B13" s="36" t="s">
        <v>906</v>
      </c>
      <c r="C13" s="37"/>
      <c r="D13" s="37"/>
      <c r="E13" s="37"/>
      <c r="F13" s="37"/>
      <c r="G13" s="37"/>
      <c r="H13" s="37"/>
      <c r="I13" s="37"/>
    </row>
    <row r="14" spans="1:9" ht="14.25" customHeight="1" x14ac:dyDescent="0.35">
      <c r="A14" s="36" t="s">
        <v>195</v>
      </c>
      <c r="B14" s="36" t="s">
        <v>907</v>
      </c>
      <c r="C14" s="37"/>
      <c r="D14" s="37"/>
      <c r="E14" s="37"/>
      <c r="F14" s="37"/>
      <c r="G14" s="37"/>
      <c r="H14" s="37"/>
      <c r="I14" s="37"/>
    </row>
    <row r="15" spans="1:9" ht="14.25" customHeight="1" x14ac:dyDescent="0.35">
      <c r="A15" s="36" t="s">
        <v>653</v>
      </c>
      <c r="B15" s="36" t="s">
        <v>908</v>
      </c>
      <c r="C15" s="37"/>
      <c r="D15" s="37"/>
      <c r="E15" s="37"/>
      <c r="F15" s="37"/>
      <c r="G15" s="37"/>
      <c r="H15" s="37"/>
      <c r="I15" s="37"/>
    </row>
    <row r="16" spans="1:9" ht="14.25" customHeight="1" x14ac:dyDescent="0.35">
      <c r="A16" s="36" t="s">
        <v>97</v>
      </c>
      <c r="B16" s="36" t="s">
        <v>909</v>
      </c>
      <c r="C16" s="37"/>
      <c r="D16" s="37"/>
      <c r="E16" s="37"/>
      <c r="F16" s="37"/>
      <c r="G16" s="37"/>
      <c r="H16" s="37"/>
      <c r="I16" s="37"/>
    </row>
    <row r="17" spans="1:9" ht="14.25" customHeight="1" x14ac:dyDescent="0.35">
      <c r="A17" s="36" t="s">
        <v>685</v>
      </c>
      <c r="B17" s="36" t="s">
        <v>910</v>
      </c>
      <c r="C17" s="37"/>
      <c r="D17" s="37"/>
      <c r="E17" s="37"/>
      <c r="F17" s="37"/>
      <c r="G17" s="37"/>
      <c r="H17" s="37"/>
      <c r="I17" s="37"/>
    </row>
    <row r="18" spans="1:9" ht="14.25" customHeight="1" x14ac:dyDescent="0.35">
      <c r="A18" s="36" t="s">
        <v>133</v>
      </c>
      <c r="B18" s="36" t="s">
        <v>911</v>
      </c>
      <c r="C18" s="37"/>
      <c r="D18" s="37"/>
      <c r="E18" s="37"/>
      <c r="F18" s="37"/>
      <c r="G18" s="37"/>
      <c r="H18" s="37"/>
      <c r="I18" s="37"/>
    </row>
    <row r="19" spans="1:9" ht="14.25" customHeight="1" x14ac:dyDescent="0.35">
      <c r="A19" s="36" t="s">
        <v>436</v>
      </c>
      <c r="B19" s="36" t="s">
        <v>912</v>
      </c>
      <c r="C19" s="37"/>
      <c r="D19" s="37"/>
      <c r="E19" s="37"/>
      <c r="F19" s="37"/>
      <c r="G19" s="37"/>
      <c r="H19" s="37"/>
      <c r="I19" s="37"/>
    </row>
    <row r="20" spans="1:9" ht="14.25" customHeight="1" x14ac:dyDescent="0.35">
      <c r="A20" s="37"/>
      <c r="B20" s="37"/>
      <c r="C20" s="37"/>
      <c r="D20" s="37"/>
      <c r="E20" s="37"/>
      <c r="F20" s="37"/>
      <c r="G20" s="37"/>
      <c r="H20" s="37"/>
      <c r="I20" s="37"/>
    </row>
    <row r="21" spans="1:9" ht="14.25" customHeight="1" x14ac:dyDescent="0.35">
      <c r="A21" s="35" t="s">
        <v>913</v>
      </c>
      <c r="B21" s="35"/>
      <c r="C21" s="37"/>
      <c r="D21" s="37"/>
      <c r="E21" s="37"/>
      <c r="F21" s="37"/>
      <c r="G21" s="37"/>
      <c r="H21" s="37"/>
      <c r="I21" s="37"/>
    </row>
    <row r="22" spans="1:9" ht="14.25" customHeight="1" x14ac:dyDescent="0.35">
      <c r="A22" s="35" t="s">
        <v>903</v>
      </c>
      <c r="B22" s="35" t="s">
        <v>914</v>
      </c>
      <c r="C22" s="37"/>
      <c r="D22" s="37"/>
      <c r="E22" s="37"/>
      <c r="F22" s="37"/>
      <c r="G22" s="37"/>
      <c r="H22" s="37"/>
      <c r="I22" s="37"/>
    </row>
    <row r="23" spans="1:9" ht="14.25" customHeight="1" x14ac:dyDescent="0.35">
      <c r="A23" s="36" t="s">
        <v>118</v>
      </c>
      <c r="B23" s="36" t="s">
        <v>155</v>
      </c>
      <c r="C23" s="37"/>
      <c r="D23" s="37"/>
      <c r="E23" s="37"/>
      <c r="F23" s="37"/>
      <c r="G23" s="37"/>
      <c r="H23" s="37"/>
      <c r="I23" s="37"/>
    </row>
    <row r="24" spans="1:9" ht="14.25" customHeight="1" x14ac:dyDescent="0.35">
      <c r="A24" s="36" t="s">
        <v>118</v>
      </c>
      <c r="B24" s="36" t="s">
        <v>120</v>
      </c>
      <c r="C24" s="37"/>
      <c r="D24" s="37"/>
      <c r="E24" s="37"/>
      <c r="F24" s="37"/>
      <c r="G24" s="37"/>
      <c r="H24" s="37"/>
      <c r="I24" s="37"/>
    </row>
    <row r="25" spans="1:9" ht="14.25" customHeight="1" x14ac:dyDescent="0.35">
      <c r="A25" s="36" t="s">
        <v>118</v>
      </c>
      <c r="B25" s="36" t="s">
        <v>562</v>
      </c>
      <c r="C25" s="37"/>
      <c r="D25" s="37"/>
      <c r="E25" s="37"/>
      <c r="F25" s="37"/>
      <c r="G25" s="37"/>
      <c r="H25" s="37"/>
      <c r="I25" s="37"/>
    </row>
    <row r="26" spans="1:9" ht="14.25" customHeight="1" x14ac:dyDescent="0.35">
      <c r="A26" s="36" t="s">
        <v>195</v>
      </c>
      <c r="B26" s="36" t="s">
        <v>547</v>
      </c>
      <c r="C26" s="37"/>
      <c r="D26" s="37"/>
      <c r="E26" s="37"/>
      <c r="F26" s="37"/>
      <c r="G26" s="37"/>
      <c r="H26" s="37"/>
      <c r="I26" s="37"/>
    </row>
    <row r="27" spans="1:9" ht="14.25" customHeight="1" x14ac:dyDescent="0.35">
      <c r="A27" s="36" t="s">
        <v>195</v>
      </c>
      <c r="B27" s="36" t="s">
        <v>185</v>
      </c>
      <c r="C27" s="37"/>
      <c r="D27" s="37"/>
      <c r="E27" s="37"/>
      <c r="F27" s="37"/>
      <c r="G27" s="37"/>
      <c r="H27" s="37"/>
      <c r="I27" s="37"/>
    </row>
    <row r="28" spans="1:9" ht="14.25" customHeight="1" x14ac:dyDescent="0.35">
      <c r="A28" s="36" t="s">
        <v>195</v>
      </c>
      <c r="B28" s="36" t="s">
        <v>915</v>
      </c>
      <c r="C28" s="37"/>
      <c r="D28" s="37"/>
      <c r="E28" s="37"/>
      <c r="F28" s="37"/>
      <c r="G28" s="37"/>
      <c r="H28" s="37"/>
      <c r="I28" s="37"/>
    </row>
    <row r="29" spans="1:9" ht="14.25" customHeight="1" x14ac:dyDescent="0.35">
      <c r="A29" s="36" t="s">
        <v>195</v>
      </c>
      <c r="B29" s="36" t="s">
        <v>487</v>
      </c>
      <c r="C29" s="37"/>
      <c r="D29" s="37"/>
      <c r="E29" s="37"/>
      <c r="F29" s="37"/>
      <c r="G29" s="37"/>
      <c r="H29" s="37"/>
      <c r="I29" s="37"/>
    </row>
    <row r="30" spans="1:9" ht="14.25" customHeight="1" x14ac:dyDescent="0.35">
      <c r="A30" s="36" t="s">
        <v>653</v>
      </c>
      <c r="B30" s="36" t="s">
        <v>916</v>
      </c>
      <c r="C30" s="37"/>
      <c r="D30" s="37"/>
      <c r="E30" s="37"/>
      <c r="F30" s="37"/>
      <c r="G30" s="37"/>
      <c r="H30" s="37"/>
      <c r="I30" s="37"/>
    </row>
    <row r="31" spans="1:9" ht="14.25" customHeight="1" x14ac:dyDescent="0.35">
      <c r="A31" s="36" t="s">
        <v>653</v>
      </c>
      <c r="B31" s="36" t="s">
        <v>654</v>
      </c>
      <c r="C31" s="37"/>
      <c r="D31" s="37"/>
      <c r="E31" s="37"/>
      <c r="F31" s="37"/>
      <c r="G31" s="37"/>
      <c r="H31" s="37"/>
      <c r="I31" s="37"/>
    </row>
    <row r="32" spans="1:9" ht="14.25" customHeight="1" x14ac:dyDescent="0.35">
      <c r="A32" s="36" t="s">
        <v>653</v>
      </c>
      <c r="B32" s="36" t="s">
        <v>917</v>
      </c>
      <c r="C32" s="37"/>
      <c r="D32" s="37"/>
      <c r="E32" s="37"/>
      <c r="F32" s="37"/>
      <c r="G32" s="37"/>
      <c r="H32" s="37"/>
      <c r="I32" s="37"/>
    </row>
    <row r="33" spans="1:9" ht="14.25" customHeight="1" x14ac:dyDescent="0.35">
      <c r="A33" s="36" t="s">
        <v>653</v>
      </c>
      <c r="B33" s="36" t="s">
        <v>918</v>
      </c>
      <c r="C33" s="37"/>
      <c r="D33" s="37"/>
      <c r="E33" s="37"/>
      <c r="F33" s="37"/>
      <c r="G33" s="37"/>
      <c r="H33" s="37"/>
      <c r="I33" s="37"/>
    </row>
    <row r="34" spans="1:9" ht="14.25" customHeight="1" x14ac:dyDescent="0.35">
      <c r="A34" s="36" t="s">
        <v>97</v>
      </c>
      <c r="B34" s="36" t="s">
        <v>919</v>
      </c>
      <c r="C34" s="37"/>
      <c r="D34" s="37"/>
      <c r="E34" s="37"/>
      <c r="F34" s="37"/>
      <c r="G34" s="37"/>
      <c r="H34" s="37"/>
      <c r="I34" s="37"/>
    </row>
    <row r="35" spans="1:9" ht="14.25" customHeight="1" x14ac:dyDescent="0.35">
      <c r="A35" s="36" t="s">
        <v>97</v>
      </c>
      <c r="B35" s="36" t="s">
        <v>216</v>
      </c>
      <c r="C35" s="37"/>
      <c r="D35" s="37"/>
      <c r="E35" s="37"/>
      <c r="F35" s="37"/>
      <c r="G35" s="37"/>
      <c r="H35" s="37"/>
      <c r="I35" s="37"/>
    </row>
    <row r="36" spans="1:9" ht="14.25" customHeight="1" x14ac:dyDescent="0.35">
      <c r="A36" s="36" t="s">
        <v>97</v>
      </c>
      <c r="B36" s="36" t="s">
        <v>99</v>
      </c>
      <c r="C36" s="37"/>
      <c r="D36" s="37"/>
      <c r="E36" s="37"/>
      <c r="F36" s="37"/>
      <c r="G36" s="37"/>
      <c r="H36" s="37"/>
      <c r="I36" s="37"/>
    </row>
    <row r="37" spans="1:9" ht="14.25" customHeight="1" x14ac:dyDescent="0.35">
      <c r="A37" s="36" t="s">
        <v>97</v>
      </c>
      <c r="B37" s="36" t="s">
        <v>390</v>
      </c>
      <c r="C37" s="37"/>
      <c r="D37" s="37"/>
      <c r="E37" s="37"/>
      <c r="F37" s="37"/>
      <c r="G37" s="37"/>
      <c r="H37" s="37"/>
      <c r="I37" s="37"/>
    </row>
    <row r="38" spans="1:9" ht="14.25" customHeight="1" x14ac:dyDescent="0.35">
      <c r="A38" s="36" t="s">
        <v>97</v>
      </c>
      <c r="B38" s="36" t="s">
        <v>920</v>
      </c>
      <c r="C38" s="37"/>
      <c r="D38" s="37"/>
      <c r="E38" s="37"/>
      <c r="F38" s="37"/>
      <c r="G38" s="37"/>
      <c r="H38" s="37"/>
      <c r="I38" s="37"/>
    </row>
    <row r="39" spans="1:9" ht="14.25" customHeight="1" x14ac:dyDescent="0.35">
      <c r="A39" s="36" t="s">
        <v>685</v>
      </c>
      <c r="B39" s="36" t="s">
        <v>142</v>
      </c>
      <c r="C39" s="37"/>
      <c r="D39" s="37"/>
      <c r="E39" s="37"/>
      <c r="F39" s="37"/>
      <c r="G39" s="37"/>
      <c r="H39" s="37"/>
      <c r="I39" s="37"/>
    </row>
    <row r="40" spans="1:9" ht="14.25" customHeight="1" x14ac:dyDescent="0.35">
      <c r="A40" s="36" t="s">
        <v>685</v>
      </c>
      <c r="B40" s="36" t="s">
        <v>613</v>
      </c>
      <c r="C40" s="37"/>
      <c r="D40" s="37"/>
      <c r="E40" s="37"/>
      <c r="F40" s="37"/>
      <c r="G40" s="37"/>
      <c r="H40" s="37"/>
      <c r="I40" s="37"/>
    </row>
    <row r="41" spans="1:9" ht="14.25" customHeight="1" x14ac:dyDescent="0.35">
      <c r="A41" s="36" t="s">
        <v>685</v>
      </c>
      <c r="B41" s="36" t="s">
        <v>921</v>
      </c>
      <c r="C41" s="37"/>
      <c r="D41" s="37"/>
      <c r="E41" s="37"/>
      <c r="F41" s="37"/>
      <c r="G41" s="37"/>
      <c r="H41" s="37"/>
      <c r="I41" s="37"/>
    </row>
    <row r="42" spans="1:9" ht="14.25" customHeight="1" x14ac:dyDescent="0.35">
      <c r="A42" s="36" t="s">
        <v>133</v>
      </c>
      <c r="B42" s="36" t="s">
        <v>212</v>
      </c>
      <c r="C42" s="37"/>
      <c r="D42" s="37"/>
      <c r="E42" s="37"/>
      <c r="F42" s="37"/>
      <c r="G42" s="37"/>
      <c r="H42" s="37"/>
      <c r="I42" s="37"/>
    </row>
    <row r="43" spans="1:9" ht="14.25" customHeight="1" x14ac:dyDescent="0.35">
      <c r="A43" s="36" t="s">
        <v>133</v>
      </c>
      <c r="B43" s="36" t="s">
        <v>134</v>
      </c>
      <c r="C43" s="37"/>
      <c r="D43" s="37"/>
      <c r="E43" s="37"/>
      <c r="F43" s="37"/>
      <c r="G43" s="37"/>
      <c r="H43" s="37"/>
      <c r="I43" s="37"/>
    </row>
    <row r="44" spans="1:9" ht="14.25" customHeight="1" x14ac:dyDescent="0.35">
      <c r="A44" s="36" t="s">
        <v>133</v>
      </c>
      <c r="B44" s="36" t="s">
        <v>922</v>
      </c>
      <c r="C44" s="37"/>
      <c r="D44" s="37"/>
      <c r="E44" s="37"/>
      <c r="F44" s="37"/>
      <c r="G44" s="37"/>
      <c r="H44" s="37"/>
      <c r="I44" s="37"/>
    </row>
    <row r="45" spans="1:9" ht="14.25" customHeight="1" x14ac:dyDescent="0.35">
      <c r="A45" s="36" t="s">
        <v>436</v>
      </c>
      <c r="B45" s="36" t="s">
        <v>923</v>
      </c>
      <c r="C45" s="37"/>
      <c r="D45" s="37"/>
      <c r="E45" s="37"/>
      <c r="F45" s="37"/>
      <c r="G45" s="37"/>
      <c r="H45" s="37"/>
      <c r="I45" s="37"/>
    </row>
    <row r="46" spans="1:9" ht="14.25" customHeight="1" x14ac:dyDescent="0.35">
      <c r="A46" s="36" t="s">
        <v>436</v>
      </c>
      <c r="B46" s="36" t="s">
        <v>924</v>
      </c>
      <c r="C46" s="37"/>
      <c r="D46" s="37"/>
      <c r="E46" s="37"/>
      <c r="F46" s="37"/>
      <c r="G46" s="37"/>
      <c r="H46" s="37"/>
      <c r="I46" s="37"/>
    </row>
    <row r="47" spans="1:9" ht="14.25" customHeight="1" x14ac:dyDescent="0.35">
      <c r="A47" s="36" t="s">
        <v>436</v>
      </c>
      <c r="B47" s="36" t="s">
        <v>925</v>
      </c>
      <c r="C47" s="37"/>
      <c r="D47" s="37"/>
      <c r="E47" s="37"/>
      <c r="F47" s="37"/>
      <c r="G47" s="37"/>
      <c r="H47" s="37"/>
      <c r="I47" s="37"/>
    </row>
    <row r="48" spans="1:9" ht="14.25" customHeight="1" x14ac:dyDescent="0.35">
      <c r="A48" s="36" t="s">
        <v>436</v>
      </c>
      <c r="B48" s="36" t="s">
        <v>926</v>
      </c>
      <c r="C48" s="37"/>
      <c r="D48" s="37"/>
      <c r="E48" s="37"/>
      <c r="F48" s="37"/>
      <c r="G48" s="37"/>
      <c r="H48" s="37"/>
      <c r="I48" s="37"/>
    </row>
    <row r="49" spans="1:9" ht="14.25" customHeight="1" x14ac:dyDescent="0.35">
      <c r="A49" s="37"/>
      <c r="B49" s="37"/>
      <c r="C49" s="37"/>
      <c r="D49" s="37"/>
      <c r="E49" s="37"/>
      <c r="F49" s="37"/>
      <c r="G49" s="37"/>
      <c r="H49" s="37"/>
      <c r="I49" s="37"/>
    </row>
    <row r="50" spans="1:9" ht="14.25" customHeight="1" x14ac:dyDescent="0.35">
      <c r="A50" s="35" t="s">
        <v>927</v>
      </c>
      <c r="B50" s="38"/>
      <c r="C50" s="38"/>
      <c r="D50" s="37"/>
      <c r="E50" s="37"/>
      <c r="F50" s="37"/>
      <c r="G50" s="37"/>
      <c r="H50" s="37"/>
      <c r="I50" s="37"/>
    </row>
    <row r="51" spans="1:9" ht="14.25" customHeight="1" x14ac:dyDescent="0.35">
      <c r="A51" s="35" t="s">
        <v>928</v>
      </c>
      <c r="B51" s="35" t="s">
        <v>914</v>
      </c>
      <c r="C51" s="35" t="s">
        <v>903</v>
      </c>
      <c r="D51" s="37"/>
      <c r="E51" s="37"/>
      <c r="F51" s="37"/>
      <c r="G51" s="37"/>
      <c r="H51" s="37"/>
      <c r="I51" s="37"/>
    </row>
    <row r="52" spans="1:9" ht="14.25" customHeight="1" x14ac:dyDescent="0.35">
      <c r="A52" s="36" t="s">
        <v>929</v>
      </c>
      <c r="B52" s="36" t="s">
        <v>289</v>
      </c>
      <c r="C52" s="36" t="s">
        <v>118</v>
      </c>
      <c r="D52" s="37"/>
      <c r="E52" s="37"/>
      <c r="F52" s="37"/>
      <c r="G52" s="37"/>
      <c r="H52" s="37"/>
      <c r="I52" s="37"/>
    </row>
    <row r="53" spans="1:9" ht="14.25" customHeight="1" x14ac:dyDescent="0.35">
      <c r="A53" s="36" t="s">
        <v>930</v>
      </c>
      <c r="B53" s="36" t="s">
        <v>289</v>
      </c>
      <c r="C53" s="36" t="s">
        <v>118</v>
      </c>
      <c r="D53" s="37"/>
      <c r="E53" s="37"/>
      <c r="F53" s="37"/>
      <c r="G53" s="37"/>
      <c r="H53" s="37"/>
      <c r="I53" s="37"/>
    </row>
    <row r="54" spans="1:9" ht="14.25" customHeight="1" x14ac:dyDescent="0.35">
      <c r="A54" s="36" t="s">
        <v>931</v>
      </c>
      <c r="B54" s="36" t="s">
        <v>289</v>
      </c>
      <c r="C54" s="36" t="s">
        <v>118</v>
      </c>
      <c r="D54" s="37"/>
      <c r="E54" s="37"/>
      <c r="F54" s="37"/>
      <c r="G54" s="37"/>
      <c r="H54" s="37"/>
      <c r="I54" s="37"/>
    </row>
    <row r="55" spans="1:9" ht="14.25" customHeight="1" x14ac:dyDescent="0.35">
      <c r="A55" s="36" t="s">
        <v>807</v>
      </c>
      <c r="B55" s="36" t="s">
        <v>289</v>
      </c>
      <c r="C55" s="36" t="s">
        <v>118</v>
      </c>
      <c r="D55" s="37"/>
      <c r="E55" s="37"/>
      <c r="F55" s="37"/>
      <c r="G55" s="37"/>
      <c r="H55" s="37"/>
      <c r="I55" s="37"/>
    </row>
    <row r="56" spans="1:9" ht="14.25" customHeight="1" x14ac:dyDescent="0.35">
      <c r="A56" s="36" t="s">
        <v>932</v>
      </c>
      <c r="B56" s="36" t="s">
        <v>289</v>
      </c>
      <c r="C56" s="36" t="s">
        <v>118</v>
      </c>
      <c r="D56" s="37"/>
      <c r="E56" s="37"/>
      <c r="F56" s="37"/>
      <c r="G56" s="37"/>
      <c r="H56" s="37"/>
      <c r="I56" s="37"/>
    </row>
    <row r="57" spans="1:9" ht="14.25" customHeight="1" x14ac:dyDescent="0.35">
      <c r="A57" s="36" t="s">
        <v>933</v>
      </c>
      <c r="B57" s="36" t="s">
        <v>289</v>
      </c>
      <c r="C57" s="36" t="s">
        <v>118</v>
      </c>
      <c r="D57" s="37"/>
      <c r="E57" s="37"/>
      <c r="F57" s="37"/>
      <c r="G57" s="37"/>
      <c r="H57" s="37"/>
      <c r="I57" s="37"/>
    </row>
    <row r="58" spans="1:9" ht="14.25" customHeight="1" x14ac:dyDescent="0.35">
      <c r="A58" s="36" t="s">
        <v>934</v>
      </c>
      <c r="B58" s="36" t="s">
        <v>289</v>
      </c>
      <c r="C58" s="36" t="s">
        <v>118</v>
      </c>
      <c r="D58" s="37"/>
      <c r="E58" s="37"/>
      <c r="F58" s="37"/>
      <c r="G58" s="37"/>
      <c r="H58" s="37"/>
      <c r="I58" s="37"/>
    </row>
    <row r="59" spans="1:9" ht="14.25" customHeight="1" x14ac:dyDescent="0.35">
      <c r="A59" s="36" t="s">
        <v>935</v>
      </c>
      <c r="B59" s="36" t="s">
        <v>289</v>
      </c>
      <c r="C59" s="36" t="s">
        <v>118</v>
      </c>
      <c r="D59" s="37"/>
      <c r="E59" s="37"/>
      <c r="F59" s="37"/>
      <c r="G59" s="37"/>
      <c r="H59" s="37"/>
      <c r="I59" s="37"/>
    </row>
    <row r="60" spans="1:9" ht="14.25" customHeight="1" x14ac:dyDescent="0.35">
      <c r="A60" s="36" t="s">
        <v>936</v>
      </c>
      <c r="B60" s="36" t="s">
        <v>289</v>
      </c>
      <c r="C60" s="36" t="s">
        <v>118</v>
      </c>
      <c r="D60" s="37"/>
      <c r="E60" s="37"/>
      <c r="F60" s="37"/>
      <c r="G60" s="37"/>
      <c r="H60" s="37"/>
      <c r="I60" s="37"/>
    </row>
    <row r="61" spans="1:9" ht="14.25" customHeight="1" x14ac:dyDescent="0.35">
      <c r="A61" s="36" t="s">
        <v>937</v>
      </c>
      <c r="B61" s="36" t="s">
        <v>289</v>
      </c>
      <c r="C61" s="36" t="s">
        <v>118</v>
      </c>
      <c r="D61" s="37"/>
      <c r="E61" s="37"/>
      <c r="F61" s="37"/>
      <c r="G61" s="37"/>
      <c r="H61" s="37"/>
      <c r="I61" s="37"/>
    </row>
    <row r="62" spans="1:9" ht="14.25" customHeight="1" x14ac:dyDescent="0.35">
      <c r="A62" s="36" t="s">
        <v>938</v>
      </c>
      <c r="B62" s="36" t="s">
        <v>289</v>
      </c>
      <c r="C62" s="36" t="s">
        <v>118</v>
      </c>
      <c r="D62" s="37"/>
      <c r="E62" s="37"/>
      <c r="F62" s="37"/>
      <c r="G62" s="37"/>
      <c r="H62" s="37"/>
      <c r="I62" s="37"/>
    </row>
    <row r="63" spans="1:9" ht="14.25" customHeight="1" x14ac:dyDescent="0.35">
      <c r="A63" s="36" t="s">
        <v>939</v>
      </c>
      <c r="B63" s="36" t="s">
        <v>120</v>
      </c>
      <c r="C63" s="36" t="s">
        <v>118</v>
      </c>
      <c r="D63" s="37"/>
      <c r="E63" s="37"/>
      <c r="F63" s="37"/>
      <c r="G63" s="37"/>
      <c r="H63" s="37"/>
      <c r="I63" s="37"/>
    </row>
    <row r="64" spans="1:9" ht="14.25" customHeight="1" x14ac:dyDescent="0.35">
      <c r="A64" s="36" t="s">
        <v>418</v>
      </c>
      <c r="B64" s="36" t="s">
        <v>120</v>
      </c>
      <c r="C64" s="36" t="s">
        <v>118</v>
      </c>
      <c r="D64" s="37"/>
      <c r="E64" s="37"/>
      <c r="F64" s="37"/>
      <c r="G64" s="37"/>
      <c r="H64" s="37"/>
      <c r="I64" s="37"/>
    </row>
    <row r="65" spans="1:9" ht="14.25" customHeight="1" x14ac:dyDescent="0.35">
      <c r="A65" s="36" t="s">
        <v>940</v>
      </c>
      <c r="B65" s="36" t="s">
        <v>120</v>
      </c>
      <c r="C65" s="36" t="s">
        <v>118</v>
      </c>
      <c r="D65" s="37"/>
      <c r="E65" s="37"/>
      <c r="F65" s="37"/>
      <c r="G65" s="37"/>
      <c r="H65" s="37"/>
      <c r="I65" s="37"/>
    </row>
    <row r="66" spans="1:9" ht="14.25" customHeight="1" x14ac:dyDescent="0.35">
      <c r="A66" s="36" t="s">
        <v>941</v>
      </c>
      <c r="B66" s="36" t="s">
        <v>278</v>
      </c>
      <c r="C66" s="36" t="s">
        <v>118</v>
      </c>
      <c r="D66" s="37"/>
      <c r="E66" s="37"/>
      <c r="F66" s="37"/>
      <c r="G66" s="37"/>
      <c r="H66" s="37"/>
      <c r="I66" s="37"/>
    </row>
    <row r="67" spans="1:9" ht="14.25" customHeight="1" x14ac:dyDescent="0.35">
      <c r="A67" s="36" t="s">
        <v>942</v>
      </c>
      <c r="B67" s="36" t="s">
        <v>278</v>
      </c>
      <c r="C67" s="36" t="s">
        <v>118</v>
      </c>
      <c r="D67" s="37"/>
      <c r="E67" s="37"/>
      <c r="F67" s="37"/>
      <c r="G67" s="37"/>
      <c r="H67" s="37"/>
      <c r="I67" s="37"/>
    </row>
    <row r="68" spans="1:9" ht="14.25" customHeight="1" x14ac:dyDescent="0.35">
      <c r="A68" s="36" t="s">
        <v>943</v>
      </c>
      <c r="B68" s="36" t="s">
        <v>278</v>
      </c>
      <c r="C68" s="36" t="s">
        <v>118</v>
      </c>
      <c r="D68" s="37"/>
      <c r="E68" s="37"/>
      <c r="F68" s="37"/>
      <c r="G68" s="37"/>
      <c r="H68" s="37"/>
      <c r="I68" s="37"/>
    </row>
    <row r="69" spans="1:9" ht="14.25" customHeight="1" x14ac:dyDescent="0.35">
      <c r="A69" s="36" t="s">
        <v>944</v>
      </c>
      <c r="B69" s="36" t="s">
        <v>278</v>
      </c>
      <c r="C69" s="36" t="s">
        <v>118</v>
      </c>
      <c r="D69" s="37"/>
      <c r="E69" s="37"/>
      <c r="F69" s="37"/>
      <c r="G69" s="37"/>
      <c r="H69" s="37"/>
      <c r="I69" s="37"/>
    </row>
    <row r="70" spans="1:9" ht="14.25" customHeight="1" x14ac:dyDescent="0.35">
      <c r="A70" s="36" t="s">
        <v>945</v>
      </c>
      <c r="B70" s="36" t="s">
        <v>278</v>
      </c>
      <c r="C70" s="36" t="s">
        <v>118</v>
      </c>
      <c r="D70" s="37"/>
      <c r="E70" s="37"/>
      <c r="F70" s="37"/>
      <c r="G70" s="37"/>
      <c r="H70" s="37"/>
      <c r="I70" s="37"/>
    </row>
    <row r="71" spans="1:9" ht="14.25" customHeight="1" x14ac:dyDescent="0.35">
      <c r="A71" s="36" t="s">
        <v>386</v>
      </c>
      <c r="B71" s="36" t="s">
        <v>547</v>
      </c>
      <c r="C71" s="36" t="s">
        <v>195</v>
      </c>
      <c r="D71" s="37"/>
      <c r="E71" s="37"/>
      <c r="F71" s="37"/>
      <c r="G71" s="37"/>
      <c r="H71" s="37"/>
      <c r="I71" s="37"/>
    </row>
    <row r="72" spans="1:9" ht="14.25" customHeight="1" x14ac:dyDescent="0.35">
      <c r="A72" s="36" t="s">
        <v>946</v>
      </c>
      <c r="B72" s="36" t="s">
        <v>547</v>
      </c>
      <c r="C72" s="36" t="s">
        <v>195</v>
      </c>
      <c r="D72" s="37"/>
      <c r="E72" s="37"/>
      <c r="F72" s="37"/>
      <c r="G72" s="37"/>
      <c r="H72" s="37"/>
      <c r="I72" s="37"/>
    </row>
    <row r="73" spans="1:9" ht="14.25" customHeight="1" x14ac:dyDescent="0.35">
      <c r="A73" s="36" t="s">
        <v>947</v>
      </c>
      <c r="B73" s="36" t="s">
        <v>547</v>
      </c>
      <c r="C73" s="36" t="s">
        <v>195</v>
      </c>
      <c r="D73" s="37"/>
      <c r="E73" s="37"/>
      <c r="F73" s="37"/>
      <c r="G73" s="37"/>
      <c r="H73" s="37"/>
      <c r="I73" s="37"/>
    </row>
    <row r="74" spans="1:9" ht="14.25" customHeight="1" x14ac:dyDescent="0.35">
      <c r="A74" s="36" t="s">
        <v>948</v>
      </c>
      <c r="B74" s="36" t="s">
        <v>547</v>
      </c>
      <c r="C74" s="36" t="s">
        <v>195</v>
      </c>
      <c r="D74" s="37"/>
      <c r="E74" s="37"/>
      <c r="F74" s="37"/>
      <c r="G74" s="37"/>
      <c r="H74" s="37"/>
      <c r="I74" s="37"/>
    </row>
    <row r="75" spans="1:9" ht="14.25" customHeight="1" x14ac:dyDescent="0.35">
      <c r="A75" s="36" t="s">
        <v>949</v>
      </c>
      <c r="B75" s="36" t="s">
        <v>547</v>
      </c>
      <c r="C75" s="36" t="s">
        <v>195</v>
      </c>
      <c r="D75" s="37"/>
      <c r="E75" s="37"/>
      <c r="F75" s="37"/>
      <c r="G75" s="37"/>
      <c r="H75" s="37"/>
      <c r="I75" s="37"/>
    </row>
    <row r="76" spans="1:9" ht="14.25" customHeight="1" x14ac:dyDescent="0.35">
      <c r="A76" s="36" t="s">
        <v>950</v>
      </c>
      <c r="B76" s="36" t="s">
        <v>547</v>
      </c>
      <c r="C76" s="36" t="s">
        <v>195</v>
      </c>
      <c r="D76" s="37"/>
      <c r="E76" s="37"/>
      <c r="F76" s="37"/>
      <c r="G76" s="37"/>
      <c r="H76" s="37"/>
      <c r="I76" s="37"/>
    </row>
    <row r="77" spans="1:9" ht="14.25" customHeight="1" x14ac:dyDescent="0.35">
      <c r="A77" s="36" t="s">
        <v>951</v>
      </c>
      <c r="B77" s="36" t="s">
        <v>547</v>
      </c>
      <c r="C77" s="36" t="s">
        <v>195</v>
      </c>
      <c r="D77" s="37"/>
      <c r="E77" s="37"/>
      <c r="F77" s="37"/>
      <c r="G77" s="37"/>
      <c r="H77" s="37"/>
      <c r="I77" s="37"/>
    </row>
    <row r="78" spans="1:9" ht="14.25" customHeight="1" x14ac:dyDescent="0.35">
      <c r="A78" s="36" t="s">
        <v>952</v>
      </c>
      <c r="B78" s="36" t="s">
        <v>185</v>
      </c>
      <c r="C78" s="36" t="s">
        <v>195</v>
      </c>
      <c r="D78" s="37"/>
      <c r="E78" s="37"/>
      <c r="F78" s="37"/>
      <c r="G78" s="37"/>
      <c r="H78" s="37"/>
      <c r="I78" s="37"/>
    </row>
    <row r="79" spans="1:9" ht="14.25" customHeight="1" x14ac:dyDescent="0.35">
      <c r="A79" s="36" t="s">
        <v>953</v>
      </c>
      <c r="B79" s="36" t="s">
        <v>185</v>
      </c>
      <c r="C79" s="36" t="s">
        <v>195</v>
      </c>
      <c r="D79" s="37"/>
      <c r="E79" s="37"/>
      <c r="F79" s="37"/>
      <c r="G79" s="37"/>
      <c r="H79" s="37"/>
      <c r="I79" s="37"/>
    </row>
    <row r="80" spans="1:9" ht="14.25" customHeight="1" x14ac:dyDescent="0.35">
      <c r="A80" s="36" t="s">
        <v>954</v>
      </c>
      <c r="B80" s="36" t="s">
        <v>185</v>
      </c>
      <c r="C80" s="36" t="s">
        <v>195</v>
      </c>
      <c r="D80" s="37"/>
      <c r="E80" s="37"/>
      <c r="F80" s="37"/>
      <c r="G80" s="37"/>
      <c r="H80" s="37"/>
      <c r="I80" s="37"/>
    </row>
    <row r="81" spans="1:9" ht="14.25" customHeight="1" x14ac:dyDescent="0.35">
      <c r="A81" s="36" t="s">
        <v>955</v>
      </c>
      <c r="B81" s="36" t="s">
        <v>185</v>
      </c>
      <c r="C81" s="36" t="s">
        <v>195</v>
      </c>
      <c r="D81" s="37"/>
      <c r="E81" s="37"/>
      <c r="F81" s="37"/>
      <c r="G81" s="37"/>
      <c r="H81" s="37"/>
      <c r="I81" s="37"/>
    </row>
    <row r="82" spans="1:9" ht="14.25" customHeight="1" x14ac:dyDescent="0.35">
      <c r="A82" s="36" t="s">
        <v>956</v>
      </c>
      <c r="B82" s="36" t="s">
        <v>915</v>
      </c>
      <c r="C82" s="36" t="s">
        <v>195</v>
      </c>
      <c r="D82" s="37"/>
      <c r="E82" s="37"/>
      <c r="F82" s="37"/>
      <c r="G82" s="37"/>
      <c r="H82" s="37"/>
      <c r="I82" s="37"/>
    </row>
    <row r="83" spans="1:9" ht="14.25" customHeight="1" x14ac:dyDescent="0.35">
      <c r="A83" s="36" t="s">
        <v>957</v>
      </c>
      <c r="B83" s="36" t="s">
        <v>915</v>
      </c>
      <c r="C83" s="36" t="s">
        <v>195</v>
      </c>
      <c r="D83" s="37"/>
      <c r="E83" s="37"/>
      <c r="F83" s="37"/>
      <c r="G83" s="37"/>
      <c r="H83" s="37"/>
      <c r="I83" s="37"/>
    </row>
    <row r="84" spans="1:9" ht="14.25" customHeight="1" x14ac:dyDescent="0.35">
      <c r="A84" s="36" t="s">
        <v>958</v>
      </c>
      <c r="B84" s="36" t="s">
        <v>915</v>
      </c>
      <c r="C84" s="36" t="s">
        <v>195</v>
      </c>
      <c r="D84" s="37"/>
      <c r="E84" s="37"/>
      <c r="F84" s="37"/>
      <c r="G84" s="37"/>
      <c r="H84" s="37"/>
      <c r="I84" s="37"/>
    </row>
    <row r="85" spans="1:9" ht="14.25" customHeight="1" x14ac:dyDescent="0.35">
      <c r="A85" s="36" t="s">
        <v>959</v>
      </c>
      <c r="B85" s="36" t="s">
        <v>915</v>
      </c>
      <c r="C85" s="36" t="s">
        <v>195</v>
      </c>
      <c r="D85" s="37"/>
      <c r="E85" s="37"/>
      <c r="F85" s="37"/>
      <c r="G85" s="37"/>
      <c r="H85" s="37"/>
      <c r="I85" s="37"/>
    </row>
    <row r="86" spans="1:9" ht="14.25" customHeight="1" x14ac:dyDescent="0.35">
      <c r="A86" s="36" t="s">
        <v>960</v>
      </c>
      <c r="B86" s="36" t="s">
        <v>487</v>
      </c>
      <c r="C86" s="36" t="s">
        <v>195</v>
      </c>
      <c r="D86" s="37"/>
      <c r="E86" s="37"/>
      <c r="F86" s="37"/>
      <c r="G86" s="37"/>
      <c r="H86" s="37"/>
      <c r="I86" s="37"/>
    </row>
    <row r="87" spans="1:9" ht="14.25" customHeight="1" x14ac:dyDescent="0.35">
      <c r="A87" s="36" t="s">
        <v>961</v>
      </c>
      <c r="B87" s="36" t="s">
        <v>487</v>
      </c>
      <c r="C87" s="36" t="s">
        <v>195</v>
      </c>
      <c r="D87" s="37"/>
      <c r="E87" s="37"/>
      <c r="F87" s="37"/>
      <c r="G87" s="37"/>
      <c r="H87" s="37"/>
      <c r="I87" s="37"/>
    </row>
    <row r="88" spans="1:9" ht="14.25" customHeight="1" x14ac:dyDescent="0.35">
      <c r="A88" s="36" t="s">
        <v>962</v>
      </c>
      <c r="B88" s="36" t="s">
        <v>487</v>
      </c>
      <c r="C88" s="36" t="s">
        <v>195</v>
      </c>
      <c r="D88" s="37"/>
      <c r="E88" s="37"/>
      <c r="F88" s="37"/>
      <c r="G88" s="37"/>
      <c r="H88" s="37"/>
      <c r="I88" s="37"/>
    </row>
    <row r="89" spans="1:9" ht="14.25" customHeight="1" x14ac:dyDescent="0.35">
      <c r="A89" s="36" t="s">
        <v>963</v>
      </c>
      <c r="B89" s="36" t="s">
        <v>487</v>
      </c>
      <c r="C89" s="36" t="s">
        <v>195</v>
      </c>
      <c r="D89" s="37"/>
      <c r="E89" s="37"/>
      <c r="F89" s="37"/>
      <c r="G89" s="37"/>
      <c r="H89" s="37"/>
      <c r="I89" s="37"/>
    </row>
    <row r="90" spans="1:9" ht="14.25" customHeight="1" x14ac:dyDescent="0.35">
      <c r="A90" s="36" t="s">
        <v>964</v>
      </c>
      <c r="B90" s="36" t="s">
        <v>965</v>
      </c>
      <c r="C90" s="36" t="s">
        <v>653</v>
      </c>
      <c r="D90" s="37"/>
      <c r="E90" s="37"/>
      <c r="F90" s="37"/>
      <c r="G90" s="37"/>
      <c r="H90" s="37"/>
      <c r="I90" s="37"/>
    </row>
    <row r="91" spans="1:9" ht="14.25" customHeight="1" x14ac:dyDescent="0.35">
      <c r="A91" s="36" t="s">
        <v>966</v>
      </c>
      <c r="B91" s="36" t="s">
        <v>965</v>
      </c>
      <c r="C91" s="36" t="s">
        <v>653</v>
      </c>
      <c r="D91" s="37"/>
      <c r="E91" s="37"/>
      <c r="F91" s="37"/>
      <c r="G91" s="37"/>
      <c r="H91" s="37"/>
      <c r="I91" s="37"/>
    </row>
    <row r="92" spans="1:9" ht="14.25" customHeight="1" x14ac:dyDescent="0.35">
      <c r="A92" s="36" t="s">
        <v>967</v>
      </c>
      <c r="B92" s="36" t="s">
        <v>965</v>
      </c>
      <c r="C92" s="36" t="s">
        <v>653</v>
      </c>
      <c r="D92" s="37"/>
      <c r="E92" s="37"/>
      <c r="F92" s="37"/>
      <c r="G92" s="37"/>
      <c r="H92" s="37"/>
      <c r="I92" s="37"/>
    </row>
    <row r="93" spans="1:9" ht="14.25" customHeight="1" x14ac:dyDescent="0.35">
      <c r="A93" s="36" t="s">
        <v>968</v>
      </c>
      <c r="B93" s="36" t="s">
        <v>965</v>
      </c>
      <c r="C93" s="36" t="s">
        <v>653</v>
      </c>
      <c r="D93" s="37"/>
      <c r="E93" s="37"/>
      <c r="F93" s="37"/>
      <c r="G93" s="37"/>
      <c r="H93" s="37"/>
      <c r="I93" s="37"/>
    </row>
    <row r="94" spans="1:9" ht="14.25" customHeight="1" x14ac:dyDescent="0.35">
      <c r="A94" s="36" t="s">
        <v>969</v>
      </c>
      <c r="B94" s="36" t="s">
        <v>965</v>
      </c>
      <c r="C94" s="36" t="s">
        <v>653</v>
      </c>
      <c r="D94" s="37"/>
      <c r="E94" s="37"/>
      <c r="F94" s="37"/>
      <c r="G94" s="37"/>
      <c r="H94" s="37"/>
      <c r="I94" s="37"/>
    </row>
    <row r="95" spans="1:9" ht="14.25" customHeight="1" x14ac:dyDescent="0.35">
      <c r="A95" s="36" t="s">
        <v>970</v>
      </c>
      <c r="B95" s="36" t="s">
        <v>965</v>
      </c>
      <c r="C95" s="36" t="s">
        <v>653</v>
      </c>
      <c r="D95" s="37"/>
      <c r="E95" s="37"/>
      <c r="F95" s="37"/>
      <c r="G95" s="37"/>
      <c r="H95" s="37"/>
      <c r="I95" s="37"/>
    </row>
    <row r="96" spans="1:9" ht="14.25" customHeight="1" x14ac:dyDescent="0.35">
      <c r="A96" s="36" t="s">
        <v>971</v>
      </c>
      <c r="B96" s="36" t="s">
        <v>965</v>
      </c>
      <c r="C96" s="36" t="s">
        <v>653</v>
      </c>
      <c r="D96" s="37"/>
      <c r="E96" s="37"/>
      <c r="F96" s="37"/>
      <c r="G96" s="37"/>
      <c r="H96" s="37"/>
      <c r="I96" s="37"/>
    </row>
    <row r="97" spans="1:9" ht="14.25" customHeight="1" x14ac:dyDescent="0.35">
      <c r="A97" s="36" t="s">
        <v>972</v>
      </c>
      <c r="B97" s="36" t="s">
        <v>965</v>
      </c>
      <c r="C97" s="36" t="s">
        <v>653</v>
      </c>
      <c r="D97" s="37"/>
      <c r="E97" s="37"/>
      <c r="F97" s="37"/>
      <c r="G97" s="37"/>
      <c r="H97" s="37"/>
      <c r="I97" s="37"/>
    </row>
    <row r="98" spans="1:9" ht="14.25" customHeight="1" x14ac:dyDescent="0.35">
      <c r="A98" s="36" t="s">
        <v>973</v>
      </c>
      <c r="B98" s="36" t="s">
        <v>654</v>
      </c>
      <c r="C98" s="36" t="s">
        <v>653</v>
      </c>
      <c r="D98" s="37"/>
      <c r="E98" s="37"/>
      <c r="F98" s="37"/>
      <c r="G98" s="37"/>
      <c r="H98" s="37"/>
      <c r="I98" s="37"/>
    </row>
    <row r="99" spans="1:9" ht="14.25" customHeight="1" x14ac:dyDescent="0.35">
      <c r="A99" s="36" t="s">
        <v>974</v>
      </c>
      <c r="B99" s="36" t="s">
        <v>654</v>
      </c>
      <c r="C99" s="36" t="s">
        <v>653</v>
      </c>
      <c r="D99" s="37"/>
      <c r="E99" s="37"/>
      <c r="F99" s="37"/>
      <c r="G99" s="37"/>
      <c r="H99" s="37"/>
      <c r="I99" s="37"/>
    </row>
    <row r="100" spans="1:9" ht="14.25" customHeight="1" x14ac:dyDescent="0.35">
      <c r="A100" s="36" t="s">
        <v>975</v>
      </c>
      <c r="B100" s="36" t="s">
        <v>654</v>
      </c>
      <c r="C100" s="36" t="s">
        <v>653</v>
      </c>
      <c r="D100" s="37"/>
      <c r="E100" s="37"/>
      <c r="F100" s="37"/>
      <c r="G100" s="37"/>
      <c r="H100" s="37"/>
      <c r="I100" s="37"/>
    </row>
    <row r="101" spans="1:9" ht="14.25" customHeight="1" x14ac:dyDescent="0.35">
      <c r="A101" s="36" t="s">
        <v>976</v>
      </c>
      <c r="B101" s="36" t="s">
        <v>654</v>
      </c>
      <c r="C101" s="36" t="s">
        <v>653</v>
      </c>
      <c r="D101" s="37"/>
      <c r="E101" s="37"/>
      <c r="F101" s="37"/>
      <c r="G101" s="37"/>
      <c r="H101" s="37"/>
      <c r="I101" s="37"/>
    </row>
    <row r="102" spans="1:9" ht="14.25" customHeight="1" x14ac:dyDescent="0.35">
      <c r="A102" s="36" t="s">
        <v>977</v>
      </c>
      <c r="B102" s="36" t="s">
        <v>654</v>
      </c>
      <c r="C102" s="36" t="s">
        <v>653</v>
      </c>
      <c r="D102" s="37"/>
      <c r="E102" s="37"/>
      <c r="F102" s="37"/>
      <c r="G102" s="37"/>
      <c r="H102" s="37"/>
      <c r="I102" s="37"/>
    </row>
    <row r="103" spans="1:9" ht="14.25" customHeight="1" x14ac:dyDescent="0.35">
      <c r="A103" s="36" t="s">
        <v>655</v>
      </c>
      <c r="B103" s="36" t="s">
        <v>654</v>
      </c>
      <c r="C103" s="36" t="s">
        <v>653</v>
      </c>
      <c r="D103" s="37"/>
      <c r="E103" s="37"/>
      <c r="F103" s="37"/>
      <c r="G103" s="37"/>
      <c r="H103" s="37"/>
      <c r="I103" s="37"/>
    </row>
    <row r="104" spans="1:9" ht="14.25" customHeight="1" x14ac:dyDescent="0.35">
      <c r="A104" s="36" t="s">
        <v>978</v>
      </c>
      <c r="B104" s="36" t="s">
        <v>654</v>
      </c>
      <c r="C104" s="36" t="s">
        <v>653</v>
      </c>
      <c r="D104" s="37"/>
      <c r="E104" s="37"/>
      <c r="F104" s="37"/>
      <c r="G104" s="37"/>
      <c r="H104" s="37"/>
      <c r="I104" s="37"/>
    </row>
    <row r="105" spans="1:9" ht="14.25" customHeight="1" x14ac:dyDescent="0.35">
      <c r="A105" s="36" t="s">
        <v>979</v>
      </c>
      <c r="B105" s="36" t="s">
        <v>654</v>
      </c>
      <c r="C105" s="36" t="s">
        <v>653</v>
      </c>
      <c r="D105" s="37"/>
      <c r="E105" s="37"/>
      <c r="F105" s="37"/>
      <c r="G105" s="37"/>
      <c r="H105" s="37"/>
      <c r="I105" s="37"/>
    </row>
    <row r="106" spans="1:9" ht="14.25" customHeight="1" x14ac:dyDescent="0.35">
      <c r="A106" s="36" t="s">
        <v>973</v>
      </c>
      <c r="B106" s="36" t="s">
        <v>917</v>
      </c>
      <c r="C106" s="36" t="s">
        <v>653</v>
      </c>
      <c r="D106" s="37"/>
      <c r="E106" s="37"/>
      <c r="F106" s="37"/>
      <c r="G106" s="37"/>
      <c r="H106" s="37"/>
      <c r="I106" s="37"/>
    </row>
    <row r="107" spans="1:9" ht="14.25" customHeight="1" x14ac:dyDescent="0.35">
      <c r="A107" s="36" t="s">
        <v>974</v>
      </c>
      <c r="B107" s="36" t="s">
        <v>917</v>
      </c>
      <c r="C107" s="36" t="s">
        <v>653</v>
      </c>
      <c r="D107" s="37"/>
      <c r="E107" s="37"/>
      <c r="F107" s="37"/>
      <c r="G107" s="37"/>
      <c r="H107" s="37"/>
      <c r="I107" s="37"/>
    </row>
    <row r="108" spans="1:9" ht="14.25" customHeight="1" x14ac:dyDescent="0.35">
      <c r="A108" s="36" t="s">
        <v>978</v>
      </c>
      <c r="B108" s="36" t="s">
        <v>917</v>
      </c>
      <c r="C108" s="36" t="s">
        <v>653</v>
      </c>
      <c r="D108" s="37"/>
      <c r="E108" s="37"/>
      <c r="F108" s="37"/>
      <c r="G108" s="37"/>
      <c r="H108" s="37"/>
      <c r="I108" s="37"/>
    </row>
    <row r="109" spans="1:9" ht="14.25" customHeight="1" x14ac:dyDescent="0.35">
      <c r="A109" s="36" t="s">
        <v>980</v>
      </c>
      <c r="B109" s="36" t="s">
        <v>917</v>
      </c>
      <c r="C109" s="36" t="s">
        <v>653</v>
      </c>
      <c r="D109" s="37"/>
      <c r="E109" s="37"/>
      <c r="F109" s="37"/>
      <c r="G109" s="37"/>
      <c r="H109" s="37"/>
      <c r="I109" s="37"/>
    </row>
    <row r="110" spans="1:9" ht="14.25" customHeight="1" x14ac:dyDescent="0.35">
      <c r="A110" s="36" t="s">
        <v>981</v>
      </c>
      <c r="B110" s="36" t="s">
        <v>982</v>
      </c>
      <c r="C110" s="36" t="s">
        <v>653</v>
      </c>
      <c r="D110" s="37"/>
      <c r="E110" s="37"/>
      <c r="F110" s="37"/>
      <c r="G110" s="37"/>
      <c r="H110" s="37"/>
      <c r="I110" s="37"/>
    </row>
    <row r="111" spans="1:9" ht="14.25" customHeight="1" x14ac:dyDescent="0.35">
      <c r="A111" s="36" t="s">
        <v>983</v>
      </c>
      <c r="B111" s="36" t="s">
        <v>982</v>
      </c>
      <c r="C111" s="36" t="s">
        <v>653</v>
      </c>
      <c r="D111" s="37"/>
      <c r="E111" s="37"/>
      <c r="F111" s="37"/>
      <c r="G111" s="37"/>
      <c r="H111" s="37"/>
      <c r="I111" s="37"/>
    </row>
    <row r="112" spans="1:9" ht="14.25" customHeight="1" x14ac:dyDescent="0.35">
      <c r="A112" s="36" t="s">
        <v>984</v>
      </c>
      <c r="B112" s="36" t="s">
        <v>982</v>
      </c>
      <c r="C112" s="36" t="s">
        <v>653</v>
      </c>
      <c r="D112" s="37"/>
      <c r="E112" s="37"/>
      <c r="F112" s="37"/>
      <c r="G112" s="37"/>
      <c r="H112" s="37"/>
      <c r="I112" s="37"/>
    </row>
    <row r="113" spans="1:9" ht="14.25" customHeight="1" x14ac:dyDescent="0.35">
      <c r="A113" s="36" t="s">
        <v>985</v>
      </c>
      <c r="B113" s="36" t="s">
        <v>982</v>
      </c>
      <c r="C113" s="36" t="s">
        <v>653</v>
      </c>
      <c r="D113" s="37"/>
      <c r="E113" s="37"/>
      <c r="F113" s="37"/>
      <c r="G113" s="37"/>
      <c r="H113" s="37"/>
      <c r="I113" s="37"/>
    </row>
    <row r="114" spans="1:9" ht="14.25" customHeight="1" x14ac:dyDescent="0.35">
      <c r="A114" s="36" t="s">
        <v>986</v>
      </c>
      <c r="B114" s="36" t="s">
        <v>982</v>
      </c>
      <c r="C114" s="36" t="s">
        <v>653</v>
      </c>
      <c r="D114" s="37"/>
      <c r="E114" s="37"/>
      <c r="F114" s="37"/>
      <c r="G114" s="37"/>
      <c r="H114" s="37"/>
      <c r="I114" s="37"/>
    </row>
    <row r="115" spans="1:9" ht="14.25" customHeight="1" x14ac:dyDescent="0.35">
      <c r="A115" s="36" t="s">
        <v>987</v>
      </c>
      <c r="B115" s="36" t="s">
        <v>982</v>
      </c>
      <c r="C115" s="36" t="s">
        <v>653</v>
      </c>
      <c r="D115" s="37"/>
      <c r="E115" s="37"/>
      <c r="F115" s="37"/>
      <c r="G115" s="37"/>
      <c r="H115" s="37"/>
      <c r="I115" s="37"/>
    </row>
    <row r="116" spans="1:9" ht="14.25" customHeight="1" x14ac:dyDescent="0.35">
      <c r="A116" s="36" t="s">
        <v>988</v>
      </c>
      <c r="B116" s="36" t="s">
        <v>982</v>
      </c>
      <c r="C116" s="36" t="s">
        <v>653</v>
      </c>
      <c r="D116" s="37"/>
      <c r="E116" s="37"/>
      <c r="F116" s="37"/>
      <c r="G116" s="37"/>
      <c r="H116" s="37"/>
      <c r="I116" s="37"/>
    </row>
    <row r="117" spans="1:9" ht="14.25" customHeight="1" x14ac:dyDescent="0.35">
      <c r="A117" s="36" t="s">
        <v>989</v>
      </c>
      <c r="B117" s="36" t="s">
        <v>315</v>
      </c>
      <c r="C117" s="36" t="s">
        <v>97</v>
      </c>
      <c r="D117" s="37"/>
      <c r="E117" s="37"/>
      <c r="F117" s="37"/>
      <c r="G117" s="37"/>
      <c r="H117" s="37"/>
      <c r="I117" s="37"/>
    </row>
    <row r="118" spans="1:9" ht="14.25" customHeight="1" x14ac:dyDescent="0.35">
      <c r="A118" s="36" t="s">
        <v>990</v>
      </c>
      <c r="B118" s="36" t="s">
        <v>766</v>
      </c>
      <c r="C118" s="36" t="s">
        <v>97</v>
      </c>
      <c r="D118" s="37"/>
      <c r="E118" s="37"/>
      <c r="F118" s="37"/>
      <c r="G118" s="37"/>
      <c r="H118" s="37"/>
      <c r="I118" s="37"/>
    </row>
    <row r="119" spans="1:9" ht="14.25" customHeight="1" x14ac:dyDescent="0.35">
      <c r="A119" s="36" t="s">
        <v>765</v>
      </c>
      <c r="B119" s="36" t="s">
        <v>766</v>
      </c>
      <c r="C119" s="36" t="s">
        <v>97</v>
      </c>
      <c r="D119" s="37"/>
      <c r="E119" s="37"/>
      <c r="F119" s="37"/>
      <c r="G119" s="37"/>
      <c r="H119" s="37"/>
      <c r="I119" s="37"/>
    </row>
    <row r="120" spans="1:9" ht="14.25" customHeight="1" x14ac:dyDescent="0.35">
      <c r="A120" s="36" t="s">
        <v>991</v>
      </c>
      <c r="B120" s="36" t="s">
        <v>766</v>
      </c>
      <c r="C120" s="36" t="s">
        <v>97</v>
      </c>
      <c r="D120" s="37"/>
      <c r="E120" s="37"/>
      <c r="F120" s="37"/>
      <c r="G120" s="37"/>
      <c r="H120" s="37"/>
      <c r="I120" s="37"/>
    </row>
    <row r="121" spans="1:9" ht="14.25" customHeight="1" x14ac:dyDescent="0.35">
      <c r="A121" s="36" t="s">
        <v>992</v>
      </c>
      <c r="B121" s="36" t="s">
        <v>766</v>
      </c>
      <c r="C121" s="36" t="s">
        <v>97</v>
      </c>
      <c r="D121" s="37"/>
      <c r="E121" s="37"/>
      <c r="F121" s="37"/>
      <c r="G121" s="37"/>
      <c r="H121" s="37"/>
      <c r="I121" s="37"/>
    </row>
    <row r="122" spans="1:9" ht="14.25" customHeight="1" x14ac:dyDescent="0.35">
      <c r="A122" s="36" t="s">
        <v>316</v>
      </c>
      <c r="B122" s="36" t="s">
        <v>205</v>
      </c>
      <c r="C122" s="36" t="s">
        <v>97</v>
      </c>
      <c r="D122" s="37"/>
      <c r="E122" s="37"/>
      <c r="F122" s="37"/>
      <c r="G122" s="37"/>
      <c r="H122" s="37"/>
      <c r="I122" s="37"/>
    </row>
    <row r="123" spans="1:9" ht="14.25" customHeight="1" x14ac:dyDescent="0.35">
      <c r="A123" s="36" t="s">
        <v>993</v>
      </c>
      <c r="B123" s="36" t="s">
        <v>205</v>
      </c>
      <c r="C123" s="36" t="s">
        <v>97</v>
      </c>
      <c r="D123" s="37"/>
      <c r="E123" s="37"/>
      <c r="F123" s="37"/>
      <c r="G123" s="37"/>
      <c r="H123" s="37"/>
      <c r="I123" s="37"/>
    </row>
    <row r="124" spans="1:9" ht="14.25" customHeight="1" x14ac:dyDescent="0.35">
      <c r="A124" s="36" t="s">
        <v>994</v>
      </c>
      <c r="B124" s="36" t="s">
        <v>205</v>
      </c>
      <c r="C124" s="36" t="s">
        <v>97</v>
      </c>
      <c r="D124" s="37"/>
      <c r="E124" s="37"/>
      <c r="F124" s="37"/>
      <c r="G124" s="37"/>
      <c r="H124" s="37"/>
      <c r="I124" s="37"/>
    </row>
    <row r="125" spans="1:9" ht="14.25" customHeight="1" x14ac:dyDescent="0.35">
      <c r="A125" s="36" t="s">
        <v>995</v>
      </c>
      <c r="B125" s="36" t="s">
        <v>996</v>
      </c>
      <c r="C125" s="36" t="s">
        <v>97</v>
      </c>
      <c r="D125" s="37"/>
      <c r="E125" s="37"/>
      <c r="F125" s="37"/>
      <c r="G125" s="37"/>
      <c r="H125" s="37"/>
      <c r="I125" s="37"/>
    </row>
    <row r="126" spans="1:9" ht="14.25" customHeight="1" x14ac:dyDescent="0.35">
      <c r="A126" s="36" t="s">
        <v>997</v>
      </c>
      <c r="B126" s="36" t="s">
        <v>996</v>
      </c>
      <c r="C126" s="36" t="s">
        <v>97</v>
      </c>
      <c r="D126" s="37"/>
      <c r="E126" s="37"/>
      <c r="F126" s="37"/>
      <c r="G126" s="37"/>
      <c r="H126" s="37"/>
      <c r="I126" s="37"/>
    </row>
    <row r="127" spans="1:9" ht="14.25" customHeight="1" x14ac:dyDescent="0.35">
      <c r="A127" s="36" t="s">
        <v>998</v>
      </c>
      <c r="B127" s="36" t="s">
        <v>996</v>
      </c>
      <c r="C127" s="36" t="s">
        <v>97</v>
      </c>
      <c r="D127" s="37"/>
      <c r="E127" s="37"/>
      <c r="F127" s="37"/>
      <c r="G127" s="37"/>
      <c r="H127" s="37"/>
      <c r="I127" s="37"/>
    </row>
    <row r="128" spans="1:9" ht="14.25" customHeight="1" x14ac:dyDescent="0.35">
      <c r="A128" s="36" t="s">
        <v>999</v>
      </c>
      <c r="B128" s="36" t="s">
        <v>996</v>
      </c>
      <c r="C128" s="36" t="s">
        <v>97</v>
      </c>
      <c r="D128" s="37"/>
      <c r="E128" s="37"/>
      <c r="F128" s="37"/>
      <c r="G128" s="37"/>
      <c r="H128" s="37"/>
      <c r="I128" s="37"/>
    </row>
    <row r="129" spans="1:9" ht="14.25" customHeight="1" x14ac:dyDescent="0.35">
      <c r="A129" s="36" t="s">
        <v>1000</v>
      </c>
      <c r="B129" s="36" t="s">
        <v>996</v>
      </c>
      <c r="C129" s="36" t="s">
        <v>97</v>
      </c>
      <c r="D129" s="37"/>
      <c r="E129" s="37"/>
      <c r="F129" s="37"/>
      <c r="G129" s="37"/>
      <c r="H129" s="37"/>
      <c r="I129" s="37"/>
    </row>
    <row r="130" spans="1:9" ht="14.25" customHeight="1" x14ac:dyDescent="0.35">
      <c r="A130" s="36" t="s">
        <v>1001</v>
      </c>
      <c r="B130" s="36" t="s">
        <v>1002</v>
      </c>
      <c r="C130" s="36" t="s">
        <v>97</v>
      </c>
      <c r="D130" s="37"/>
      <c r="E130" s="37"/>
      <c r="F130" s="37"/>
      <c r="G130" s="37"/>
      <c r="H130" s="37"/>
      <c r="I130" s="37"/>
    </row>
    <row r="131" spans="1:9" ht="14.25" customHeight="1" x14ac:dyDescent="0.35">
      <c r="A131" s="36" t="s">
        <v>1003</v>
      </c>
      <c r="B131" s="36" t="s">
        <v>1002</v>
      </c>
      <c r="C131" s="36" t="s">
        <v>97</v>
      </c>
      <c r="D131" s="37"/>
      <c r="E131" s="37"/>
      <c r="F131" s="37"/>
      <c r="G131" s="37"/>
      <c r="H131" s="37"/>
      <c r="I131" s="37"/>
    </row>
    <row r="132" spans="1:9" ht="14.25" customHeight="1" x14ac:dyDescent="0.35">
      <c r="A132" s="36" t="s">
        <v>1004</v>
      </c>
      <c r="B132" s="36" t="s">
        <v>1002</v>
      </c>
      <c r="C132" s="36" t="s">
        <v>97</v>
      </c>
      <c r="D132" s="37"/>
      <c r="E132" s="37"/>
      <c r="F132" s="37"/>
      <c r="G132" s="37"/>
      <c r="H132" s="37"/>
      <c r="I132" s="37"/>
    </row>
    <row r="133" spans="1:9" ht="14.25" customHeight="1" x14ac:dyDescent="0.35">
      <c r="A133" s="36" t="s">
        <v>1005</v>
      </c>
      <c r="B133" s="36" t="s">
        <v>1002</v>
      </c>
      <c r="C133" s="36" t="s">
        <v>97</v>
      </c>
      <c r="D133" s="37"/>
      <c r="E133" s="37"/>
      <c r="F133" s="37"/>
      <c r="G133" s="37"/>
      <c r="H133" s="37"/>
      <c r="I133" s="37"/>
    </row>
    <row r="134" spans="1:9" ht="14.25" customHeight="1" x14ac:dyDescent="0.35">
      <c r="A134" s="36" t="s">
        <v>1006</v>
      </c>
      <c r="B134" s="36" t="s">
        <v>1002</v>
      </c>
      <c r="C134" s="36" t="s">
        <v>97</v>
      </c>
      <c r="D134" s="37"/>
      <c r="E134" s="37"/>
      <c r="F134" s="37"/>
      <c r="G134" s="37"/>
      <c r="H134" s="37"/>
      <c r="I134" s="37"/>
    </row>
    <row r="135" spans="1:9" ht="14.25" customHeight="1" x14ac:dyDescent="0.35">
      <c r="A135" s="36" t="s">
        <v>1007</v>
      </c>
      <c r="B135" s="36" t="s">
        <v>1002</v>
      </c>
      <c r="C135" s="36" t="s">
        <v>97</v>
      </c>
      <c r="D135" s="37"/>
      <c r="E135" s="37"/>
      <c r="F135" s="37"/>
      <c r="G135" s="37"/>
      <c r="H135" s="37"/>
      <c r="I135" s="37"/>
    </row>
    <row r="136" spans="1:9" ht="14.25" customHeight="1" x14ac:dyDescent="0.35">
      <c r="A136" s="36" t="s">
        <v>1008</v>
      </c>
      <c r="B136" s="36" t="s">
        <v>1009</v>
      </c>
      <c r="C136" s="36" t="s">
        <v>685</v>
      </c>
      <c r="D136" s="37"/>
      <c r="E136" s="37"/>
      <c r="F136" s="37"/>
      <c r="G136" s="37"/>
      <c r="H136" s="37"/>
      <c r="I136" s="37"/>
    </row>
    <row r="137" spans="1:9" ht="14.25" customHeight="1" x14ac:dyDescent="0.35">
      <c r="A137" s="36" t="s">
        <v>1010</v>
      </c>
      <c r="B137" s="36" t="s">
        <v>1009</v>
      </c>
      <c r="C137" s="36" t="s">
        <v>685</v>
      </c>
      <c r="D137" s="37"/>
      <c r="E137" s="37"/>
      <c r="F137" s="37"/>
      <c r="G137" s="37"/>
      <c r="H137" s="37"/>
      <c r="I137" s="37"/>
    </row>
    <row r="138" spans="1:9" ht="14.25" customHeight="1" x14ac:dyDescent="0.35">
      <c r="A138" s="36" t="s">
        <v>1011</v>
      </c>
      <c r="B138" s="36" t="s">
        <v>1009</v>
      </c>
      <c r="C138" s="36" t="s">
        <v>685</v>
      </c>
      <c r="D138" s="37"/>
      <c r="E138" s="37"/>
      <c r="F138" s="37"/>
      <c r="G138" s="37"/>
      <c r="H138" s="37"/>
      <c r="I138" s="37"/>
    </row>
    <row r="139" spans="1:9" ht="14.25" customHeight="1" x14ac:dyDescent="0.35">
      <c r="A139" s="36" t="s">
        <v>1012</v>
      </c>
      <c r="B139" s="36" t="s">
        <v>613</v>
      </c>
      <c r="C139" s="36" t="s">
        <v>685</v>
      </c>
      <c r="D139" s="37"/>
      <c r="E139" s="37"/>
      <c r="F139" s="37"/>
      <c r="G139" s="37"/>
      <c r="H139" s="37"/>
      <c r="I139" s="37"/>
    </row>
    <row r="140" spans="1:9" ht="14.25" customHeight="1" x14ac:dyDescent="0.35">
      <c r="A140" s="36" t="s">
        <v>1013</v>
      </c>
      <c r="B140" s="36" t="s">
        <v>613</v>
      </c>
      <c r="C140" s="36" t="s">
        <v>685</v>
      </c>
      <c r="D140" s="37"/>
      <c r="E140" s="37"/>
      <c r="F140" s="37"/>
      <c r="G140" s="37"/>
      <c r="H140" s="37"/>
      <c r="I140" s="37"/>
    </row>
    <row r="141" spans="1:9" ht="14.25" customHeight="1" x14ac:dyDescent="0.35">
      <c r="A141" s="36" t="s">
        <v>1014</v>
      </c>
      <c r="B141" s="36" t="s">
        <v>613</v>
      </c>
      <c r="C141" s="36" t="s">
        <v>685</v>
      </c>
      <c r="D141" s="37"/>
      <c r="E141" s="37"/>
      <c r="F141" s="37"/>
      <c r="G141" s="37"/>
      <c r="H141" s="37"/>
      <c r="I141" s="37"/>
    </row>
    <row r="142" spans="1:9" ht="14.25" customHeight="1" x14ac:dyDescent="0.35">
      <c r="A142" s="36" t="s">
        <v>1015</v>
      </c>
      <c r="B142" s="36" t="s">
        <v>613</v>
      </c>
      <c r="C142" s="36" t="s">
        <v>685</v>
      </c>
      <c r="D142" s="37"/>
      <c r="E142" s="37"/>
      <c r="F142" s="37"/>
      <c r="G142" s="37"/>
      <c r="H142" s="37"/>
      <c r="I142" s="37"/>
    </row>
    <row r="143" spans="1:9" ht="14.25" customHeight="1" x14ac:dyDescent="0.35">
      <c r="A143" s="36" t="s">
        <v>1016</v>
      </c>
      <c r="B143" s="36" t="s">
        <v>613</v>
      </c>
      <c r="C143" s="36" t="s">
        <v>685</v>
      </c>
      <c r="D143" s="37"/>
      <c r="E143" s="37"/>
      <c r="F143" s="37"/>
      <c r="G143" s="37"/>
      <c r="H143" s="37"/>
      <c r="I143" s="37"/>
    </row>
    <row r="144" spans="1:9" ht="14.25" customHeight="1" x14ac:dyDescent="0.35">
      <c r="A144" s="36" t="s">
        <v>1017</v>
      </c>
      <c r="B144" s="36" t="s">
        <v>613</v>
      </c>
      <c r="C144" s="36" t="s">
        <v>685</v>
      </c>
      <c r="D144" s="37"/>
      <c r="E144" s="37"/>
      <c r="F144" s="37"/>
      <c r="G144" s="37"/>
      <c r="H144" s="37"/>
      <c r="I144" s="37"/>
    </row>
    <row r="145" spans="1:9" ht="14.25" customHeight="1" x14ac:dyDescent="0.35">
      <c r="A145" s="36" t="s">
        <v>1018</v>
      </c>
      <c r="B145" s="36" t="s">
        <v>613</v>
      </c>
      <c r="C145" s="36" t="s">
        <v>685</v>
      </c>
      <c r="D145" s="37"/>
      <c r="E145" s="37"/>
      <c r="F145" s="37"/>
      <c r="G145" s="37"/>
      <c r="H145" s="37"/>
      <c r="I145" s="37"/>
    </row>
    <row r="146" spans="1:9" ht="14.25" customHeight="1" x14ac:dyDescent="0.35">
      <c r="A146" s="36" t="s">
        <v>687</v>
      </c>
      <c r="B146" s="36" t="s">
        <v>613</v>
      </c>
      <c r="C146" s="36" t="s">
        <v>685</v>
      </c>
      <c r="D146" s="37"/>
      <c r="E146" s="37"/>
      <c r="F146" s="37"/>
      <c r="G146" s="37"/>
      <c r="H146" s="37"/>
      <c r="I146" s="37"/>
    </row>
    <row r="147" spans="1:9" ht="14.25" customHeight="1" x14ac:dyDescent="0.35">
      <c r="A147" s="36" t="s">
        <v>1019</v>
      </c>
      <c r="B147" s="36" t="s">
        <v>613</v>
      </c>
      <c r="C147" s="36" t="s">
        <v>685</v>
      </c>
      <c r="D147" s="37"/>
      <c r="E147" s="37"/>
      <c r="F147" s="37"/>
      <c r="G147" s="37"/>
      <c r="H147" s="37"/>
      <c r="I147" s="37"/>
    </row>
    <row r="148" spans="1:9" ht="14.25" customHeight="1" x14ac:dyDescent="0.35">
      <c r="A148" s="36" t="s">
        <v>1020</v>
      </c>
      <c r="B148" s="36" t="s">
        <v>613</v>
      </c>
      <c r="C148" s="36" t="s">
        <v>685</v>
      </c>
      <c r="D148" s="37"/>
      <c r="E148" s="37"/>
      <c r="F148" s="37"/>
      <c r="G148" s="37"/>
      <c r="H148" s="37"/>
      <c r="I148" s="37"/>
    </row>
    <row r="149" spans="1:9" ht="14.25" customHeight="1" x14ac:dyDescent="0.35">
      <c r="A149" s="36" t="s">
        <v>1021</v>
      </c>
      <c r="B149" s="36" t="s">
        <v>613</v>
      </c>
      <c r="C149" s="36" t="s">
        <v>685</v>
      </c>
      <c r="D149" s="37"/>
      <c r="E149" s="37"/>
      <c r="F149" s="37"/>
      <c r="G149" s="37"/>
      <c r="H149" s="37"/>
      <c r="I149" s="37"/>
    </row>
    <row r="150" spans="1:9" ht="14.25" customHeight="1" x14ac:dyDescent="0.35">
      <c r="A150" s="36" t="s">
        <v>1022</v>
      </c>
      <c r="B150" s="36" t="s">
        <v>613</v>
      </c>
      <c r="C150" s="36" t="s">
        <v>685</v>
      </c>
      <c r="D150" s="37"/>
      <c r="E150" s="37"/>
      <c r="F150" s="37"/>
      <c r="G150" s="37"/>
      <c r="H150" s="37"/>
      <c r="I150" s="37"/>
    </row>
    <row r="151" spans="1:9" ht="14.25" customHeight="1" x14ac:dyDescent="0.35">
      <c r="A151" s="36" t="s">
        <v>1023</v>
      </c>
      <c r="B151" s="36" t="s">
        <v>613</v>
      </c>
      <c r="C151" s="36" t="s">
        <v>685</v>
      </c>
      <c r="D151" s="37"/>
      <c r="E151" s="37"/>
      <c r="F151" s="37"/>
      <c r="G151" s="37"/>
      <c r="H151" s="37"/>
      <c r="I151" s="37"/>
    </row>
    <row r="152" spans="1:9" ht="14.25" customHeight="1" x14ac:dyDescent="0.35">
      <c r="A152" s="36" t="s">
        <v>1024</v>
      </c>
      <c r="B152" s="36" t="s">
        <v>613</v>
      </c>
      <c r="C152" s="36" t="s">
        <v>685</v>
      </c>
      <c r="D152" s="37"/>
      <c r="E152" s="37"/>
      <c r="F152" s="37"/>
      <c r="G152" s="37"/>
      <c r="H152" s="37"/>
      <c r="I152" s="37"/>
    </row>
    <row r="153" spans="1:9" ht="14.25" customHeight="1" x14ac:dyDescent="0.35">
      <c r="A153" s="36" t="s">
        <v>1025</v>
      </c>
      <c r="B153" s="36" t="s">
        <v>1026</v>
      </c>
      <c r="C153" s="36" t="s">
        <v>685</v>
      </c>
      <c r="D153" s="37"/>
      <c r="E153" s="37"/>
      <c r="F153" s="37"/>
      <c r="G153" s="37"/>
      <c r="H153" s="37"/>
      <c r="I153" s="37"/>
    </row>
    <row r="154" spans="1:9" ht="14.25" customHeight="1" x14ac:dyDescent="0.35">
      <c r="A154" s="36" t="s">
        <v>1025</v>
      </c>
      <c r="B154" s="36" t="s">
        <v>1026</v>
      </c>
      <c r="C154" s="36" t="s">
        <v>685</v>
      </c>
      <c r="D154" s="37"/>
      <c r="E154" s="37"/>
      <c r="F154" s="37"/>
      <c r="G154" s="37"/>
      <c r="H154" s="37"/>
      <c r="I154" s="37"/>
    </row>
    <row r="155" spans="1:9" ht="14.25" customHeight="1" x14ac:dyDescent="0.35">
      <c r="A155" s="36" t="s">
        <v>1027</v>
      </c>
      <c r="B155" s="36" t="s">
        <v>1026</v>
      </c>
      <c r="C155" s="36" t="s">
        <v>685</v>
      </c>
      <c r="D155" s="37"/>
      <c r="E155" s="37"/>
      <c r="F155" s="37"/>
      <c r="G155" s="37"/>
      <c r="H155" s="37"/>
      <c r="I155" s="37"/>
    </row>
    <row r="156" spans="1:9" ht="14.25" customHeight="1" x14ac:dyDescent="0.35">
      <c r="A156" s="36" t="s">
        <v>1028</v>
      </c>
      <c r="B156" s="36" t="s">
        <v>1026</v>
      </c>
      <c r="C156" s="36" t="s">
        <v>685</v>
      </c>
      <c r="D156" s="37"/>
      <c r="E156" s="37"/>
      <c r="F156" s="37"/>
      <c r="G156" s="37"/>
      <c r="H156" s="37"/>
      <c r="I156" s="37"/>
    </row>
    <row r="157" spans="1:9" ht="14.25" customHeight="1" x14ac:dyDescent="0.35">
      <c r="A157" s="36" t="s">
        <v>1029</v>
      </c>
      <c r="B157" s="36" t="s">
        <v>1026</v>
      </c>
      <c r="C157" s="36" t="s">
        <v>685</v>
      </c>
      <c r="D157" s="37"/>
      <c r="E157" s="37"/>
      <c r="F157" s="37"/>
      <c r="G157" s="37"/>
      <c r="H157" s="37"/>
      <c r="I157" s="37"/>
    </row>
    <row r="158" spans="1:9" ht="14.25" customHeight="1" x14ac:dyDescent="0.35">
      <c r="A158" s="36" t="s">
        <v>1030</v>
      </c>
      <c r="B158" s="36" t="s">
        <v>1026</v>
      </c>
      <c r="C158" s="36" t="s">
        <v>685</v>
      </c>
      <c r="D158" s="37"/>
      <c r="E158" s="37"/>
      <c r="F158" s="37"/>
      <c r="G158" s="37"/>
      <c r="H158" s="37"/>
      <c r="I158" s="37"/>
    </row>
    <row r="159" spans="1:9" ht="14.25" customHeight="1" x14ac:dyDescent="0.35">
      <c r="A159" s="36" t="s">
        <v>1031</v>
      </c>
      <c r="B159" s="36" t="s">
        <v>1026</v>
      </c>
      <c r="C159" s="36" t="s">
        <v>685</v>
      </c>
      <c r="D159" s="37"/>
      <c r="E159" s="37"/>
      <c r="F159" s="37"/>
      <c r="G159" s="37"/>
      <c r="H159" s="37"/>
      <c r="I159" s="37"/>
    </row>
    <row r="160" spans="1:9" ht="14.25" customHeight="1" x14ac:dyDescent="0.35">
      <c r="A160" s="36" t="s">
        <v>1032</v>
      </c>
      <c r="B160" s="36" t="s">
        <v>1026</v>
      </c>
      <c r="C160" s="36" t="s">
        <v>685</v>
      </c>
      <c r="D160" s="37"/>
      <c r="E160" s="37"/>
      <c r="F160" s="37"/>
      <c r="G160" s="37"/>
      <c r="H160" s="37"/>
      <c r="I160" s="37"/>
    </row>
    <row r="161" spans="1:9" ht="14.25" customHeight="1" x14ac:dyDescent="0.35">
      <c r="A161" s="36" t="s">
        <v>1033</v>
      </c>
      <c r="B161" s="36" t="s">
        <v>212</v>
      </c>
      <c r="C161" s="36" t="s">
        <v>133</v>
      </c>
      <c r="D161" s="37"/>
      <c r="E161" s="37"/>
      <c r="F161" s="37"/>
      <c r="G161" s="37"/>
      <c r="H161" s="37"/>
      <c r="I161" s="37"/>
    </row>
    <row r="162" spans="1:9" ht="14.25" customHeight="1" x14ac:dyDescent="0.35">
      <c r="A162" s="36" t="s">
        <v>1034</v>
      </c>
      <c r="B162" s="36" t="s">
        <v>212</v>
      </c>
      <c r="C162" s="36" t="s">
        <v>133</v>
      </c>
      <c r="D162" s="37"/>
      <c r="E162" s="37"/>
      <c r="F162" s="37"/>
      <c r="G162" s="37"/>
      <c r="H162" s="37"/>
      <c r="I162" s="37"/>
    </row>
    <row r="163" spans="1:9" ht="14.25" customHeight="1" x14ac:dyDescent="0.35">
      <c r="A163" s="36" t="s">
        <v>1035</v>
      </c>
      <c r="B163" s="36" t="s">
        <v>212</v>
      </c>
      <c r="C163" s="36" t="s">
        <v>133</v>
      </c>
      <c r="D163" s="37"/>
      <c r="E163" s="37"/>
      <c r="F163" s="37"/>
      <c r="G163" s="37"/>
      <c r="H163" s="37"/>
      <c r="I163" s="37"/>
    </row>
    <row r="164" spans="1:9" ht="14.25" customHeight="1" x14ac:dyDescent="0.35">
      <c r="A164" s="36" t="s">
        <v>479</v>
      </c>
      <c r="B164" s="36" t="s">
        <v>212</v>
      </c>
      <c r="C164" s="36" t="s">
        <v>133</v>
      </c>
      <c r="D164" s="37"/>
      <c r="E164" s="37"/>
      <c r="F164" s="37"/>
      <c r="G164" s="37"/>
      <c r="H164" s="37"/>
      <c r="I164" s="37"/>
    </row>
    <row r="165" spans="1:9" ht="14.25" customHeight="1" x14ac:dyDescent="0.35">
      <c r="A165" s="36" t="s">
        <v>1036</v>
      </c>
      <c r="B165" s="36" t="s">
        <v>212</v>
      </c>
      <c r="C165" s="36" t="s">
        <v>133</v>
      </c>
      <c r="D165" s="37"/>
      <c r="E165" s="37"/>
      <c r="F165" s="37"/>
      <c r="G165" s="37"/>
      <c r="H165" s="37"/>
      <c r="I165" s="37"/>
    </row>
    <row r="166" spans="1:9" ht="14.25" customHeight="1" x14ac:dyDescent="0.35">
      <c r="A166" s="36" t="s">
        <v>1037</v>
      </c>
      <c r="B166" s="36" t="s">
        <v>212</v>
      </c>
      <c r="C166" s="36" t="s">
        <v>133</v>
      </c>
      <c r="D166" s="37"/>
      <c r="E166" s="37"/>
      <c r="F166" s="37"/>
      <c r="G166" s="37"/>
      <c r="H166" s="37"/>
      <c r="I166" s="37"/>
    </row>
    <row r="167" spans="1:9" ht="14.25" customHeight="1" x14ac:dyDescent="0.35">
      <c r="A167" s="36" t="s">
        <v>1038</v>
      </c>
      <c r="B167" s="36" t="s">
        <v>212</v>
      </c>
      <c r="C167" s="36" t="s">
        <v>133</v>
      </c>
      <c r="D167" s="37"/>
      <c r="E167" s="37"/>
      <c r="F167" s="37"/>
      <c r="G167" s="37"/>
      <c r="H167" s="37"/>
      <c r="I167" s="37"/>
    </row>
    <row r="168" spans="1:9" ht="14.25" customHeight="1" x14ac:dyDescent="0.35">
      <c r="A168" s="36" t="s">
        <v>1039</v>
      </c>
      <c r="B168" s="36" t="s">
        <v>212</v>
      </c>
      <c r="C168" s="36" t="s">
        <v>133</v>
      </c>
      <c r="D168" s="37"/>
      <c r="E168" s="37"/>
      <c r="F168" s="37"/>
      <c r="G168" s="37"/>
      <c r="H168" s="37"/>
      <c r="I168" s="37"/>
    </row>
    <row r="169" spans="1:9" ht="14.25" customHeight="1" x14ac:dyDescent="0.35">
      <c r="A169" s="36" t="s">
        <v>1040</v>
      </c>
      <c r="B169" s="36" t="s">
        <v>212</v>
      </c>
      <c r="C169" s="36" t="s">
        <v>133</v>
      </c>
      <c r="D169" s="37"/>
      <c r="E169" s="37"/>
      <c r="F169" s="37"/>
      <c r="G169" s="37"/>
      <c r="H169" s="37"/>
      <c r="I169" s="37"/>
    </row>
    <row r="170" spans="1:9" ht="14.25" customHeight="1" x14ac:dyDescent="0.35">
      <c r="A170" s="36" t="s">
        <v>1041</v>
      </c>
      <c r="B170" s="36" t="s">
        <v>465</v>
      </c>
      <c r="C170" s="36" t="s">
        <v>133</v>
      </c>
      <c r="D170" s="37"/>
      <c r="E170" s="37"/>
      <c r="F170" s="37"/>
      <c r="G170" s="37"/>
      <c r="H170" s="37"/>
      <c r="I170" s="37"/>
    </row>
    <row r="171" spans="1:9" ht="14.25" customHeight="1" x14ac:dyDescent="0.35">
      <c r="A171" s="36" t="s">
        <v>1042</v>
      </c>
      <c r="B171" s="36" t="s">
        <v>465</v>
      </c>
      <c r="C171" s="36" t="s">
        <v>133</v>
      </c>
      <c r="D171" s="37"/>
      <c r="E171" s="37"/>
      <c r="F171" s="37"/>
      <c r="G171" s="37"/>
      <c r="H171" s="37"/>
      <c r="I171" s="37"/>
    </row>
    <row r="172" spans="1:9" ht="14.25" customHeight="1" x14ac:dyDescent="0.35">
      <c r="A172" s="36" t="s">
        <v>1043</v>
      </c>
      <c r="B172" s="36" t="s">
        <v>465</v>
      </c>
      <c r="C172" s="36" t="s">
        <v>133</v>
      </c>
      <c r="D172" s="37"/>
      <c r="E172" s="37"/>
      <c r="F172" s="37"/>
      <c r="G172" s="37"/>
      <c r="H172" s="37"/>
      <c r="I172" s="37"/>
    </row>
    <row r="173" spans="1:9" ht="14.25" customHeight="1" x14ac:dyDescent="0.35">
      <c r="A173" s="36" t="s">
        <v>1044</v>
      </c>
      <c r="B173" s="36" t="s">
        <v>465</v>
      </c>
      <c r="C173" s="36" t="s">
        <v>133</v>
      </c>
      <c r="D173" s="37"/>
      <c r="E173" s="37"/>
      <c r="F173" s="37"/>
      <c r="G173" s="37"/>
      <c r="H173" s="37"/>
      <c r="I173" s="37"/>
    </row>
    <row r="174" spans="1:9" ht="14.25" customHeight="1" x14ac:dyDescent="0.35">
      <c r="A174" s="36" t="s">
        <v>1045</v>
      </c>
      <c r="B174" s="36" t="s">
        <v>465</v>
      </c>
      <c r="C174" s="36" t="s">
        <v>133</v>
      </c>
      <c r="D174" s="37"/>
      <c r="E174" s="37"/>
      <c r="F174" s="37"/>
      <c r="G174" s="37"/>
      <c r="H174" s="37"/>
      <c r="I174" s="37"/>
    </row>
    <row r="175" spans="1:9" ht="14.25" customHeight="1" x14ac:dyDescent="0.35">
      <c r="A175" s="36" t="s">
        <v>1046</v>
      </c>
      <c r="B175" s="36" t="s">
        <v>465</v>
      </c>
      <c r="C175" s="36" t="s">
        <v>133</v>
      </c>
      <c r="D175" s="37"/>
      <c r="E175" s="37"/>
      <c r="F175" s="37"/>
      <c r="G175" s="37"/>
      <c r="H175" s="37"/>
      <c r="I175" s="37"/>
    </row>
    <row r="176" spans="1:9" ht="14.25" customHeight="1" x14ac:dyDescent="0.35">
      <c r="A176" s="36" t="s">
        <v>1047</v>
      </c>
      <c r="B176" s="36" t="s">
        <v>465</v>
      </c>
      <c r="C176" s="36" t="s">
        <v>133</v>
      </c>
      <c r="D176" s="37"/>
      <c r="E176" s="37"/>
      <c r="F176" s="37"/>
      <c r="G176" s="37"/>
      <c r="H176" s="37"/>
      <c r="I176" s="37"/>
    </row>
    <row r="177" spans="1:9" ht="14.25" customHeight="1" x14ac:dyDescent="0.35">
      <c r="A177" s="36" t="s">
        <v>1048</v>
      </c>
      <c r="B177" s="36" t="s">
        <v>1049</v>
      </c>
      <c r="C177" s="36" t="s">
        <v>133</v>
      </c>
      <c r="D177" s="37"/>
      <c r="E177" s="37"/>
      <c r="F177" s="37"/>
      <c r="G177" s="37"/>
      <c r="H177" s="37"/>
      <c r="I177" s="37"/>
    </row>
    <row r="178" spans="1:9" ht="14.25" customHeight="1" x14ac:dyDescent="0.35">
      <c r="A178" s="36" t="s">
        <v>1050</v>
      </c>
      <c r="B178" s="36" t="s">
        <v>1049</v>
      </c>
      <c r="C178" s="36" t="s">
        <v>133</v>
      </c>
      <c r="D178" s="37"/>
      <c r="E178" s="37"/>
      <c r="F178" s="37"/>
      <c r="G178" s="37"/>
      <c r="H178" s="37"/>
      <c r="I178" s="37"/>
    </row>
    <row r="179" spans="1:9" ht="14.25" customHeight="1" x14ac:dyDescent="0.35">
      <c r="A179" s="36" t="s">
        <v>1051</v>
      </c>
      <c r="B179" s="36" t="s">
        <v>1052</v>
      </c>
      <c r="C179" s="36" t="s">
        <v>436</v>
      </c>
      <c r="D179" s="37"/>
      <c r="E179" s="37"/>
      <c r="F179" s="37"/>
      <c r="G179" s="37"/>
      <c r="H179" s="37"/>
      <c r="I179" s="37"/>
    </row>
    <row r="180" spans="1:9" ht="14.25" customHeight="1" x14ac:dyDescent="0.35">
      <c r="A180" s="36" t="s">
        <v>1053</v>
      </c>
      <c r="B180" s="36" t="s">
        <v>1052</v>
      </c>
      <c r="C180" s="36" t="s">
        <v>436</v>
      </c>
      <c r="D180" s="37"/>
      <c r="E180" s="37"/>
      <c r="F180" s="37"/>
      <c r="G180" s="37"/>
      <c r="H180" s="37"/>
      <c r="I180" s="37"/>
    </row>
    <row r="181" spans="1:9" ht="14.25" customHeight="1" x14ac:dyDescent="0.35">
      <c r="A181" s="36" t="s">
        <v>1054</v>
      </c>
      <c r="B181" s="36" t="s">
        <v>1052</v>
      </c>
      <c r="C181" s="36" t="s">
        <v>436</v>
      </c>
      <c r="D181" s="37"/>
      <c r="E181" s="37"/>
      <c r="F181" s="37"/>
      <c r="G181" s="37"/>
      <c r="H181" s="37"/>
      <c r="I181" s="37"/>
    </row>
    <row r="182" spans="1:9" ht="14.25" customHeight="1" x14ac:dyDescent="0.35">
      <c r="A182" s="36" t="s">
        <v>1055</v>
      </c>
      <c r="B182" s="36" t="s">
        <v>1052</v>
      </c>
      <c r="C182" s="36" t="s">
        <v>436</v>
      </c>
      <c r="D182" s="37"/>
      <c r="E182" s="37"/>
      <c r="F182" s="37"/>
      <c r="G182" s="37"/>
      <c r="H182" s="37"/>
      <c r="I182" s="37"/>
    </row>
    <row r="183" spans="1:9" ht="14.25" customHeight="1" x14ac:dyDescent="0.35">
      <c r="A183" s="36" t="s">
        <v>1056</v>
      </c>
      <c r="B183" s="36" t="s">
        <v>797</v>
      </c>
      <c r="C183" s="36" t="s">
        <v>436</v>
      </c>
      <c r="D183" s="37"/>
      <c r="E183" s="37"/>
      <c r="F183" s="37"/>
      <c r="G183" s="37"/>
      <c r="H183" s="37"/>
      <c r="I183" s="37"/>
    </row>
    <row r="184" spans="1:9" ht="14.25" customHeight="1" x14ac:dyDescent="0.35">
      <c r="A184" s="36" t="s">
        <v>1057</v>
      </c>
      <c r="B184" s="36" t="s">
        <v>797</v>
      </c>
      <c r="C184" s="36" t="s">
        <v>436</v>
      </c>
      <c r="D184" s="37"/>
      <c r="E184" s="37"/>
      <c r="F184" s="37"/>
      <c r="G184" s="37"/>
      <c r="H184" s="37"/>
      <c r="I184" s="37"/>
    </row>
    <row r="185" spans="1:9" ht="14.25" customHeight="1" x14ac:dyDescent="0.35">
      <c r="A185" s="36" t="s">
        <v>1058</v>
      </c>
      <c r="B185" s="36" t="s">
        <v>797</v>
      </c>
      <c r="C185" s="36" t="s">
        <v>436</v>
      </c>
      <c r="D185" s="37"/>
      <c r="E185" s="37"/>
      <c r="F185" s="37"/>
      <c r="G185" s="37"/>
      <c r="H185" s="37"/>
      <c r="I185" s="37"/>
    </row>
    <row r="186" spans="1:9" ht="14.25" customHeight="1" x14ac:dyDescent="0.35">
      <c r="A186" s="36" t="s">
        <v>1059</v>
      </c>
      <c r="B186" s="36" t="s">
        <v>797</v>
      </c>
      <c r="C186" s="36" t="s">
        <v>436</v>
      </c>
      <c r="D186" s="37"/>
      <c r="E186" s="37"/>
      <c r="F186" s="37"/>
      <c r="G186" s="37"/>
      <c r="H186" s="37"/>
      <c r="I186" s="37"/>
    </row>
    <row r="187" spans="1:9" ht="14.25" customHeight="1" x14ac:dyDescent="0.35">
      <c r="A187" s="36" t="s">
        <v>1060</v>
      </c>
      <c r="B187" s="36" t="s">
        <v>1061</v>
      </c>
      <c r="C187" s="36" t="s">
        <v>436</v>
      </c>
      <c r="D187" s="37"/>
      <c r="E187" s="37"/>
      <c r="F187" s="37"/>
      <c r="G187" s="37"/>
      <c r="H187" s="37"/>
      <c r="I187" s="37"/>
    </row>
    <row r="188" spans="1:9" ht="14.25" customHeight="1" x14ac:dyDescent="0.35">
      <c r="A188" s="36" t="s">
        <v>1062</v>
      </c>
      <c r="B188" s="36" t="s">
        <v>1061</v>
      </c>
      <c r="C188" s="36" t="s">
        <v>436</v>
      </c>
      <c r="D188" s="37"/>
      <c r="E188" s="37"/>
      <c r="F188" s="37"/>
      <c r="G188" s="37"/>
      <c r="H188" s="37"/>
      <c r="I188" s="37"/>
    </row>
    <row r="189" spans="1:9" ht="14.25" customHeight="1" x14ac:dyDescent="0.35">
      <c r="A189" s="36" t="s">
        <v>1063</v>
      </c>
      <c r="B189" s="36" t="s">
        <v>1061</v>
      </c>
      <c r="C189" s="36" t="s">
        <v>436</v>
      </c>
      <c r="D189" s="37"/>
      <c r="E189" s="37"/>
      <c r="F189" s="37"/>
      <c r="G189" s="37"/>
      <c r="H189" s="37"/>
      <c r="I189" s="37"/>
    </row>
    <row r="190" spans="1:9" ht="14.25" customHeight="1" x14ac:dyDescent="0.35">
      <c r="A190" s="36" t="s">
        <v>1064</v>
      </c>
      <c r="B190" s="36" t="s">
        <v>1061</v>
      </c>
      <c r="C190" s="36" t="s">
        <v>436</v>
      </c>
      <c r="D190" s="37"/>
      <c r="E190" s="37"/>
      <c r="F190" s="37"/>
      <c r="G190" s="37"/>
      <c r="H190" s="37"/>
      <c r="I190" s="37"/>
    </row>
    <row r="191" spans="1:9" ht="14.25" customHeight="1" x14ac:dyDescent="0.35">
      <c r="A191" s="36" t="s">
        <v>1065</v>
      </c>
      <c r="B191" s="36" t="s">
        <v>1066</v>
      </c>
      <c r="C191" s="36" t="s">
        <v>436</v>
      </c>
      <c r="D191" s="37"/>
      <c r="E191" s="37"/>
      <c r="F191" s="37"/>
      <c r="G191" s="37"/>
      <c r="H191" s="37"/>
      <c r="I191" s="37"/>
    </row>
    <row r="192" spans="1:9" ht="14.25" customHeight="1" x14ac:dyDescent="0.35">
      <c r="A192" s="36" t="s">
        <v>1067</v>
      </c>
      <c r="B192" s="36" t="s">
        <v>1066</v>
      </c>
      <c r="C192" s="36" t="s">
        <v>436</v>
      </c>
      <c r="D192" s="37"/>
      <c r="E192" s="37"/>
      <c r="F192" s="37"/>
      <c r="G192" s="37"/>
      <c r="H192" s="37"/>
      <c r="I192" s="37"/>
    </row>
    <row r="193" spans="1:9" ht="14.25" customHeight="1" x14ac:dyDescent="0.35">
      <c r="A193" s="36" t="s">
        <v>1068</v>
      </c>
      <c r="B193" s="36" t="s">
        <v>1066</v>
      </c>
      <c r="C193" s="36" t="s">
        <v>436</v>
      </c>
      <c r="D193" s="37"/>
      <c r="E193" s="37"/>
      <c r="F193" s="37"/>
      <c r="G193" s="37"/>
      <c r="H193" s="37"/>
      <c r="I193" s="37"/>
    </row>
    <row r="194" spans="1:9" ht="14.25" customHeight="1" x14ac:dyDescent="0.35">
      <c r="A194" s="36" t="s">
        <v>1069</v>
      </c>
      <c r="B194" s="36" t="s">
        <v>1066</v>
      </c>
      <c r="C194" s="36" t="s">
        <v>436</v>
      </c>
      <c r="D194" s="37"/>
      <c r="E194" s="37"/>
      <c r="F194" s="37"/>
      <c r="G194" s="37"/>
      <c r="H194" s="37"/>
      <c r="I194" s="37"/>
    </row>
    <row r="195" spans="1:9" ht="14.25" customHeight="1" x14ac:dyDescent="0.35">
      <c r="A195" s="37"/>
      <c r="B195" s="37"/>
      <c r="C195" s="37"/>
      <c r="D195" s="37"/>
      <c r="E195" s="37"/>
      <c r="F195" s="37"/>
      <c r="G195" s="37"/>
      <c r="H195" s="37"/>
      <c r="I195" s="37"/>
    </row>
    <row r="196" spans="1:9" ht="14.25" customHeight="1" x14ac:dyDescent="0.35">
      <c r="A196" s="35" t="s">
        <v>1070</v>
      </c>
      <c r="B196" s="35"/>
      <c r="C196" s="37"/>
      <c r="D196" s="37"/>
      <c r="E196" s="37"/>
      <c r="F196" s="37"/>
      <c r="G196" s="37"/>
      <c r="H196" s="37"/>
      <c r="I196" s="37"/>
    </row>
    <row r="197" spans="1:9" ht="14.25" customHeight="1" x14ac:dyDescent="0.35">
      <c r="A197" s="35" t="s">
        <v>903</v>
      </c>
      <c r="B197" s="35" t="s">
        <v>1071</v>
      </c>
      <c r="C197" s="37"/>
      <c r="D197" s="37"/>
      <c r="E197" s="37"/>
      <c r="F197" s="37"/>
      <c r="G197" s="37"/>
      <c r="H197" s="37"/>
      <c r="I197" s="37"/>
    </row>
    <row r="198" spans="1:9" ht="14.25" customHeight="1" x14ac:dyDescent="0.35">
      <c r="A198" s="36" t="s">
        <v>118</v>
      </c>
      <c r="B198" s="36" t="s">
        <v>317</v>
      </c>
      <c r="C198" s="37"/>
      <c r="D198" s="37"/>
      <c r="E198" s="37"/>
      <c r="F198" s="37"/>
      <c r="G198" s="37"/>
      <c r="H198" s="37"/>
      <c r="I198" s="37"/>
    </row>
    <row r="199" spans="1:9" ht="14.25" customHeight="1" x14ac:dyDescent="0.35">
      <c r="A199" s="36" t="s">
        <v>118</v>
      </c>
      <c r="B199" s="36" t="s">
        <v>480</v>
      </c>
      <c r="C199" s="37"/>
      <c r="D199" s="37"/>
      <c r="E199" s="37"/>
      <c r="F199" s="37"/>
      <c r="G199" s="37"/>
      <c r="H199" s="37"/>
      <c r="I199" s="37"/>
    </row>
    <row r="200" spans="1:9" ht="14.25" customHeight="1" x14ac:dyDescent="0.35">
      <c r="A200" s="36" t="s">
        <v>118</v>
      </c>
      <c r="B200" s="36" t="s">
        <v>1072</v>
      </c>
      <c r="C200" s="37"/>
      <c r="D200" s="37"/>
      <c r="E200" s="37"/>
      <c r="F200" s="37"/>
      <c r="G200" s="37"/>
      <c r="H200" s="37"/>
      <c r="I200" s="37"/>
    </row>
    <row r="201" spans="1:9" ht="14.25" customHeight="1" x14ac:dyDescent="0.35">
      <c r="A201" s="36" t="s">
        <v>118</v>
      </c>
      <c r="B201" s="36" t="s">
        <v>1073</v>
      </c>
      <c r="C201" s="37"/>
      <c r="D201" s="37"/>
      <c r="E201" s="37"/>
      <c r="F201" s="37"/>
      <c r="G201" s="37"/>
      <c r="H201" s="37"/>
      <c r="I201" s="37"/>
    </row>
    <row r="202" spans="1:9" ht="14.25" customHeight="1" x14ac:dyDescent="0.35">
      <c r="A202" s="36" t="s">
        <v>118</v>
      </c>
      <c r="B202" s="36" t="s">
        <v>1074</v>
      </c>
      <c r="C202" s="37"/>
      <c r="D202" s="37"/>
      <c r="E202" s="37"/>
      <c r="F202" s="37"/>
      <c r="G202" s="37"/>
      <c r="H202" s="37"/>
      <c r="I202" s="37"/>
    </row>
    <row r="203" spans="1:9" ht="14.25" customHeight="1" x14ac:dyDescent="0.35">
      <c r="A203" s="36" t="s">
        <v>195</v>
      </c>
      <c r="B203" s="36" t="s">
        <v>1075</v>
      </c>
      <c r="C203" s="37"/>
      <c r="D203" s="37"/>
      <c r="E203" s="37"/>
      <c r="F203" s="37"/>
      <c r="G203" s="37"/>
      <c r="H203" s="37"/>
      <c r="I203" s="37"/>
    </row>
    <row r="204" spans="1:9" ht="14.25" customHeight="1" x14ac:dyDescent="0.35">
      <c r="A204" s="36" t="s">
        <v>195</v>
      </c>
      <c r="B204" s="36" t="s">
        <v>1076</v>
      </c>
      <c r="C204" s="37"/>
      <c r="D204" s="37"/>
      <c r="E204" s="37"/>
      <c r="F204" s="37"/>
      <c r="G204" s="37"/>
      <c r="H204" s="37"/>
      <c r="I204" s="37"/>
    </row>
    <row r="205" spans="1:9" ht="14.25" customHeight="1" x14ac:dyDescent="0.35">
      <c r="A205" s="36" t="s">
        <v>195</v>
      </c>
      <c r="B205" s="36" t="s">
        <v>1077</v>
      </c>
      <c r="C205" s="37"/>
      <c r="D205" s="37"/>
      <c r="E205" s="37"/>
      <c r="F205" s="37"/>
      <c r="G205" s="37"/>
      <c r="H205" s="37"/>
      <c r="I205" s="37"/>
    </row>
    <row r="206" spans="1:9" ht="14.25" customHeight="1" x14ac:dyDescent="0.35">
      <c r="A206" s="36" t="s">
        <v>195</v>
      </c>
      <c r="B206" s="36" t="s">
        <v>1078</v>
      </c>
      <c r="C206" s="37"/>
      <c r="D206" s="37"/>
      <c r="E206" s="37"/>
      <c r="F206" s="37"/>
      <c r="G206" s="37"/>
      <c r="H206" s="37"/>
      <c r="I206" s="37"/>
    </row>
    <row r="207" spans="1:9" ht="14.25" customHeight="1" x14ac:dyDescent="0.35">
      <c r="A207" s="36" t="s">
        <v>195</v>
      </c>
      <c r="B207" s="36" t="s">
        <v>1079</v>
      </c>
      <c r="C207" s="37"/>
      <c r="D207" s="37"/>
      <c r="E207" s="37"/>
      <c r="F207" s="37"/>
      <c r="G207" s="37"/>
      <c r="H207" s="37"/>
      <c r="I207" s="37"/>
    </row>
    <row r="208" spans="1:9" ht="14.25" customHeight="1" x14ac:dyDescent="0.35">
      <c r="A208" s="36" t="s">
        <v>195</v>
      </c>
      <c r="B208" s="36" t="s">
        <v>1080</v>
      </c>
      <c r="C208" s="37"/>
      <c r="D208" s="37"/>
      <c r="E208" s="37"/>
      <c r="F208" s="37"/>
      <c r="G208" s="37"/>
      <c r="H208" s="37"/>
      <c r="I208" s="37"/>
    </row>
    <row r="209" spans="1:9" ht="14.25" customHeight="1" x14ac:dyDescent="0.35">
      <c r="A209" s="36" t="s">
        <v>195</v>
      </c>
      <c r="B209" s="36" t="s">
        <v>1081</v>
      </c>
      <c r="C209" s="37"/>
      <c r="D209" s="37"/>
      <c r="E209" s="37"/>
      <c r="F209" s="37"/>
      <c r="G209" s="37"/>
      <c r="H209" s="37"/>
      <c r="I209" s="37"/>
    </row>
    <row r="210" spans="1:9" ht="14.25" customHeight="1" x14ac:dyDescent="0.35">
      <c r="A210" s="36" t="s">
        <v>195</v>
      </c>
      <c r="B210" s="36" t="s">
        <v>1082</v>
      </c>
      <c r="C210" s="37"/>
      <c r="D210" s="37"/>
      <c r="E210" s="37"/>
      <c r="F210" s="37"/>
      <c r="G210" s="37"/>
      <c r="H210" s="37"/>
      <c r="I210" s="37"/>
    </row>
    <row r="211" spans="1:9" ht="14.25" customHeight="1" x14ac:dyDescent="0.35">
      <c r="A211" s="36" t="s">
        <v>195</v>
      </c>
      <c r="B211" s="36" t="s">
        <v>1083</v>
      </c>
      <c r="C211" s="37"/>
      <c r="D211" s="37"/>
      <c r="E211" s="37"/>
      <c r="F211" s="37"/>
      <c r="G211" s="37"/>
      <c r="H211" s="37"/>
      <c r="I211" s="37"/>
    </row>
    <row r="212" spans="1:9" ht="14.25" customHeight="1" x14ac:dyDescent="0.35">
      <c r="A212" s="36" t="s">
        <v>195</v>
      </c>
      <c r="B212" s="36" t="s">
        <v>1084</v>
      </c>
      <c r="C212" s="37"/>
      <c r="D212" s="37"/>
      <c r="E212" s="37"/>
      <c r="F212" s="37"/>
      <c r="G212" s="37"/>
      <c r="H212" s="37"/>
      <c r="I212" s="37"/>
    </row>
    <row r="213" spans="1:9" ht="14.25" customHeight="1" x14ac:dyDescent="0.35">
      <c r="A213" s="36" t="s">
        <v>195</v>
      </c>
      <c r="B213" s="36" t="s">
        <v>1085</v>
      </c>
      <c r="C213" s="37"/>
      <c r="D213" s="37"/>
      <c r="E213" s="37"/>
      <c r="F213" s="37"/>
      <c r="G213" s="37"/>
      <c r="H213" s="37"/>
      <c r="I213" s="37"/>
    </row>
    <row r="214" spans="1:9" ht="14.25" customHeight="1" x14ac:dyDescent="0.35">
      <c r="A214" s="36" t="s">
        <v>195</v>
      </c>
      <c r="B214" s="36" t="s">
        <v>1086</v>
      </c>
      <c r="C214" s="37"/>
      <c r="D214" s="37"/>
      <c r="E214" s="37"/>
      <c r="F214" s="37"/>
      <c r="G214" s="37"/>
      <c r="H214" s="37"/>
      <c r="I214" s="37"/>
    </row>
    <row r="215" spans="1:9" ht="14.25" customHeight="1" x14ac:dyDescent="0.35">
      <c r="A215" s="36" t="s">
        <v>195</v>
      </c>
      <c r="B215" s="36" t="s">
        <v>1087</v>
      </c>
      <c r="C215" s="37"/>
      <c r="D215" s="37"/>
      <c r="E215" s="37"/>
      <c r="F215" s="37"/>
      <c r="G215" s="37"/>
      <c r="H215" s="37"/>
      <c r="I215" s="37"/>
    </row>
    <row r="216" spans="1:9" ht="14.25" customHeight="1" x14ac:dyDescent="0.35">
      <c r="A216" s="36" t="s">
        <v>653</v>
      </c>
      <c r="B216" s="36" t="s">
        <v>599</v>
      </c>
      <c r="C216" s="37"/>
      <c r="D216" s="37"/>
      <c r="E216" s="37"/>
      <c r="F216" s="37"/>
      <c r="G216" s="37"/>
      <c r="H216" s="37"/>
      <c r="I216" s="37"/>
    </row>
    <row r="217" spans="1:9" ht="14.25" customHeight="1" x14ac:dyDescent="0.35">
      <c r="A217" s="36" t="s">
        <v>653</v>
      </c>
      <c r="B217" s="36" t="s">
        <v>711</v>
      </c>
      <c r="C217" s="37"/>
      <c r="D217" s="37"/>
      <c r="E217" s="37"/>
      <c r="F217" s="37"/>
      <c r="G217" s="37"/>
      <c r="H217" s="37"/>
      <c r="I217" s="37"/>
    </row>
    <row r="218" spans="1:9" ht="14.25" customHeight="1" x14ac:dyDescent="0.35">
      <c r="A218" s="36" t="s">
        <v>97</v>
      </c>
      <c r="B218" s="36" t="s">
        <v>769</v>
      </c>
      <c r="C218" s="37"/>
      <c r="D218" s="37"/>
      <c r="E218" s="37"/>
      <c r="F218" s="37"/>
      <c r="G218" s="37"/>
      <c r="H218" s="37"/>
      <c r="I218" s="37"/>
    </row>
    <row r="219" spans="1:9" ht="14.25" customHeight="1" x14ac:dyDescent="0.35">
      <c r="A219" s="36" t="s">
        <v>97</v>
      </c>
      <c r="B219" s="36" t="s">
        <v>1088</v>
      </c>
      <c r="C219" s="37"/>
      <c r="D219" s="37"/>
      <c r="E219" s="37"/>
      <c r="F219" s="37"/>
      <c r="G219" s="37"/>
      <c r="H219" s="37"/>
      <c r="I219" s="37"/>
    </row>
    <row r="220" spans="1:9" ht="14.25" customHeight="1" x14ac:dyDescent="0.35">
      <c r="A220" s="36" t="s">
        <v>97</v>
      </c>
      <c r="B220" s="36" t="s">
        <v>767</v>
      </c>
      <c r="C220" s="37"/>
      <c r="D220" s="37"/>
      <c r="E220" s="37"/>
      <c r="F220" s="37"/>
      <c r="G220" s="37"/>
      <c r="H220" s="37"/>
      <c r="I220" s="37"/>
    </row>
    <row r="221" spans="1:9" ht="14.25" customHeight="1" x14ac:dyDescent="0.35">
      <c r="A221" s="36" t="s">
        <v>97</v>
      </c>
      <c r="B221" s="36" t="s">
        <v>1089</v>
      </c>
      <c r="C221" s="37"/>
      <c r="D221" s="37"/>
      <c r="E221" s="37"/>
      <c r="F221" s="37"/>
      <c r="G221" s="37"/>
      <c r="H221" s="37"/>
      <c r="I221" s="37"/>
    </row>
    <row r="222" spans="1:9" ht="14.25" customHeight="1" x14ac:dyDescent="0.35">
      <c r="A222" s="36" t="s">
        <v>97</v>
      </c>
      <c r="B222" s="36" t="s">
        <v>1090</v>
      </c>
      <c r="C222" s="37"/>
      <c r="D222" s="37"/>
      <c r="E222" s="37"/>
      <c r="F222" s="37"/>
      <c r="G222" s="37"/>
      <c r="H222" s="37"/>
      <c r="I222" s="37"/>
    </row>
    <row r="223" spans="1:9" ht="14.25" customHeight="1" x14ac:dyDescent="0.35">
      <c r="A223" s="36" t="s">
        <v>685</v>
      </c>
      <c r="B223" s="36" t="s">
        <v>686</v>
      </c>
      <c r="C223" s="37"/>
      <c r="D223" s="37"/>
      <c r="E223" s="37"/>
      <c r="F223" s="37"/>
      <c r="G223" s="37"/>
      <c r="H223" s="37"/>
      <c r="I223" s="37"/>
    </row>
    <row r="224" spans="1:9" ht="14.25" customHeight="1" x14ac:dyDescent="0.35">
      <c r="A224" s="36" t="s">
        <v>685</v>
      </c>
      <c r="B224" s="36" t="s">
        <v>1091</v>
      </c>
      <c r="C224" s="37"/>
      <c r="D224" s="37"/>
      <c r="E224" s="37"/>
      <c r="F224" s="37"/>
      <c r="G224" s="37"/>
      <c r="H224" s="37"/>
      <c r="I224" s="37"/>
    </row>
    <row r="225" spans="1:9" ht="14.25" customHeight="1" x14ac:dyDescent="0.35">
      <c r="A225" s="36" t="s">
        <v>685</v>
      </c>
      <c r="B225" s="36" t="s">
        <v>688</v>
      </c>
      <c r="C225" s="37"/>
      <c r="D225" s="37"/>
      <c r="E225" s="37"/>
      <c r="F225" s="37"/>
      <c r="G225" s="37"/>
      <c r="H225" s="37"/>
      <c r="I225" s="37"/>
    </row>
    <row r="226" spans="1:9" ht="14.25" customHeight="1" x14ac:dyDescent="0.35">
      <c r="A226" s="36" t="s">
        <v>133</v>
      </c>
      <c r="B226" s="36" t="s">
        <v>1092</v>
      </c>
      <c r="C226" s="37"/>
      <c r="D226" s="37"/>
      <c r="E226" s="37"/>
      <c r="F226" s="37"/>
      <c r="G226" s="37"/>
      <c r="H226" s="37"/>
      <c r="I226" s="37"/>
    </row>
    <row r="227" spans="1:9" ht="14.25" customHeight="1" x14ac:dyDescent="0.35">
      <c r="A227" s="36" t="s">
        <v>133</v>
      </c>
      <c r="B227" s="36" t="s">
        <v>1093</v>
      </c>
      <c r="C227" s="37"/>
      <c r="D227" s="37"/>
      <c r="E227" s="37"/>
      <c r="F227" s="37"/>
      <c r="G227" s="37"/>
      <c r="H227" s="37"/>
      <c r="I227" s="37"/>
    </row>
    <row r="228" spans="1:9" ht="14.25" customHeight="1" x14ac:dyDescent="0.35">
      <c r="A228" s="36" t="s">
        <v>133</v>
      </c>
      <c r="B228" s="36" t="s">
        <v>1094</v>
      </c>
      <c r="C228" s="37"/>
      <c r="D228" s="37"/>
      <c r="E228" s="37"/>
      <c r="F228" s="37"/>
      <c r="G228" s="37"/>
      <c r="H228" s="37"/>
      <c r="I228" s="37"/>
    </row>
    <row r="229" spans="1:9" ht="14.25" customHeight="1" x14ac:dyDescent="0.35">
      <c r="A229" s="36" t="s">
        <v>133</v>
      </c>
      <c r="B229" s="36" t="s">
        <v>1095</v>
      </c>
      <c r="C229" s="37"/>
      <c r="D229" s="37"/>
      <c r="E229" s="37"/>
      <c r="F229" s="37"/>
      <c r="G229" s="37"/>
      <c r="H229" s="37"/>
      <c r="I229" s="37"/>
    </row>
    <row r="230" spans="1:9" ht="14.25" customHeight="1" x14ac:dyDescent="0.35">
      <c r="A230" s="36" t="s">
        <v>133</v>
      </c>
      <c r="B230" s="36" t="s">
        <v>1096</v>
      </c>
      <c r="C230" s="37"/>
      <c r="D230" s="37"/>
      <c r="E230" s="37"/>
      <c r="F230" s="37"/>
      <c r="G230" s="37"/>
      <c r="H230" s="37"/>
      <c r="I230" s="37"/>
    </row>
    <row r="231" spans="1:9" ht="14.25" customHeight="1" x14ac:dyDescent="0.35">
      <c r="A231" s="36" t="s">
        <v>436</v>
      </c>
      <c r="B231" s="36" t="s">
        <v>1097</v>
      </c>
      <c r="C231" s="37"/>
      <c r="D231" s="37"/>
      <c r="E231" s="37"/>
      <c r="F231" s="37"/>
      <c r="G231" s="37"/>
      <c r="H231" s="37"/>
      <c r="I231" s="37"/>
    </row>
    <row r="232" spans="1:9" ht="14.25" customHeight="1" x14ac:dyDescent="0.35">
      <c r="A232" s="36" t="s">
        <v>436</v>
      </c>
      <c r="B232" s="36" t="s">
        <v>1098</v>
      </c>
      <c r="C232" s="37"/>
      <c r="D232" s="37"/>
      <c r="E232" s="37"/>
      <c r="F232" s="37"/>
      <c r="G232" s="37"/>
      <c r="H232" s="37"/>
      <c r="I232" s="37"/>
    </row>
    <row r="233" spans="1:9" ht="14.25" customHeight="1" x14ac:dyDescent="0.35">
      <c r="A233" s="36" t="s">
        <v>436</v>
      </c>
      <c r="B233" s="36" t="s">
        <v>1099</v>
      </c>
      <c r="C233" s="37"/>
      <c r="D233" s="37"/>
      <c r="E233" s="37"/>
      <c r="F233" s="37"/>
      <c r="G233" s="37"/>
      <c r="H233" s="37"/>
      <c r="I233" s="37"/>
    </row>
    <row r="234" spans="1:9" ht="14.25" customHeight="1" x14ac:dyDescent="0.35">
      <c r="A234" s="36" t="s">
        <v>436</v>
      </c>
      <c r="B234" s="36" t="s">
        <v>1100</v>
      </c>
      <c r="C234" s="37"/>
      <c r="D234" s="37"/>
      <c r="E234" s="37"/>
      <c r="F234" s="37"/>
      <c r="G234" s="37"/>
      <c r="H234" s="37"/>
      <c r="I234" s="37"/>
    </row>
    <row r="235" spans="1:9" ht="14.25" customHeight="1" x14ac:dyDescent="0.35">
      <c r="A235" s="36" t="s">
        <v>436</v>
      </c>
      <c r="B235" s="36" t="s">
        <v>1101</v>
      </c>
      <c r="C235" s="37"/>
      <c r="D235" s="37"/>
      <c r="E235" s="37"/>
      <c r="F235" s="37"/>
      <c r="G235" s="37"/>
      <c r="H235" s="37"/>
      <c r="I235" s="37"/>
    </row>
    <row r="236" spans="1:9" ht="14.25" customHeight="1" x14ac:dyDescent="0.35">
      <c r="A236" s="36" t="s">
        <v>436</v>
      </c>
      <c r="B236" s="36" t="s">
        <v>1102</v>
      </c>
      <c r="C236" s="37"/>
      <c r="D236" s="37"/>
      <c r="E236" s="37"/>
      <c r="F236" s="37"/>
      <c r="G236" s="37"/>
      <c r="H236" s="37"/>
      <c r="I236" s="37"/>
    </row>
    <row r="237" spans="1:9" ht="14.25" customHeight="1" x14ac:dyDescent="0.35">
      <c r="A237" s="36" t="s">
        <v>436</v>
      </c>
      <c r="B237" s="36" t="s">
        <v>1103</v>
      </c>
      <c r="C237" s="37"/>
      <c r="D237" s="37"/>
      <c r="E237" s="37"/>
      <c r="F237" s="37"/>
      <c r="G237" s="37"/>
      <c r="H237" s="37"/>
      <c r="I237" s="37"/>
    </row>
    <row r="238" spans="1:9" ht="14.25" customHeight="1" x14ac:dyDescent="0.35">
      <c r="A238" s="36" t="s">
        <v>436</v>
      </c>
      <c r="B238" s="36" t="s">
        <v>1104</v>
      </c>
      <c r="C238" s="37"/>
      <c r="D238" s="37"/>
      <c r="E238" s="37"/>
      <c r="F238" s="37"/>
      <c r="G238" s="37"/>
      <c r="H238" s="37"/>
      <c r="I238" s="37"/>
    </row>
    <row r="239" spans="1:9" ht="14.25" customHeight="1" x14ac:dyDescent="0.35">
      <c r="A239" s="37"/>
      <c r="B239" s="37"/>
      <c r="C239" s="37"/>
      <c r="D239" s="37"/>
      <c r="E239" s="37"/>
      <c r="F239" s="37"/>
      <c r="G239" s="37"/>
      <c r="H239" s="37"/>
      <c r="I239" s="37"/>
    </row>
    <row r="240" spans="1:9" ht="14.25" customHeight="1" x14ac:dyDescent="0.35">
      <c r="A240" s="37"/>
      <c r="B240" s="37"/>
      <c r="C240" s="37"/>
      <c r="D240" s="37"/>
      <c r="E240" s="37"/>
      <c r="F240" s="37"/>
      <c r="G240" s="37"/>
      <c r="H240" s="37"/>
      <c r="I240" s="37"/>
    </row>
    <row r="241" spans="1:9" ht="14.25" customHeight="1" x14ac:dyDescent="0.35">
      <c r="A241" s="35" t="s">
        <v>1105</v>
      </c>
      <c r="B241" s="35" t="s">
        <v>1106</v>
      </c>
      <c r="C241" s="38"/>
      <c r="D241" s="37"/>
      <c r="E241" s="37"/>
      <c r="F241" s="37"/>
      <c r="G241" s="37"/>
      <c r="H241" s="37"/>
      <c r="I241" s="37"/>
    </row>
    <row r="242" spans="1:9" ht="14.25" customHeight="1" x14ac:dyDescent="0.35">
      <c r="A242" s="36">
        <v>1</v>
      </c>
      <c r="B242" s="36" t="s">
        <v>1107</v>
      </c>
      <c r="C242" s="36"/>
      <c r="D242" s="37"/>
      <c r="E242" s="37"/>
      <c r="F242" s="37"/>
      <c r="G242" s="37"/>
      <c r="H242" s="37"/>
      <c r="I242" s="37"/>
    </row>
    <row r="243" spans="1:9" ht="14.25" customHeight="1" x14ac:dyDescent="0.35">
      <c r="A243" s="36">
        <v>2</v>
      </c>
      <c r="B243" s="36" t="s">
        <v>1108</v>
      </c>
      <c r="C243" s="36"/>
      <c r="D243" s="37"/>
      <c r="E243" s="37"/>
      <c r="F243" s="37"/>
      <c r="G243" s="37"/>
      <c r="H243" s="37"/>
      <c r="I243" s="37"/>
    </row>
    <row r="244" spans="1:9" ht="14.25" customHeight="1" x14ac:dyDescent="0.35">
      <c r="A244" s="36">
        <v>3</v>
      </c>
      <c r="B244" s="36" t="s">
        <v>1109</v>
      </c>
      <c r="C244" s="36"/>
      <c r="D244" s="37"/>
      <c r="E244" s="37"/>
      <c r="F244" s="37"/>
      <c r="G244" s="37"/>
      <c r="H244" s="37"/>
      <c r="I244" s="37"/>
    </row>
    <row r="245" spans="1:9" ht="14.25" customHeight="1" x14ac:dyDescent="0.35">
      <c r="A245" s="36">
        <v>4</v>
      </c>
      <c r="B245" s="36" t="s">
        <v>1110</v>
      </c>
      <c r="C245" s="36"/>
      <c r="D245" s="37"/>
      <c r="E245" s="37"/>
      <c r="F245" s="37"/>
      <c r="G245" s="37"/>
      <c r="H245" s="37"/>
      <c r="I245" s="37"/>
    </row>
    <row r="246" spans="1:9" ht="14.25" customHeight="1" x14ac:dyDescent="0.35">
      <c r="A246" s="36">
        <v>5</v>
      </c>
      <c r="B246" s="36" t="s">
        <v>1111</v>
      </c>
      <c r="C246" s="36"/>
      <c r="D246" s="37"/>
      <c r="E246" s="37"/>
      <c r="F246" s="37"/>
      <c r="G246" s="37"/>
      <c r="H246" s="37"/>
      <c r="I246" s="37"/>
    </row>
    <row r="247" spans="1:9" ht="14.25" customHeight="1" x14ac:dyDescent="0.35">
      <c r="A247" s="36">
        <v>6</v>
      </c>
      <c r="B247" s="36" t="s">
        <v>1112</v>
      </c>
      <c r="C247" s="36"/>
      <c r="D247" s="37"/>
      <c r="E247" s="37"/>
      <c r="F247" s="37"/>
      <c r="G247" s="37"/>
      <c r="H247" s="37"/>
      <c r="I247" s="37"/>
    </row>
    <row r="248" spans="1:9" ht="14.25" customHeight="1" x14ac:dyDescent="0.35">
      <c r="A248" s="36">
        <v>7</v>
      </c>
      <c r="B248" s="36" t="s">
        <v>1113</v>
      </c>
      <c r="C248" s="36"/>
      <c r="D248" s="37"/>
      <c r="E248" s="37"/>
      <c r="F248" s="37"/>
      <c r="G248" s="37"/>
      <c r="H248" s="37"/>
      <c r="I248" s="37"/>
    </row>
    <row r="249" spans="1:9" ht="14.25" customHeight="1" x14ac:dyDescent="0.35">
      <c r="A249" s="36">
        <v>8</v>
      </c>
      <c r="B249" s="36" t="s">
        <v>1114</v>
      </c>
      <c r="C249" s="36" t="s">
        <v>1115</v>
      </c>
      <c r="D249" s="37"/>
      <c r="E249" s="37"/>
      <c r="F249" s="37"/>
      <c r="G249" s="37"/>
      <c r="H249" s="37"/>
      <c r="I249" s="37"/>
    </row>
    <row r="250" spans="1:9" ht="14.25" customHeight="1" x14ac:dyDescent="0.35">
      <c r="A250" s="36">
        <v>9</v>
      </c>
      <c r="B250" s="36" t="s">
        <v>1116</v>
      </c>
      <c r="C250" s="36" t="s">
        <v>1115</v>
      </c>
      <c r="D250" s="37"/>
      <c r="E250" s="37"/>
      <c r="F250" s="37"/>
      <c r="G250" s="37"/>
      <c r="H250" s="37"/>
      <c r="I250" s="37"/>
    </row>
    <row r="251" spans="1:9" ht="14.25" customHeight="1" x14ac:dyDescent="0.35">
      <c r="A251" s="36">
        <v>10</v>
      </c>
      <c r="B251" s="36" t="s">
        <v>1117</v>
      </c>
      <c r="C251" s="36" t="s">
        <v>1115</v>
      </c>
      <c r="D251" s="37"/>
      <c r="E251" s="37"/>
      <c r="F251" s="37"/>
      <c r="G251" s="37"/>
      <c r="H251" s="37"/>
      <c r="I251" s="37"/>
    </row>
    <row r="252" spans="1:9" ht="14.25" customHeight="1" x14ac:dyDescent="0.35">
      <c r="A252" s="36">
        <v>11</v>
      </c>
      <c r="B252" s="36" t="s">
        <v>1118</v>
      </c>
      <c r="C252" s="36" t="s">
        <v>1115</v>
      </c>
      <c r="D252" s="37"/>
      <c r="E252" s="37"/>
      <c r="F252" s="37"/>
      <c r="G252" s="37"/>
      <c r="H252" s="37"/>
      <c r="I252" s="37"/>
    </row>
    <row r="253" spans="1:9" ht="14.25" customHeight="1" x14ac:dyDescent="0.35">
      <c r="A253" s="36">
        <v>12</v>
      </c>
      <c r="B253" s="36" t="s">
        <v>1119</v>
      </c>
      <c r="C253" s="36" t="s">
        <v>1115</v>
      </c>
      <c r="D253" s="37"/>
      <c r="E253" s="37"/>
      <c r="F253" s="37"/>
      <c r="G253" s="37"/>
      <c r="H253" s="37"/>
      <c r="I253" s="37"/>
    </row>
    <row r="254" spans="1:9" ht="14.25" customHeight="1" x14ac:dyDescent="0.35">
      <c r="A254" s="36">
        <v>13</v>
      </c>
      <c r="B254" s="36" t="s">
        <v>1120</v>
      </c>
      <c r="C254" s="36" t="s">
        <v>1115</v>
      </c>
      <c r="D254" s="37"/>
      <c r="E254" s="37"/>
      <c r="F254" s="37"/>
      <c r="G254" s="37"/>
      <c r="H254" s="37"/>
      <c r="I254" s="37"/>
    </row>
    <row r="255" spans="1:9" ht="14.25" customHeight="1" x14ac:dyDescent="0.35">
      <c r="A255" s="36">
        <v>14</v>
      </c>
      <c r="B255" s="36" t="s">
        <v>1121</v>
      </c>
      <c r="C255" s="36" t="s">
        <v>1115</v>
      </c>
      <c r="D255" s="37"/>
      <c r="E255" s="37"/>
      <c r="F255" s="37"/>
      <c r="G255" s="37"/>
      <c r="H255" s="37"/>
      <c r="I255" s="37"/>
    </row>
    <row r="256" spans="1:9" ht="14.25" customHeight="1" x14ac:dyDescent="0.35">
      <c r="A256" s="36">
        <v>15</v>
      </c>
      <c r="B256" s="36" t="s">
        <v>1122</v>
      </c>
      <c r="C256" s="36" t="s">
        <v>1115</v>
      </c>
      <c r="D256" s="37"/>
      <c r="E256" s="37"/>
      <c r="F256" s="37"/>
      <c r="G256" s="37"/>
      <c r="H256" s="37"/>
      <c r="I256" s="37"/>
    </row>
    <row r="257" spans="1:9" ht="14.25" customHeight="1" x14ac:dyDescent="0.35">
      <c r="A257" s="36">
        <v>16</v>
      </c>
      <c r="B257" s="36" t="s">
        <v>1123</v>
      </c>
      <c r="C257" s="36" t="s">
        <v>1115</v>
      </c>
      <c r="D257" s="37"/>
      <c r="E257" s="37"/>
      <c r="F257" s="37"/>
      <c r="G257" s="37"/>
      <c r="H257" s="37"/>
      <c r="I257" s="37"/>
    </row>
    <row r="258" spans="1:9" ht="14.25" customHeight="1" x14ac:dyDescent="0.35">
      <c r="A258" s="36">
        <v>17</v>
      </c>
      <c r="B258" s="36" t="s">
        <v>1124</v>
      </c>
      <c r="C258" s="36" t="s">
        <v>1115</v>
      </c>
      <c r="D258" s="37"/>
      <c r="E258" s="37"/>
      <c r="F258" s="37"/>
      <c r="G258" s="37"/>
      <c r="H258" s="37"/>
      <c r="I258" s="37"/>
    </row>
    <row r="259" spans="1:9" ht="14.25" customHeight="1" x14ac:dyDescent="0.35">
      <c r="A259" s="36">
        <v>18</v>
      </c>
      <c r="B259" s="36" t="s">
        <v>1125</v>
      </c>
      <c r="C259" s="36" t="s">
        <v>1115</v>
      </c>
      <c r="D259" s="37"/>
      <c r="E259" s="37"/>
      <c r="F259" s="37"/>
      <c r="G259" s="37"/>
      <c r="H259" s="37"/>
      <c r="I259" s="37"/>
    </row>
    <row r="260" spans="1:9" ht="14.25" customHeight="1" x14ac:dyDescent="0.35">
      <c r="A260" s="36">
        <v>19</v>
      </c>
      <c r="B260" s="36" t="s">
        <v>1126</v>
      </c>
      <c r="C260" s="36" t="s">
        <v>1115</v>
      </c>
      <c r="D260" s="37"/>
      <c r="E260" s="37"/>
      <c r="F260" s="37"/>
      <c r="G260" s="37"/>
      <c r="H260" s="37"/>
      <c r="I260" s="37"/>
    </row>
    <row r="261" spans="1:9" ht="14.25" customHeight="1" x14ac:dyDescent="0.35">
      <c r="A261" s="36">
        <v>20</v>
      </c>
      <c r="B261" s="36" t="s">
        <v>1127</v>
      </c>
      <c r="C261" s="36" t="s">
        <v>714</v>
      </c>
      <c r="D261" s="37"/>
      <c r="E261" s="37"/>
      <c r="F261" s="37"/>
      <c r="G261" s="37"/>
      <c r="H261" s="37"/>
      <c r="I261" s="37"/>
    </row>
    <row r="262" spans="1:9" ht="14.25" customHeight="1" x14ac:dyDescent="0.35">
      <c r="A262" s="36">
        <v>21</v>
      </c>
      <c r="B262" s="36" t="s">
        <v>1128</v>
      </c>
      <c r="C262" s="36" t="s">
        <v>714</v>
      </c>
      <c r="D262" s="37"/>
      <c r="E262" s="37"/>
      <c r="F262" s="37"/>
      <c r="G262" s="37"/>
      <c r="H262" s="37"/>
      <c r="I262" s="37"/>
    </row>
    <row r="263" spans="1:9" ht="14.25" customHeight="1" x14ac:dyDescent="0.35">
      <c r="A263" s="36">
        <v>22</v>
      </c>
      <c r="B263" s="36" t="s">
        <v>1129</v>
      </c>
      <c r="C263" s="36" t="s">
        <v>714</v>
      </c>
      <c r="D263" s="37"/>
      <c r="E263" s="37"/>
      <c r="F263" s="37"/>
      <c r="G263" s="37"/>
      <c r="H263" s="37"/>
      <c r="I263" s="37"/>
    </row>
    <row r="264" spans="1:9" ht="14.25" customHeight="1" x14ac:dyDescent="0.35">
      <c r="A264" s="36">
        <v>23</v>
      </c>
      <c r="B264" s="36" t="s">
        <v>1130</v>
      </c>
      <c r="C264" s="36" t="s">
        <v>714</v>
      </c>
      <c r="D264" s="37"/>
      <c r="E264" s="37"/>
      <c r="F264" s="37"/>
      <c r="G264" s="37"/>
      <c r="H264" s="37"/>
      <c r="I264" s="37"/>
    </row>
    <row r="265" spans="1:9" ht="14.25" customHeight="1" x14ac:dyDescent="0.35">
      <c r="A265" s="36">
        <v>24</v>
      </c>
      <c r="B265" s="36" t="s">
        <v>1124</v>
      </c>
      <c r="C265" s="36" t="s">
        <v>714</v>
      </c>
      <c r="D265" s="37"/>
      <c r="E265" s="37"/>
      <c r="F265" s="37"/>
      <c r="G265" s="37"/>
      <c r="H265" s="37"/>
      <c r="I265" s="37"/>
    </row>
    <row r="266" spans="1:9" ht="14.25" customHeight="1" x14ac:dyDescent="0.35">
      <c r="A266" s="36">
        <v>25</v>
      </c>
      <c r="B266" s="36" t="s">
        <v>1131</v>
      </c>
      <c r="C266" s="36" t="s">
        <v>714</v>
      </c>
      <c r="D266" s="37"/>
      <c r="E266" s="37"/>
      <c r="F266" s="37"/>
      <c r="G266" s="37"/>
      <c r="H266" s="37"/>
      <c r="I266" s="37"/>
    </row>
    <row r="267" spans="1:9" ht="14.25" customHeight="1" x14ac:dyDescent="0.35">
      <c r="A267" s="36">
        <v>26</v>
      </c>
      <c r="B267" s="36" t="s">
        <v>1132</v>
      </c>
      <c r="C267" s="36" t="s">
        <v>714</v>
      </c>
      <c r="D267" s="37"/>
      <c r="E267" s="37"/>
      <c r="F267" s="37"/>
      <c r="G267" s="37"/>
      <c r="H267" s="37"/>
      <c r="I267" s="37"/>
    </row>
    <row r="268" spans="1:9" ht="14.25" customHeight="1" x14ac:dyDescent="0.35">
      <c r="A268" s="36">
        <v>27</v>
      </c>
      <c r="B268" s="36" t="s">
        <v>1133</v>
      </c>
      <c r="C268" s="36" t="s">
        <v>714</v>
      </c>
      <c r="D268" s="37"/>
      <c r="E268" s="37"/>
      <c r="F268" s="37"/>
      <c r="G268" s="37"/>
      <c r="H268" s="37"/>
      <c r="I268" s="37"/>
    </row>
    <row r="269" spans="1:9" ht="14.25" customHeight="1" x14ac:dyDescent="0.35">
      <c r="A269" s="36">
        <v>28</v>
      </c>
      <c r="B269" s="36" t="s">
        <v>1134</v>
      </c>
      <c r="C269" s="36" t="s">
        <v>714</v>
      </c>
      <c r="D269" s="37"/>
      <c r="E269" s="37"/>
      <c r="F269" s="37"/>
      <c r="G269" s="37"/>
      <c r="H269" s="37"/>
      <c r="I269" s="37"/>
    </row>
    <row r="270" spans="1:9" ht="14.25" customHeight="1" x14ac:dyDescent="0.35">
      <c r="A270" s="36">
        <v>29</v>
      </c>
      <c r="B270" s="36" t="s">
        <v>1135</v>
      </c>
      <c r="C270" s="36" t="s">
        <v>714</v>
      </c>
      <c r="D270" s="37"/>
      <c r="E270" s="37"/>
      <c r="F270" s="37"/>
      <c r="G270" s="37"/>
      <c r="H270" s="37"/>
      <c r="I270" s="37"/>
    </row>
    <row r="271" spans="1:9" ht="14.25" customHeight="1" x14ac:dyDescent="0.35">
      <c r="A271" s="36">
        <v>30</v>
      </c>
      <c r="B271" s="36" t="s">
        <v>1136</v>
      </c>
      <c r="C271" s="36" t="s">
        <v>1137</v>
      </c>
      <c r="D271" s="37"/>
      <c r="E271" s="37"/>
      <c r="F271" s="37"/>
      <c r="G271" s="37"/>
      <c r="H271" s="37"/>
      <c r="I271" s="37"/>
    </row>
    <row r="272" spans="1:9" ht="14.25" customHeight="1" x14ac:dyDescent="0.35">
      <c r="A272" s="36">
        <v>31</v>
      </c>
      <c r="B272" s="36" t="s">
        <v>1130</v>
      </c>
      <c r="C272" s="36" t="s">
        <v>1137</v>
      </c>
      <c r="D272" s="37"/>
      <c r="E272" s="37"/>
      <c r="F272" s="37"/>
      <c r="G272" s="37"/>
      <c r="H272" s="37"/>
      <c r="I272" s="37"/>
    </row>
    <row r="273" spans="1:9" ht="14.25" customHeight="1" x14ac:dyDescent="0.35">
      <c r="A273" s="36">
        <v>32</v>
      </c>
      <c r="B273" s="36" t="s">
        <v>1138</v>
      </c>
      <c r="C273" s="36" t="s">
        <v>1137</v>
      </c>
      <c r="D273" s="37"/>
      <c r="E273" s="37"/>
      <c r="F273" s="37"/>
      <c r="G273" s="37"/>
      <c r="H273" s="37"/>
      <c r="I273" s="37"/>
    </row>
    <row r="274" spans="1:9" ht="14.25" customHeight="1" x14ac:dyDescent="0.35">
      <c r="A274" s="36">
        <v>33</v>
      </c>
      <c r="B274" s="36" t="s">
        <v>1139</v>
      </c>
      <c r="C274" s="36" t="s">
        <v>1137</v>
      </c>
      <c r="D274" s="37"/>
      <c r="E274" s="37"/>
      <c r="F274" s="37"/>
      <c r="G274" s="37"/>
      <c r="H274" s="37"/>
      <c r="I274" s="37"/>
    </row>
    <row r="275" spans="1:9" ht="14.25" customHeight="1" x14ac:dyDescent="0.35">
      <c r="A275" s="36">
        <v>34</v>
      </c>
      <c r="B275" s="36" t="s">
        <v>1140</v>
      </c>
      <c r="C275" s="36" t="s">
        <v>1137</v>
      </c>
      <c r="D275" s="37"/>
      <c r="E275" s="37"/>
      <c r="F275" s="37"/>
      <c r="G275" s="37"/>
      <c r="H275" s="37"/>
      <c r="I275" s="37"/>
    </row>
    <row r="276" spans="1:9" ht="14.25" customHeight="1" x14ac:dyDescent="0.35">
      <c r="A276" s="36">
        <v>35</v>
      </c>
      <c r="B276" s="36" t="s">
        <v>1126</v>
      </c>
      <c r="C276" s="36" t="s">
        <v>1137</v>
      </c>
      <c r="D276" s="37"/>
      <c r="E276" s="37"/>
      <c r="F276" s="37"/>
      <c r="G276" s="37"/>
      <c r="H276" s="37"/>
      <c r="I276" s="37"/>
    </row>
    <row r="277" spans="1:9" ht="14.25" customHeight="1" x14ac:dyDescent="0.35">
      <c r="A277" s="36">
        <v>36</v>
      </c>
      <c r="B277" s="36" t="s">
        <v>1141</v>
      </c>
      <c r="C277" s="36" t="s">
        <v>1115</v>
      </c>
      <c r="D277" s="37"/>
      <c r="E277" s="37"/>
      <c r="F277" s="37"/>
      <c r="G277" s="37"/>
      <c r="H277" s="37"/>
      <c r="I277" s="37"/>
    </row>
    <row r="278" spans="1:9" ht="14.25" customHeight="1" x14ac:dyDescent="0.35">
      <c r="A278" s="36">
        <v>37</v>
      </c>
      <c r="B278" s="36" t="s">
        <v>1142</v>
      </c>
      <c r="C278" s="36" t="s">
        <v>1115</v>
      </c>
      <c r="D278" s="37"/>
      <c r="E278" s="37"/>
      <c r="F278" s="37"/>
      <c r="G278" s="37"/>
      <c r="H278" s="37"/>
      <c r="I278" s="37"/>
    </row>
    <row r="279" spans="1:9" ht="14.25" customHeight="1" x14ac:dyDescent="0.35">
      <c r="A279" s="36">
        <v>38</v>
      </c>
      <c r="B279" s="36" t="s">
        <v>1143</v>
      </c>
      <c r="C279" s="36" t="s">
        <v>714</v>
      </c>
      <c r="D279" s="37"/>
      <c r="E279" s="37"/>
      <c r="F279" s="37"/>
      <c r="G279" s="37"/>
      <c r="H279" s="37"/>
      <c r="I279" s="37"/>
    </row>
    <row r="280" spans="1:9" ht="14.25" customHeight="1" x14ac:dyDescent="0.35">
      <c r="A280" s="36">
        <v>39</v>
      </c>
      <c r="B280" s="36" t="s">
        <v>1144</v>
      </c>
      <c r="C280" s="36" t="s">
        <v>1137</v>
      </c>
      <c r="D280" s="37"/>
      <c r="E280" s="37"/>
      <c r="F280" s="37"/>
      <c r="G280" s="37"/>
      <c r="H280" s="37"/>
      <c r="I280" s="37"/>
    </row>
    <row r="281" spans="1:9" ht="14.25" customHeight="1" x14ac:dyDescent="0.35">
      <c r="A281" s="36">
        <v>40</v>
      </c>
      <c r="B281" s="36" t="s">
        <v>1145</v>
      </c>
      <c r="C281" s="36" t="s">
        <v>1137</v>
      </c>
      <c r="D281" s="37"/>
      <c r="E281" s="37"/>
      <c r="F281" s="37"/>
      <c r="G281" s="37"/>
      <c r="H281" s="37"/>
      <c r="I281" s="37"/>
    </row>
    <row r="282" spans="1:9" ht="14.25" customHeight="1" x14ac:dyDescent="0.35">
      <c r="A282" s="36">
        <v>41</v>
      </c>
      <c r="B282" s="36" t="s">
        <v>1146</v>
      </c>
      <c r="C282" s="36" t="s">
        <v>1137</v>
      </c>
      <c r="D282" s="37"/>
      <c r="E282" s="37"/>
      <c r="F282" s="37"/>
      <c r="G282" s="37"/>
      <c r="H282" s="37"/>
      <c r="I282" s="37"/>
    </row>
    <row r="283" spans="1:9" ht="14.25" customHeight="1" x14ac:dyDescent="0.35">
      <c r="A283" s="36">
        <v>42</v>
      </c>
      <c r="B283" s="36" t="s">
        <v>1143</v>
      </c>
      <c r="C283" s="36" t="s">
        <v>1137</v>
      </c>
      <c r="D283" s="37"/>
      <c r="E283" s="37"/>
      <c r="F283" s="37"/>
      <c r="G283" s="37"/>
      <c r="H283" s="37"/>
      <c r="I283" s="37"/>
    </row>
    <row r="284" spans="1:9" ht="14.25" customHeight="1" x14ac:dyDescent="0.35">
      <c r="A284" s="36">
        <v>43</v>
      </c>
      <c r="B284" s="36" t="s">
        <v>1147</v>
      </c>
      <c r="C284" s="36" t="s">
        <v>1137</v>
      </c>
      <c r="D284" s="37"/>
      <c r="E284" s="37"/>
      <c r="F284" s="37"/>
      <c r="G284" s="37"/>
      <c r="H284" s="37"/>
      <c r="I284" s="37"/>
    </row>
    <row r="285" spans="1:9" ht="14.25" customHeight="1" x14ac:dyDescent="0.35">
      <c r="A285" s="36">
        <v>44</v>
      </c>
      <c r="B285" s="36" t="s">
        <v>1148</v>
      </c>
      <c r="C285" s="36" t="s">
        <v>1137</v>
      </c>
      <c r="D285" s="37"/>
      <c r="E285" s="37"/>
      <c r="F285" s="37"/>
      <c r="G285" s="37"/>
      <c r="H285" s="37"/>
      <c r="I285" s="37"/>
    </row>
    <row r="286" spans="1:9" ht="14.25" customHeight="1" x14ac:dyDescent="0.35">
      <c r="A286" s="37"/>
      <c r="B286" s="37"/>
      <c r="C286" s="37"/>
      <c r="D286" s="37"/>
      <c r="E286" s="37"/>
      <c r="F286" s="37"/>
      <c r="G286" s="37"/>
      <c r="H286" s="37"/>
      <c r="I286" s="37"/>
    </row>
    <row r="287" spans="1:9" ht="14.25" customHeight="1" x14ac:dyDescent="0.35">
      <c r="A287" s="37"/>
      <c r="B287" s="37"/>
      <c r="C287" s="37"/>
      <c r="D287" s="37"/>
      <c r="E287" s="37"/>
      <c r="F287" s="37"/>
      <c r="G287" s="37"/>
      <c r="H287" s="37"/>
      <c r="I287" s="37"/>
    </row>
    <row r="288" spans="1:9" ht="14.25" customHeight="1" x14ac:dyDescent="0.35">
      <c r="A288" s="35" t="s">
        <v>1149</v>
      </c>
      <c r="B288" s="38"/>
      <c r="C288" s="37"/>
      <c r="D288" s="37"/>
      <c r="E288" s="37"/>
      <c r="F288" s="37"/>
      <c r="G288" s="37"/>
      <c r="H288" s="37"/>
      <c r="I288" s="37"/>
    </row>
    <row r="289" spans="1:9" ht="14.25" customHeight="1" x14ac:dyDescent="0.35">
      <c r="A289" s="36">
        <v>1</v>
      </c>
      <c r="B289" s="36" t="s">
        <v>1115</v>
      </c>
      <c r="C289" s="37"/>
      <c r="D289" s="37"/>
      <c r="E289" s="37"/>
      <c r="F289" s="37"/>
      <c r="G289" s="37"/>
      <c r="H289" s="37"/>
      <c r="I289" s="37"/>
    </row>
    <row r="290" spans="1:9" ht="14.25" customHeight="1" x14ac:dyDescent="0.35">
      <c r="A290" s="36">
        <v>2</v>
      </c>
      <c r="B290" s="36" t="s">
        <v>714</v>
      </c>
      <c r="C290" s="37"/>
      <c r="D290" s="37"/>
      <c r="E290" s="37"/>
      <c r="F290" s="37"/>
      <c r="G290" s="37"/>
      <c r="H290" s="37"/>
      <c r="I290" s="37"/>
    </row>
    <row r="291" spans="1:9" ht="14.25" customHeight="1" x14ac:dyDescent="0.35">
      <c r="A291" s="36">
        <v>3</v>
      </c>
      <c r="B291" s="36" t="s">
        <v>1137</v>
      </c>
      <c r="C291" s="37"/>
      <c r="D291" s="37"/>
      <c r="E291" s="37"/>
      <c r="F291" s="37"/>
      <c r="G291" s="37"/>
      <c r="H291" s="37"/>
      <c r="I291" s="37"/>
    </row>
    <row r="292" spans="1:9" ht="14.25" customHeight="1" x14ac:dyDescent="0.35">
      <c r="A292" s="37"/>
      <c r="B292" s="37"/>
      <c r="C292" s="37"/>
      <c r="D292" s="37"/>
      <c r="E292" s="37"/>
      <c r="F292" s="37"/>
      <c r="G292" s="37"/>
      <c r="H292" s="37"/>
      <c r="I292" s="37"/>
    </row>
    <row r="293" spans="1:9" ht="14.25" customHeight="1" x14ac:dyDescent="0.35">
      <c r="A293" s="35" t="s">
        <v>1150</v>
      </c>
      <c r="B293" s="38"/>
      <c r="C293" s="37"/>
      <c r="D293" s="37"/>
      <c r="E293" s="37"/>
      <c r="F293" s="37"/>
      <c r="G293" s="37"/>
      <c r="H293" s="37"/>
      <c r="I293" s="37"/>
    </row>
    <row r="294" spans="1:9" ht="14.25" customHeight="1" x14ac:dyDescent="0.35">
      <c r="A294" s="36">
        <v>1</v>
      </c>
      <c r="B294" s="36" t="s">
        <v>659</v>
      </c>
      <c r="C294" s="37"/>
      <c r="D294" s="37"/>
      <c r="E294" s="37"/>
      <c r="F294" s="37"/>
      <c r="G294" s="37"/>
      <c r="H294" s="37"/>
      <c r="I294" s="37"/>
    </row>
    <row r="295" spans="1:9" ht="14.25" customHeight="1" x14ac:dyDescent="0.35">
      <c r="A295" s="36">
        <v>2</v>
      </c>
      <c r="B295" s="36" t="s">
        <v>662</v>
      </c>
      <c r="C295" s="37"/>
      <c r="D295" s="37"/>
      <c r="E295" s="37"/>
      <c r="F295" s="37"/>
      <c r="G295" s="37"/>
      <c r="H295" s="37"/>
      <c r="I295" s="37"/>
    </row>
    <row r="296" spans="1:9" ht="14.25" customHeight="1" x14ac:dyDescent="0.35">
      <c r="A296" s="36">
        <v>3</v>
      </c>
      <c r="B296" s="36" t="s">
        <v>665</v>
      </c>
      <c r="C296" s="37"/>
      <c r="D296" s="37"/>
      <c r="E296" s="37"/>
      <c r="F296" s="37"/>
      <c r="G296" s="37"/>
      <c r="H296" s="37"/>
      <c r="I296" s="37"/>
    </row>
    <row r="297" spans="1:9" ht="14.25" customHeight="1" x14ac:dyDescent="0.35">
      <c r="A297" s="37"/>
      <c r="B297" s="37"/>
      <c r="C297" s="37"/>
      <c r="D297" s="37"/>
      <c r="E297" s="37"/>
      <c r="F297" s="37"/>
      <c r="G297" s="37"/>
      <c r="H297" s="37"/>
      <c r="I297" s="37"/>
    </row>
    <row r="298" spans="1:9" ht="14.25" customHeight="1" x14ac:dyDescent="0.35">
      <c r="A298" s="37"/>
      <c r="B298" s="37"/>
      <c r="C298" s="37"/>
      <c r="D298" s="37"/>
      <c r="E298" s="37"/>
      <c r="F298" s="37"/>
      <c r="G298" s="37"/>
      <c r="H298" s="37"/>
      <c r="I298" s="37"/>
    </row>
    <row r="299" spans="1:9" ht="14.25" customHeight="1" x14ac:dyDescent="0.35">
      <c r="A299" s="37" t="s">
        <v>1151</v>
      </c>
      <c r="B299" s="37"/>
      <c r="C299" s="37"/>
      <c r="D299" s="37"/>
      <c r="E299" s="37"/>
      <c r="F299" s="37"/>
      <c r="G299" s="37"/>
      <c r="H299" s="37"/>
      <c r="I299" s="37"/>
    </row>
    <row r="300" spans="1:9" ht="14.25" customHeight="1" x14ac:dyDescent="0.35">
      <c r="A300" s="37" t="s">
        <v>1152</v>
      </c>
      <c r="B300" s="37"/>
      <c r="C300" s="37"/>
      <c r="D300" s="37"/>
      <c r="E300" s="37"/>
      <c r="F300" s="37"/>
      <c r="G300" s="37"/>
      <c r="H300" s="37"/>
      <c r="I300" s="37"/>
    </row>
    <row r="301" spans="1:9" ht="14.25" customHeight="1" x14ac:dyDescent="0.35">
      <c r="A301" s="37"/>
      <c r="B301" s="37"/>
      <c r="C301" s="37"/>
      <c r="D301" s="37"/>
      <c r="E301" s="37"/>
      <c r="F301" s="37"/>
      <c r="G301" s="37"/>
      <c r="H301" s="37"/>
      <c r="I301" s="37"/>
    </row>
    <row r="302" spans="1:9" ht="14.25" customHeight="1" x14ac:dyDescent="0.35">
      <c r="A302" s="39" t="s">
        <v>1153</v>
      </c>
      <c r="B302" s="37"/>
      <c r="C302" s="37"/>
      <c r="D302" s="37"/>
      <c r="E302" s="37"/>
      <c r="F302" s="37"/>
      <c r="G302" s="37"/>
      <c r="H302" s="37"/>
      <c r="I302" s="37"/>
    </row>
    <row r="303" spans="1:9" ht="14.25" customHeight="1" x14ac:dyDescent="0.35">
      <c r="A303" s="39"/>
      <c r="B303" s="40" t="s">
        <v>1154</v>
      </c>
      <c r="C303" s="40" t="s">
        <v>1155</v>
      </c>
      <c r="D303" s="37"/>
      <c r="E303" s="37"/>
      <c r="F303" s="37"/>
      <c r="G303" s="37"/>
      <c r="H303" s="37"/>
      <c r="I303" s="37"/>
    </row>
    <row r="304" spans="1:9" ht="14.25" customHeight="1" x14ac:dyDescent="0.35">
      <c r="A304" s="37"/>
      <c r="B304" s="36" t="s">
        <v>1156</v>
      </c>
      <c r="C304" s="41" t="s">
        <v>1157</v>
      </c>
      <c r="D304" s="37"/>
      <c r="E304" s="37"/>
      <c r="F304" s="37"/>
      <c r="G304" s="37"/>
      <c r="H304" s="37"/>
      <c r="I304" s="37"/>
    </row>
    <row r="305" spans="1:9" ht="14.25" customHeight="1" x14ac:dyDescent="0.35">
      <c r="A305" s="37"/>
      <c r="B305" s="36" t="s">
        <v>1158</v>
      </c>
      <c r="C305" s="41" t="s">
        <v>1159</v>
      </c>
      <c r="D305" s="37"/>
      <c r="E305" s="37"/>
      <c r="F305" s="37"/>
      <c r="G305" s="37"/>
      <c r="H305" s="37"/>
      <c r="I305" s="37"/>
    </row>
    <row r="306" spans="1:9" ht="14.25" customHeight="1" x14ac:dyDescent="0.35">
      <c r="A306" s="37"/>
      <c r="B306" s="36" t="s">
        <v>1160</v>
      </c>
      <c r="C306" s="41" t="s">
        <v>1161</v>
      </c>
      <c r="D306" s="37"/>
      <c r="E306" s="37"/>
      <c r="F306" s="37"/>
      <c r="G306" s="37"/>
      <c r="H306" s="37"/>
      <c r="I306" s="37"/>
    </row>
    <row r="307" spans="1:9" ht="14.25" customHeight="1" x14ac:dyDescent="0.35">
      <c r="A307" s="37"/>
      <c r="B307" s="36" t="s">
        <v>1162</v>
      </c>
      <c r="C307" s="41" t="s">
        <v>1163</v>
      </c>
      <c r="D307" s="37"/>
      <c r="E307" s="37"/>
      <c r="F307" s="37"/>
      <c r="G307" s="37"/>
      <c r="H307" s="37"/>
      <c r="I307" s="37"/>
    </row>
    <row r="308" spans="1:9" ht="14.25" customHeight="1" x14ac:dyDescent="0.35">
      <c r="A308" s="37"/>
      <c r="B308" s="36" t="s">
        <v>1164</v>
      </c>
      <c r="C308" s="41" t="s">
        <v>1165</v>
      </c>
      <c r="D308" s="37"/>
      <c r="E308" s="37"/>
      <c r="F308" s="37"/>
      <c r="G308" s="37"/>
      <c r="H308" s="37"/>
      <c r="I308" s="37"/>
    </row>
    <row r="309" spans="1:9" ht="14.25" customHeight="1" x14ac:dyDescent="0.35">
      <c r="A309" s="37"/>
      <c r="B309" s="36" t="s">
        <v>1166</v>
      </c>
      <c r="C309" s="41" t="s">
        <v>1167</v>
      </c>
      <c r="D309" s="37"/>
      <c r="E309" s="37"/>
      <c r="F309" s="37"/>
      <c r="G309" s="37"/>
      <c r="H309" s="37"/>
      <c r="I309" s="37"/>
    </row>
    <row r="310" spans="1:9" ht="14.25" customHeight="1" x14ac:dyDescent="0.35">
      <c r="A310" s="37"/>
      <c r="B310" s="36" t="s">
        <v>1168</v>
      </c>
      <c r="C310" s="41" t="s">
        <v>1169</v>
      </c>
      <c r="D310" s="37"/>
      <c r="E310" s="37"/>
      <c r="F310" s="37"/>
      <c r="G310" s="37"/>
      <c r="H310" s="37"/>
      <c r="I310" s="37"/>
    </row>
    <row r="311" spans="1:9" ht="14.25" customHeight="1" x14ac:dyDescent="0.35">
      <c r="A311" s="37"/>
      <c r="B311" s="36" t="s">
        <v>1170</v>
      </c>
      <c r="C311" s="41" t="s">
        <v>1171</v>
      </c>
      <c r="D311" s="37"/>
      <c r="E311" s="37"/>
      <c r="F311" s="37"/>
      <c r="G311" s="37"/>
      <c r="H311" s="37"/>
      <c r="I311" s="37"/>
    </row>
    <row r="312" spans="1:9" ht="14.25" customHeight="1" x14ac:dyDescent="0.35">
      <c r="A312" s="37"/>
      <c r="B312" s="36" t="s">
        <v>1172</v>
      </c>
      <c r="C312" s="41" t="s">
        <v>1173</v>
      </c>
      <c r="D312" s="37"/>
      <c r="E312" s="37"/>
      <c r="F312" s="37"/>
      <c r="G312" s="37"/>
      <c r="H312" s="37"/>
      <c r="I312" s="37"/>
    </row>
    <row r="313" spans="1:9" ht="14.25" customHeight="1" x14ac:dyDescent="0.35">
      <c r="A313" s="37"/>
      <c r="B313" s="36" t="s">
        <v>1174</v>
      </c>
      <c r="C313" s="41" t="s">
        <v>1175</v>
      </c>
      <c r="D313" s="37"/>
      <c r="E313" s="37"/>
      <c r="F313" s="37"/>
      <c r="G313" s="37"/>
      <c r="H313" s="37"/>
      <c r="I313" s="37"/>
    </row>
    <row r="314" spans="1:9" ht="14.25" customHeight="1" x14ac:dyDescent="0.35">
      <c r="A314" s="37"/>
      <c r="B314" s="36" t="s">
        <v>1176</v>
      </c>
      <c r="C314" s="41" t="s">
        <v>1177</v>
      </c>
      <c r="D314" s="37"/>
      <c r="E314" s="37"/>
      <c r="F314" s="37"/>
      <c r="G314" s="37"/>
      <c r="H314" s="37"/>
      <c r="I314" s="37"/>
    </row>
    <row r="315" spans="1:9" ht="14.25" customHeight="1" x14ac:dyDescent="0.35">
      <c r="A315" s="37"/>
      <c r="B315" s="36" t="s">
        <v>1178</v>
      </c>
      <c r="C315" s="41" t="s">
        <v>1179</v>
      </c>
      <c r="D315" s="37"/>
      <c r="E315" s="37"/>
      <c r="F315" s="37"/>
      <c r="G315" s="37"/>
      <c r="H315" s="37"/>
      <c r="I315" s="37"/>
    </row>
    <row r="316" spans="1:9" ht="14.25" customHeight="1" x14ac:dyDescent="0.35">
      <c r="A316" s="37"/>
      <c r="B316" s="36" t="s">
        <v>1180</v>
      </c>
      <c r="C316" s="41" t="s">
        <v>1181</v>
      </c>
      <c r="D316" s="37"/>
      <c r="E316" s="37"/>
      <c r="F316" s="37"/>
      <c r="G316" s="37"/>
      <c r="H316" s="37"/>
      <c r="I316" s="37"/>
    </row>
    <row r="317" spans="1:9" ht="14.25" customHeight="1" x14ac:dyDescent="0.35">
      <c r="A317" s="37"/>
      <c r="B317" s="36" t="s">
        <v>1182</v>
      </c>
      <c r="C317" s="41" t="s">
        <v>1183</v>
      </c>
      <c r="D317" s="37"/>
      <c r="E317" s="37"/>
      <c r="F317" s="37"/>
      <c r="G317" s="37"/>
      <c r="H317" s="37"/>
      <c r="I317" s="37"/>
    </row>
    <row r="318" spans="1:9" ht="14.25" customHeight="1" x14ac:dyDescent="0.35">
      <c r="A318" s="37"/>
      <c r="B318" s="36" t="s">
        <v>1184</v>
      </c>
      <c r="C318" s="41" t="s">
        <v>1185</v>
      </c>
      <c r="D318" s="37"/>
      <c r="E318" s="37"/>
      <c r="F318" s="37"/>
      <c r="G318" s="37"/>
      <c r="H318" s="37"/>
      <c r="I318" s="37"/>
    </row>
    <row r="319" spans="1:9" ht="14.25" customHeight="1" x14ac:dyDescent="0.35">
      <c r="A319" s="37"/>
      <c r="B319" s="36" t="s">
        <v>1186</v>
      </c>
      <c r="C319" s="41" t="s">
        <v>1187</v>
      </c>
      <c r="D319" s="37"/>
      <c r="E319" s="37"/>
      <c r="F319" s="37"/>
      <c r="G319" s="37"/>
      <c r="H319" s="37"/>
      <c r="I319" s="37"/>
    </row>
    <row r="320" spans="1:9" ht="14.25" customHeight="1" x14ac:dyDescent="0.35">
      <c r="A320" s="37"/>
      <c r="B320" s="36" t="s">
        <v>1188</v>
      </c>
      <c r="C320" s="41" t="s">
        <v>1189</v>
      </c>
      <c r="D320" s="37"/>
      <c r="E320" s="37"/>
      <c r="F320" s="37"/>
      <c r="G320" s="37"/>
      <c r="H320" s="37"/>
      <c r="I320" s="37"/>
    </row>
    <row r="321" spans="1:9" ht="14.25" customHeight="1" x14ac:dyDescent="0.35">
      <c r="A321" s="37"/>
      <c r="B321" s="36" t="s">
        <v>1190</v>
      </c>
      <c r="C321" s="41" t="s">
        <v>1191</v>
      </c>
      <c r="D321" s="37"/>
      <c r="E321" s="37"/>
      <c r="F321" s="37"/>
      <c r="G321" s="37"/>
      <c r="H321" s="37"/>
      <c r="I321" s="37"/>
    </row>
    <row r="322" spans="1:9" ht="14.25" customHeight="1" x14ac:dyDescent="0.35">
      <c r="A322" s="37"/>
      <c r="B322" s="36" t="s">
        <v>1192</v>
      </c>
      <c r="C322" s="41" t="s">
        <v>1193</v>
      </c>
      <c r="D322" s="37"/>
      <c r="E322" s="37"/>
      <c r="F322" s="37"/>
      <c r="G322" s="37"/>
      <c r="H322" s="37"/>
      <c r="I322" s="37"/>
    </row>
    <row r="323" spans="1:9" ht="14.25" customHeight="1" x14ac:dyDescent="0.35">
      <c r="A323" s="37"/>
      <c r="B323" s="36" t="s">
        <v>1194</v>
      </c>
      <c r="C323" s="41" t="s">
        <v>1195</v>
      </c>
      <c r="D323" s="37"/>
      <c r="E323" s="37"/>
      <c r="F323" s="37"/>
      <c r="G323" s="37"/>
      <c r="H323" s="37"/>
      <c r="I323" s="37"/>
    </row>
    <row r="324" spans="1:9" ht="14.25" customHeight="1" x14ac:dyDescent="0.35">
      <c r="A324" s="37"/>
      <c r="B324" s="36" t="s">
        <v>1196</v>
      </c>
      <c r="C324" s="41" t="s">
        <v>1197</v>
      </c>
      <c r="D324" s="37"/>
      <c r="E324" s="37"/>
      <c r="F324" s="37"/>
      <c r="G324" s="37"/>
      <c r="H324" s="37"/>
      <c r="I324" s="37"/>
    </row>
    <row r="325" spans="1:9" ht="14.25" customHeight="1" x14ac:dyDescent="0.35">
      <c r="A325" s="37"/>
      <c r="B325" s="36" t="s">
        <v>1198</v>
      </c>
      <c r="C325" s="41" t="s">
        <v>1199</v>
      </c>
      <c r="D325" s="37"/>
      <c r="E325" s="37"/>
      <c r="F325" s="37"/>
      <c r="G325" s="37"/>
      <c r="H325" s="37"/>
      <c r="I325" s="37"/>
    </row>
    <row r="326" spans="1:9" ht="14.25" customHeight="1" x14ac:dyDescent="0.35">
      <c r="A326" s="37"/>
      <c r="B326" s="36" t="s">
        <v>1200</v>
      </c>
      <c r="C326" s="41" t="s">
        <v>1201</v>
      </c>
      <c r="D326" s="37"/>
      <c r="E326" s="37"/>
      <c r="F326" s="37"/>
      <c r="G326" s="37"/>
      <c r="H326" s="37"/>
      <c r="I326" s="37"/>
    </row>
    <row r="327" spans="1:9" ht="14.25" customHeight="1" x14ac:dyDescent="0.35">
      <c r="A327" s="37"/>
      <c r="B327" s="36" t="s">
        <v>1202</v>
      </c>
      <c r="C327" s="41" t="s">
        <v>1203</v>
      </c>
      <c r="D327" s="37"/>
      <c r="E327" s="37"/>
      <c r="F327" s="37"/>
      <c r="G327" s="37"/>
      <c r="H327" s="37"/>
      <c r="I327" s="37"/>
    </row>
    <row r="328" spans="1:9" ht="14.25" customHeight="1" x14ac:dyDescent="0.35">
      <c r="A328" s="37"/>
      <c r="B328" s="36" t="s">
        <v>1204</v>
      </c>
      <c r="C328" s="41" t="s">
        <v>1205</v>
      </c>
      <c r="D328" s="37"/>
      <c r="E328" s="37"/>
      <c r="F328" s="37"/>
      <c r="G328" s="37"/>
      <c r="H328" s="37"/>
      <c r="I328" s="37"/>
    </row>
    <row r="329" spans="1:9" ht="14.25" customHeight="1" x14ac:dyDescent="0.35">
      <c r="A329" s="37"/>
      <c r="B329" s="36" t="s">
        <v>1206</v>
      </c>
      <c r="C329" s="41" t="s">
        <v>1207</v>
      </c>
      <c r="D329" s="37"/>
      <c r="E329" s="37"/>
      <c r="F329" s="37"/>
      <c r="G329" s="37"/>
      <c r="H329" s="37"/>
      <c r="I329" s="37"/>
    </row>
    <row r="330" spans="1:9" ht="14.25" customHeight="1" x14ac:dyDescent="0.35">
      <c r="A330" s="37"/>
      <c r="B330" s="36" t="s">
        <v>1208</v>
      </c>
      <c r="C330" s="41" t="s">
        <v>1209</v>
      </c>
      <c r="D330" s="37"/>
      <c r="E330" s="37"/>
      <c r="F330" s="37"/>
      <c r="G330" s="37"/>
      <c r="H330" s="37"/>
      <c r="I330" s="37"/>
    </row>
    <row r="331" spans="1:9" ht="14.25" customHeight="1" x14ac:dyDescent="0.35">
      <c r="A331" s="37"/>
      <c r="B331" s="36" t="s">
        <v>1210</v>
      </c>
      <c r="C331" s="41" t="s">
        <v>1211</v>
      </c>
      <c r="D331" s="37"/>
      <c r="E331" s="37"/>
      <c r="F331" s="37"/>
      <c r="G331" s="37"/>
      <c r="H331" s="37"/>
      <c r="I331" s="37"/>
    </row>
    <row r="332" spans="1:9" ht="14.25" customHeight="1" x14ac:dyDescent="0.35">
      <c r="A332" s="37"/>
      <c r="B332" s="36" t="s">
        <v>1212</v>
      </c>
      <c r="C332" s="41" t="s">
        <v>1213</v>
      </c>
      <c r="D332" s="37"/>
      <c r="E332" s="37"/>
      <c r="F332" s="37"/>
      <c r="G332" s="37"/>
      <c r="H332" s="37"/>
      <c r="I332" s="37"/>
    </row>
    <row r="333" spans="1:9" ht="14.25" customHeight="1" x14ac:dyDescent="0.35">
      <c r="A333" s="37"/>
      <c r="B333" s="36" t="s">
        <v>1214</v>
      </c>
      <c r="C333" s="41" t="s">
        <v>1215</v>
      </c>
      <c r="D333" s="37"/>
      <c r="E333" s="37"/>
      <c r="F333" s="37"/>
      <c r="G333" s="37"/>
      <c r="H333" s="37"/>
      <c r="I333" s="37"/>
    </row>
    <row r="334" spans="1:9" ht="14.25" customHeight="1" x14ac:dyDescent="0.35">
      <c r="A334" s="37"/>
      <c r="B334" s="36" t="s">
        <v>1216</v>
      </c>
      <c r="C334" s="41" t="s">
        <v>1217</v>
      </c>
      <c r="D334" s="37"/>
      <c r="E334" s="37"/>
      <c r="F334" s="37"/>
      <c r="G334" s="37"/>
      <c r="H334" s="37"/>
      <c r="I334" s="37"/>
    </row>
    <row r="335" spans="1:9" ht="14.25" customHeight="1" x14ac:dyDescent="0.35">
      <c r="A335" s="37"/>
      <c r="B335" s="36" t="s">
        <v>1218</v>
      </c>
      <c r="C335" s="41" t="s">
        <v>1219</v>
      </c>
      <c r="D335" s="37"/>
      <c r="E335" s="37"/>
      <c r="F335" s="37"/>
      <c r="G335" s="37"/>
      <c r="H335" s="37"/>
      <c r="I335" s="37"/>
    </row>
    <row r="336" spans="1:9" ht="14.25" customHeight="1" x14ac:dyDescent="0.35">
      <c r="A336" s="37"/>
      <c r="B336" s="36" t="s">
        <v>1220</v>
      </c>
      <c r="C336" s="41" t="s">
        <v>1221</v>
      </c>
      <c r="D336" s="37"/>
      <c r="E336" s="37"/>
      <c r="F336" s="37"/>
      <c r="G336" s="37"/>
      <c r="H336" s="37"/>
      <c r="I336" s="37"/>
    </row>
    <row r="337" spans="1:9" ht="14.25" customHeight="1" x14ac:dyDescent="0.35">
      <c r="A337" s="37"/>
      <c r="B337" s="36" t="s">
        <v>1222</v>
      </c>
      <c r="C337" s="41" t="s">
        <v>1223</v>
      </c>
      <c r="D337" s="37"/>
      <c r="E337" s="37"/>
      <c r="F337" s="37"/>
      <c r="G337" s="37"/>
      <c r="H337" s="37"/>
      <c r="I337" s="37"/>
    </row>
    <row r="338" spans="1:9" ht="14.25" customHeight="1" x14ac:dyDescent="0.35">
      <c r="A338" s="37"/>
      <c r="B338" s="36" t="s">
        <v>1224</v>
      </c>
      <c r="C338" s="41" t="s">
        <v>1225</v>
      </c>
      <c r="D338" s="37"/>
      <c r="E338" s="37"/>
      <c r="F338" s="37"/>
      <c r="G338" s="37"/>
      <c r="H338" s="37"/>
      <c r="I338" s="37"/>
    </row>
    <row r="339" spans="1:9" ht="14.25" customHeight="1" x14ac:dyDescent="0.35">
      <c r="A339" s="37"/>
      <c r="B339" s="36" t="s">
        <v>1226</v>
      </c>
      <c r="C339" s="41" t="s">
        <v>1227</v>
      </c>
      <c r="D339" s="37"/>
      <c r="E339" s="37"/>
      <c r="F339" s="37"/>
      <c r="G339" s="37"/>
      <c r="H339" s="37"/>
      <c r="I339" s="37"/>
    </row>
    <row r="340" spans="1:9" ht="14.25" customHeight="1" x14ac:dyDescent="0.35">
      <c r="A340" s="37"/>
      <c r="B340" s="36" t="s">
        <v>1228</v>
      </c>
      <c r="C340" s="41" t="s">
        <v>1229</v>
      </c>
      <c r="D340" s="37"/>
      <c r="E340" s="37"/>
      <c r="F340" s="37"/>
      <c r="G340" s="37"/>
      <c r="H340" s="37"/>
      <c r="I340" s="37"/>
    </row>
    <row r="341" spans="1:9" ht="14.25" customHeight="1" x14ac:dyDescent="0.35">
      <c r="A341" s="37"/>
      <c r="B341" s="36" t="s">
        <v>1230</v>
      </c>
      <c r="C341" s="41" t="s">
        <v>1231</v>
      </c>
      <c r="D341" s="37"/>
      <c r="E341" s="37"/>
      <c r="F341" s="37"/>
      <c r="G341" s="37"/>
      <c r="H341" s="37"/>
      <c r="I341" s="37"/>
    </row>
    <row r="342" spans="1:9" ht="14.25" customHeight="1" x14ac:dyDescent="0.35">
      <c r="A342" s="37"/>
      <c r="B342" s="36" t="s">
        <v>1232</v>
      </c>
      <c r="C342" s="41" t="s">
        <v>1233</v>
      </c>
      <c r="D342" s="37"/>
      <c r="E342" s="37"/>
      <c r="F342" s="37"/>
      <c r="G342" s="37"/>
      <c r="H342" s="37"/>
      <c r="I342" s="37"/>
    </row>
    <row r="343" spans="1:9" ht="14.25" customHeight="1" x14ac:dyDescent="0.35">
      <c r="A343" s="37"/>
      <c r="B343" s="36" t="s">
        <v>1234</v>
      </c>
      <c r="C343" s="41" t="s">
        <v>1235</v>
      </c>
      <c r="D343" s="37"/>
      <c r="E343" s="37"/>
      <c r="F343" s="37"/>
      <c r="G343" s="37"/>
      <c r="H343" s="37"/>
      <c r="I343" s="37"/>
    </row>
    <row r="344" spans="1:9" ht="14.25" customHeight="1" x14ac:dyDescent="0.35">
      <c r="A344" s="37"/>
      <c r="B344" s="36" t="s">
        <v>1236</v>
      </c>
      <c r="C344" s="41" t="s">
        <v>1237</v>
      </c>
      <c r="D344" s="37"/>
      <c r="E344" s="37"/>
      <c r="F344" s="37"/>
      <c r="G344" s="37"/>
      <c r="H344" s="37"/>
      <c r="I344" s="37"/>
    </row>
    <row r="345" spans="1:9" ht="14.25" customHeight="1" x14ac:dyDescent="0.35">
      <c r="A345" s="37"/>
      <c r="B345" s="36" t="s">
        <v>1238</v>
      </c>
      <c r="C345" s="41" t="s">
        <v>1239</v>
      </c>
      <c r="D345" s="37"/>
      <c r="E345" s="37"/>
      <c r="F345" s="37"/>
      <c r="G345" s="37"/>
      <c r="H345" s="37"/>
      <c r="I345" s="37"/>
    </row>
    <row r="346" spans="1:9" ht="14.25" customHeight="1" x14ac:dyDescent="0.35">
      <c r="A346" s="37"/>
      <c r="B346" s="36" t="s">
        <v>1240</v>
      </c>
      <c r="C346" s="41" t="s">
        <v>1241</v>
      </c>
      <c r="D346" s="37"/>
      <c r="E346" s="37"/>
      <c r="F346" s="37"/>
      <c r="G346" s="37"/>
      <c r="H346" s="37"/>
      <c r="I346" s="37"/>
    </row>
    <row r="347" spans="1:9" ht="14.25" customHeight="1" x14ac:dyDescent="0.35">
      <c r="A347" s="37"/>
      <c r="B347" s="36" t="s">
        <v>1242</v>
      </c>
      <c r="C347" s="41" t="s">
        <v>1243</v>
      </c>
      <c r="D347" s="37"/>
      <c r="E347" s="37"/>
      <c r="F347" s="37"/>
      <c r="G347" s="37"/>
      <c r="H347" s="37"/>
      <c r="I347" s="37"/>
    </row>
    <row r="348" spans="1:9" ht="14.25" customHeight="1" x14ac:dyDescent="0.35">
      <c r="A348" s="37"/>
      <c r="B348" s="36" t="s">
        <v>1244</v>
      </c>
      <c r="C348" s="41" t="s">
        <v>1245</v>
      </c>
      <c r="D348" s="37"/>
      <c r="E348" s="37"/>
      <c r="F348" s="37"/>
      <c r="G348" s="37"/>
      <c r="H348" s="37"/>
      <c r="I348" s="37"/>
    </row>
    <row r="349" spans="1:9" ht="14.25" customHeight="1" x14ac:dyDescent="0.35">
      <c r="A349" s="37"/>
      <c r="B349" s="36" t="s">
        <v>1246</v>
      </c>
      <c r="C349" s="41" t="s">
        <v>1247</v>
      </c>
      <c r="D349" s="37"/>
      <c r="E349" s="37"/>
      <c r="F349" s="37"/>
      <c r="G349" s="37"/>
      <c r="H349" s="37"/>
      <c r="I349" s="37"/>
    </row>
    <row r="350" spans="1:9" ht="14.25" customHeight="1" x14ac:dyDescent="0.35">
      <c r="A350" s="37"/>
      <c r="B350" s="36" t="s">
        <v>1248</v>
      </c>
      <c r="C350" s="41" t="s">
        <v>1249</v>
      </c>
      <c r="D350" s="37"/>
      <c r="E350" s="37"/>
      <c r="F350" s="37"/>
      <c r="G350" s="37"/>
      <c r="H350" s="37"/>
      <c r="I350" s="37"/>
    </row>
    <row r="351" spans="1:9" ht="14.25" customHeight="1" x14ac:dyDescent="0.35">
      <c r="A351" s="37"/>
      <c r="B351" s="36" t="s">
        <v>1250</v>
      </c>
      <c r="C351" s="41" t="s">
        <v>1251</v>
      </c>
      <c r="D351" s="37"/>
      <c r="E351" s="37"/>
      <c r="F351" s="37"/>
      <c r="G351" s="37"/>
      <c r="H351" s="37"/>
      <c r="I351" s="37"/>
    </row>
    <row r="352" spans="1:9" ht="14.25" customHeight="1" x14ac:dyDescent="0.35">
      <c r="A352" s="37"/>
      <c r="B352" s="36" t="s">
        <v>1252</v>
      </c>
      <c r="C352" s="41" t="s">
        <v>1253</v>
      </c>
      <c r="D352" s="37"/>
      <c r="E352" s="37"/>
      <c r="F352" s="37"/>
      <c r="G352" s="37"/>
      <c r="H352" s="37"/>
      <c r="I352" s="37"/>
    </row>
    <row r="353" spans="1:9" ht="14.25" customHeight="1" x14ac:dyDescent="0.35">
      <c r="A353" s="37"/>
      <c r="B353" s="36" t="s">
        <v>1254</v>
      </c>
      <c r="C353" s="41" t="s">
        <v>1255</v>
      </c>
      <c r="D353" s="37"/>
      <c r="E353" s="37"/>
      <c r="F353" s="37"/>
      <c r="G353" s="37"/>
      <c r="H353" s="37"/>
      <c r="I353" s="37"/>
    </row>
    <row r="354" spans="1:9" ht="14.25" customHeight="1" x14ac:dyDescent="0.35">
      <c r="A354" s="37"/>
      <c r="B354" s="36" t="s">
        <v>1256</v>
      </c>
      <c r="C354" s="41" t="s">
        <v>1257</v>
      </c>
      <c r="D354" s="37"/>
      <c r="E354" s="37"/>
      <c r="F354" s="37"/>
      <c r="G354" s="37"/>
      <c r="H354" s="37"/>
      <c r="I354" s="37"/>
    </row>
    <row r="355" spans="1:9" ht="14.25" customHeight="1" x14ac:dyDescent="0.35">
      <c r="A355" s="37"/>
      <c r="B355" s="36" t="s">
        <v>1258</v>
      </c>
      <c r="C355" s="41" t="s">
        <v>1259</v>
      </c>
      <c r="D355" s="37"/>
      <c r="E355" s="37"/>
      <c r="F355" s="37"/>
      <c r="G355" s="37"/>
      <c r="H355" s="37"/>
      <c r="I355" s="37"/>
    </row>
    <row r="356" spans="1:9" ht="14.25" customHeight="1" x14ac:dyDescent="0.35">
      <c r="A356" s="37"/>
      <c r="B356" s="36" t="s">
        <v>1260</v>
      </c>
      <c r="C356" s="41" t="s">
        <v>1261</v>
      </c>
      <c r="D356" s="37"/>
      <c r="E356" s="37"/>
      <c r="F356" s="37"/>
      <c r="G356" s="37"/>
      <c r="H356" s="37"/>
      <c r="I356" s="37"/>
    </row>
    <row r="357" spans="1:9" ht="14.25" customHeight="1" x14ac:dyDescent="0.35">
      <c r="A357" s="37"/>
      <c r="B357" s="36" t="s">
        <v>1262</v>
      </c>
      <c r="C357" s="41" t="s">
        <v>1263</v>
      </c>
      <c r="D357" s="37"/>
      <c r="E357" s="37"/>
      <c r="F357" s="37"/>
      <c r="G357" s="37"/>
      <c r="H357" s="37"/>
      <c r="I357" s="37"/>
    </row>
    <row r="358" spans="1:9" ht="14.25" customHeight="1" x14ac:dyDescent="0.35">
      <c r="A358" s="37"/>
      <c r="B358" s="36" t="s">
        <v>1264</v>
      </c>
      <c r="C358" s="41" t="s">
        <v>1265</v>
      </c>
      <c r="D358" s="37"/>
      <c r="E358" s="37"/>
      <c r="F358" s="37"/>
      <c r="G358" s="37"/>
      <c r="H358" s="37"/>
      <c r="I358" s="37"/>
    </row>
    <row r="359" spans="1:9" ht="14.25" customHeight="1" x14ac:dyDescent="0.35">
      <c r="A359" s="37"/>
      <c r="B359" s="36" t="s">
        <v>1266</v>
      </c>
      <c r="C359" s="41" t="s">
        <v>1267</v>
      </c>
      <c r="D359" s="37"/>
      <c r="E359" s="37"/>
      <c r="F359" s="37"/>
      <c r="G359" s="37"/>
      <c r="H359" s="37"/>
      <c r="I359" s="37"/>
    </row>
    <row r="360" spans="1:9" ht="14.25" customHeight="1" x14ac:dyDescent="0.35">
      <c r="A360" s="37"/>
      <c r="B360" s="36" t="s">
        <v>1268</v>
      </c>
      <c r="C360" s="41" t="s">
        <v>1269</v>
      </c>
      <c r="D360" s="37"/>
      <c r="E360" s="37"/>
      <c r="F360" s="37"/>
      <c r="G360" s="37"/>
      <c r="H360" s="37"/>
      <c r="I360" s="37"/>
    </row>
    <row r="361" spans="1:9" ht="14.25" customHeight="1" x14ac:dyDescent="0.35">
      <c r="A361" s="37"/>
      <c r="B361" s="36" t="s">
        <v>1270</v>
      </c>
      <c r="C361" s="41" t="s">
        <v>1271</v>
      </c>
      <c r="D361" s="37"/>
      <c r="E361" s="37"/>
      <c r="F361" s="37"/>
      <c r="G361" s="37"/>
      <c r="H361" s="37"/>
      <c r="I361" s="37"/>
    </row>
    <row r="362" spans="1:9" ht="14.25" customHeight="1" x14ac:dyDescent="0.35">
      <c r="A362" s="37"/>
      <c r="B362" s="36" t="s">
        <v>1272</v>
      </c>
      <c r="C362" s="41" t="s">
        <v>1273</v>
      </c>
      <c r="D362" s="37"/>
      <c r="E362" s="37"/>
      <c r="F362" s="37"/>
      <c r="G362" s="37"/>
      <c r="H362" s="37"/>
      <c r="I362" s="37"/>
    </row>
    <row r="363" spans="1:9" ht="14.25" customHeight="1" x14ac:dyDescent="0.35">
      <c r="A363" s="37"/>
      <c r="B363" s="36" t="s">
        <v>1274</v>
      </c>
      <c r="C363" s="41" t="s">
        <v>1275</v>
      </c>
      <c r="D363" s="37"/>
      <c r="E363" s="37"/>
      <c r="F363" s="37"/>
      <c r="G363" s="37"/>
      <c r="H363" s="37"/>
      <c r="I363" s="37"/>
    </row>
    <row r="364" spans="1:9" ht="14.25" customHeight="1" x14ac:dyDescent="0.35">
      <c r="A364" s="37"/>
      <c r="B364" s="36" t="s">
        <v>1276</v>
      </c>
      <c r="C364" s="41" t="s">
        <v>1277</v>
      </c>
      <c r="D364" s="37"/>
      <c r="E364" s="37"/>
      <c r="F364" s="37"/>
      <c r="G364" s="37"/>
      <c r="H364" s="37"/>
      <c r="I364" s="37"/>
    </row>
    <row r="365" spans="1:9" ht="14.25" customHeight="1" x14ac:dyDescent="0.35">
      <c r="A365" s="37"/>
      <c r="B365" s="36" t="s">
        <v>1278</v>
      </c>
      <c r="C365" s="41" t="s">
        <v>1279</v>
      </c>
      <c r="D365" s="37"/>
      <c r="E365" s="37"/>
      <c r="F365" s="37"/>
      <c r="G365" s="37"/>
      <c r="H365" s="37"/>
      <c r="I365" s="37"/>
    </row>
    <row r="366" spans="1:9" ht="14.25" customHeight="1" x14ac:dyDescent="0.35">
      <c r="A366" s="37"/>
      <c r="B366" s="36" t="s">
        <v>1280</v>
      </c>
      <c r="C366" s="41" t="s">
        <v>1281</v>
      </c>
      <c r="D366" s="37"/>
      <c r="E366" s="37"/>
      <c r="F366" s="37"/>
      <c r="G366" s="37"/>
      <c r="H366" s="37"/>
      <c r="I366" s="37"/>
    </row>
    <row r="367" spans="1:9" ht="14.25" customHeight="1" x14ac:dyDescent="0.35">
      <c r="A367" s="37"/>
      <c r="B367" s="36" t="s">
        <v>1282</v>
      </c>
      <c r="C367" s="41" t="s">
        <v>1283</v>
      </c>
      <c r="D367" s="37"/>
      <c r="E367" s="37"/>
      <c r="F367" s="37"/>
      <c r="G367" s="37"/>
      <c r="H367" s="37"/>
      <c r="I367" s="37"/>
    </row>
    <row r="368" spans="1:9" ht="14.25" customHeight="1" x14ac:dyDescent="0.35">
      <c r="A368" s="37"/>
      <c r="B368" s="36" t="s">
        <v>1284</v>
      </c>
      <c r="C368" s="41" t="s">
        <v>1285</v>
      </c>
      <c r="D368" s="37"/>
      <c r="E368" s="37"/>
      <c r="F368" s="37"/>
      <c r="G368" s="37"/>
      <c r="H368" s="37"/>
      <c r="I368" s="37"/>
    </row>
    <row r="369" spans="1:9" ht="14.25" customHeight="1" x14ac:dyDescent="0.35">
      <c r="A369" s="37"/>
      <c r="B369" s="36" t="s">
        <v>1286</v>
      </c>
      <c r="C369" s="41" t="s">
        <v>1287</v>
      </c>
      <c r="D369" s="37"/>
      <c r="E369" s="37"/>
      <c r="F369" s="37"/>
      <c r="G369" s="37"/>
      <c r="H369" s="37"/>
      <c r="I369" s="37"/>
    </row>
    <row r="370" spans="1:9" ht="14.25" customHeight="1" x14ac:dyDescent="0.35">
      <c r="A370" s="37"/>
      <c r="B370" s="36" t="s">
        <v>1288</v>
      </c>
      <c r="C370" s="41" t="s">
        <v>1289</v>
      </c>
      <c r="D370" s="37"/>
      <c r="E370" s="37"/>
      <c r="F370" s="37"/>
      <c r="G370" s="37"/>
      <c r="H370" s="37"/>
      <c r="I370" s="37"/>
    </row>
    <row r="371" spans="1:9" ht="14.25" customHeight="1" x14ac:dyDescent="0.35">
      <c r="A371" s="37"/>
      <c r="B371" s="36" t="s">
        <v>1290</v>
      </c>
      <c r="C371" s="41" t="s">
        <v>1291</v>
      </c>
      <c r="D371" s="37"/>
      <c r="E371" s="37"/>
      <c r="F371" s="37"/>
      <c r="G371" s="37"/>
      <c r="H371" s="37"/>
      <c r="I371" s="37"/>
    </row>
    <row r="372" spans="1:9" ht="14.25" customHeight="1" x14ac:dyDescent="0.35">
      <c r="A372" s="37"/>
      <c r="B372" s="36" t="s">
        <v>1292</v>
      </c>
      <c r="C372" s="41" t="s">
        <v>1293</v>
      </c>
      <c r="D372" s="37"/>
      <c r="E372" s="37"/>
      <c r="F372" s="37"/>
      <c r="G372" s="37"/>
      <c r="H372" s="37"/>
      <c r="I372" s="37"/>
    </row>
    <row r="373" spans="1:9" ht="14.25" customHeight="1" x14ac:dyDescent="0.35">
      <c r="A373" s="37"/>
      <c r="B373" s="36" t="s">
        <v>1294</v>
      </c>
      <c r="C373" s="41" t="s">
        <v>1295</v>
      </c>
      <c r="D373" s="37"/>
      <c r="E373" s="37"/>
      <c r="F373" s="37"/>
      <c r="G373" s="37"/>
      <c r="H373" s="37"/>
      <c r="I373" s="37"/>
    </row>
    <row r="374" spans="1:9" ht="14.25" customHeight="1" x14ac:dyDescent="0.35">
      <c r="A374" s="37"/>
      <c r="B374" s="36" t="s">
        <v>1296</v>
      </c>
      <c r="C374" s="41" t="s">
        <v>1297</v>
      </c>
      <c r="D374" s="37"/>
      <c r="E374" s="37"/>
      <c r="F374" s="37"/>
      <c r="G374" s="37"/>
      <c r="H374" s="37"/>
      <c r="I374" s="37"/>
    </row>
    <row r="375" spans="1:9" ht="14.25" customHeight="1" x14ac:dyDescent="0.35">
      <c r="A375" s="37"/>
      <c r="B375" s="36" t="s">
        <v>1298</v>
      </c>
      <c r="C375" s="41" t="s">
        <v>1299</v>
      </c>
      <c r="D375" s="37"/>
      <c r="E375" s="37"/>
      <c r="F375" s="37"/>
      <c r="G375" s="37"/>
      <c r="H375" s="37"/>
      <c r="I375" s="37"/>
    </row>
    <row r="376" spans="1:9" ht="14.25" customHeight="1" x14ac:dyDescent="0.35">
      <c r="A376" s="37"/>
      <c r="B376" s="36" t="s">
        <v>1300</v>
      </c>
      <c r="C376" s="41" t="s">
        <v>1301</v>
      </c>
      <c r="D376" s="37"/>
      <c r="E376" s="37"/>
      <c r="F376" s="37"/>
      <c r="G376" s="37"/>
      <c r="H376" s="37"/>
      <c r="I376" s="37"/>
    </row>
    <row r="377" spans="1:9" ht="14.25" customHeight="1" x14ac:dyDescent="0.35">
      <c r="A377" s="37"/>
      <c r="B377" s="36" t="s">
        <v>1302</v>
      </c>
      <c r="C377" s="41" t="s">
        <v>1303</v>
      </c>
      <c r="D377" s="37"/>
      <c r="E377" s="37"/>
      <c r="F377" s="37"/>
      <c r="G377" s="37"/>
      <c r="H377" s="37"/>
      <c r="I377" s="37"/>
    </row>
    <row r="378" spans="1:9" ht="14.25" customHeight="1" x14ac:dyDescent="0.35">
      <c r="A378" s="37"/>
      <c r="B378" s="36" t="s">
        <v>1304</v>
      </c>
      <c r="C378" s="41" t="s">
        <v>1305</v>
      </c>
      <c r="D378" s="37"/>
      <c r="E378" s="37"/>
      <c r="F378" s="37"/>
      <c r="G378" s="37"/>
      <c r="H378" s="37"/>
      <c r="I378" s="37"/>
    </row>
    <row r="379" spans="1:9" ht="14.25" customHeight="1" x14ac:dyDescent="0.35">
      <c r="A379" s="37"/>
      <c r="B379" s="36" t="s">
        <v>1306</v>
      </c>
      <c r="C379" s="41" t="s">
        <v>1307</v>
      </c>
      <c r="D379" s="37"/>
      <c r="E379" s="37"/>
      <c r="F379" s="37"/>
      <c r="G379" s="37"/>
      <c r="H379" s="37"/>
      <c r="I379" s="37"/>
    </row>
    <row r="380" spans="1:9" ht="14.25" customHeight="1" x14ac:dyDescent="0.35">
      <c r="A380" s="37"/>
      <c r="B380" s="36" t="s">
        <v>725</v>
      </c>
      <c r="C380" s="41" t="s">
        <v>1308</v>
      </c>
      <c r="D380" s="37"/>
      <c r="E380" s="37"/>
      <c r="F380" s="37"/>
      <c r="G380" s="37"/>
      <c r="H380" s="37"/>
      <c r="I380" s="37"/>
    </row>
    <row r="381" spans="1:9" ht="14.25" customHeight="1" x14ac:dyDescent="0.35">
      <c r="A381" s="37"/>
      <c r="B381" s="36" t="s">
        <v>113</v>
      </c>
      <c r="C381" s="41" t="s">
        <v>114</v>
      </c>
      <c r="D381" s="37"/>
      <c r="E381" s="37"/>
      <c r="F381" s="37"/>
      <c r="G381" s="37"/>
      <c r="H381" s="37"/>
      <c r="I381" s="37"/>
    </row>
    <row r="382" spans="1:9" ht="14.25" customHeight="1" x14ac:dyDescent="0.35">
      <c r="A382" s="37"/>
      <c r="B382" s="36" t="s">
        <v>1309</v>
      </c>
      <c r="C382" s="41" t="s">
        <v>1310</v>
      </c>
      <c r="D382" s="37"/>
      <c r="E382" s="37"/>
      <c r="F382" s="37"/>
      <c r="G382" s="37"/>
      <c r="H382" s="37"/>
      <c r="I382" s="37"/>
    </row>
    <row r="383" spans="1:9" ht="14.25" customHeight="1" x14ac:dyDescent="0.35">
      <c r="A383" s="37"/>
      <c r="B383" s="36" t="s">
        <v>1311</v>
      </c>
      <c r="C383" s="41" t="s">
        <v>1312</v>
      </c>
      <c r="D383" s="37"/>
      <c r="E383" s="37"/>
      <c r="F383" s="37"/>
      <c r="G383" s="37"/>
      <c r="H383" s="37"/>
      <c r="I383" s="37"/>
    </row>
    <row r="384" spans="1:9" ht="14.25" customHeight="1" x14ac:dyDescent="0.35">
      <c r="A384" s="37"/>
      <c r="B384" s="36" t="s">
        <v>1313</v>
      </c>
      <c r="C384" s="41" t="s">
        <v>1314</v>
      </c>
      <c r="D384" s="37"/>
      <c r="E384" s="37"/>
      <c r="F384" s="37"/>
      <c r="G384" s="37"/>
      <c r="H384" s="37"/>
      <c r="I384" s="37"/>
    </row>
    <row r="385" spans="1:9" ht="14.25" customHeight="1" x14ac:dyDescent="0.35">
      <c r="A385" s="37"/>
      <c r="B385" s="36" t="s">
        <v>1315</v>
      </c>
      <c r="C385" s="41" t="s">
        <v>1316</v>
      </c>
      <c r="D385" s="37"/>
      <c r="E385" s="37"/>
      <c r="F385" s="37"/>
      <c r="G385" s="37"/>
      <c r="H385" s="37"/>
      <c r="I385" s="37"/>
    </row>
    <row r="386" spans="1:9" ht="14.25" customHeight="1" x14ac:dyDescent="0.35">
      <c r="A386" s="37"/>
      <c r="B386" s="36" t="s">
        <v>1317</v>
      </c>
      <c r="C386" s="41" t="s">
        <v>1318</v>
      </c>
      <c r="D386" s="37"/>
      <c r="E386" s="37"/>
      <c r="F386" s="37"/>
      <c r="G386" s="37"/>
      <c r="H386" s="37"/>
      <c r="I386" s="37"/>
    </row>
    <row r="387" spans="1:9" ht="14.25" customHeight="1" x14ac:dyDescent="0.35">
      <c r="A387" s="37"/>
      <c r="B387" s="36" t="s">
        <v>1319</v>
      </c>
      <c r="C387" s="41" t="s">
        <v>1320</v>
      </c>
      <c r="D387" s="37"/>
      <c r="E387" s="37"/>
      <c r="F387" s="37"/>
      <c r="G387" s="37"/>
      <c r="H387" s="37"/>
      <c r="I387" s="37"/>
    </row>
    <row r="388" spans="1:9" ht="14.25" customHeight="1" x14ac:dyDescent="0.35">
      <c r="A388" s="37"/>
      <c r="B388" s="36" t="s">
        <v>1321</v>
      </c>
      <c r="C388" s="41" t="s">
        <v>1322</v>
      </c>
      <c r="D388" s="37"/>
      <c r="E388" s="37"/>
      <c r="F388" s="37"/>
      <c r="G388" s="37"/>
      <c r="H388" s="37"/>
      <c r="I388" s="37"/>
    </row>
    <row r="389" spans="1:9" ht="14.25" customHeight="1" x14ac:dyDescent="0.35">
      <c r="A389" s="37"/>
      <c r="B389" s="36" t="s">
        <v>1323</v>
      </c>
      <c r="C389" s="41" t="s">
        <v>1324</v>
      </c>
      <c r="D389" s="37"/>
      <c r="E389" s="37"/>
      <c r="F389" s="37"/>
      <c r="G389" s="37"/>
      <c r="H389" s="37"/>
      <c r="I389" s="37"/>
    </row>
    <row r="390" spans="1:9" ht="14.25" customHeight="1" x14ac:dyDescent="0.35">
      <c r="A390" s="37"/>
      <c r="B390" s="36" t="s">
        <v>1325</v>
      </c>
      <c r="C390" s="41" t="s">
        <v>1326</v>
      </c>
      <c r="D390" s="37"/>
      <c r="E390" s="37"/>
      <c r="F390" s="37"/>
      <c r="G390" s="37"/>
      <c r="H390" s="37"/>
      <c r="I390" s="37"/>
    </row>
    <row r="391" spans="1:9" ht="14.25" customHeight="1" x14ac:dyDescent="0.35">
      <c r="A391" s="37"/>
      <c r="B391" s="36" t="s">
        <v>1327</v>
      </c>
      <c r="C391" s="41" t="s">
        <v>1328</v>
      </c>
      <c r="D391" s="37"/>
      <c r="E391" s="37"/>
      <c r="F391" s="37"/>
      <c r="G391" s="37"/>
      <c r="H391" s="37"/>
      <c r="I391" s="37"/>
    </row>
    <row r="392" spans="1:9" ht="14.25" customHeight="1" x14ac:dyDescent="0.35">
      <c r="A392" s="37"/>
      <c r="B392" s="42" t="s">
        <v>604</v>
      </c>
      <c r="C392" s="43" t="s">
        <v>605</v>
      </c>
      <c r="D392" s="37"/>
      <c r="E392" s="37"/>
      <c r="F392" s="37"/>
      <c r="G392" s="37"/>
      <c r="H392" s="37"/>
      <c r="I392" s="37"/>
    </row>
    <row r="393" spans="1:9" ht="14.25" customHeight="1" x14ac:dyDescent="0.35">
      <c r="A393" s="37"/>
      <c r="B393" s="36" t="s">
        <v>1329</v>
      </c>
      <c r="C393" s="41" t="s">
        <v>1330</v>
      </c>
      <c r="D393" s="37"/>
      <c r="E393" s="37"/>
      <c r="F393" s="37"/>
      <c r="G393" s="37"/>
      <c r="H393" s="37"/>
      <c r="I393" s="37"/>
    </row>
    <row r="394" spans="1:9" ht="14.25" customHeight="1" x14ac:dyDescent="0.35">
      <c r="A394" s="37"/>
      <c r="B394" s="36" t="s">
        <v>1331</v>
      </c>
      <c r="C394" s="41" t="s">
        <v>1332</v>
      </c>
      <c r="D394" s="37"/>
      <c r="E394" s="37"/>
      <c r="F394" s="37"/>
      <c r="G394" s="37"/>
      <c r="H394" s="37"/>
      <c r="I394" s="37"/>
    </row>
    <row r="395" spans="1:9" ht="14.25" customHeight="1" x14ac:dyDescent="0.35">
      <c r="A395" s="37"/>
      <c r="B395" s="36" t="s">
        <v>1333</v>
      </c>
      <c r="C395" s="41" t="s">
        <v>1334</v>
      </c>
      <c r="D395" s="37"/>
      <c r="E395" s="37"/>
      <c r="F395" s="37"/>
      <c r="G395" s="37"/>
      <c r="H395" s="37"/>
      <c r="I395" s="37"/>
    </row>
    <row r="396" spans="1:9" ht="14.25" customHeight="1" x14ac:dyDescent="0.35">
      <c r="A396" s="37"/>
      <c r="B396" s="36" t="s">
        <v>1335</v>
      </c>
      <c r="C396" s="41" t="s">
        <v>1336</v>
      </c>
      <c r="D396" s="37"/>
      <c r="E396" s="37"/>
      <c r="F396" s="37"/>
      <c r="G396" s="37"/>
      <c r="H396" s="37"/>
      <c r="I396" s="37"/>
    </row>
    <row r="397" spans="1:9" ht="14.25" customHeight="1" x14ac:dyDescent="0.35">
      <c r="A397" s="37"/>
      <c r="B397" s="36" t="s">
        <v>1337</v>
      </c>
      <c r="C397" s="41" t="s">
        <v>1338</v>
      </c>
      <c r="D397" s="37"/>
      <c r="E397" s="37"/>
      <c r="F397" s="37"/>
      <c r="G397" s="37"/>
      <c r="H397" s="37"/>
      <c r="I397" s="37"/>
    </row>
    <row r="398" spans="1:9" ht="14.25" customHeight="1" x14ac:dyDescent="0.35">
      <c r="A398" s="37"/>
      <c r="B398" s="36" t="s">
        <v>1339</v>
      </c>
      <c r="C398" s="41" t="s">
        <v>1340</v>
      </c>
      <c r="D398" s="37"/>
      <c r="E398" s="37"/>
      <c r="F398" s="37"/>
      <c r="G398" s="37"/>
      <c r="H398" s="37"/>
      <c r="I398" s="37"/>
    </row>
    <row r="399" spans="1:9" ht="14.25" customHeight="1" x14ac:dyDescent="0.35">
      <c r="A399" s="37"/>
      <c r="B399" s="36" t="s">
        <v>1341</v>
      </c>
      <c r="C399" s="41" t="s">
        <v>1342</v>
      </c>
      <c r="D399" s="37"/>
      <c r="E399" s="37"/>
      <c r="F399" s="37"/>
      <c r="G399" s="37"/>
      <c r="H399" s="37"/>
      <c r="I399" s="37"/>
    </row>
    <row r="400" spans="1:9" ht="14.25" customHeight="1" x14ac:dyDescent="0.35">
      <c r="A400" s="37"/>
      <c r="B400" s="36" t="s">
        <v>1343</v>
      </c>
      <c r="C400" s="41" t="s">
        <v>1344</v>
      </c>
      <c r="D400" s="37"/>
      <c r="E400" s="37"/>
      <c r="F400" s="37"/>
      <c r="G400" s="37"/>
      <c r="H400" s="37"/>
      <c r="I400" s="37"/>
    </row>
    <row r="401" spans="1:9" ht="14.25" customHeight="1" x14ac:dyDescent="0.35">
      <c r="A401" s="37"/>
      <c r="B401" s="36" t="s">
        <v>1345</v>
      </c>
      <c r="C401" s="41" t="s">
        <v>1346</v>
      </c>
      <c r="D401" s="37"/>
      <c r="E401" s="37"/>
      <c r="F401" s="37"/>
      <c r="G401" s="37"/>
      <c r="H401" s="37"/>
      <c r="I401" s="37"/>
    </row>
    <row r="402" spans="1:9" ht="14.25" customHeight="1" x14ac:dyDescent="0.35">
      <c r="A402" s="37"/>
      <c r="B402" s="36" t="s">
        <v>1347</v>
      </c>
      <c r="C402" s="41" t="s">
        <v>1348</v>
      </c>
      <c r="D402" s="37"/>
      <c r="E402" s="37"/>
      <c r="F402" s="37"/>
      <c r="G402" s="37"/>
      <c r="H402" s="37"/>
      <c r="I402" s="37"/>
    </row>
    <row r="403" spans="1:9" ht="14.25" customHeight="1" x14ac:dyDescent="0.35">
      <c r="A403" s="37"/>
      <c r="B403" s="36" t="s">
        <v>1349</v>
      </c>
      <c r="C403" s="41" t="s">
        <v>1350</v>
      </c>
      <c r="D403" s="37"/>
      <c r="E403" s="37"/>
      <c r="F403" s="37"/>
      <c r="G403" s="37"/>
      <c r="H403" s="37"/>
      <c r="I403" s="37"/>
    </row>
    <row r="404" spans="1:9" ht="14.25" customHeight="1" x14ac:dyDescent="0.35">
      <c r="A404" s="37"/>
      <c r="B404" s="36" t="s">
        <v>1351</v>
      </c>
      <c r="C404" s="41" t="s">
        <v>1352</v>
      </c>
      <c r="D404" s="37"/>
      <c r="E404" s="37"/>
      <c r="F404" s="37"/>
      <c r="G404" s="37"/>
      <c r="H404" s="37"/>
      <c r="I404" s="37"/>
    </row>
    <row r="405" spans="1:9" ht="14.25" customHeight="1" x14ac:dyDescent="0.35">
      <c r="A405" s="37"/>
      <c r="B405" s="36" t="s">
        <v>1353</v>
      </c>
      <c r="C405" s="41" t="s">
        <v>1354</v>
      </c>
      <c r="D405" s="37"/>
      <c r="E405" s="37"/>
      <c r="F405" s="37"/>
      <c r="G405" s="37"/>
      <c r="H405" s="37"/>
      <c r="I405" s="37"/>
    </row>
    <row r="406" spans="1:9" ht="14.25" customHeight="1" x14ac:dyDescent="0.35">
      <c r="A406" s="37"/>
      <c r="B406" s="36" t="s">
        <v>1355</v>
      </c>
      <c r="C406" s="41" t="s">
        <v>1356</v>
      </c>
      <c r="D406" s="37"/>
      <c r="E406" s="37"/>
      <c r="F406" s="37"/>
      <c r="G406" s="37"/>
      <c r="H406" s="37"/>
      <c r="I406" s="37"/>
    </row>
    <row r="407" spans="1:9" ht="14.25" customHeight="1" x14ac:dyDescent="0.35">
      <c r="A407" s="37"/>
      <c r="B407" s="36" t="s">
        <v>1357</v>
      </c>
      <c r="C407" s="41" t="s">
        <v>1358</v>
      </c>
      <c r="D407" s="37"/>
      <c r="E407" s="37"/>
      <c r="F407" s="37"/>
      <c r="G407" s="37"/>
      <c r="H407" s="37"/>
      <c r="I407" s="37"/>
    </row>
    <row r="408" spans="1:9" ht="14.25" customHeight="1" x14ac:dyDescent="0.35">
      <c r="A408" s="37"/>
      <c r="B408" s="36" t="s">
        <v>1359</v>
      </c>
      <c r="C408" s="41" t="s">
        <v>1360</v>
      </c>
      <c r="D408" s="37"/>
      <c r="E408" s="37"/>
      <c r="F408" s="37"/>
      <c r="G408" s="37"/>
      <c r="H408" s="37"/>
      <c r="I408" s="37"/>
    </row>
    <row r="409" spans="1:9" ht="14.25" customHeight="1" x14ac:dyDescent="0.35">
      <c r="A409" s="37"/>
      <c r="B409" s="36" t="s">
        <v>1361</v>
      </c>
      <c r="C409" s="41" t="s">
        <v>1362</v>
      </c>
      <c r="D409" s="37"/>
      <c r="E409" s="37"/>
      <c r="F409" s="37"/>
      <c r="G409" s="37"/>
      <c r="H409" s="37"/>
      <c r="I409" s="37"/>
    </row>
    <row r="410" spans="1:9" ht="14.25" customHeight="1" x14ac:dyDescent="0.35">
      <c r="A410" s="37"/>
      <c r="B410" s="36" t="s">
        <v>1363</v>
      </c>
      <c r="C410" s="41" t="s">
        <v>1364</v>
      </c>
      <c r="D410" s="37"/>
      <c r="E410" s="37"/>
      <c r="F410" s="37"/>
      <c r="G410" s="37"/>
      <c r="H410" s="37"/>
      <c r="I410" s="37"/>
    </row>
    <row r="411" spans="1:9" ht="14.25" customHeight="1" x14ac:dyDescent="0.35">
      <c r="A411" s="37"/>
      <c r="B411" s="36" t="s">
        <v>1365</v>
      </c>
      <c r="C411" s="41" t="s">
        <v>1366</v>
      </c>
      <c r="D411" s="37"/>
      <c r="E411" s="37"/>
      <c r="F411" s="37"/>
      <c r="G411" s="37"/>
      <c r="H411" s="37"/>
      <c r="I411" s="37"/>
    </row>
    <row r="412" spans="1:9" ht="14.25" customHeight="1" x14ac:dyDescent="0.35">
      <c r="A412" s="37"/>
      <c r="B412" s="36" t="s">
        <v>1367</v>
      </c>
      <c r="C412" s="41" t="s">
        <v>1368</v>
      </c>
      <c r="D412" s="37"/>
      <c r="E412" s="37"/>
      <c r="F412" s="37"/>
      <c r="G412" s="37"/>
      <c r="H412" s="37"/>
      <c r="I412" s="37"/>
    </row>
    <row r="413" spans="1:9" ht="14.25" customHeight="1" x14ac:dyDescent="0.35">
      <c r="A413" s="37"/>
      <c r="B413" s="36" t="s">
        <v>1369</v>
      </c>
      <c r="C413" s="41" t="s">
        <v>1370</v>
      </c>
      <c r="D413" s="37"/>
      <c r="E413" s="37"/>
      <c r="F413" s="37"/>
      <c r="G413" s="37"/>
      <c r="H413" s="37"/>
      <c r="I413" s="37"/>
    </row>
    <row r="414" spans="1:9" ht="14.25" customHeight="1" x14ac:dyDescent="0.35">
      <c r="A414" s="37"/>
      <c r="B414" s="36" t="s">
        <v>1371</v>
      </c>
      <c r="C414" s="41" t="s">
        <v>1372</v>
      </c>
      <c r="D414" s="37"/>
      <c r="E414" s="37"/>
      <c r="F414" s="37"/>
      <c r="G414" s="37"/>
      <c r="H414" s="37"/>
      <c r="I414" s="37"/>
    </row>
    <row r="415" spans="1:9" ht="14.25" customHeight="1" x14ac:dyDescent="0.35">
      <c r="A415" s="37"/>
      <c r="B415" s="36" t="s">
        <v>1373</v>
      </c>
      <c r="C415" s="41" t="s">
        <v>1374</v>
      </c>
      <c r="D415" s="37"/>
      <c r="E415" s="37"/>
      <c r="F415" s="37"/>
      <c r="G415" s="37"/>
      <c r="H415" s="37"/>
      <c r="I415" s="37"/>
    </row>
    <row r="416" spans="1:9" ht="14.25" customHeight="1" x14ac:dyDescent="0.35">
      <c r="A416" s="37"/>
      <c r="B416" s="36" t="s">
        <v>1375</v>
      </c>
      <c r="C416" s="41" t="s">
        <v>1376</v>
      </c>
      <c r="D416" s="37"/>
      <c r="E416" s="37"/>
      <c r="F416" s="37"/>
      <c r="G416" s="37"/>
      <c r="H416" s="37"/>
      <c r="I416" s="37"/>
    </row>
    <row r="417" spans="1:9" ht="14.25" customHeight="1" x14ac:dyDescent="0.35">
      <c r="A417" s="37"/>
      <c r="B417" s="36" t="s">
        <v>1377</v>
      </c>
      <c r="C417" s="41" t="s">
        <v>1378</v>
      </c>
      <c r="D417" s="37"/>
      <c r="E417" s="37"/>
      <c r="F417" s="37"/>
      <c r="G417" s="37"/>
      <c r="H417" s="37"/>
      <c r="I417" s="37"/>
    </row>
    <row r="418" spans="1:9" ht="14.25" customHeight="1" x14ac:dyDescent="0.35">
      <c r="A418" s="37"/>
      <c r="B418" s="36" t="s">
        <v>1379</v>
      </c>
      <c r="C418" s="41" t="s">
        <v>1380</v>
      </c>
      <c r="D418" s="37"/>
      <c r="E418" s="37"/>
      <c r="F418" s="37"/>
      <c r="G418" s="37"/>
      <c r="H418" s="37"/>
      <c r="I418" s="37"/>
    </row>
    <row r="419" spans="1:9" ht="14.25" customHeight="1" x14ac:dyDescent="0.35">
      <c r="A419" s="37"/>
      <c r="B419" s="36" t="s">
        <v>1381</v>
      </c>
      <c r="C419" s="41" t="s">
        <v>1382</v>
      </c>
      <c r="D419" s="37"/>
      <c r="E419" s="37"/>
      <c r="F419" s="37"/>
      <c r="G419" s="37"/>
      <c r="H419" s="37"/>
      <c r="I419" s="37"/>
    </row>
    <row r="420" spans="1:9" ht="14.25" customHeight="1" x14ac:dyDescent="0.35">
      <c r="A420" s="37"/>
      <c r="B420" s="36" t="s">
        <v>1383</v>
      </c>
      <c r="C420" s="41" t="s">
        <v>1384</v>
      </c>
      <c r="D420" s="37"/>
      <c r="E420" s="37"/>
      <c r="F420" s="37"/>
      <c r="G420" s="37"/>
      <c r="H420" s="37"/>
      <c r="I420" s="37"/>
    </row>
    <row r="421" spans="1:9" ht="14.25" customHeight="1" x14ac:dyDescent="0.35">
      <c r="A421" s="37"/>
      <c r="B421" s="36" t="s">
        <v>1385</v>
      </c>
      <c r="C421" s="41" t="s">
        <v>1386</v>
      </c>
      <c r="D421" s="37"/>
      <c r="E421" s="37"/>
      <c r="F421" s="37"/>
      <c r="G421" s="37"/>
      <c r="H421" s="37"/>
      <c r="I421" s="37"/>
    </row>
    <row r="422" spans="1:9" ht="14.25" customHeight="1" x14ac:dyDescent="0.35">
      <c r="A422" s="37"/>
      <c r="B422" s="36" t="s">
        <v>1387</v>
      </c>
      <c r="C422" s="41" t="s">
        <v>1388</v>
      </c>
      <c r="D422" s="37"/>
      <c r="E422" s="37"/>
      <c r="F422" s="37"/>
      <c r="G422" s="37"/>
      <c r="H422" s="37"/>
      <c r="I422" s="37"/>
    </row>
    <row r="423" spans="1:9" ht="14.25" customHeight="1" x14ac:dyDescent="0.35">
      <c r="A423" s="37"/>
      <c r="B423" s="36" t="s">
        <v>1389</v>
      </c>
      <c r="C423" s="41" t="s">
        <v>1390</v>
      </c>
      <c r="D423" s="37"/>
      <c r="E423" s="37"/>
      <c r="F423" s="37"/>
      <c r="G423" s="37"/>
      <c r="H423" s="37"/>
      <c r="I423" s="37"/>
    </row>
    <row r="424" spans="1:9" ht="14.25" customHeight="1" x14ac:dyDescent="0.35">
      <c r="A424" s="37"/>
      <c r="B424" s="36" t="s">
        <v>1391</v>
      </c>
      <c r="C424" s="41" t="s">
        <v>1392</v>
      </c>
      <c r="D424" s="37"/>
      <c r="E424" s="37"/>
      <c r="F424" s="37"/>
      <c r="G424" s="37"/>
      <c r="H424" s="37"/>
      <c r="I424" s="37"/>
    </row>
    <row r="425" spans="1:9" ht="14.25" customHeight="1" x14ac:dyDescent="0.35">
      <c r="A425" s="37"/>
      <c r="B425" s="36" t="s">
        <v>1393</v>
      </c>
      <c r="C425" s="41" t="s">
        <v>1394</v>
      </c>
      <c r="D425" s="37"/>
      <c r="E425" s="37"/>
      <c r="F425" s="37"/>
      <c r="G425" s="37"/>
      <c r="H425" s="37"/>
      <c r="I425" s="37"/>
    </row>
    <row r="426" spans="1:9" ht="14.25" customHeight="1" x14ac:dyDescent="0.35">
      <c r="A426" s="37"/>
      <c r="B426" s="36" t="s">
        <v>1395</v>
      </c>
      <c r="C426" s="41" t="s">
        <v>1396</v>
      </c>
      <c r="D426" s="37"/>
      <c r="E426" s="37"/>
      <c r="F426" s="37"/>
      <c r="G426" s="37"/>
      <c r="H426" s="37"/>
      <c r="I426" s="37"/>
    </row>
    <row r="427" spans="1:9" ht="14.25" customHeight="1" x14ac:dyDescent="0.35">
      <c r="A427" s="37"/>
      <c r="B427" s="36" t="s">
        <v>1397</v>
      </c>
      <c r="C427" s="41" t="s">
        <v>1398</v>
      </c>
      <c r="D427" s="37"/>
      <c r="E427" s="37"/>
      <c r="F427" s="37"/>
      <c r="G427" s="37"/>
      <c r="H427" s="37"/>
      <c r="I427" s="37"/>
    </row>
    <row r="428" spans="1:9" ht="14.25" customHeight="1" x14ac:dyDescent="0.35">
      <c r="A428" s="37"/>
      <c r="B428" s="36" t="s">
        <v>1399</v>
      </c>
      <c r="C428" s="41" t="s">
        <v>1400</v>
      </c>
      <c r="D428" s="37"/>
      <c r="E428" s="37"/>
      <c r="F428" s="37"/>
      <c r="G428" s="37"/>
      <c r="H428" s="37"/>
      <c r="I428" s="37"/>
    </row>
    <row r="429" spans="1:9" ht="14.25" customHeight="1" x14ac:dyDescent="0.35">
      <c r="A429" s="37"/>
      <c r="B429" s="36" t="s">
        <v>1401</v>
      </c>
      <c r="C429" s="41" t="s">
        <v>1402</v>
      </c>
      <c r="D429" s="37"/>
      <c r="E429" s="37"/>
      <c r="F429" s="37"/>
      <c r="G429" s="37"/>
      <c r="H429" s="37"/>
      <c r="I429" s="37"/>
    </row>
    <row r="430" spans="1:9" ht="14.25" customHeight="1" x14ac:dyDescent="0.35">
      <c r="A430" s="37"/>
      <c r="B430" s="36" t="s">
        <v>1403</v>
      </c>
      <c r="C430" s="41" t="s">
        <v>1404</v>
      </c>
      <c r="D430" s="37"/>
      <c r="E430" s="37"/>
      <c r="F430" s="37"/>
      <c r="G430" s="37"/>
      <c r="H430" s="37"/>
      <c r="I430" s="37"/>
    </row>
    <row r="431" spans="1:9" ht="14.25" customHeight="1" x14ac:dyDescent="0.35">
      <c r="A431" s="37"/>
      <c r="B431" s="36" t="s">
        <v>1405</v>
      </c>
      <c r="C431" s="41" t="s">
        <v>1406</v>
      </c>
      <c r="D431" s="37"/>
      <c r="E431" s="37"/>
      <c r="F431" s="37"/>
      <c r="G431" s="37"/>
      <c r="H431" s="37"/>
      <c r="I431" s="37"/>
    </row>
    <row r="432" spans="1:9" ht="14.25" customHeight="1" x14ac:dyDescent="0.35">
      <c r="A432" s="37"/>
      <c r="B432" s="36" t="s">
        <v>1407</v>
      </c>
      <c r="C432" s="41" t="s">
        <v>1408</v>
      </c>
      <c r="D432" s="37"/>
      <c r="E432" s="37"/>
      <c r="F432" s="37"/>
      <c r="G432" s="37"/>
      <c r="H432" s="37"/>
      <c r="I432" s="37"/>
    </row>
    <row r="433" spans="1:9" ht="14.25" customHeight="1" x14ac:dyDescent="0.35">
      <c r="A433" s="37"/>
      <c r="B433" s="36" t="s">
        <v>1409</v>
      </c>
      <c r="C433" s="41" t="s">
        <v>1410</v>
      </c>
      <c r="D433" s="37"/>
      <c r="E433" s="37"/>
      <c r="F433" s="37"/>
      <c r="G433" s="37"/>
      <c r="H433" s="37"/>
      <c r="I433" s="37"/>
    </row>
    <row r="434" spans="1:9" ht="14.25" customHeight="1" x14ac:dyDescent="0.35">
      <c r="A434" s="37"/>
      <c r="B434" s="36" t="s">
        <v>1411</v>
      </c>
      <c r="C434" s="41" t="s">
        <v>1412</v>
      </c>
      <c r="D434" s="37"/>
      <c r="E434" s="37"/>
      <c r="F434" s="37"/>
      <c r="G434" s="37"/>
      <c r="H434" s="37"/>
      <c r="I434" s="37"/>
    </row>
    <row r="435" spans="1:9" ht="14.25" customHeight="1" x14ac:dyDescent="0.35">
      <c r="A435" s="37"/>
      <c r="B435" s="36" t="s">
        <v>1413</v>
      </c>
      <c r="C435" s="41" t="s">
        <v>1414</v>
      </c>
      <c r="D435" s="37"/>
      <c r="E435" s="37"/>
      <c r="F435" s="37"/>
      <c r="G435" s="37"/>
      <c r="H435" s="37"/>
      <c r="I435" s="37"/>
    </row>
    <row r="436" spans="1:9" ht="14.25" customHeight="1" x14ac:dyDescent="0.35">
      <c r="A436" s="37"/>
      <c r="B436" s="36" t="s">
        <v>1415</v>
      </c>
      <c r="C436" s="41" t="s">
        <v>1416</v>
      </c>
      <c r="D436" s="37"/>
      <c r="E436" s="37"/>
      <c r="F436" s="37"/>
      <c r="G436" s="37"/>
      <c r="H436" s="37"/>
      <c r="I436" s="37"/>
    </row>
    <row r="437" spans="1:9" ht="14.25" customHeight="1" x14ac:dyDescent="0.35">
      <c r="A437" s="37"/>
      <c r="B437" s="36" t="s">
        <v>1417</v>
      </c>
      <c r="C437" s="41" t="s">
        <v>1418</v>
      </c>
      <c r="D437" s="37"/>
      <c r="E437" s="37"/>
      <c r="F437" s="37"/>
      <c r="G437" s="37"/>
      <c r="H437" s="37"/>
      <c r="I437" s="37"/>
    </row>
    <row r="438" spans="1:9" ht="14.25" customHeight="1" x14ac:dyDescent="0.35">
      <c r="A438" s="37"/>
      <c r="B438" s="36" t="s">
        <v>1419</v>
      </c>
      <c r="C438" s="41" t="s">
        <v>1420</v>
      </c>
      <c r="D438" s="37"/>
      <c r="E438" s="37"/>
      <c r="F438" s="37"/>
      <c r="G438" s="37"/>
      <c r="H438" s="37"/>
      <c r="I438" s="37"/>
    </row>
    <row r="439" spans="1:9" ht="14.25" customHeight="1" x14ac:dyDescent="0.35">
      <c r="A439" s="37"/>
      <c r="B439" s="36" t="s">
        <v>1421</v>
      </c>
      <c r="C439" s="41" t="s">
        <v>1422</v>
      </c>
      <c r="D439" s="37"/>
      <c r="E439" s="37"/>
      <c r="F439" s="37"/>
      <c r="G439" s="37"/>
      <c r="H439" s="37"/>
      <c r="I439" s="37"/>
    </row>
    <row r="440" spans="1:9" ht="14.25" customHeight="1" x14ac:dyDescent="0.35">
      <c r="A440" s="37"/>
      <c r="B440" s="36" t="s">
        <v>1423</v>
      </c>
      <c r="C440" s="41" t="s">
        <v>1424</v>
      </c>
      <c r="D440" s="37"/>
      <c r="E440" s="37"/>
      <c r="F440" s="37"/>
      <c r="G440" s="37"/>
      <c r="H440" s="37"/>
      <c r="I440" s="37"/>
    </row>
    <row r="441" spans="1:9" ht="14.25" customHeight="1" x14ac:dyDescent="0.35">
      <c r="A441" s="37"/>
      <c r="B441" s="36" t="s">
        <v>1425</v>
      </c>
      <c r="C441" s="41" t="s">
        <v>1426</v>
      </c>
      <c r="D441" s="37"/>
      <c r="E441" s="37"/>
      <c r="F441" s="37"/>
      <c r="G441" s="37"/>
      <c r="H441" s="37"/>
      <c r="I441" s="37"/>
    </row>
    <row r="442" spans="1:9" ht="14.25" customHeight="1" x14ac:dyDescent="0.35">
      <c r="A442" s="37"/>
      <c r="B442" s="36" t="s">
        <v>1427</v>
      </c>
      <c r="C442" s="41" t="s">
        <v>1428</v>
      </c>
      <c r="D442" s="37"/>
      <c r="E442" s="37"/>
      <c r="F442" s="37"/>
      <c r="G442" s="37"/>
      <c r="H442" s="37"/>
      <c r="I442" s="37"/>
    </row>
    <row r="443" spans="1:9" ht="14.25" customHeight="1" x14ac:dyDescent="0.35">
      <c r="A443" s="37"/>
      <c r="B443" s="36" t="s">
        <v>1429</v>
      </c>
      <c r="C443" s="41" t="s">
        <v>1430</v>
      </c>
      <c r="D443" s="37"/>
      <c r="E443" s="37"/>
      <c r="F443" s="37"/>
      <c r="G443" s="37"/>
      <c r="H443" s="37"/>
      <c r="I443" s="37"/>
    </row>
    <row r="444" spans="1:9" ht="14.25" customHeight="1" x14ac:dyDescent="0.35">
      <c r="A444" s="37"/>
      <c r="B444" s="36" t="s">
        <v>1431</v>
      </c>
      <c r="C444" s="41" t="s">
        <v>1432</v>
      </c>
      <c r="D444" s="37"/>
      <c r="E444" s="37"/>
      <c r="F444" s="37"/>
      <c r="G444" s="37"/>
      <c r="H444" s="37"/>
      <c r="I444" s="37"/>
    </row>
    <row r="445" spans="1:9" ht="14.25" customHeight="1" x14ac:dyDescent="0.35">
      <c r="A445" s="37"/>
      <c r="B445" s="36" t="s">
        <v>1433</v>
      </c>
      <c r="C445" s="41" t="s">
        <v>1434</v>
      </c>
      <c r="D445" s="37"/>
      <c r="E445" s="37"/>
      <c r="F445" s="37"/>
      <c r="G445" s="37"/>
      <c r="H445" s="37"/>
      <c r="I445" s="37"/>
    </row>
    <row r="446" spans="1:9" ht="14.25" customHeight="1" x14ac:dyDescent="0.35">
      <c r="A446" s="37"/>
      <c r="B446" s="36" t="s">
        <v>1435</v>
      </c>
      <c r="C446" s="41" t="s">
        <v>1436</v>
      </c>
      <c r="D446" s="37"/>
      <c r="E446" s="37"/>
      <c r="F446" s="37"/>
      <c r="G446" s="37"/>
      <c r="H446" s="37"/>
      <c r="I446" s="37"/>
    </row>
    <row r="447" spans="1:9" ht="14.25" customHeight="1" x14ac:dyDescent="0.35">
      <c r="A447" s="37"/>
      <c r="B447" s="36" t="s">
        <v>1437</v>
      </c>
      <c r="C447" s="41" t="s">
        <v>1438</v>
      </c>
      <c r="D447" s="37"/>
      <c r="E447" s="37"/>
      <c r="F447" s="37"/>
      <c r="G447" s="37"/>
      <c r="H447" s="37"/>
      <c r="I447" s="37"/>
    </row>
    <row r="448" spans="1:9" ht="14.25" customHeight="1" x14ac:dyDescent="0.35">
      <c r="A448" s="37"/>
      <c r="B448" s="36" t="s">
        <v>1439</v>
      </c>
      <c r="C448" s="41" t="s">
        <v>1440</v>
      </c>
      <c r="D448" s="37"/>
      <c r="E448" s="37"/>
      <c r="F448" s="37"/>
      <c r="G448" s="37"/>
      <c r="H448" s="37"/>
      <c r="I448" s="37"/>
    </row>
    <row r="449" spans="1:9" ht="14.25" customHeight="1" x14ac:dyDescent="0.35">
      <c r="A449" s="37"/>
      <c r="B449" s="36" t="s">
        <v>1441</v>
      </c>
      <c r="C449" s="41" t="s">
        <v>1442</v>
      </c>
      <c r="D449" s="37"/>
      <c r="E449" s="37"/>
      <c r="F449" s="37"/>
      <c r="G449" s="37"/>
      <c r="H449" s="37"/>
      <c r="I449" s="37"/>
    </row>
    <row r="450" spans="1:9" ht="14.25" customHeight="1" x14ac:dyDescent="0.35">
      <c r="A450" s="37"/>
      <c r="B450" s="36" t="s">
        <v>1443</v>
      </c>
      <c r="C450" s="41" t="s">
        <v>1444</v>
      </c>
      <c r="D450" s="37"/>
      <c r="E450" s="37"/>
      <c r="F450" s="37"/>
      <c r="G450" s="37"/>
      <c r="H450" s="37"/>
      <c r="I450" s="37"/>
    </row>
    <row r="451" spans="1:9" ht="14.25" customHeight="1" x14ac:dyDescent="0.35">
      <c r="A451" s="37"/>
      <c r="B451" s="36" t="s">
        <v>1445</v>
      </c>
      <c r="C451" s="41" t="s">
        <v>1446</v>
      </c>
      <c r="D451" s="37"/>
      <c r="E451" s="37"/>
      <c r="F451" s="37"/>
      <c r="G451" s="37"/>
      <c r="H451" s="37"/>
      <c r="I451" s="37"/>
    </row>
    <row r="452" spans="1:9" ht="14.25" customHeight="1" x14ac:dyDescent="0.35">
      <c r="A452" s="37"/>
      <c r="B452" s="36" t="s">
        <v>1447</v>
      </c>
      <c r="C452" s="41" t="s">
        <v>1448</v>
      </c>
      <c r="D452" s="37"/>
      <c r="E452" s="37"/>
      <c r="F452" s="37"/>
      <c r="G452" s="37"/>
      <c r="H452" s="37"/>
      <c r="I452" s="37"/>
    </row>
    <row r="453" spans="1:9" ht="14.25" customHeight="1" x14ac:dyDescent="0.35">
      <c r="A453" s="37"/>
      <c r="B453" s="36" t="s">
        <v>1449</v>
      </c>
      <c r="C453" s="41" t="s">
        <v>1450</v>
      </c>
      <c r="D453" s="37"/>
      <c r="E453" s="37"/>
      <c r="F453" s="37"/>
      <c r="G453" s="37"/>
      <c r="H453" s="37"/>
      <c r="I453" s="37"/>
    </row>
    <row r="454" spans="1:9" ht="14.25" customHeight="1" x14ac:dyDescent="0.35">
      <c r="A454" s="37"/>
      <c r="B454" s="36" t="s">
        <v>1451</v>
      </c>
      <c r="C454" s="41" t="s">
        <v>1452</v>
      </c>
      <c r="D454" s="37"/>
      <c r="E454" s="37"/>
      <c r="F454" s="37"/>
      <c r="G454" s="37"/>
      <c r="H454" s="37"/>
      <c r="I454" s="37"/>
    </row>
    <row r="455" spans="1:9" ht="14.25" customHeight="1" x14ac:dyDescent="0.35">
      <c r="A455" s="37"/>
      <c r="B455" s="36" t="s">
        <v>1453</v>
      </c>
      <c r="C455" s="41" t="s">
        <v>1454</v>
      </c>
      <c r="D455" s="37"/>
      <c r="E455" s="37"/>
      <c r="F455" s="37"/>
      <c r="G455" s="37"/>
      <c r="H455" s="37"/>
      <c r="I455" s="37"/>
    </row>
    <row r="456" spans="1:9" ht="14.25" customHeight="1" x14ac:dyDescent="0.35">
      <c r="A456" s="37"/>
      <c r="B456" s="36" t="s">
        <v>1455</v>
      </c>
      <c r="C456" s="41" t="s">
        <v>1456</v>
      </c>
      <c r="D456" s="37"/>
      <c r="E456" s="37"/>
      <c r="F456" s="37"/>
      <c r="G456" s="37"/>
      <c r="H456" s="37"/>
      <c r="I456" s="37"/>
    </row>
    <row r="457" spans="1:9" ht="14.25" customHeight="1" x14ac:dyDescent="0.35">
      <c r="A457" s="37"/>
      <c r="B457" s="36" t="s">
        <v>1457</v>
      </c>
      <c r="C457" s="41" t="s">
        <v>1458</v>
      </c>
      <c r="D457" s="37"/>
      <c r="E457" s="37"/>
      <c r="F457" s="37"/>
      <c r="G457" s="37"/>
      <c r="H457" s="37"/>
      <c r="I457" s="37"/>
    </row>
    <row r="458" spans="1:9" ht="14.25" customHeight="1" x14ac:dyDescent="0.35">
      <c r="A458" s="37"/>
      <c r="B458" s="36" t="s">
        <v>1459</v>
      </c>
      <c r="C458" s="41" t="s">
        <v>1460</v>
      </c>
      <c r="D458" s="37"/>
      <c r="E458" s="37"/>
      <c r="F458" s="37"/>
      <c r="G458" s="37"/>
      <c r="H458" s="37"/>
      <c r="I458" s="37"/>
    </row>
    <row r="459" spans="1:9" ht="14.25" customHeight="1" x14ac:dyDescent="0.35">
      <c r="A459" s="37"/>
      <c r="B459" s="36" t="s">
        <v>1461</v>
      </c>
      <c r="C459" s="41" t="s">
        <v>1462</v>
      </c>
      <c r="D459" s="37"/>
      <c r="E459" s="37"/>
      <c r="F459" s="37"/>
      <c r="G459" s="37"/>
      <c r="H459" s="37"/>
      <c r="I459" s="37"/>
    </row>
    <row r="460" spans="1:9" ht="14.25" customHeight="1" x14ac:dyDescent="0.35">
      <c r="A460" s="37"/>
      <c r="B460" s="36" t="s">
        <v>1463</v>
      </c>
      <c r="C460" s="41" t="s">
        <v>1464</v>
      </c>
      <c r="D460" s="37"/>
      <c r="E460" s="37"/>
      <c r="F460" s="37"/>
      <c r="G460" s="37"/>
      <c r="H460" s="37"/>
      <c r="I460" s="37"/>
    </row>
    <row r="461" spans="1:9" ht="14.25" customHeight="1" x14ac:dyDescent="0.35">
      <c r="A461" s="37"/>
      <c r="B461" s="36" t="s">
        <v>1465</v>
      </c>
      <c r="C461" s="41" t="s">
        <v>1466</v>
      </c>
      <c r="D461" s="37"/>
      <c r="E461" s="37"/>
      <c r="F461" s="37"/>
      <c r="G461" s="37"/>
      <c r="H461" s="37"/>
      <c r="I461" s="37"/>
    </row>
    <row r="462" spans="1:9" ht="14.25" customHeight="1" x14ac:dyDescent="0.35">
      <c r="A462" s="37"/>
      <c r="B462" s="36" t="s">
        <v>1467</v>
      </c>
      <c r="C462" s="41" t="s">
        <v>1468</v>
      </c>
      <c r="D462" s="37"/>
      <c r="E462" s="37"/>
      <c r="F462" s="37"/>
      <c r="G462" s="37"/>
      <c r="H462" s="37"/>
      <c r="I462" s="37"/>
    </row>
    <row r="463" spans="1:9" ht="14.25" customHeight="1" x14ac:dyDescent="0.35">
      <c r="A463" s="37"/>
      <c r="B463" s="36" t="s">
        <v>1469</v>
      </c>
      <c r="C463" s="41" t="s">
        <v>1470</v>
      </c>
      <c r="D463" s="37"/>
      <c r="E463" s="37"/>
      <c r="F463" s="37"/>
      <c r="G463" s="37"/>
      <c r="H463" s="37"/>
      <c r="I463" s="37"/>
    </row>
    <row r="464" spans="1:9" ht="14.25" customHeight="1" x14ac:dyDescent="0.35">
      <c r="A464" s="37"/>
      <c r="B464" s="36" t="s">
        <v>1471</v>
      </c>
      <c r="C464" s="41" t="s">
        <v>1472</v>
      </c>
      <c r="D464" s="37"/>
      <c r="E464" s="37"/>
      <c r="F464" s="37"/>
      <c r="G464" s="37"/>
      <c r="H464" s="37"/>
      <c r="I464" s="37"/>
    </row>
    <row r="465" spans="1:9" ht="14.25" customHeight="1" x14ac:dyDescent="0.35">
      <c r="A465" s="37"/>
      <c r="B465" s="36" t="s">
        <v>1473</v>
      </c>
      <c r="C465" s="41" t="s">
        <v>1474</v>
      </c>
      <c r="D465" s="37"/>
      <c r="E465" s="37"/>
      <c r="F465" s="37"/>
      <c r="G465" s="37"/>
      <c r="H465" s="37"/>
      <c r="I465" s="37"/>
    </row>
    <row r="466" spans="1:9" ht="14.25" customHeight="1" x14ac:dyDescent="0.35">
      <c r="A466" s="37"/>
      <c r="B466" s="36" t="s">
        <v>1475</v>
      </c>
      <c r="C466" s="41" t="s">
        <v>1476</v>
      </c>
      <c r="D466" s="37"/>
      <c r="E466" s="37"/>
      <c r="F466" s="37"/>
      <c r="G466" s="37"/>
      <c r="H466" s="37"/>
      <c r="I466" s="37"/>
    </row>
    <row r="467" spans="1:9" ht="14.25" customHeight="1" x14ac:dyDescent="0.35">
      <c r="A467" s="37"/>
      <c r="B467" s="36" t="s">
        <v>1477</v>
      </c>
      <c r="C467" s="41" t="s">
        <v>1478</v>
      </c>
      <c r="D467" s="37"/>
      <c r="E467" s="37"/>
      <c r="F467" s="37"/>
      <c r="G467" s="37"/>
      <c r="H467" s="37"/>
      <c r="I467" s="37"/>
    </row>
    <row r="468" spans="1:9" ht="14.25" customHeight="1" x14ac:dyDescent="0.35">
      <c r="A468" s="37"/>
      <c r="B468" s="36" t="s">
        <v>1479</v>
      </c>
      <c r="C468" s="41" t="s">
        <v>1480</v>
      </c>
      <c r="D468" s="37"/>
      <c r="E468" s="37"/>
      <c r="F468" s="37"/>
      <c r="G468" s="37"/>
      <c r="H468" s="37"/>
      <c r="I468" s="37"/>
    </row>
    <row r="469" spans="1:9" ht="14.25" customHeight="1" x14ac:dyDescent="0.35">
      <c r="A469" s="37"/>
      <c r="B469" s="36" t="s">
        <v>1481</v>
      </c>
      <c r="C469" s="41" t="s">
        <v>1482</v>
      </c>
      <c r="D469" s="37"/>
      <c r="E469" s="37"/>
      <c r="F469" s="37"/>
      <c r="G469" s="37"/>
      <c r="H469" s="37"/>
      <c r="I469" s="37"/>
    </row>
    <row r="470" spans="1:9" ht="14.25" customHeight="1" x14ac:dyDescent="0.35">
      <c r="A470" s="37"/>
      <c r="B470" s="36" t="s">
        <v>1483</v>
      </c>
      <c r="C470" s="41" t="s">
        <v>1484</v>
      </c>
      <c r="D470" s="37"/>
      <c r="E470" s="37"/>
      <c r="F470" s="37"/>
      <c r="G470" s="37"/>
      <c r="H470" s="37"/>
      <c r="I470" s="37"/>
    </row>
    <row r="471" spans="1:9" ht="14.25" customHeight="1" x14ac:dyDescent="0.35">
      <c r="A471" s="37"/>
      <c r="B471" s="36" t="s">
        <v>1485</v>
      </c>
      <c r="C471" s="41" t="s">
        <v>1486</v>
      </c>
      <c r="D471" s="37"/>
      <c r="E471" s="37"/>
      <c r="F471" s="37"/>
      <c r="G471" s="37"/>
      <c r="H471" s="37"/>
      <c r="I471" s="37"/>
    </row>
    <row r="472" spans="1:9" ht="14.25" customHeight="1" x14ac:dyDescent="0.35">
      <c r="A472" s="37"/>
      <c r="B472" s="36" t="s">
        <v>1487</v>
      </c>
      <c r="C472" s="41" t="s">
        <v>1488</v>
      </c>
      <c r="D472" s="37"/>
      <c r="E472" s="37"/>
      <c r="F472" s="37"/>
      <c r="G472" s="37"/>
      <c r="H472" s="37"/>
      <c r="I472" s="37"/>
    </row>
    <row r="473" spans="1:9" ht="14.25" customHeight="1" x14ac:dyDescent="0.35">
      <c r="A473" s="37"/>
      <c r="B473" s="36" t="s">
        <v>1489</v>
      </c>
      <c r="C473" s="41" t="s">
        <v>1490</v>
      </c>
      <c r="D473" s="37"/>
      <c r="E473" s="37"/>
      <c r="F473" s="37"/>
      <c r="G473" s="37"/>
      <c r="H473" s="37"/>
      <c r="I473" s="37"/>
    </row>
    <row r="474" spans="1:9" ht="14.25" customHeight="1" x14ac:dyDescent="0.35">
      <c r="A474" s="37"/>
      <c r="B474" s="36" t="s">
        <v>1491</v>
      </c>
      <c r="C474" s="41" t="s">
        <v>1492</v>
      </c>
      <c r="D474" s="37"/>
      <c r="E474" s="37"/>
      <c r="F474" s="37"/>
      <c r="G474" s="37"/>
      <c r="H474" s="37"/>
      <c r="I474" s="37"/>
    </row>
    <row r="475" spans="1:9" ht="14.25" customHeight="1" x14ac:dyDescent="0.35">
      <c r="A475" s="37"/>
      <c r="B475" s="36" t="s">
        <v>1493</v>
      </c>
      <c r="C475" s="41" t="s">
        <v>1494</v>
      </c>
      <c r="D475" s="37"/>
      <c r="E475" s="37"/>
      <c r="F475" s="37"/>
      <c r="G475" s="37"/>
      <c r="H475" s="37"/>
      <c r="I475" s="37"/>
    </row>
    <row r="476" spans="1:9" ht="14.25" customHeight="1" x14ac:dyDescent="0.35">
      <c r="A476" s="37"/>
      <c r="B476" s="36" t="s">
        <v>1495</v>
      </c>
      <c r="C476" s="41" t="s">
        <v>1496</v>
      </c>
      <c r="D476" s="37"/>
      <c r="E476" s="37"/>
      <c r="F476" s="37"/>
      <c r="G476" s="37"/>
      <c r="H476" s="37"/>
      <c r="I476" s="37"/>
    </row>
    <row r="477" spans="1:9" ht="14.25" customHeight="1" x14ac:dyDescent="0.35">
      <c r="A477" s="37"/>
      <c r="B477" s="36" t="s">
        <v>1497</v>
      </c>
      <c r="C477" s="41" t="s">
        <v>1498</v>
      </c>
      <c r="D477" s="37"/>
      <c r="E477" s="37"/>
      <c r="F477" s="37"/>
      <c r="G477" s="37"/>
      <c r="H477" s="37"/>
      <c r="I477" s="37"/>
    </row>
    <row r="478" spans="1:9" ht="14.25" customHeight="1" x14ac:dyDescent="0.35">
      <c r="A478" s="37"/>
      <c r="B478" s="36" t="s">
        <v>1499</v>
      </c>
      <c r="C478" s="41" t="s">
        <v>1500</v>
      </c>
      <c r="D478" s="37"/>
      <c r="E478" s="37"/>
      <c r="F478" s="37"/>
      <c r="G478" s="37"/>
      <c r="H478" s="37"/>
      <c r="I478" s="37"/>
    </row>
    <row r="479" spans="1:9" ht="14.25" customHeight="1" x14ac:dyDescent="0.35">
      <c r="A479" s="37"/>
      <c r="B479" s="36" t="s">
        <v>1501</v>
      </c>
      <c r="C479" s="41" t="s">
        <v>1502</v>
      </c>
      <c r="D479" s="37"/>
      <c r="E479" s="37"/>
      <c r="F479" s="37"/>
      <c r="G479" s="37"/>
      <c r="H479" s="37"/>
      <c r="I479" s="37"/>
    </row>
    <row r="480" spans="1:9" ht="14.25" customHeight="1" x14ac:dyDescent="0.35">
      <c r="A480" s="37"/>
      <c r="B480" s="36" t="s">
        <v>1503</v>
      </c>
      <c r="C480" s="41" t="s">
        <v>1504</v>
      </c>
      <c r="D480" s="37"/>
      <c r="E480" s="37"/>
      <c r="F480" s="37"/>
      <c r="G480" s="37"/>
      <c r="H480" s="37"/>
      <c r="I480" s="37"/>
    </row>
    <row r="481" spans="1:9" ht="14.25" customHeight="1" x14ac:dyDescent="0.35">
      <c r="A481" s="37"/>
      <c r="B481" s="36" t="s">
        <v>1505</v>
      </c>
      <c r="C481" s="41" t="s">
        <v>1506</v>
      </c>
      <c r="D481" s="37"/>
      <c r="E481" s="37"/>
      <c r="F481" s="37"/>
      <c r="G481" s="37"/>
      <c r="H481" s="37"/>
      <c r="I481" s="37"/>
    </row>
    <row r="482" spans="1:9" ht="14.25" customHeight="1" x14ac:dyDescent="0.35">
      <c r="A482" s="37"/>
      <c r="B482" s="36" t="s">
        <v>1507</v>
      </c>
      <c r="C482" s="41" t="s">
        <v>1508</v>
      </c>
      <c r="D482" s="37"/>
      <c r="E482" s="37"/>
      <c r="F482" s="37"/>
      <c r="G482" s="37"/>
      <c r="H482" s="37"/>
      <c r="I482" s="37"/>
    </row>
    <row r="483" spans="1:9" ht="14.25" customHeight="1" x14ac:dyDescent="0.35">
      <c r="A483" s="37"/>
      <c r="B483" s="36" t="s">
        <v>1509</v>
      </c>
      <c r="C483" s="41" t="s">
        <v>1510</v>
      </c>
      <c r="D483" s="37"/>
      <c r="E483" s="37"/>
      <c r="F483" s="37"/>
      <c r="G483" s="37"/>
      <c r="H483" s="37"/>
      <c r="I483" s="37"/>
    </row>
    <row r="484" spans="1:9" ht="14.25" customHeight="1" x14ac:dyDescent="0.35">
      <c r="A484" s="37"/>
      <c r="B484" s="36" t="s">
        <v>1511</v>
      </c>
      <c r="C484" s="41" t="s">
        <v>1512</v>
      </c>
      <c r="D484" s="37"/>
      <c r="E484" s="37"/>
      <c r="F484" s="37"/>
      <c r="G484" s="37"/>
      <c r="H484" s="37"/>
      <c r="I484" s="37"/>
    </row>
    <row r="485" spans="1:9" ht="14.25" customHeight="1" x14ac:dyDescent="0.35">
      <c r="A485" s="37"/>
      <c r="B485" s="36" t="s">
        <v>1513</v>
      </c>
      <c r="C485" s="41" t="s">
        <v>1514</v>
      </c>
      <c r="D485" s="37"/>
      <c r="E485" s="37"/>
      <c r="F485" s="37"/>
      <c r="G485" s="37"/>
      <c r="H485" s="37"/>
      <c r="I485" s="37"/>
    </row>
    <row r="486" spans="1:9" ht="14.25" customHeight="1" x14ac:dyDescent="0.35">
      <c r="A486" s="37"/>
      <c r="B486" s="36" t="s">
        <v>1515</v>
      </c>
      <c r="C486" s="41" t="s">
        <v>1516</v>
      </c>
      <c r="D486" s="37"/>
      <c r="E486" s="37"/>
      <c r="F486" s="37"/>
      <c r="G486" s="37"/>
      <c r="H486" s="37"/>
      <c r="I486" s="37"/>
    </row>
    <row r="487" spans="1:9" ht="14.25" customHeight="1" x14ac:dyDescent="0.35">
      <c r="A487" s="37"/>
      <c r="B487" s="36" t="s">
        <v>1517</v>
      </c>
      <c r="C487" s="41" t="s">
        <v>1518</v>
      </c>
      <c r="D487" s="37"/>
      <c r="E487" s="37"/>
      <c r="F487" s="37"/>
      <c r="G487" s="37"/>
      <c r="H487" s="37"/>
      <c r="I487" s="37"/>
    </row>
    <row r="488" spans="1:9" ht="14.25" customHeight="1" x14ac:dyDescent="0.35">
      <c r="A488" s="37"/>
      <c r="B488" s="36" t="s">
        <v>1519</v>
      </c>
      <c r="C488" s="41" t="s">
        <v>1520</v>
      </c>
      <c r="D488" s="37"/>
      <c r="E488" s="37"/>
      <c r="F488" s="37"/>
      <c r="G488" s="37"/>
      <c r="H488" s="37"/>
      <c r="I488" s="37"/>
    </row>
    <row r="489" spans="1:9" ht="14.25" customHeight="1" x14ac:dyDescent="0.35">
      <c r="A489" s="37"/>
      <c r="B489" s="36" t="s">
        <v>1521</v>
      </c>
      <c r="C489" s="41" t="s">
        <v>1522</v>
      </c>
      <c r="D489" s="37"/>
      <c r="E489" s="37"/>
      <c r="F489" s="37"/>
      <c r="G489" s="37"/>
      <c r="H489" s="37"/>
      <c r="I489" s="37"/>
    </row>
    <row r="490" spans="1:9" ht="14.25" customHeight="1" x14ac:dyDescent="0.35">
      <c r="A490" s="37"/>
      <c r="B490" s="36" t="s">
        <v>1523</v>
      </c>
      <c r="C490" s="41" t="s">
        <v>1524</v>
      </c>
      <c r="D490" s="37"/>
      <c r="E490" s="37"/>
      <c r="F490" s="37"/>
      <c r="G490" s="37"/>
      <c r="H490" s="37"/>
      <c r="I490" s="37"/>
    </row>
    <row r="491" spans="1:9" ht="14.25" customHeight="1" x14ac:dyDescent="0.35">
      <c r="A491" s="37"/>
      <c r="B491" s="36" t="s">
        <v>1525</v>
      </c>
      <c r="C491" s="41" t="s">
        <v>1526</v>
      </c>
      <c r="D491" s="37"/>
      <c r="E491" s="37"/>
      <c r="F491" s="37"/>
      <c r="G491" s="37"/>
      <c r="H491" s="37"/>
      <c r="I491" s="37"/>
    </row>
    <row r="492" spans="1:9" ht="14.25" customHeight="1" x14ac:dyDescent="0.35">
      <c r="A492" s="37"/>
      <c r="B492" s="36" t="s">
        <v>1527</v>
      </c>
      <c r="C492" s="41" t="s">
        <v>1528</v>
      </c>
      <c r="D492" s="37"/>
      <c r="E492" s="37"/>
      <c r="F492" s="37"/>
      <c r="G492" s="37"/>
      <c r="H492" s="37"/>
      <c r="I492" s="37"/>
    </row>
    <row r="493" spans="1:9" ht="14.25" customHeight="1" x14ac:dyDescent="0.35">
      <c r="A493" s="37"/>
      <c r="B493" s="36" t="s">
        <v>1529</v>
      </c>
      <c r="C493" s="41" t="s">
        <v>1530</v>
      </c>
      <c r="D493" s="37"/>
      <c r="E493" s="37"/>
      <c r="F493" s="37"/>
      <c r="G493" s="37"/>
      <c r="H493" s="37"/>
      <c r="I493" s="37"/>
    </row>
    <row r="494" spans="1:9" ht="14.25" customHeight="1" x14ac:dyDescent="0.35">
      <c r="A494" s="37"/>
      <c r="B494" s="36" t="s">
        <v>1531</v>
      </c>
      <c r="C494" s="41" t="s">
        <v>1532</v>
      </c>
      <c r="D494" s="37"/>
      <c r="E494" s="37"/>
      <c r="F494" s="37"/>
      <c r="G494" s="37"/>
      <c r="H494" s="37"/>
      <c r="I494" s="37"/>
    </row>
    <row r="495" spans="1:9" ht="14.25" customHeight="1" x14ac:dyDescent="0.35">
      <c r="A495" s="37"/>
      <c r="B495" s="36" t="s">
        <v>1533</v>
      </c>
      <c r="C495" s="41" t="s">
        <v>1534</v>
      </c>
      <c r="D495" s="37"/>
      <c r="E495" s="37"/>
      <c r="F495" s="37"/>
      <c r="G495" s="37"/>
      <c r="H495" s="37"/>
      <c r="I495" s="37"/>
    </row>
    <row r="496" spans="1:9" ht="14.25" customHeight="1" x14ac:dyDescent="0.35">
      <c r="A496" s="37"/>
      <c r="B496" s="36" t="s">
        <v>1535</v>
      </c>
      <c r="C496" s="41" t="s">
        <v>1536</v>
      </c>
      <c r="D496" s="37"/>
      <c r="E496" s="37"/>
      <c r="F496" s="37"/>
      <c r="G496" s="37"/>
      <c r="H496" s="37"/>
      <c r="I496" s="37"/>
    </row>
    <row r="497" spans="1:9" ht="14.25" customHeight="1" x14ac:dyDescent="0.35">
      <c r="A497" s="37"/>
      <c r="B497" s="36" t="s">
        <v>1537</v>
      </c>
      <c r="C497" s="41" t="s">
        <v>1538</v>
      </c>
      <c r="D497" s="37"/>
      <c r="E497" s="37"/>
      <c r="F497" s="37"/>
      <c r="G497" s="37"/>
      <c r="H497" s="37"/>
      <c r="I497" s="37"/>
    </row>
    <row r="498" spans="1:9" ht="14.25" customHeight="1" x14ac:dyDescent="0.35">
      <c r="A498" s="37"/>
      <c r="B498" s="36" t="s">
        <v>1539</v>
      </c>
      <c r="C498" s="41" t="s">
        <v>1540</v>
      </c>
      <c r="D498" s="37"/>
      <c r="E498" s="37"/>
      <c r="F498" s="37"/>
      <c r="G498" s="37"/>
      <c r="H498" s="37"/>
      <c r="I498" s="37"/>
    </row>
    <row r="499" spans="1:9" ht="14.25" customHeight="1" x14ac:dyDescent="0.35">
      <c r="A499" s="37"/>
      <c r="B499" s="36" t="s">
        <v>1541</v>
      </c>
      <c r="C499" s="41" t="s">
        <v>1542</v>
      </c>
      <c r="D499" s="37"/>
      <c r="E499" s="37"/>
      <c r="F499" s="37"/>
      <c r="G499" s="37"/>
      <c r="H499" s="37"/>
      <c r="I499" s="37"/>
    </row>
    <row r="500" spans="1:9" ht="14.25" customHeight="1" x14ac:dyDescent="0.35">
      <c r="A500" s="37"/>
      <c r="B500" s="36" t="s">
        <v>1543</v>
      </c>
      <c r="C500" s="41" t="s">
        <v>1544</v>
      </c>
      <c r="D500" s="37"/>
      <c r="E500" s="37"/>
      <c r="F500" s="37"/>
      <c r="G500" s="37"/>
      <c r="H500" s="37"/>
      <c r="I500" s="37"/>
    </row>
    <row r="501" spans="1:9" ht="14.25" customHeight="1" x14ac:dyDescent="0.35">
      <c r="A501" s="37"/>
      <c r="B501" s="36" t="s">
        <v>1545</v>
      </c>
      <c r="C501" s="41" t="s">
        <v>1546</v>
      </c>
      <c r="D501" s="37"/>
      <c r="E501" s="37"/>
      <c r="F501" s="37"/>
      <c r="G501" s="37"/>
      <c r="H501" s="37"/>
      <c r="I501" s="37"/>
    </row>
    <row r="502" spans="1:9" ht="14.25" customHeight="1" x14ac:dyDescent="0.35">
      <c r="A502" s="37"/>
      <c r="B502" s="36" t="s">
        <v>1547</v>
      </c>
      <c r="C502" s="41" t="s">
        <v>1548</v>
      </c>
      <c r="D502" s="37"/>
      <c r="E502" s="37"/>
      <c r="F502" s="37"/>
      <c r="G502" s="37"/>
      <c r="H502" s="37"/>
      <c r="I502" s="37"/>
    </row>
    <row r="503" spans="1:9" ht="14.25" customHeight="1" x14ac:dyDescent="0.35">
      <c r="A503" s="37"/>
      <c r="B503" s="36" t="s">
        <v>1549</v>
      </c>
      <c r="C503" s="41" t="s">
        <v>1550</v>
      </c>
      <c r="D503" s="37"/>
      <c r="E503" s="37"/>
      <c r="F503" s="37"/>
      <c r="G503" s="37"/>
      <c r="H503" s="37"/>
      <c r="I503" s="37"/>
    </row>
    <row r="504" spans="1:9" ht="14.25" customHeight="1" x14ac:dyDescent="0.35">
      <c r="A504" s="37"/>
      <c r="B504" s="36" t="s">
        <v>1551</v>
      </c>
      <c r="C504" s="41" t="s">
        <v>1552</v>
      </c>
      <c r="D504" s="37"/>
      <c r="E504" s="37"/>
      <c r="F504" s="37"/>
      <c r="G504" s="37"/>
      <c r="H504" s="37"/>
      <c r="I504" s="37"/>
    </row>
    <row r="505" spans="1:9" ht="14.25" customHeight="1" x14ac:dyDescent="0.35">
      <c r="A505" s="37"/>
      <c r="B505" s="36" t="s">
        <v>1553</v>
      </c>
      <c r="C505" s="41" t="s">
        <v>1554</v>
      </c>
      <c r="D505" s="37"/>
      <c r="E505" s="37"/>
      <c r="F505" s="37"/>
      <c r="G505" s="37"/>
      <c r="H505" s="37"/>
      <c r="I505" s="37"/>
    </row>
    <row r="506" spans="1:9" ht="14.25" customHeight="1" x14ac:dyDescent="0.35">
      <c r="A506" s="37"/>
      <c r="B506" s="36" t="s">
        <v>1555</v>
      </c>
      <c r="C506" s="41" t="s">
        <v>1556</v>
      </c>
      <c r="D506" s="37"/>
      <c r="E506" s="37"/>
      <c r="F506" s="37"/>
      <c r="G506" s="37"/>
      <c r="H506" s="37"/>
      <c r="I506" s="37"/>
    </row>
    <row r="507" spans="1:9" ht="14.25" customHeight="1" x14ac:dyDescent="0.35">
      <c r="A507" s="37"/>
      <c r="B507" s="44" t="s">
        <v>1557</v>
      </c>
      <c r="C507" s="41" t="s">
        <v>1558</v>
      </c>
      <c r="D507" s="37"/>
      <c r="E507" s="37"/>
      <c r="F507" s="37"/>
      <c r="G507" s="37"/>
      <c r="H507" s="37"/>
      <c r="I507" s="37"/>
    </row>
    <row r="508" spans="1:9" ht="14.25" customHeight="1" x14ac:dyDescent="0.35">
      <c r="A508" s="37"/>
      <c r="B508" s="36" t="s">
        <v>1559</v>
      </c>
      <c r="C508" s="41" t="s">
        <v>1560</v>
      </c>
      <c r="D508" s="37"/>
      <c r="E508" s="37"/>
      <c r="F508" s="37"/>
      <c r="G508" s="37"/>
      <c r="H508" s="37"/>
      <c r="I508" s="37"/>
    </row>
    <row r="509" spans="1:9" ht="14.25" customHeight="1" x14ac:dyDescent="0.35">
      <c r="A509" s="37"/>
      <c r="B509" s="36" t="s">
        <v>1561</v>
      </c>
      <c r="C509" s="41" t="s">
        <v>1562</v>
      </c>
      <c r="D509" s="37"/>
      <c r="E509" s="37"/>
      <c r="F509" s="37"/>
      <c r="G509" s="37"/>
      <c r="H509" s="37"/>
      <c r="I509" s="37"/>
    </row>
    <row r="510" spans="1:9" ht="14.25" customHeight="1" x14ac:dyDescent="0.35">
      <c r="A510" s="37"/>
      <c r="B510" s="36" t="s">
        <v>1563</v>
      </c>
      <c r="C510" s="41" t="s">
        <v>1564</v>
      </c>
      <c r="D510" s="37"/>
      <c r="E510" s="37"/>
      <c r="F510" s="37"/>
      <c r="G510" s="37"/>
      <c r="H510" s="37"/>
      <c r="I510" s="37"/>
    </row>
    <row r="511" spans="1:9" ht="14.25" customHeight="1" x14ac:dyDescent="0.35">
      <c r="A511" s="37"/>
      <c r="B511" s="36" t="s">
        <v>1565</v>
      </c>
      <c r="C511" s="41" t="s">
        <v>1566</v>
      </c>
      <c r="D511" s="37"/>
      <c r="E511" s="37"/>
      <c r="F511" s="37"/>
      <c r="G511" s="37"/>
      <c r="H511" s="37"/>
      <c r="I511" s="37"/>
    </row>
    <row r="512" spans="1:9" ht="14.25" customHeight="1" x14ac:dyDescent="0.35">
      <c r="A512" s="37"/>
      <c r="B512" s="36" t="s">
        <v>1567</v>
      </c>
      <c r="C512" s="41" t="s">
        <v>1568</v>
      </c>
      <c r="D512" s="37"/>
      <c r="E512" s="37"/>
      <c r="F512" s="37"/>
      <c r="G512" s="37"/>
      <c r="H512" s="37"/>
      <c r="I512" s="37"/>
    </row>
    <row r="513" spans="1:9" ht="14.25" customHeight="1" x14ac:dyDescent="0.35">
      <c r="A513" s="37"/>
      <c r="B513" s="36" t="s">
        <v>1569</v>
      </c>
      <c r="C513" s="41" t="s">
        <v>1570</v>
      </c>
      <c r="D513" s="37"/>
      <c r="E513" s="37"/>
      <c r="F513" s="37"/>
      <c r="G513" s="37"/>
      <c r="H513" s="37"/>
      <c r="I513" s="37"/>
    </row>
    <row r="514" spans="1:9" ht="14.25" customHeight="1" x14ac:dyDescent="0.35">
      <c r="A514" s="37"/>
      <c r="B514" s="36" t="s">
        <v>1571</v>
      </c>
      <c r="C514" s="41" t="s">
        <v>1572</v>
      </c>
      <c r="D514" s="37"/>
      <c r="E514" s="37"/>
      <c r="F514" s="37"/>
      <c r="G514" s="37"/>
      <c r="H514" s="37"/>
      <c r="I514" s="37"/>
    </row>
    <row r="515" spans="1:9" ht="14.25" customHeight="1" x14ac:dyDescent="0.35">
      <c r="A515" s="37"/>
      <c r="B515" s="36" t="s">
        <v>1573</v>
      </c>
      <c r="C515" s="41" t="s">
        <v>1574</v>
      </c>
      <c r="D515" s="37"/>
      <c r="E515" s="37"/>
      <c r="F515" s="37"/>
      <c r="G515" s="37"/>
      <c r="H515" s="37"/>
      <c r="I515" s="37"/>
    </row>
    <row r="516" spans="1:9" ht="14.25" customHeight="1" x14ac:dyDescent="0.35">
      <c r="A516" s="37"/>
      <c r="B516" s="36" t="s">
        <v>1575</v>
      </c>
      <c r="C516" s="41" t="s">
        <v>1576</v>
      </c>
      <c r="D516" s="37"/>
      <c r="E516" s="37"/>
      <c r="F516" s="37"/>
      <c r="G516" s="37"/>
      <c r="H516" s="37"/>
      <c r="I516" s="37"/>
    </row>
    <row r="517" spans="1:9" ht="14.25" customHeight="1" x14ac:dyDescent="0.35">
      <c r="A517" s="37"/>
      <c r="B517" s="36" t="s">
        <v>1577</v>
      </c>
      <c r="C517" s="41" t="s">
        <v>1578</v>
      </c>
      <c r="D517" s="37"/>
      <c r="E517" s="37"/>
      <c r="F517" s="37"/>
      <c r="G517" s="37"/>
      <c r="H517" s="37"/>
      <c r="I517" s="37"/>
    </row>
    <row r="518" spans="1:9" ht="14.25" customHeight="1" x14ac:dyDescent="0.35">
      <c r="A518" s="37"/>
      <c r="B518" s="36" t="s">
        <v>1579</v>
      </c>
      <c r="C518" s="41" t="s">
        <v>1580</v>
      </c>
      <c r="D518" s="37"/>
      <c r="E518" s="37"/>
      <c r="F518" s="37"/>
      <c r="G518" s="37"/>
      <c r="H518" s="37"/>
      <c r="I518" s="37"/>
    </row>
    <row r="519" spans="1:9" ht="14.25" customHeight="1" x14ac:dyDescent="0.35">
      <c r="A519" s="37"/>
      <c r="B519" s="36" t="s">
        <v>1581</v>
      </c>
      <c r="C519" s="41" t="s">
        <v>1582</v>
      </c>
      <c r="D519" s="37"/>
      <c r="E519" s="37"/>
      <c r="F519" s="37"/>
      <c r="G519" s="37"/>
      <c r="H519" s="37"/>
      <c r="I519" s="37"/>
    </row>
    <row r="520" spans="1:9" ht="14.25" customHeight="1" x14ac:dyDescent="0.35">
      <c r="A520" s="37"/>
      <c r="B520" s="36" t="s">
        <v>1583</v>
      </c>
      <c r="C520" s="43" t="s">
        <v>1584</v>
      </c>
      <c r="D520" s="37"/>
      <c r="E520" s="37"/>
      <c r="F520" s="37"/>
      <c r="G520" s="37"/>
      <c r="H520" s="37"/>
      <c r="I520" s="37"/>
    </row>
    <row r="521" spans="1:9" ht="14.25" customHeight="1" x14ac:dyDescent="0.35">
      <c r="A521" s="37"/>
      <c r="B521" s="36" t="s">
        <v>1585</v>
      </c>
      <c r="C521" s="41" t="s">
        <v>1586</v>
      </c>
      <c r="D521" s="37"/>
      <c r="E521" s="37"/>
      <c r="F521" s="37"/>
      <c r="G521" s="37"/>
      <c r="H521" s="37"/>
      <c r="I521" s="37"/>
    </row>
    <row r="522" spans="1:9" ht="14.25" customHeight="1" x14ac:dyDescent="0.35">
      <c r="A522" s="37"/>
      <c r="B522" s="36" t="s">
        <v>1587</v>
      </c>
      <c r="C522" s="41" t="s">
        <v>1588</v>
      </c>
      <c r="D522" s="37"/>
      <c r="E522" s="37"/>
      <c r="F522" s="37"/>
      <c r="G522" s="37"/>
      <c r="H522" s="37"/>
      <c r="I522" s="37"/>
    </row>
    <row r="523" spans="1:9" ht="14.25" customHeight="1" x14ac:dyDescent="0.35">
      <c r="A523" s="37"/>
      <c r="B523" s="36" t="s">
        <v>1589</v>
      </c>
      <c r="C523" s="41" t="s">
        <v>1590</v>
      </c>
      <c r="D523" s="37"/>
      <c r="E523" s="37"/>
      <c r="F523" s="37"/>
      <c r="G523" s="37"/>
      <c r="H523" s="37"/>
      <c r="I523" s="37"/>
    </row>
    <row r="524" spans="1:9" ht="14.25" customHeight="1" x14ac:dyDescent="0.35">
      <c r="A524" s="37"/>
      <c r="B524" s="36" t="s">
        <v>1591</v>
      </c>
      <c r="C524" s="41" t="s">
        <v>726</v>
      </c>
      <c r="D524" s="37"/>
      <c r="E524" s="37"/>
      <c r="F524" s="37"/>
      <c r="G524" s="37"/>
      <c r="H524" s="37"/>
      <c r="I524" s="37"/>
    </row>
    <row r="525" spans="1:9" ht="14.25" customHeight="1" x14ac:dyDescent="0.35">
      <c r="A525" s="37"/>
      <c r="B525" s="36" t="s">
        <v>1592</v>
      </c>
      <c r="C525" s="41" t="s">
        <v>1593</v>
      </c>
      <c r="D525" s="37"/>
      <c r="E525" s="37"/>
      <c r="F525" s="37"/>
      <c r="G525" s="37"/>
      <c r="H525" s="37"/>
      <c r="I525" s="37"/>
    </row>
    <row r="526" spans="1:9" ht="14.25" customHeight="1" x14ac:dyDescent="0.35">
      <c r="A526" s="37"/>
      <c r="B526" s="36" t="s">
        <v>1594</v>
      </c>
      <c r="C526" s="41" t="s">
        <v>1595</v>
      </c>
      <c r="D526" s="37"/>
      <c r="E526" s="37"/>
      <c r="F526" s="37"/>
      <c r="G526" s="37"/>
      <c r="H526" s="37"/>
      <c r="I526" s="37"/>
    </row>
    <row r="527" spans="1:9" ht="14.25" customHeight="1" x14ac:dyDescent="0.35">
      <c r="A527" s="37"/>
      <c r="B527" s="36" t="s">
        <v>1596</v>
      </c>
      <c r="C527" s="41" t="s">
        <v>1597</v>
      </c>
      <c r="D527" s="37"/>
      <c r="E527" s="37"/>
      <c r="F527" s="37"/>
      <c r="G527" s="37"/>
      <c r="H527" s="37"/>
      <c r="I527" s="37"/>
    </row>
    <row r="528" spans="1:9" ht="14.25" customHeight="1" x14ac:dyDescent="0.35">
      <c r="A528" s="37"/>
      <c r="B528" s="36" t="s">
        <v>1598</v>
      </c>
      <c r="C528" s="41" t="s">
        <v>1599</v>
      </c>
      <c r="D528" s="37"/>
      <c r="E528" s="37"/>
      <c r="F528" s="37"/>
      <c r="G528" s="37"/>
      <c r="H528" s="37"/>
      <c r="I528" s="37"/>
    </row>
    <row r="529" spans="1:9" ht="14.25" customHeight="1" x14ac:dyDescent="0.35">
      <c r="A529" s="37"/>
      <c r="B529" s="36" t="s">
        <v>1600</v>
      </c>
      <c r="C529" s="41" t="s">
        <v>1601</v>
      </c>
      <c r="D529" s="37"/>
      <c r="E529" s="37"/>
      <c r="F529" s="37"/>
      <c r="G529" s="37"/>
      <c r="H529" s="37"/>
      <c r="I529" s="37"/>
    </row>
    <row r="530" spans="1:9" ht="14.25" customHeight="1" x14ac:dyDescent="0.35">
      <c r="A530" s="37"/>
      <c r="B530" s="36" t="s">
        <v>1602</v>
      </c>
      <c r="C530" s="41" t="s">
        <v>1603</v>
      </c>
      <c r="D530" s="37"/>
      <c r="E530" s="37"/>
      <c r="F530" s="37"/>
      <c r="G530" s="37"/>
      <c r="H530" s="37"/>
      <c r="I530" s="37"/>
    </row>
    <row r="531" spans="1:9" ht="14.25" customHeight="1" x14ac:dyDescent="0.35">
      <c r="A531" s="37"/>
      <c r="B531" s="36" t="s">
        <v>1604</v>
      </c>
      <c r="C531" s="41" t="s">
        <v>1605</v>
      </c>
      <c r="D531" s="37"/>
      <c r="E531" s="37"/>
      <c r="F531" s="37"/>
      <c r="G531" s="37"/>
      <c r="H531" s="37"/>
      <c r="I531" s="37"/>
    </row>
    <row r="532" spans="1:9" ht="14.25" customHeight="1" x14ac:dyDescent="0.35">
      <c r="A532" s="37"/>
      <c r="B532" s="36" t="s">
        <v>1606</v>
      </c>
      <c r="C532" s="41" t="s">
        <v>1607</v>
      </c>
      <c r="D532" s="37"/>
      <c r="E532" s="37"/>
      <c r="F532" s="37"/>
      <c r="G532" s="37"/>
      <c r="H532" s="37"/>
      <c r="I532" s="37"/>
    </row>
    <row r="533" spans="1:9" ht="14.25" customHeight="1" x14ac:dyDescent="0.35">
      <c r="A533" s="37"/>
      <c r="B533" s="36" t="s">
        <v>1608</v>
      </c>
      <c r="C533" s="41" t="s">
        <v>1609</v>
      </c>
      <c r="D533" s="37"/>
      <c r="E533" s="37"/>
      <c r="F533" s="37"/>
      <c r="G533" s="37"/>
      <c r="H533" s="37"/>
      <c r="I533" s="37"/>
    </row>
    <row r="534" spans="1:9" ht="14.25" customHeight="1" x14ac:dyDescent="0.35">
      <c r="A534" s="37"/>
      <c r="B534" s="36" t="s">
        <v>1610</v>
      </c>
      <c r="C534" s="41" t="s">
        <v>1611</v>
      </c>
      <c r="D534" s="37"/>
      <c r="E534" s="37"/>
      <c r="F534" s="37"/>
      <c r="G534" s="37"/>
      <c r="H534" s="37"/>
      <c r="I534" s="37"/>
    </row>
    <row r="535" spans="1:9" ht="14.25" customHeight="1" x14ac:dyDescent="0.35">
      <c r="A535" s="37"/>
      <c r="B535" s="37"/>
      <c r="C535" s="45"/>
      <c r="D535" s="37"/>
      <c r="E535" s="37"/>
      <c r="F535" s="37"/>
      <c r="G535" s="37"/>
      <c r="H535" s="37"/>
      <c r="I535" s="37"/>
    </row>
    <row r="536" spans="1:9" ht="14.25" customHeight="1" x14ac:dyDescent="0.35">
      <c r="A536" s="37"/>
      <c r="B536" s="37"/>
      <c r="C536" s="37"/>
      <c r="D536" s="37"/>
      <c r="E536" s="37"/>
      <c r="F536" s="37"/>
      <c r="G536" s="37"/>
      <c r="H536" s="37"/>
      <c r="I536" s="37"/>
    </row>
    <row r="537" spans="1:9" ht="14.25" customHeight="1" x14ac:dyDescent="0.35">
      <c r="A537" s="35" t="s">
        <v>1612</v>
      </c>
      <c r="B537" s="35"/>
      <c r="C537" s="37"/>
      <c r="D537" s="37"/>
      <c r="E537" s="37"/>
      <c r="F537" s="37"/>
      <c r="G537" s="37"/>
      <c r="H537" s="37"/>
      <c r="I537" s="37"/>
    </row>
    <row r="538" spans="1:9" ht="14.25" customHeight="1" x14ac:dyDescent="0.35">
      <c r="A538" s="36"/>
      <c r="B538" s="36" t="s">
        <v>115</v>
      </c>
      <c r="C538" s="37"/>
      <c r="D538" s="37"/>
      <c r="E538" s="37"/>
      <c r="F538" s="37"/>
      <c r="G538" s="37"/>
      <c r="H538" s="37"/>
      <c r="I538" s="37"/>
    </row>
    <row r="539" spans="1:9" ht="14.25" customHeight="1" x14ac:dyDescent="0.35">
      <c r="A539" s="36"/>
      <c r="B539" s="36" t="s">
        <v>783</v>
      </c>
      <c r="C539" s="37"/>
      <c r="D539" s="37"/>
      <c r="E539" s="37"/>
      <c r="F539" s="37"/>
      <c r="G539" s="37"/>
      <c r="H539" s="37"/>
      <c r="I539" s="37"/>
    </row>
    <row r="540" spans="1:9" ht="14.25" customHeight="1" x14ac:dyDescent="0.35">
      <c r="A540" s="36"/>
      <c r="B540" s="36" t="s">
        <v>777</v>
      </c>
      <c r="C540" s="37"/>
      <c r="D540" s="37"/>
      <c r="E540" s="37"/>
      <c r="F540" s="37"/>
      <c r="G540" s="37"/>
      <c r="H540" s="37"/>
      <c r="I540" s="37"/>
    </row>
    <row r="541" spans="1:9" ht="14.25" customHeight="1" x14ac:dyDescent="0.35">
      <c r="A541" s="36"/>
      <c r="B541" s="36" t="s">
        <v>1613</v>
      </c>
      <c r="C541" s="37"/>
      <c r="D541" s="37"/>
      <c r="E541" s="37"/>
      <c r="F541" s="37"/>
      <c r="G541" s="37"/>
      <c r="H541" s="37"/>
      <c r="I541" s="37"/>
    </row>
    <row r="542" spans="1:9" ht="14.25" customHeight="1" x14ac:dyDescent="0.35">
      <c r="A542" s="36"/>
      <c r="B542" s="36" t="s">
        <v>683</v>
      </c>
      <c r="C542" s="37"/>
      <c r="D542" s="37"/>
      <c r="E542" s="37"/>
      <c r="F542" s="37"/>
      <c r="G542" s="37"/>
      <c r="H542" s="37"/>
      <c r="I542" s="37"/>
    </row>
    <row r="543" spans="1:9" ht="14.25" customHeight="1" x14ac:dyDescent="0.35">
      <c r="A543" s="36"/>
      <c r="B543" s="36" t="s">
        <v>1614</v>
      </c>
      <c r="C543" s="37"/>
      <c r="D543" s="37"/>
      <c r="E543" s="37"/>
      <c r="F543" s="37"/>
      <c r="G543" s="37"/>
      <c r="H543" s="37"/>
      <c r="I543" s="37"/>
    </row>
    <row r="544" spans="1:9" ht="14.25" customHeight="1" x14ac:dyDescent="0.35">
      <c r="A544" s="36"/>
      <c r="B544" s="36" t="s">
        <v>1615</v>
      </c>
      <c r="C544" s="37"/>
      <c r="D544" s="37"/>
      <c r="E544" s="37"/>
      <c r="F544" s="37"/>
      <c r="G544" s="37"/>
      <c r="H544" s="37"/>
      <c r="I544" s="37"/>
    </row>
    <row r="545" spans="1:9" ht="14.25" customHeight="1" x14ac:dyDescent="0.35">
      <c r="A545" s="36"/>
      <c r="B545" s="36" t="s">
        <v>533</v>
      </c>
      <c r="C545" s="37"/>
      <c r="D545" s="37"/>
      <c r="E545" s="37"/>
      <c r="F545" s="37"/>
      <c r="G545" s="37"/>
      <c r="H545" s="37"/>
      <c r="I545" s="37"/>
    </row>
    <row r="546" spans="1:9" ht="14.25" customHeight="1" x14ac:dyDescent="0.35">
      <c r="A546" s="36"/>
      <c r="B546" s="36" t="s">
        <v>508</v>
      </c>
      <c r="C546" s="37"/>
      <c r="D546" s="37"/>
      <c r="E546" s="37"/>
      <c r="F546" s="37"/>
      <c r="G546" s="37"/>
      <c r="H546" s="37"/>
      <c r="I546" s="37"/>
    </row>
    <row r="547" spans="1:9" ht="14.25" customHeight="1" x14ac:dyDescent="0.35">
      <c r="A547" s="36"/>
      <c r="B547" s="36" t="s">
        <v>1616</v>
      </c>
      <c r="C547" s="37"/>
      <c r="D547" s="37"/>
      <c r="E547" s="37"/>
      <c r="F547" s="37"/>
      <c r="G547" s="37"/>
      <c r="H547" s="37"/>
      <c r="I547" s="37"/>
    </row>
    <row r="548" spans="1:9" ht="14.25" customHeight="1" x14ac:dyDescent="0.35">
      <c r="A548" s="36"/>
      <c r="B548" s="36" t="s">
        <v>1617</v>
      </c>
      <c r="C548" s="37"/>
      <c r="D548" s="37"/>
      <c r="E548" s="37"/>
      <c r="F548" s="37"/>
      <c r="G548" s="37"/>
      <c r="H548" s="37"/>
      <c r="I548" s="37"/>
    </row>
    <row r="549" spans="1:9" ht="14.25" customHeight="1" x14ac:dyDescent="0.35">
      <c r="A549" s="36"/>
      <c r="B549" s="36" t="s">
        <v>1618</v>
      </c>
      <c r="C549" s="37"/>
      <c r="D549" s="37"/>
      <c r="E549" s="37"/>
      <c r="F549" s="37"/>
      <c r="G549" s="37"/>
      <c r="H549" s="37"/>
      <c r="I549" s="37"/>
    </row>
    <row r="550" spans="1:9" ht="14.25" customHeight="1" x14ac:dyDescent="0.35">
      <c r="A550" s="36"/>
      <c r="B550" s="36" t="s">
        <v>1619</v>
      </c>
      <c r="C550" s="37"/>
      <c r="D550" s="37"/>
      <c r="E550" s="37"/>
      <c r="F550" s="37"/>
      <c r="G550" s="37"/>
      <c r="H550" s="37"/>
      <c r="I550" s="37"/>
    </row>
    <row r="551" spans="1:9" ht="14.25" customHeight="1" x14ac:dyDescent="0.35">
      <c r="A551" s="36"/>
      <c r="B551" s="36" t="s">
        <v>1620</v>
      </c>
      <c r="C551" s="37"/>
      <c r="D551" s="37"/>
      <c r="E551" s="37"/>
      <c r="F551" s="37"/>
      <c r="G551" s="37"/>
      <c r="H551" s="37"/>
      <c r="I551" s="37"/>
    </row>
    <row r="552" spans="1:9" ht="14.25" customHeight="1" x14ac:dyDescent="0.35">
      <c r="A552" s="36"/>
      <c r="B552" s="36" t="s">
        <v>1621</v>
      </c>
      <c r="C552" s="37"/>
      <c r="D552" s="37"/>
      <c r="E552" s="37"/>
      <c r="F552" s="37"/>
      <c r="G552" s="37"/>
      <c r="H552" s="37"/>
      <c r="I552" s="37"/>
    </row>
    <row r="553" spans="1:9" ht="14.25" customHeight="1" x14ac:dyDescent="0.35">
      <c r="A553" s="36"/>
      <c r="B553" s="36" t="s">
        <v>1622</v>
      </c>
      <c r="C553" s="37"/>
      <c r="D553" s="37"/>
      <c r="E553" s="37"/>
      <c r="F553" s="37"/>
      <c r="G553" s="37"/>
      <c r="H553" s="37"/>
      <c r="I553" s="37"/>
    </row>
    <row r="554" spans="1:9" ht="14.25" customHeight="1" x14ac:dyDescent="0.35">
      <c r="A554" s="36"/>
      <c r="B554" s="36" t="s">
        <v>1623</v>
      </c>
      <c r="C554" s="37"/>
      <c r="D554" s="37"/>
      <c r="E554" s="37"/>
      <c r="F554" s="37"/>
      <c r="G554" s="37"/>
      <c r="H554" s="37"/>
      <c r="I554" s="37"/>
    </row>
    <row r="555" spans="1:9" ht="14.25" customHeight="1" x14ac:dyDescent="0.35">
      <c r="A555" s="36"/>
      <c r="B555" s="36" t="s">
        <v>1624</v>
      </c>
      <c r="C555" s="37"/>
      <c r="D555" s="37"/>
      <c r="E555" s="37"/>
      <c r="F555" s="37"/>
      <c r="G555" s="37"/>
      <c r="H555" s="37"/>
      <c r="I555" s="37"/>
    </row>
    <row r="556" spans="1:9" ht="14.25" customHeight="1" x14ac:dyDescent="0.35">
      <c r="A556" s="36"/>
      <c r="B556" s="36" t="s">
        <v>699</v>
      </c>
      <c r="C556" s="37"/>
      <c r="D556" s="37"/>
      <c r="E556" s="37"/>
      <c r="F556" s="37"/>
      <c r="G556" s="37"/>
      <c r="H556" s="37"/>
      <c r="I556" s="37"/>
    </row>
    <row r="557" spans="1:9" ht="14.25" customHeight="1" x14ac:dyDescent="0.35">
      <c r="A557" s="36"/>
      <c r="B557" s="36" t="s">
        <v>812</v>
      </c>
      <c r="C557" s="37"/>
      <c r="D557" s="37"/>
      <c r="E557" s="37"/>
      <c r="F557" s="37"/>
      <c r="G557" s="37"/>
      <c r="H557" s="37"/>
      <c r="I557" s="37"/>
    </row>
    <row r="558" spans="1:9" ht="14.25" customHeight="1" x14ac:dyDescent="0.35">
      <c r="A558" s="37"/>
      <c r="B558" s="37"/>
      <c r="C558" s="37"/>
      <c r="D558" s="37"/>
      <c r="E558" s="37"/>
      <c r="F558" s="37"/>
      <c r="G558" s="37"/>
      <c r="H558" s="37"/>
      <c r="I558" s="37"/>
    </row>
    <row r="559" spans="1:9" ht="14.25" customHeight="1" x14ac:dyDescent="0.35">
      <c r="A559" s="37"/>
      <c r="B559" s="37"/>
      <c r="C559" s="37"/>
      <c r="D559" s="37"/>
      <c r="E559" s="37"/>
      <c r="F559" s="37"/>
      <c r="G559" s="37"/>
      <c r="H559" s="37"/>
      <c r="I559" s="37"/>
    </row>
    <row r="560" spans="1:9" ht="14.25" customHeight="1" x14ac:dyDescent="0.35">
      <c r="A560" s="35" t="s">
        <v>1625</v>
      </c>
      <c r="B560" s="35" t="s">
        <v>1626</v>
      </c>
      <c r="C560" s="37"/>
      <c r="D560" s="37"/>
      <c r="E560" s="37"/>
      <c r="F560" s="37"/>
      <c r="G560" s="37"/>
      <c r="H560" s="37"/>
      <c r="I560" s="37"/>
    </row>
    <row r="561" spans="1:9" ht="14.25" customHeight="1" x14ac:dyDescent="0.35">
      <c r="A561" s="46"/>
      <c r="B561" s="47" t="s">
        <v>324</v>
      </c>
      <c r="C561" s="46"/>
      <c r="D561" s="37"/>
      <c r="E561" s="37"/>
      <c r="F561" s="37"/>
      <c r="G561" s="37"/>
      <c r="H561" s="37"/>
      <c r="I561" s="37"/>
    </row>
    <row r="562" spans="1:9" ht="14.25" customHeight="1" x14ac:dyDescent="0.35">
      <c r="A562" s="46"/>
      <c r="B562" s="47" t="s">
        <v>467</v>
      </c>
      <c r="C562" s="46"/>
      <c r="D562" s="37"/>
      <c r="E562" s="37"/>
      <c r="F562" s="37"/>
      <c r="G562" s="37"/>
      <c r="H562" s="37"/>
      <c r="I562" s="37"/>
    </row>
    <row r="563" spans="1:9" ht="14.25" customHeight="1" x14ac:dyDescent="0.35">
      <c r="A563" s="46"/>
      <c r="B563" s="47" t="s">
        <v>312</v>
      </c>
      <c r="C563" s="46"/>
      <c r="D563" s="37"/>
      <c r="E563" s="37"/>
      <c r="F563" s="37"/>
      <c r="G563" s="37"/>
      <c r="H563" s="37"/>
      <c r="I563" s="37"/>
    </row>
    <row r="564" spans="1:9" ht="14.25" customHeight="1" x14ac:dyDescent="0.35">
      <c r="A564" s="46"/>
      <c r="B564" s="47" t="s">
        <v>311</v>
      </c>
      <c r="C564" s="46"/>
      <c r="D564" s="37"/>
      <c r="E564" s="37"/>
      <c r="F564" s="37"/>
      <c r="G564" s="37"/>
      <c r="H564" s="37"/>
      <c r="I564" s="37"/>
    </row>
    <row r="565" spans="1:9" ht="14.25" customHeight="1" x14ac:dyDescent="0.35">
      <c r="A565" s="46"/>
      <c r="B565" s="47" t="s">
        <v>337</v>
      </c>
      <c r="C565" s="46"/>
      <c r="D565" s="37"/>
      <c r="E565" s="37"/>
      <c r="F565" s="37"/>
      <c r="G565" s="37"/>
      <c r="H565" s="37"/>
      <c r="I565" s="37"/>
    </row>
    <row r="566" spans="1:9" ht="14.25" customHeight="1" x14ac:dyDescent="0.35">
      <c r="A566" s="46"/>
      <c r="B566" s="47" t="s">
        <v>1627</v>
      </c>
      <c r="C566" s="46"/>
      <c r="D566" s="37"/>
      <c r="E566" s="37"/>
      <c r="F566" s="37"/>
      <c r="G566" s="37"/>
      <c r="H566" s="37"/>
      <c r="I566" s="37"/>
    </row>
    <row r="567" spans="1:9" ht="14.25" customHeight="1" x14ac:dyDescent="0.35">
      <c r="A567" s="46"/>
      <c r="B567" s="47" t="s">
        <v>1628</v>
      </c>
      <c r="C567" s="46"/>
      <c r="D567" s="37"/>
      <c r="E567" s="37"/>
      <c r="F567" s="37"/>
      <c r="G567" s="37"/>
      <c r="H567" s="37"/>
      <c r="I567" s="37"/>
    </row>
    <row r="568" spans="1:9" ht="14.25" customHeight="1" x14ac:dyDescent="0.35">
      <c r="A568" s="46"/>
      <c r="B568" s="47" t="s">
        <v>1629</v>
      </c>
      <c r="C568" s="46"/>
      <c r="D568" s="37"/>
      <c r="E568" s="37"/>
      <c r="F568" s="37"/>
      <c r="G568" s="37"/>
      <c r="H568" s="37"/>
      <c r="I568" s="37"/>
    </row>
    <row r="569" spans="1:9" ht="14.25" customHeight="1" x14ac:dyDescent="0.35">
      <c r="A569" s="46"/>
      <c r="B569" s="47" t="s">
        <v>173</v>
      </c>
      <c r="C569" s="46"/>
      <c r="D569" s="37"/>
      <c r="E569" s="37"/>
      <c r="F569" s="37"/>
      <c r="G569" s="37"/>
      <c r="H569" s="37"/>
      <c r="I569" s="37"/>
    </row>
    <row r="570" spans="1:9" ht="14.25" customHeight="1" x14ac:dyDescent="0.35">
      <c r="A570" s="46"/>
      <c r="B570" s="47" t="s">
        <v>285</v>
      </c>
      <c r="C570" s="46"/>
      <c r="D570" s="37"/>
      <c r="E570" s="37"/>
      <c r="F570" s="37"/>
      <c r="G570" s="37"/>
      <c r="H570" s="37"/>
      <c r="I570" s="37"/>
    </row>
    <row r="571" spans="1:9" ht="14.25" customHeight="1" x14ac:dyDescent="0.35">
      <c r="A571" s="46"/>
      <c r="B571" s="47" t="s">
        <v>400</v>
      </c>
      <c r="C571" s="46"/>
      <c r="D571" s="37"/>
      <c r="E571" s="37"/>
      <c r="F571" s="37"/>
      <c r="G571" s="37"/>
      <c r="H571" s="37"/>
      <c r="I571" s="37"/>
    </row>
    <row r="572" spans="1:9" ht="14.25" customHeight="1" x14ac:dyDescent="0.35">
      <c r="A572" s="46"/>
      <c r="B572" s="47" t="s">
        <v>295</v>
      </c>
      <c r="C572" s="46"/>
      <c r="D572" s="37"/>
      <c r="E572" s="37"/>
      <c r="F572" s="37"/>
      <c r="G572" s="37"/>
      <c r="H572" s="37"/>
      <c r="I572" s="37"/>
    </row>
    <row r="573" spans="1:9" ht="14.25" customHeight="1" x14ac:dyDescent="0.35">
      <c r="A573" s="46"/>
      <c r="B573" s="47" t="s">
        <v>1630</v>
      </c>
      <c r="C573" s="46"/>
      <c r="D573" s="37"/>
      <c r="E573" s="37"/>
      <c r="F573" s="37"/>
      <c r="G573" s="37"/>
      <c r="H573" s="37"/>
      <c r="I573" s="37"/>
    </row>
    <row r="574" spans="1:9" ht="14.25" customHeight="1" x14ac:dyDescent="0.35">
      <c r="A574" s="46"/>
      <c r="B574" s="47" t="s">
        <v>281</v>
      </c>
      <c r="C574" s="46"/>
      <c r="D574" s="37"/>
      <c r="E574" s="37"/>
      <c r="F574" s="37"/>
      <c r="G574" s="37"/>
      <c r="H574" s="37"/>
      <c r="I574" s="37"/>
    </row>
    <row r="575" spans="1:9" ht="14.25" customHeight="1" x14ac:dyDescent="0.35">
      <c r="A575" s="46"/>
      <c r="B575" s="47" t="s">
        <v>274</v>
      </c>
      <c r="C575" s="46"/>
      <c r="D575" s="37"/>
      <c r="E575" s="37"/>
      <c r="F575" s="37"/>
      <c r="G575" s="37"/>
      <c r="H575" s="37"/>
      <c r="I575" s="37"/>
    </row>
    <row r="576" spans="1:9" ht="14.25" customHeight="1" x14ac:dyDescent="0.35">
      <c r="A576" s="46"/>
      <c r="B576" s="47" t="s">
        <v>379</v>
      </c>
      <c r="C576" s="46"/>
      <c r="D576" s="37"/>
      <c r="E576" s="37"/>
      <c r="F576" s="37"/>
      <c r="G576" s="37"/>
      <c r="H576" s="37"/>
      <c r="I576" s="37"/>
    </row>
    <row r="577" spans="1:9" ht="14.25" customHeight="1" x14ac:dyDescent="0.35">
      <c r="A577" s="46"/>
      <c r="B577" s="47" t="s">
        <v>383</v>
      </c>
      <c r="C577" s="46"/>
      <c r="D577" s="37"/>
      <c r="E577" s="37"/>
      <c r="F577" s="37"/>
      <c r="G577" s="37"/>
      <c r="H577" s="37"/>
      <c r="I577" s="37"/>
    </row>
    <row r="578" spans="1:9" ht="14.25" customHeight="1" x14ac:dyDescent="0.35">
      <c r="A578" s="46"/>
      <c r="B578" s="47" t="s">
        <v>394</v>
      </c>
      <c r="C578" s="46"/>
      <c r="D578" s="37"/>
      <c r="E578" s="37"/>
      <c r="F578" s="37"/>
      <c r="G578" s="37"/>
      <c r="H578" s="37"/>
      <c r="I578" s="37"/>
    </row>
    <row r="579" spans="1:9" ht="14.25" customHeight="1" x14ac:dyDescent="0.35">
      <c r="A579" s="46"/>
      <c r="B579" s="47" t="s">
        <v>335</v>
      </c>
      <c r="C579" s="46"/>
      <c r="D579" s="37"/>
      <c r="E579" s="37"/>
      <c r="F579" s="37"/>
      <c r="G579" s="37"/>
      <c r="H579" s="37"/>
      <c r="I579" s="37"/>
    </row>
    <row r="580" spans="1:9" ht="14.25" customHeight="1" x14ac:dyDescent="0.35">
      <c r="A580" s="46"/>
      <c r="B580" s="47" t="s">
        <v>318</v>
      </c>
      <c r="C580" s="46"/>
      <c r="D580" s="37"/>
      <c r="E580" s="37"/>
      <c r="F580" s="37"/>
      <c r="G580" s="37"/>
      <c r="H580" s="37"/>
      <c r="I580" s="37"/>
    </row>
    <row r="581" spans="1:9" ht="14.25" customHeight="1" x14ac:dyDescent="0.35">
      <c r="A581" s="46"/>
      <c r="B581" s="47" t="s">
        <v>1631</v>
      </c>
      <c r="C581" s="46"/>
      <c r="D581" s="37"/>
      <c r="E581" s="37"/>
      <c r="F581" s="37"/>
      <c r="G581" s="37"/>
      <c r="H581" s="37"/>
      <c r="I581" s="37"/>
    </row>
    <row r="582" spans="1:9" ht="14.25" customHeight="1" x14ac:dyDescent="0.35">
      <c r="A582" s="46"/>
      <c r="B582" s="47" t="s">
        <v>1632</v>
      </c>
      <c r="C582" s="46"/>
      <c r="D582" s="37"/>
      <c r="E582" s="37"/>
      <c r="F582" s="37"/>
      <c r="G582" s="37"/>
      <c r="H582" s="37"/>
      <c r="I582" s="37"/>
    </row>
    <row r="583" spans="1:9" ht="14.25" customHeight="1" x14ac:dyDescent="0.35">
      <c r="A583" s="46"/>
      <c r="B583" s="47" t="s">
        <v>768</v>
      </c>
      <c r="C583" s="46"/>
      <c r="D583" s="37"/>
      <c r="E583" s="37"/>
      <c r="F583" s="37"/>
      <c r="G583" s="37"/>
      <c r="H583" s="37"/>
      <c r="I583" s="37"/>
    </row>
    <row r="584" spans="1:9" ht="14.25" customHeight="1" x14ac:dyDescent="0.35">
      <c r="A584" s="46"/>
      <c r="B584" s="47" t="s">
        <v>1633</v>
      </c>
      <c r="C584" s="46"/>
      <c r="D584" s="37"/>
      <c r="E584" s="37"/>
      <c r="F584" s="37"/>
      <c r="G584" s="37"/>
      <c r="H584" s="37"/>
      <c r="I584" s="37"/>
    </row>
    <row r="585" spans="1:9" ht="14.25" customHeight="1" x14ac:dyDescent="0.35">
      <c r="A585" s="46"/>
      <c r="B585" s="47" t="s">
        <v>1634</v>
      </c>
      <c r="C585" s="46"/>
      <c r="D585" s="37"/>
      <c r="E585" s="37"/>
      <c r="F585" s="37"/>
      <c r="G585" s="37"/>
      <c r="H585" s="37"/>
      <c r="I585" s="37"/>
    </row>
    <row r="586" spans="1:9" ht="14.25" customHeight="1" x14ac:dyDescent="0.35">
      <c r="A586" s="46"/>
      <c r="B586" s="47" t="s">
        <v>1635</v>
      </c>
      <c r="C586" s="46"/>
      <c r="D586" s="37"/>
      <c r="E586" s="37"/>
      <c r="F586" s="37"/>
      <c r="G586" s="37"/>
      <c r="H586" s="37"/>
      <c r="I586" s="37"/>
    </row>
    <row r="587" spans="1:9" ht="14.25" customHeight="1" x14ac:dyDescent="0.35">
      <c r="A587" s="46"/>
      <c r="B587" s="47" t="s">
        <v>1636</v>
      </c>
      <c r="C587" s="46"/>
      <c r="D587" s="37"/>
      <c r="E587" s="37"/>
      <c r="F587" s="37"/>
      <c r="G587" s="37"/>
      <c r="H587" s="37"/>
      <c r="I587" s="37"/>
    </row>
    <row r="588" spans="1:9" ht="14.25" customHeight="1" x14ac:dyDescent="0.35">
      <c r="A588" s="46"/>
      <c r="B588" s="47" t="s">
        <v>1637</v>
      </c>
      <c r="C588" s="46"/>
      <c r="D588" s="37"/>
      <c r="E588" s="37"/>
      <c r="F588" s="37"/>
      <c r="G588" s="37"/>
      <c r="H588" s="37"/>
      <c r="I588" s="37"/>
    </row>
    <row r="589" spans="1:9" ht="14.25" customHeight="1" x14ac:dyDescent="0.35">
      <c r="A589" s="46"/>
      <c r="B589" s="47" t="s">
        <v>1638</v>
      </c>
      <c r="C589" s="46"/>
      <c r="D589" s="37"/>
      <c r="E589" s="37"/>
      <c r="F589" s="37"/>
      <c r="G589" s="37"/>
      <c r="H589" s="37"/>
      <c r="I589" s="37"/>
    </row>
    <row r="590" spans="1:9" ht="14.25" customHeight="1" x14ac:dyDescent="0.35">
      <c r="A590" s="46"/>
      <c r="B590" s="47" t="s">
        <v>1639</v>
      </c>
      <c r="C590" s="46"/>
      <c r="D590" s="37"/>
      <c r="E590" s="37"/>
      <c r="F590" s="37"/>
      <c r="G590" s="37"/>
      <c r="H590" s="37"/>
      <c r="I590" s="37"/>
    </row>
    <row r="591" spans="1:9" ht="14.25" customHeight="1" x14ac:dyDescent="0.35">
      <c r="A591" s="46"/>
      <c r="B591" s="47" t="s">
        <v>1640</v>
      </c>
      <c r="C591" s="46"/>
      <c r="D591" s="37"/>
      <c r="E591" s="37"/>
      <c r="F591" s="37"/>
      <c r="G591" s="37"/>
      <c r="H591" s="37"/>
      <c r="I591" s="37"/>
    </row>
    <row r="592" spans="1:9" ht="14.25" customHeight="1" x14ac:dyDescent="0.35">
      <c r="A592" s="46"/>
      <c r="B592" s="47" t="s">
        <v>1641</v>
      </c>
      <c r="C592" s="46"/>
      <c r="D592" s="37"/>
      <c r="E592" s="37"/>
      <c r="F592" s="37"/>
      <c r="G592" s="37"/>
      <c r="H592" s="37"/>
      <c r="I592" s="37"/>
    </row>
    <row r="593" spans="1:9" ht="14.25" customHeight="1" x14ac:dyDescent="0.35">
      <c r="A593" s="46"/>
      <c r="B593" s="47" t="s">
        <v>1642</v>
      </c>
      <c r="C593" s="46"/>
      <c r="D593" s="37"/>
      <c r="E593" s="37"/>
      <c r="F593" s="37"/>
      <c r="G593" s="37"/>
      <c r="H593" s="37"/>
      <c r="I593" s="37"/>
    </row>
    <row r="594" spans="1:9" ht="14.25" customHeight="1" x14ac:dyDescent="0.35">
      <c r="A594" s="46"/>
      <c r="B594" s="47" t="s">
        <v>1643</v>
      </c>
      <c r="C594" s="46"/>
      <c r="D594" s="37"/>
      <c r="E594" s="37"/>
      <c r="F594" s="37"/>
      <c r="G594" s="37"/>
      <c r="H594" s="37"/>
      <c r="I594" s="37"/>
    </row>
    <row r="595" spans="1:9" ht="14.25" customHeight="1" x14ac:dyDescent="0.35">
      <c r="A595" s="46"/>
      <c r="B595" s="47" t="s">
        <v>1644</v>
      </c>
      <c r="C595" s="46"/>
      <c r="D595" s="37"/>
      <c r="E595" s="37"/>
      <c r="F595" s="37"/>
      <c r="G595" s="37"/>
      <c r="H595" s="37"/>
      <c r="I595" s="37"/>
    </row>
    <row r="596" spans="1:9" ht="14.25" customHeight="1" x14ac:dyDescent="0.35">
      <c r="A596" s="46"/>
      <c r="B596" s="47" t="s">
        <v>1645</v>
      </c>
      <c r="C596" s="46"/>
      <c r="D596" s="37"/>
      <c r="E596" s="37"/>
      <c r="F596" s="37"/>
      <c r="G596" s="37"/>
      <c r="H596" s="37"/>
      <c r="I596" s="37"/>
    </row>
    <row r="597" spans="1:9" ht="14.25" customHeight="1" x14ac:dyDescent="0.35">
      <c r="A597" s="46"/>
      <c r="B597" s="47" t="s">
        <v>1646</v>
      </c>
      <c r="C597" s="46"/>
      <c r="D597" s="37"/>
      <c r="E597" s="37"/>
      <c r="F597" s="37"/>
      <c r="G597" s="37"/>
      <c r="H597" s="37"/>
      <c r="I597" s="37"/>
    </row>
    <row r="598" spans="1:9" ht="14.25" customHeight="1" x14ac:dyDescent="0.35">
      <c r="A598" s="46"/>
      <c r="B598" s="47" t="s">
        <v>1647</v>
      </c>
      <c r="C598" s="46"/>
      <c r="D598" s="37"/>
      <c r="E598" s="37"/>
      <c r="F598" s="37"/>
      <c r="G598" s="37"/>
      <c r="H598" s="37"/>
      <c r="I598" s="37"/>
    </row>
    <row r="599" spans="1:9" ht="14.25" customHeight="1" x14ac:dyDescent="0.35">
      <c r="A599" s="46"/>
      <c r="B599" s="47" t="s">
        <v>1648</v>
      </c>
      <c r="C599" s="46"/>
      <c r="D599" s="37"/>
      <c r="E599" s="37"/>
      <c r="F599" s="37"/>
      <c r="G599" s="37"/>
      <c r="H599" s="37"/>
      <c r="I599" s="37"/>
    </row>
    <row r="600" spans="1:9" ht="14.25" customHeight="1" x14ac:dyDescent="0.35">
      <c r="A600" s="46"/>
      <c r="B600" s="47" t="s">
        <v>222</v>
      </c>
      <c r="C600" s="46"/>
      <c r="D600" s="37"/>
      <c r="E600" s="37"/>
      <c r="F600" s="37"/>
      <c r="G600" s="37"/>
      <c r="H600" s="37"/>
      <c r="I600" s="37"/>
    </row>
    <row r="601" spans="1:9" ht="14.25" customHeight="1" x14ac:dyDescent="0.35">
      <c r="A601" s="46"/>
      <c r="B601" s="47" t="s">
        <v>1649</v>
      </c>
      <c r="C601" s="46"/>
      <c r="D601" s="37"/>
      <c r="E601" s="37"/>
      <c r="F601" s="37"/>
      <c r="G601" s="37"/>
      <c r="H601" s="37"/>
      <c r="I601" s="37"/>
    </row>
    <row r="602" spans="1:9" ht="14.25" customHeight="1" x14ac:dyDescent="0.35">
      <c r="A602" s="46"/>
      <c r="B602" s="47" t="s">
        <v>1650</v>
      </c>
      <c r="C602" s="46"/>
      <c r="D602" s="37"/>
      <c r="E602" s="37"/>
      <c r="F602" s="37"/>
      <c r="G602" s="37"/>
      <c r="H602" s="37"/>
      <c r="I602" s="37"/>
    </row>
    <row r="603" spans="1:9" ht="14.25" customHeight="1" x14ac:dyDescent="0.35">
      <c r="A603" s="46"/>
      <c r="B603" s="47" t="s">
        <v>1651</v>
      </c>
      <c r="C603" s="46"/>
      <c r="D603" s="37"/>
      <c r="E603" s="37"/>
      <c r="F603" s="37"/>
      <c r="G603" s="37"/>
      <c r="H603" s="37"/>
      <c r="I603" s="37"/>
    </row>
    <row r="604" spans="1:9" ht="14.25" customHeight="1" x14ac:dyDescent="0.35">
      <c r="A604" s="46"/>
      <c r="B604" s="47" t="s">
        <v>1652</v>
      </c>
      <c r="C604" s="46"/>
      <c r="D604" s="37"/>
      <c r="E604" s="37"/>
      <c r="F604" s="37"/>
      <c r="G604" s="37"/>
      <c r="H604" s="37"/>
      <c r="I604" s="37"/>
    </row>
    <row r="605" spans="1:9" ht="14.25" customHeight="1" x14ac:dyDescent="0.35">
      <c r="A605" s="46"/>
      <c r="B605" s="47" t="s">
        <v>1653</v>
      </c>
      <c r="C605" s="46"/>
      <c r="D605" s="37"/>
      <c r="E605" s="37"/>
      <c r="F605" s="37"/>
      <c r="G605" s="37"/>
      <c r="H605" s="37"/>
      <c r="I605" s="37"/>
    </row>
    <row r="606" spans="1:9" ht="14.25" customHeight="1" x14ac:dyDescent="0.35">
      <c r="A606" s="46"/>
      <c r="B606" s="47" t="s">
        <v>1654</v>
      </c>
      <c r="C606" s="46"/>
      <c r="D606" s="37"/>
      <c r="E606" s="37"/>
      <c r="F606" s="37"/>
      <c r="G606" s="37"/>
      <c r="H606" s="37"/>
      <c r="I606" s="37"/>
    </row>
    <row r="607" spans="1:9" ht="14.25" customHeight="1" x14ac:dyDescent="0.35">
      <c r="A607" s="46"/>
      <c r="B607" s="47" t="s">
        <v>1655</v>
      </c>
      <c r="C607" s="46"/>
      <c r="D607" s="37"/>
      <c r="E607" s="37"/>
      <c r="F607" s="37"/>
      <c r="G607" s="37"/>
      <c r="H607" s="37"/>
      <c r="I607" s="37"/>
    </row>
    <row r="608" spans="1:9" ht="14.25" customHeight="1" x14ac:dyDescent="0.35">
      <c r="A608" s="46"/>
      <c r="B608" s="47" t="s">
        <v>1656</v>
      </c>
      <c r="C608" s="46"/>
      <c r="D608" s="37"/>
      <c r="E608" s="37"/>
      <c r="F608" s="37"/>
      <c r="G608" s="37"/>
      <c r="H608" s="37"/>
      <c r="I608" s="37"/>
    </row>
    <row r="609" spans="1:9" ht="14.25" customHeight="1" x14ac:dyDescent="0.35">
      <c r="A609" s="46"/>
      <c r="B609" s="47" t="s">
        <v>1657</v>
      </c>
      <c r="C609" s="46"/>
      <c r="D609" s="37"/>
      <c r="E609" s="37"/>
      <c r="F609" s="37"/>
      <c r="G609" s="37"/>
      <c r="H609" s="37"/>
      <c r="I609" s="37"/>
    </row>
    <row r="610" spans="1:9" ht="14.25" customHeight="1" x14ac:dyDescent="0.35">
      <c r="A610" s="46"/>
      <c r="B610" s="47" t="s">
        <v>234</v>
      </c>
      <c r="C610" s="46"/>
      <c r="D610" s="37"/>
      <c r="E610" s="37"/>
      <c r="F610" s="37"/>
      <c r="G610" s="37"/>
      <c r="H610" s="37"/>
      <c r="I610" s="37"/>
    </row>
    <row r="611" spans="1:9" ht="14.25" customHeight="1" x14ac:dyDescent="0.35">
      <c r="A611" s="46"/>
      <c r="B611" s="47" t="s">
        <v>1658</v>
      </c>
      <c r="C611" s="46"/>
      <c r="D611" s="37"/>
      <c r="E611" s="37"/>
      <c r="F611" s="37"/>
      <c r="G611" s="37"/>
      <c r="H611" s="37"/>
      <c r="I611" s="37"/>
    </row>
    <row r="612" spans="1:9" ht="14.25" customHeight="1" x14ac:dyDescent="0.35">
      <c r="A612" s="46"/>
      <c r="B612" s="47" t="s">
        <v>1659</v>
      </c>
      <c r="C612" s="46"/>
      <c r="D612" s="37"/>
      <c r="E612" s="37"/>
      <c r="F612" s="37"/>
      <c r="G612" s="37"/>
      <c r="H612" s="37"/>
      <c r="I612" s="37"/>
    </row>
    <row r="613" spans="1:9" ht="14.25" customHeight="1" x14ac:dyDescent="0.35">
      <c r="A613" s="46"/>
      <c r="B613" s="47" t="s">
        <v>1660</v>
      </c>
      <c r="C613" s="46"/>
      <c r="D613" s="37"/>
      <c r="E613" s="37"/>
      <c r="F613" s="37"/>
      <c r="G613" s="37"/>
      <c r="H613" s="37"/>
      <c r="I613" s="37"/>
    </row>
    <row r="614" spans="1:9" ht="14.25" customHeight="1" x14ac:dyDescent="0.35">
      <c r="A614" s="46"/>
      <c r="B614" s="47" t="s">
        <v>224</v>
      </c>
      <c r="C614" s="46"/>
      <c r="D614" s="37"/>
      <c r="E614" s="37"/>
      <c r="F614" s="37"/>
      <c r="G614" s="37"/>
      <c r="H614" s="37"/>
      <c r="I614" s="37"/>
    </row>
    <row r="615" spans="1:9" ht="14.25" customHeight="1" x14ac:dyDescent="0.35">
      <c r="A615" s="46"/>
      <c r="B615" s="47" t="s">
        <v>1661</v>
      </c>
      <c r="C615" s="46"/>
      <c r="D615" s="37"/>
      <c r="E615" s="37"/>
      <c r="F615" s="37"/>
      <c r="G615" s="37"/>
      <c r="H615" s="37"/>
      <c r="I615" s="37"/>
    </row>
    <row r="616" spans="1:9" ht="14.25" customHeight="1" x14ac:dyDescent="0.35">
      <c r="A616" s="46"/>
      <c r="B616" s="47" t="s">
        <v>1662</v>
      </c>
      <c r="C616" s="46"/>
      <c r="D616" s="37"/>
      <c r="E616" s="37"/>
      <c r="F616" s="37"/>
      <c r="G616" s="37"/>
      <c r="H616" s="37"/>
      <c r="I616" s="37"/>
    </row>
    <row r="617" spans="1:9" ht="14.25" customHeight="1" x14ac:dyDescent="0.35">
      <c r="A617" s="46"/>
      <c r="B617" s="47" t="s">
        <v>1663</v>
      </c>
      <c r="C617" s="46"/>
      <c r="D617" s="37"/>
      <c r="E617" s="37"/>
      <c r="F617" s="37"/>
      <c r="G617" s="37"/>
      <c r="H617" s="37"/>
      <c r="I617" s="37"/>
    </row>
    <row r="618" spans="1:9" ht="14.25" customHeight="1" x14ac:dyDescent="0.35">
      <c r="A618" s="46"/>
      <c r="B618" s="47" t="s">
        <v>1664</v>
      </c>
      <c r="C618" s="46"/>
      <c r="D618" s="37"/>
      <c r="E618" s="37"/>
      <c r="F618" s="37"/>
      <c r="G618" s="37"/>
      <c r="H618" s="37"/>
      <c r="I618" s="37"/>
    </row>
    <row r="619" spans="1:9" ht="14.25" customHeight="1" x14ac:dyDescent="0.35">
      <c r="A619" s="46"/>
      <c r="B619" s="47" t="s">
        <v>1665</v>
      </c>
      <c r="C619" s="46"/>
      <c r="D619" s="37"/>
      <c r="E619" s="37"/>
      <c r="F619" s="37"/>
      <c r="G619" s="37"/>
      <c r="H619" s="37"/>
      <c r="I619" s="37"/>
    </row>
    <row r="620" spans="1:9" ht="14.25" customHeight="1" x14ac:dyDescent="0.35">
      <c r="A620" s="46"/>
      <c r="B620" s="47" t="s">
        <v>1666</v>
      </c>
      <c r="C620" s="46"/>
      <c r="D620" s="37"/>
      <c r="E620" s="37"/>
      <c r="F620" s="37"/>
      <c r="G620" s="37"/>
      <c r="H620" s="37"/>
      <c r="I620" s="37"/>
    </row>
    <row r="621" spans="1:9" ht="14.25" customHeight="1" x14ac:dyDescent="0.35">
      <c r="A621" s="46"/>
      <c r="B621" s="47" t="s">
        <v>218</v>
      </c>
      <c r="C621" s="46"/>
      <c r="D621" s="37"/>
      <c r="E621" s="37"/>
      <c r="F621" s="37"/>
      <c r="G621" s="37"/>
      <c r="H621" s="37"/>
      <c r="I621" s="37"/>
    </row>
    <row r="622" spans="1:9" ht="14.25" customHeight="1" x14ac:dyDescent="0.35">
      <c r="A622" s="46"/>
      <c r="B622" s="47" t="s">
        <v>227</v>
      </c>
      <c r="C622" s="46"/>
      <c r="D622" s="37"/>
      <c r="E622" s="37"/>
      <c r="F622" s="37"/>
      <c r="G622" s="37"/>
      <c r="H622" s="37"/>
      <c r="I622" s="37"/>
    </row>
    <row r="623" spans="1:9" ht="14.25" customHeight="1" x14ac:dyDescent="0.35">
      <c r="A623" s="46"/>
      <c r="B623" s="47" t="s">
        <v>1667</v>
      </c>
      <c r="C623" s="46"/>
      <c r="D623" s="37"/>
      <c r="E623" s="37"/>
      <c r="F623" s="37"/>
      <c r="G623" s="37"/>
      <c r="H623" s="37"/>
      <c r="I623" s="37"/>
    </row>
    <row r="624" spans="1:9" ht="14.25" customHeight="1" x14ac:dyDescent="0.35">
      <c r="A624" s="46"/>
      <c r="B624" s="47" t="s">
        <v>1668</v>
      </c>
      <c r="C624" s="46"/>
      <c r="D624" s="37"/>
      <c r="E624" s="37"/>
      <c r="F624" s="37"/>
      <c r="G624" s="37"/>
      <c r="H624" s="37"/>
      <c r="I624" s="37"/>
    </row>
    <row r="625" spans="1:9" ht="14.25" customHeight="1" x14ac:dyDescent="0.35">
      <c r="A625" s="46"/>
      <c r="B625" s="47" t="s">
        <v>1669</v>
      </c>
      <c r="C625" s="46"/>
      <c r="D625" s="37"/>
      <c r="E625" s="37"/>
      <c r="F625" s="37"/>
      <c r="G625" s="37"/>
      <c r="H625" s="37"/>
      <c r="I625" s="37"/>
    </row>
    <row r="626" spans="1:9" ht="14.25" customHeight="1" x14ac:dyDescent="0.35">
      <c r="A626" s="46"/>
      <c r="B626" s="47" t="s">
        <v>1670</v>
      </c>
      <c r="C626" s="46"/>
      <c r="D626" s="37"/>
      <c r="E626" s="37"/>
      <c r="F626" s="37"/>
      <c r="G626" s="37"/>
      <c r="H626" s="37"/>
      <c r="I626" s="37"/>
    </row>
    <row r="627" spans="1:9" ht="14.25" customHeight="1" x14ac:dyDescent="0.35">
      <c r="A627" s="46"/>
      <c r="B627" s="47" t="s">
        <v>621</v>
      </c>
      <c r="C627" s="46"/>
      <c r="D627" s="37"/>
      <c r="E627" s="37"/>
      <c r="F627" s="37"/>
      <c r="G627" s="37"/>
      <c r="H627" s="37"/>
      <c r="I627" s="37"/>
    </row>
    <row r="628" spans="1:9" ht="14.25" customHeight="1" x14ac:dyDescent="0.35">
      <c r="A628" s="46"/>
      <c r="B628" s="47" t="s">
        <v>124</v>
      </c>
      <c r="C628" s="46"/>
      <c r="D628" s="37"/>
      <c r="E628" s="37"/>
      <c r="F628" s="37"/>
      <c r="G628" s="37"/>
      <c r="H628" s="37"/>
      <c r="I628" s="37"/>
    </row>
    <row r="629" spans="1:9" ht="14.25" customHeight="1" x14ac:dyDescent="0.35">
      <c r="A629" s="46"/>
      <c r="B629" s="47" t="s">
        <v>153</v>
      </c>
      <c r="C629" s="46"/>
      <c r="D629" s="37"/>
      <c r="E629" s="37"/>
      <c r="F629" s="37"/>
      <c r="G629" s="37"/>
      <c r="H629" s="37"/>
      <c r="I629" s="37"/>
    </row>
    <row r="630" spans="1:9" ht="14.25" customHeight="1" x14ac:dyDescent="0.35">
      <c r="A630" s="46"/>
      <c r="B630" s="47" t="s">
        <v>1671</v>
      </c>
      <c r="C630" s="46"/>
      <c r="D630" s="37"/>
      <c r="E630" s="37"/>
      <c r="F630" s="37"/>
      <c r="G630" s="37"/>
      <c r="H630" s="37"/>
      <c r="I630" s="37"/>
    </row>
    <row r="631" spans="1:9" ht="14.25" customHeight="1" x14ac:dyDescent="0.35">
      <c r="A631" s="46"/>
      <c r="B631" s="47" t="s">
        <v>1672</v>
      </c>
      <c r="C631" s="46"/>
      <c r="D631" s="37"/>
      <c r="E631" s="37"/>
      <c r="F631" s="37"/>
      <c r="G631" s="37"/>
      <c r="H631" s="37"/>
      <c r="I631" s="37"/>
    </row>
    <row r="632" spans="1:9" ht="14.25" customHeight="1" x14ac:dyDescent="0.35">
      <c r="A632" s="46"/>
      <c r="B632" s="47" t="s">
        <v>1673</v>
      </c>
      <c r="C632" s="46"/>
      <c r="D632" s="37"/>
      <c r="E632" s="37"/>
      <c r="F632" s="37"/>
      <c r="G632" s="37"/>
      <c r="H632" s="37"/>
      <c r="I632" s="37"/>
    </row>
    <row r="633" spans="1:9" ht="14.25" customHeight="1" x14ac:dyDescent="0.35">
      <c r="A633" s="46"/>
      <c r="B633" s="47" t="s">
        <v>1674</v>
      </c>
      <c r="C633" s="46"/>
      <c r="D633" s="37"/>
      <c r="E633" s="37"/>
      <c r="F633" s="37"/>
      <c r="G633" s="37"/>
      <c r="H633" s="37"/>
      <c r="I633" s="37"/>
    </row>
    <row r="634" spans="1:9" ht="14.25" customHeight="1" x14ac:dyDescent="0.35">
      <c r="A634" s="46"/>
      <c r="B634" s="36" t="s">
        <v>340</v>
      </c>
      <c r="C634" s="46"/>
      <c r="D634" s="37"/>
      <c r="E634" s="37"/>
      <c r="F634" s="37"/>
      <c r="G634" s="37"/>
      <c r="H634" s="37"/>
      <c r="I634" s="37"/>
    </row>
    <row r="635" spans="1:9" ht="14.25" customHeight="1" x14ac:dyDescent="0.35">
      <c r="A635" s="46"/>
      <c r="B635" s="36" t="s">
        <v>374</v>
      </c>
      <c r="C635" s="46"/>
      <c r="D635" s="37"/>
      <c r="E635" s="37"/>
      <c r="F635" s="37"/>
      <c r="G635" s="37"/>
      <c r="H635" s="37"/>
      <c r="I635" s="37"/>
    </row>
    <row r="636" spans="1:9" ht="14.25" customHeight="1" x14ac:dyDescent="0.35">
      <c r="A636" s="46"/>
      <c r="B636" s="47" t="s">
        <v>1675</v>
      </c>
      <c r="C636" s="46"/>
      <c r="D636" s="37"/>
      <c r="E636" s="37"/>
      <c r="F636" s="37"/>
      <c r="G636" s="37"/>
      <c r="H636" s="37"/>
      <c r="I636" s="37"/>
    </row>
    <row r="637" spans="1:9" ht="14.25" customHeight="1" x14ac:dyDescent="0.35">
      <c r="A637" s="46"/>
      <c r="B637" s="47" t="s">
        <v>451</v>
      </c>
      <c r="C637" s="46"/>
      <c r="D637" s="37"/>
      <c r="E637" s="37"/>
      <c r="F637" s="37"/>
      <c r="G637" s="37"/>
      <c r="H637" s="37"/>
      <c r="I637" s="37"/>
    </row>
    <row r="638" spans="1:9" ht="14.25" customHeight="1" x14ac:dyDescent="0.35">
      <c r="A638" s="46"/>
      <c r="B638" s="47" t="s">
        <v>1676</v>
      </c>
      <c r="C638" s="46"/>
      <c r="D638" s="37"/>
      <c r="E638" s="37"/>
      <c r="F638" s="37"/>
      <c r="G638" s="37"/>
      <c r="H638" s="37"/>
      <c r="I638" s="37"/>
    </row>
    <row r="639" spans="1:9" ht="14.25" customHeight="1" x14ac:dyDescent="0.35">
      <c r="A639" s="46"/>
      <c r="B639" s="47" t="s">
        <v>645</v>
      </c>
      <c r="C639" s="46"/>
      <c r="D639" s="37"/>
      <c r="E639" s="37"/>
      <c r="F639" s="37"/>
      <c r="G639" s="37"/>
      <c r="H639" s="37"/>
      <c r="I639" s="37"/>
    </row>
    <row r="640" spans="1:9" ht="14.25" customHeight="1" x14ac:dyDescent="0.35">
      <c r="A640" s="46"/>
      <c r="B640" s="47" t="s">
        <v>1677</v>
      </c>
      <c r="C640" s="46"/>
      <c r="D640" s="37"/>
      <c r="E640" s="37"/>
      <c r="F640" s="37"/>
      <c r="G640" s="37"/>
      <c r="H640" s="37"/>
      <c r="I640" s="37"/>
    </row>
    <row r="641" spans="1:9" ht="14.25" customHeight="1" x14ac:dyDescent="0.35">
      <c r="A641" s="46"/>
      <c r="B641" s="36" t="s">
        <v>1678</v>
      </c>
      <c r="C641" s="46"/>
      <c r="D641" s="37"/>
      <c r="E641" s="37"/>
      <c r="F641" s="37"/>
      <c r="G641" s="37"/>
      <c r="H641" s="37"/>
      <c r="I641" s="37"/>
    </row>
    <row r="642" spans="1:9" ht="14.25" customHeight="1" x14ac:dyDescent="0.35">
      <c r="A642" s="46"/>
      <c r="B642" s="47" t="s">
        <v>474</v>
      </c>
      <c r="C642" s="46"/>
      <c r="D642" s="37"/>
      <c r="E642" s="37"/>
      <c r="F642" s="37"/>
      <c r="G642" s="37"/>
      <c r="H642" s="37"/>
      <c r="I642" s="37"/>
    </row>
    <row r="643" spans="1:9" ht="14.25" customHeight="1" x14ac:dyDescent="0.35">
      <c r="A643" s="46"/>
      <c r="B643" s="47" t="s">
        <v>1679</v>
      </c>
      <c r="C643" s="46"/>
      <c r="D643" s="37"/>
      <c r="E643" s="37"/>
      <c r="F643" s="37"/>
      <c r="G643" s="37"/>
      <c r="H643" s="37"/>
      <c r="I643" s="37"/>
    </row>
    <row r="644" spans="1:9" ht="14.25" customHeight="1" x14ac:dyDescent="0.35">
      <c r="A644" s="46"/>
      <c r="B644" s="36" t="s">
        <v>346</v>
      </c>
      <c r="C644" s="46"/>
      <c r="D644" s="37"/>
      <c r="E644" s="37"/>
      <c r="F644" s="37"/>
      <c r="G644" s="37"/>
      <c r="H644" s="37"/>
      <c r="I644" s="37"/>
    </row>
    <row r="645" spans="1:9" ht="14.25" customHeight="1" x14ac:dyDescent="0.35">
      <c r="A645" s="46"/>
      <c r="B645" s="47" t="s">
        <v>639</v>
      </c>
      <c r="C645" s="46"/>
      <c r="D645" s="37"/>
      <c r="E645" s="37"/>
      <c r="F645" s="37"/>
      <c r="G645" s="37"/>
      <c r="H645" s="37"/>
      <c r="I645" s="37"/>
    </row>
    <row r="646" spans="1:9" ht="14.25" customHeight="1" x14ac:dyDescent="0.35">
      <c r="A646" s="46"/>
      <c r="B646" s="47" t="s">
        <v>1680</v>
      </c>
      <c r="C646" s="46"/>
      <c r="D646" s="37"/>
      <c r="E646" s="37"/>
      <c r="F646" s="37"/>
      <c r="G646" s="37"/>
      <c r="H646" s="37"/>
      <c r="I646" s="37"/>
    </row>
    <row r="647" spans="1:9" ht="14.25" customHeight="1" x14ac:dyDescent="0.35">
      <c r="A647" s="46"/>
      <c r="B647" s="47" t="s">
        <v>1681</v>
      </c>
      <c r="C647" s="46"/>
      <c r="D647" s="37"/>
      <c r="E647" s="37"/>
      <c r="F647" s="37"/>
      <c r="G647" s="37"/>
      <c r="H647" s="37"/>
      <c r="I647" s="37"/>
    </row>
    <row r="648" spans="1:9" ht="14.25" customHeight="1" x14ac:dyDescent="0.35">
      <c r="A648" s="46"/>
      <c r="B648" s="47" t="s">
        <v>210</v>
      </c>
      <c r="C648" s="46"/>
      <c r="D648" s="37"/>
      <c r="E648" s="37"/>
      <c r="F648" s="37"/>
      <c r="G648" s="37"/>
      <c r="H648" s="37"/>
      <c r="I648" s="37"/>
    </row>
    <row r="649" spans="1:9" ht="14.25" customHeight="1" x14ac:dyDescent="0.35">
      <c r="A649" s="46"/>
      <c r="B649" s="47" t="s">
        <v>1682</v>
      </c>
      <c r="C649" s="46"/>
      <c r="D649" s="37"/>
      <c r="E649" s="37"/>
      <c r="F649" s="37"/>
      <c r="G649" s="37"/>
      <c r="H649" s="37"/>
      <c r="I649" s="37"/>
    </row>
    <row r="650" spans="1:9" ht="14.25" customHeight="1" x14ac:dyDescent="0.35">
      <c r="A650" s="46"/>
      <c r="B650" s="47" t="s">
        <v>188</v>
      </c>
      <c r="C650" s="46"/>
      <c r="D650" s="37"/>
      <c r="E650" s="37"/>
      <c r="F650" s="37"/>
      <c r="G650" s="37"/>
      <c r="H650" s="37"/>
      <c r="I650" s="37"/>
    </row>
    <row r="651" spans="1:9" ht="14.25" customHeight="1" x14ac:dyDescent="0.35">
      <c r="A651" s="46"/>
      <c r="B651" s="47" t="s">
        <v>1683</v>
      </c>
      <c r="C651" s="46"/>
      <c r="D651" s="37"/>
      <c r="E651" s="37"/>
      <c r="F651" s="37"/>
      <c r="G651" s="37"/>
      <c r="H651" s="37"/>
      <c r="I651" s="37"/>
    </row>
    <row r="652" spans="1:9" ht="14.25" customHeight="1" x14ac:dyDescent="0.35">
      <c r="A652" s="46"/>
      <c r="B652" s="47" t="s">
        <v>1684</v>
      </c>
      <c r="C652" s="46"/>
      <c r="D652" s="37"/>
      <c r="E652" s="37"/>
      <c r="F652" s="37"/>
      <c r="G652" s="37"/>
      <c r="H652" s="37"/>
      <c r="I652" s="37"/>
    </row>
    <row r="653" spans="1:9" ht="14.25" customHeight="1" x14ac:dyDescent="0.35">
      <c r="A653" s="46"/>
      <c r="B653" s="47" t="s">
        <v>423</v>
      </c>
      <c r="C653" s="46"/>
      <c r="D653" s="37"/>
      <c r="E653" s="37"/>
      <c r="F653" s="37"/>
      <c r="G653" s="37"/>
      <c r="H653" s="37"/>
      <c r="I653" s="37"/>
    </row>
    <row r="654" spans="1:9" ht="14.25" customHeight="1" x14ac:dyDescent="0.35">
      <c r="A654" s="46"/>
      <c r="B654" s="47" t="s">
        <v>439</v>
      </c>
      <c r="C654" s="46"/>
      <c r="D654" s="37"/>
      <c r="E654" s="37"/>
      <c r="F654" s="37"/>
      <c r="G654" s="37"/>
      <c r="H654" s="37"/>
      <c r="I654" s="37"/>
    </row>
    <row r="655" spans="1:9" ht="14.25" customHeight="1" x14ac:dyDescent="0.35">
      <c r="A655" s="46"/>
      <c r="B655" s="47" t="s">
        <v>243</v>
      </c>
      <c r="C655" s="46"/>
      <c r="D655" s="37"/>
      <c r="E655" s="37"/>
      <c r="F655" s="37"/>
      <c r="G655" s="37"/>
      <c r="H655" s="37"/>
      <c r="I655" s="37"/>
    </row>
    <row r="656" spans="1:9" ht="14.25" customHeight="1" x14ac:dyDescent="0.35">
      <c r="A656" s="46"/>
      <c r="B656" s="47" t="s">
        <v>1685</v>
      </c>
      <c r="C656" s="46"/>
      <c r="D656" s="37"/>
      <c r="E656" s="37"/>
      <c r="F656" s="37"/>
      <c r="G656" s="37"/>
      <c r="H656" s="37"/>
      <c r="I656" s="37"/>
    </row>
    <row r="657" spans="1:9" ht="14.25" customHeight="1" x14ac:dyDescent="0.35">
      <c r="A657" s="46"/>
      <c r="B657" s="47" t="s">
        <v>254</v>
      </c>
      <c r="C657" s="46"/>
      <c r="D657" s="37"/>
      <c r="E657" s="37"/>
      <c r="F657" s="37"/>
      <c r="G657" s="37"/>
      <c r="H657" s="37"/>
      <c r="I657" s="37"/>
    </row>
    <row r="658" spans="1:9" ht="14.25" customHeight="1" x14ac:dyDescent="0.35">
      <c r="A658" s="46"/>
      <c r="B658" s="36" t="s">
        <v>103</v>
      </c>
      <c r="C658" s="46"/>
      <c r="D658" s="37"/>
      <c r="E658" s="37"/>
      <c r="F658" s="37"/>
      <c r="G658" s="37"/>
      <c r="H658" s="37"/>
      <c r="I658" s="37"/>
    </row>
    <row r="659" spans="1:9" ht="14.25" customHeight="1" x14ac:dyDescent="0.35">
      <c r="A659" s="46"/>
      <c r="B659" s="36" t="s">
        <v>413</v>
      </c>
      <c r="C659" s="46"/>
      <c r="D659" s="37"/>
      <c r="E659" s="37"/>
      <c r="F659" s="37"/>
      <c r="G659" s="37"/>
      <c r="H659" s="37"/>
      <c r="I659" s="37"/>
    </row>
    <row r="660" spans="1:9" ht="14.25" customHeight="1" x14ac:dyDescent="0.35">
      <c r="A660" s="46"/>
      <c r="B660" s="46"/>
      <c r="C660" s="46"/>
      <c r="D660" s="37"/>
      <c r="E660" s="37"/>
      <c r="F660" s="37"/>
      <c r="G660" s="37"/>
      <c r="H660" s="37"/>
      <c r="I660" s="37"/>
    </row>
    <row r="661" spans="1:9" ht="14.25" customHeight="1" x14ac:dyDescent="0.35">
      <c r="A661" s="46"/>
      <c r="B661" s="46"/>
      <c r="C661" s="46"/>
      <c r="D661" s="37"/>
      <c r="E661" s="37"/>
      <c r="F661" s="37"/>
      <c r="G661" s="37"/>
      <c r="H661" s="37"/>
      <c r="I661" s="37"/>
    </row>
    <row r="662" spans="1:9" ht="14.25" customHeight="1" x14ac:dyDescent="0.35">
      <c r="A662" s="35" t="s">
        <v>1686</v>
      </c>
      <c r="B662" s="35" t="s">
        <v>1687</v>
      </c>
      <c r="C662" s="35" t="s">
        <v>1688</v>
      </c>
      <c r="D662" s="35" t="s">
        <v>1689</v>
      </c>
      <c r="E662" s="37"/>
      <c r="F662" s="37"/>
      <c r="G662" s="37"/>
      <c r="H662" s="37"/>
      <c r="I662" s="37"/>
    </row>
    <row r="663" spans="1:9" ht="14.25" customHeight="1" x14ac:dyDescent="0.35">
      <c r="A663" s="37" t="s">
        <v>1690</v>
      </c>
      <c r="B663" s="48" t="s">
        <v>1691</v>
      </c>
      <c r="C663" s="49" t="s">
        <v>1692</v>
      </c>
      <c r="D663" s="37" t="s">
        <v>1693</v>
      </c>
      <c r="E663" s="37"/>
      <c r="F663" s="37"/>
      <c r="G663" s="37"/>
      <c r="H663" s="37"/>
      <c r="I663" s="37"/>
    </row>
    <row r="664" spans="1:9" ht="14.25" customHeight="1" x14ac:dyDescent="0.35">
      <c r="A664" s="37" t="s">
        <v>1690</v>
      </c>
      <c r="B664" s="48" t="s">
        <v>1691</v>
      </c>
      <c r="C664" s="49" t="s">
        <v>1692</v>
      </c>
      <c r="D664" s="37" t="s">
        <v>155</v>
      </c>
      <c r="E664" s="37"/>
      <c r="F664" s="37"/>
      <c r="G664" s="37"/>
      <c r="H664" s="37"/>
      <c r="I664" s="37"/>
    </row>
    <row r="665" spans="1:9" ht="14.25" customHeight="1" x14ac:dyDescent="0.35">
      <c r="A665" s="37" t="s">
        <v>1690</v>
      </c>
      <c r="B665" s="48" t="s">
        <v>1691</v>
      </c>
      <c r="C665" s="49" t="s">
        <v>1692</v>
      </c>
      <c r="D665" s="37" t="s">
        <v>562</v>
      </c>
      <c r="E665" s="37"/>
      <c r="F665" s="37"/>
      <c r="G665" s="37"/>
      <c r="H665" s="37"/>
      <c r="I665" s="37"/>
    </row>
    <row r="666" spans="1:9" ht="14.25" customHeight="1" x14ac:dyDescent="0.35">
      <c r="A666" s="37" t="s">
        <v>1694</v>
      </c>
      <c r="B666" s="50" t="s">
        <v>196</v>
      </c>
      <c r="C666" s="49" t="s">
        <v>907</v>
      </c>
      <c r="D666" s="37" t="s">
        <v>1695</v>
      </c>
      <c r="E666" s="37"/>
      <c r="F666" s="37"/>
      <c r="G666" s="37"/>
      <c r="H666" s="37"/>
      <c r="I666" s="37"/>
    </row>
    <row r="667" spans="1:9" ht="14.25" customHeight="1" x14ac:dyDescent="0.35">
      <c r="A667" s="37" t="s">
        <v>1694</v>
      </c>
      <c r="B667" s="50" t="s">
        <v>196</v>
      </c>
      <c r="C667" s="49" t="s">
        <v>907</v>
      </c>
      <c r="D667" s="37" t="s">
        <v>1696</v>
      </c>
      <c r="E667" s="37"/>
      <c r="F667" s="37"/>
      <c r="G667" s="37"/>
      <c r="H667" s="37"/>
      <c r="I667" s="37"/>
    </row>
    <row r="668" spans="1:9" ht="14.25" customHeight="1" x14ac:dyDescent="0.35">
      <c r="A668" s="37" t="s">
        <v>1694</v>
      </c>
      <c r="B668" s="50" t="s">
        <v>196</v>
      </c>
      <c r="C668" s="49" t="s">
        <v>907</v>
      </c>
      <c r="D668" s="37" t="s">
        <v>1697</v>
      </c>
      <c r="E668" s="37"/>
      <c r="F668" s="37"/>
      <c r="G668" s="37"/>
      <c r="H668" s="37"/>
      <c r="I668" s="37"/>
    </row>
    <row r="669" spans="1:9" ht="14.25" customHeight="1" x14ac:dyDescent="0.35">
      <c r="A669" s="37" t="s">
        <v>1694</v>
      </c>
      <c r="B669" s="50" t="s">
        <v>196</v>
      </c>
      <c r="C669" s="49" t="s">
        <v>907</v>
      </c>
      <c r="D669" s="37" t="s">
        <v>1698</v>
      </c>
      <c r="E669" s="37"/>
      <c r="F669" s="37"/>
      <c r="G669" s="37"/>
      <c r="H669" s="37"/>
      <c r="I669" s="37"/>
    </row>
    <row r="670" spans="1:9" ht="14.25" customHeight="1" x14ac:dyDescent="0.35">
      <c r="A670" s="37" t="s">
        <v>1699</v>
      </c>
      <c r="B670" s="51" t="s">
        <v>119</v>
      </c>
      <c r="C670" s="49" t="s">
        <v>1700</v>
      </c>
      <c r="D670" s="37" t="s">
        <v>1701</v>
      </c>
      <c r="E670" s="37"/>
      <c r="F670" s="37"/>
      <c r="G670" s="37"/>
      <c r="H670" s="37"/>
      <c r="I670" s="37"/>
    </row>
    <row r="671" spans="1:9" ht="14.25" customHeight="1" x14ac:dyDescent="0.35">
      <c r="A671" s="37" t="s">
        <v>1699</v>
      </c>
      <c r="B671" s="51" t="s">
        <v>119</v>
      </c>
      <c r="C671" s="49" t="s">
        <v>1700</v>
      </c>
      <c r="D671" s="37" t="s">
        <v>709</v>
      </c>
      <c r="E671" s="37"/>
      <c r="F671" s="37"/>
      <c r="G671" s="37"/>
      <c r="H671" s="37"/>
      <c r="I671" s="37"/>
    </row>
    <row r="672" spans="1:9" ht="14.25" customHeight="1" x14ac:dyDescent="0.35">
      <c r="A672" s="37" t="s">
        <v>1699</v>
      </c>
      <c r="B672" s="51" t="s">
        <v>119</v>
      </c>
      <c r="C672" s="49" t="s">
        <v>1700</v>
      </c>
      <c r="D672" s="37" t="s">
        <v>729</v>
      </c>
      <c r="E672" s="37"/>
      <c r="F672" s="37"/>
      <c r="G672" s="37"/>
      <c r="H672" s="37"/>
      <c r="I672" s="37"/>
    </row>
    <row r="673" spans="1:9" ht="14.25" customHeight="1" x14ac:dyDescent="0.35">
      <c r="A673" s="37" t="s">
        <v>1699</v>
      </c>
      <c r="B673" s="51" t="s">
        <v>119</v>
      </c>
      <c r="C673" s="49" t="s">
        <v>1700</v>
      </c>
      <c r="D673" s="37" t="s">
        <v>982</v>
      </c>
      <c r="E673" s="37"/>
      <c r="F673" s="37"/>
      <c r="G673" s="37"/>
      <c r="H673" s="37"/>
      <c r="I673" s="37"/>
    </row>
    <row r="674" spans="1:9" ht="14.25" customHeight="1" x14ac:dyDescent="0.35">
      <c r="A674" s="37" t="s">
        <v>97</v>
      </c>
      <c r="B674" s="52" t="s">
        <v>98</v>
      </c>
      <c r="C674" s="49" t="s">
        <v>1702</v>
      </c>
      <c r="D674" s="37" t="s">
        <v>1703</v>
      </c>
      <c r="E674" s="37"/>
      <c r="F674" s="37"/>
      <c r="G674" s="37"/>
      <c r="H674" s="37"/>
      <c r="I674" s="37"/>
    </row>
    <row r="675" spans="1:9" ht="14.25" customHeight="1" x14ac:dyDescent="0.35">
      <c r="A675" s="37" t="s">
        <v>97</v>
      </c>
      <c r="B675" s="52" t="s">
        <v>98</v>
      </c>
      <c r="C675" s="49" t="s">
        <v>1702</v>
      </c>
      <c r="D675" s="37" t="s">
        <v>1704</v>
      </c>
      <c r="E675" s="37"/>
      <c r="F675" s="37"/>
      <c r="G675" s="37"/>
      <c r="H675" s="37"/>
      <c r="I675" s="37"/>
    </row>
    <row r="676" spans="1:9" ht="14.25" customHeight="1" x14ac:dyDescent="0.35">
      <c r="A676" s="37" t="s">
        <v>97</v>
      </c>
      <c r="B676" s="52" t="s">
        <v>98</v>
      </c>
      <c r="C676" s="49" t="s">
        <v>1702</v>
      </c>
      <c r="D676" s="37" t="s">
        <v>1705</v>
      </c>
      <c r="E676" s="37"/>
      <c r="F676" s="37"/>
      <c r="G676" s="37"/>
      <c r="H676" s="37"/>
      <c r="I676" s="37"/>
    </row>
    <row r="677" spans="1:9" ht="14.25" customHeight="1" x14ac:dyDescent="0.35">
      <c r="A677" s="37" t="s">
        <v>97</v>
      </c>
      <c r="B677" s="52" t="s">
        <v>98</v>
      </c>
      <c r="C677" s="49" t="s">
        <v>1702</v>
      </c>
      <c r="D677" s="37" t="s">
        <v>1706</v>
      </c>
      <c r="E677" s="37"/>
      <c r="F677" s="37"/>
      <c r="G677" s="37"/>
      <c r="H677" s="37"/>
      <c r="I677" s="37"/>
    </row>
    <row r="678" spans="1:9" ht="14.25" customHeight="1" x14ac:dyDescent="0.35">
      <c r="A678" s="37" t="s">
        <v>97</v>
      </c>
      <c r="B678" s="52" t="s">
        <v>98</v>
      </c>
      <c r="C678" s="49" t="s">
        <v>1702</v>
      </c>
      <c r="D678" s="37" t="s">
        <v>1707</v>
      </c>
      <c r="E678" s="37"/>
      <c r="F678" s="37"/>
      <c r="G678" s="37"/>
      <c r="H678" s="37"/>
      <c r="I678" s="37"/>
    </row>
    <row r="679" spans="1:9" ht="14.25" customHeight="1" x14ac:dyDescent="0.35">
      <c r="A679" s="37" t="s">
        <v>685</v>
      </c>
      <c r="B679" s="53" t="s">
        <v>1708</v>
      </c>
      <c r="C679" s="49" t="s">
        <v>1709</v>
      </c>
      <c r="D679" s="37" t="s">
        <v>1710</v>
      </c>
      <c r="E679" s="37"/>
      <c r="F679" s="37"/>
      <c r="G679" s="37"/>
      <c r="H679" s="37"/>
      <c r="I679" s="37"/>
    </row>
    <row r="680" spans="1:9" ht="14.25" customHeight="1" x14ac:dyDescent="0.35">
      <c r="A680" s="37" t="s">
        <v>685</v>
      </c>
      <c r="B680" s="53" t="s">
        <v>1708</v>
      </c>
      <c r="C680" s="49" t="s">
        <v>1709</v>
      </c>
      <c r="D680" s="37" t="s">
        <v>1711</v>
      </c>
      <c r="E680" s="37"/>
      <c r="F680" s="37"/>
      <c r="G680" s="37"/>
      <c r="H680" s="37"/>
      <c r="I680" s="37"/>
    </row>
    <row r="681" spans="1:9" ht="14.25" customHeight="1" x14ac:dyDescent="0.35">
      <c r="A681" s="37" t="s">
        <v>685</v>
      </c>
      <c r="B681" s="53" t="s">
        <v>1708</v>
      </c>
      <c r="C681" s="49" t="s">
        <v>1709</v>
      </c>
      <c r="D681" s="37" t="s">
        <v>1712</v>
      </c>
      <c r="E681" s="37"/>
      <c r="F681" s="37"/>
      <c r="G681" s="37"/>
      <c r="H681" s="37"/>
      <c r="I681" s="37"/>
    </row>
    <row r="682" spans="1:9" ht="14.25" customHeight="1" x14ac:dyDescent="0.35">
      <c r="A682" s="37" t="s">
        <v>1713</v>
      </c>
      <c r="B682" s="52" t="s">
        <v>1714</v>
      </c>
      <c r="C682" s="49" t="s">
        <v>1715</v>
      </c>
      <c r="D682" s="37" t="s">
        <v>1716</v>
      </c>
      <c r="E682" s="37"/>
      <c r="F682" s="37"/>
      <c r="G682" s="37"/>
      <c r="H682" s="37"/>
      <c r="I682" s="37"/>
    </row>
    <row r="683" spans="1:9" ht="14.25" customHeight="1" x14ac:dyDescent="0.35">
      <c r="A683" s="37" t="s">
        <v>1713</v>
      </c>
      <c r="B683" s="52" t="s">
        <v>1714</v>
      </c>
      <c r="C683" s="49" t="s">
        <v>1715</v>
      </c>
      <c r="D683" s="37" t="s">
        <v>1717</v>
      </c>
      <c r="E683" s="37"/>
      <c r="F683" s="37"/>
      <c r="G683" s="37"/>
      <c r="H683" s="37"/>
      <c r="I683" s="37"/>
    </row>
    <row r="684" spans="1:9" ht="14.25" customHeight="1" x14ac:dyDescent="0.35">
      <c r="A684" s="37" t="s">
        <v>1713</v>
      </c>
      <c r="B684" s="52" t="s">
        <v>1718</v>
      </c>
      <c r="C684" s="49" t="s">
        <v>1715</v>
      </c>
      <c r="D684" s="37" t="s">
        <v>1719</v>
      </c>
      <c r="E684" s="37"/>
      <c r="F684" s="37"/>
      <c r="G684" s="37"/>
      <c r="H684" s="37"/>
      <c r="I684" s="37"/>
    </row>
    <row r="685" spans="1:9" ht="14.25" customHeight="1" x14ac:dyDescent="0.35">
      <c r="A685" s="37" t="s">
        <v>436</v>
      </c>
      <c r="B685" s="54" t="s">
        <v>437</v>
      </c>
      <c r="C685" s="49" t="s">
        <v>1720</v>
      </c>
      <c r="D685" s="37" t="s">
        <v>1721</v>
      </c>
      <c r="E685" s="37"/>
      <c r="F685" s="37"/>
      <c r="G685" s="37"/>
      <c r="H685" s="37"/>
      <c r="I685" s="37"/>
    </row>
    <row r="686" spans="1:9" ht="14.25" customHeight="1" x14ac:dyDescent="0.35">
      <c r="A686" s="37" t="s">
        <v>436</v>
      </c>
      <c r="B686" s="54" t="s">
        <v>437</v>
      </c>
      <c r="C686" s="49" t="s">
        <v>1720</v>
      </c>
      <c r="D686" s="37" t="s">
        <v>924</v>
      </c>
      <c r="E686" s="37"/>
      <c r="F686" s="37"/>
      <c r="G686" s="37"/>
      <c r="H686" s="37"/>
      <c r="I686" s="37"/>
    </row>
    <row r="687" spans="1:9" ht="14.25" customHeight="1" x14ac:dyDescent="0.35">
      <c r="A687" s="37" t="s">
        <v>436</v>
      </c>
      <c r="B687" s="30" t="s">
        <v>437</v>
      </c>
      <c r="C687" s="49" t="s">
        <v>1720</v>
      </c>
      <c r="D687" s="37" t="s">
        <v>1722</v>
      </c>
      <c r="E687" s="37"/>
      <c r="F687" s="37"/>
      <c r="G687" s="37"/>
      <c r="H687" s="37"/>
      <c r="I687" s="37"/>
    </row>
    <row r="688" spans="1:9" ht="14.25" customHeight="1" x14ac:dyDescent="0.35">
      <c r="A688" s="37" t="s">
        <v>436</v>
      </c>
      <c r="B688" s="30" t="s">
        <v>437</v>
      </c>
      <c r="C688" s="49" t="s">
        <v>1720</v>
      </c>
      <c r="D688" s="37" t="s">
        <v>1723</v>
      </c>
      <c r="E688" s="37"/>
      <c r="F688" s="37"/>
      <c r="G688" s="37"/>
      <c r="H688" s="37"/>
      <c r="I688" s="37"/>
    </row>
    <row r="689" spans="1:9" ht="14.25" customHeight="1" x14ac:dyDescent="0.35">
      <c r="A689" s="37"/>
      <c r="B689" s="55"/>
      <c r="C689" s="46"/>
      <c r="D689" s="37"/>
      <c r="E689" s="37"/>
      <c r="F689" s="37"/>
      <c r="G689" s="37"/>
      <c r="H689" s="37"/>
      <c r="I689" s="37"/>
    </row>
    <row r="690" spans="1:9" ht="14.25" customHeight="1" x14ac:dyDescent="0.35">
      <c r="A690" s="37"/>
      <c r="B690" s="55"/>
      <c r="C690" s="46"/>
      <c r="D690" s="37"/>
      <c r="E690" s="37"/>
      <c r="F690" s="37"/>
      <c r="G690" s="37"/>
      <c r="H690" s="37"/>
      <c r="I690" s="37"/>
    </row>
    <row r="691" spans="1:9" ht="14.25" customHeight="1" x14ac:dyDescent="0.35">
      <c r="A691" s="35" t="s">
        <v>1724</v>
      </c>
      <c r="B691" s="55"/>
      <c r="C691" s="46"/>
      <c r="D691" s="37"/>
      <c r="E691" s="37"/>
      <c r="F691" s="37"/>
      <c r="G691" s="37"/>
      <c r="H691" s="37"/>
      <c r="I691" s="37"/>
    </row>
    <row r="692" spans="1:9" ht="14.25" customHeight="1" x14ac:dyDescent="0.35">
      <c r="A692" s="56" t="s">
        <v>1725</v>
      </c>
      <c r="B692" s="55"/>
      <c r="C692" s="46"/>
      <c r="D692" s="37"/>
      <c r="E692" s="37"/>
      <c r="F692" s="37"/>
      <c r="G692" s="37"/>
      <c r="H692" s="37"/>
      <c r="I692" s="37"/>
    </row>
    <row r="693" spans="1:9" ht="14.25" customHeight="1" x14ac:dyDescent="0.35">
      <c r="A693" s="56" t="s">
        <v>129</v>
      </c>
      <c r="B693" s="55"/>
      <c r="C693" s="46"/>
      <c r="D693" s="37"/>
      <c r="E693" s="37"/>
      <c r="F693" s="37"/>
      <c r="G693" s="37"/>
      <c r="H693" s="37"/>
      <c r="I693" s="37"/>
    </row>
    <row r="694" spans="1:9" ht="14.25" customHeight="1" x14ac:dyDescent="0.35">
      <c r="A694" s="31" t="s">
        <v>803</v>
      </c>
      <c r="B694" s="46"/>
      <c r="C694" s="46"/>
      <c r="D694" s="37"/>
      <c r="E694" s="37"/>
      <c r="F694" s="37"/>
      <c r="G694" s="37"/>
      <c r="H694" s="37"/>
      <c r="I694" s="37"/>
    </row>
    <row r="695" spans="1:9" ht="14.25" customHeight="1" x14ac:dyDescent="0.35">
      <c r="A695" s="31"/>
      <c r="B695" s="46"/>
      <c r="C695" s="46"/>
      <c r="D695" s="37"/>
      <c r="E695" s="37"/>
      <c r="F695" s="37"/>
      <c r="G695" s="37"/>
      <c r="H695" s="37"/>
      <c r="I695" s="37"/>
    </row>
    <row r="696" spans="1:9" ht="14.25" customHeight="1" x14ac:dyDescent="0.35">
      <c r="A696" s="46"/>
      <c r="B696" s="46"/>
      <c r="C696" s="46"/>
      <c r="D696" s="37"/>
      <c r="E696" s="37"/>
      <c r="F696" s="37"/>
      <c r="G696" s="37"/>
      <c r="H696" s="37"/>
      <c r="I696" s="37"/>
    </row>
    <row r="697" spans="1:9" ht="14.25" customHeight="1" x14ac:dyDescent="0.35">
      <c r="A697" s="35" t="s">
        <v>1726</v>
      </c>
      <c r="B697" s="46"/>
      <c r="C697" s="46"/>
      <c r="D697" s="37"/>
      <c r="E697" s="37"/>
      <c r="F697" s="37"/>
      <c r="G697" s="37"/>
      <c r="H697" s="37"/>
      <c r="I697" s="37"/>
    </row>
    <row r="698" spans="1:9" ht="14.25" customHeight="1" x14ac:dyDescent="0.35">
      <c r="A698" s="35" t="s">
        <v>1727</v>
      </c>
      <c r="B698" s="35" t="s">
        <v>1728</v>
      </c>
      <c r="C698" s="35" t="s">
        <v>1729</v>
      </c>
      <c r="D698" s="37"/>
      <c r="E698" s="37"/>
      <c r="F698" s="37"/>
      <c r="G698" s="37"/>
      <c r="H698" s="37"/>
      <c r="I698" s="37"/>
    </row>
    <row r="699" spans="1:9" ht="14.25" customHeight="1" x14ac:dyDescent="0.35">
      <c r="A699" s="235" t="s">
        <v>1730</v>
      </c>
      <c r="B699" s="57">
        <v>19</v>
      </c>
      <c r="C699" s="57" t="s">
        <v>1731</v>
      </c>
      <c r="D699" s="37"/>
      <c r="E699" s="37"/>
      <c r="F699" s="37"/>
      <c r="G699" s="37"/>
      <c r="H699" s="37"/>
      <c r="I699" s="37"/>
    </row>
    <row r="700" spans="1:9" ht="14.25" customHeight="1" x14ac:dyDescent="0.35">
      <c r="A700" s="236"/>
      <c r="B700" s="58">
        <v>19</v>
      </c>
      <c r="C700" s="58" t="s">
        <v>1731</v>
      </c>
      <c r="D700" s="37"/>
      <c r="E700" s="37"/>
      <c r="F700" s="37"/>
      <c r="G700" s="37"/>
      <c r="H700" s="37"/>
      <c r="I700" s="37"/>
    </row>
    <row r="701" spans="1:9" ht="14.25" customHeight="1" x14ac:dyDescent="0.35">
      <c r="A701" s="236"/>
      <c r="B701" s="58">
        <v>19</v>
      </c>
      <c r="C701" s="58" t="s">
        <v>1731</v>
      </c>
      <c r="D701" s="37"/>
      <c r="E701" s="37"/>
      <c r="F701" s="37"/>
      <c r="G701" s="37"/>
      <c r="H701" s="37"/>
      <c r="I701" s="37"/>
    </row>
    <row r="702" spans="1:9" ht="14.25" customHeight="1" x14ac:dyDescent="0.35">
      <c r="A702" s="236"/>
      <c r="B702" s="58">
        <v>19</v>
      </c>
      <c r="C702" s="58" t="s">
        <v>1731</v>
      </c>
      <c r="D702" s="37"/>
      <c r="E702" s="37"/>
      <c r="F702" s="37"/>
      <c r="G702" s="37"/>
      <c r="H702" s="37"/>
      <c r="I702" s="37"/>
    </row>
    <row r="703" spans="1:9" ht="14.25" customHeight="1" x14ac:dyDescent="0.35">
      <c r="A703" s="237"/>
      <c r="B703" s="59">
        <v>19</v>
      </c>
      <c r="C703" s="59" t="s">
        <v>1731</v>
      </c>
      <c r="D703" s="37"/>
      <c r="E703" s="37"/>
      <c r="F703" s="37"/>
      <c r="G703" s="37"/>
      <c r="H703" s="37"/>
      <c r="I703" s="37"/>
    </row>
    <row r="704" spans="1:9" ht="14.25" customHeight="1" x14ac:dyDescent="0.35">
      <c r="A704" s="235" t="s">
        <v>104</v>
      </c>
      <c r="B704" s="57">
        <v>19</v>
      </c>
      <c r="C704" s="57" t="s">
        <v>1732</v>
      </c>
      <c r="D704" s="37"/>
      <c r="E704" s="37"/>
      <c r="F704" s="37"/>
      <c r="G704" s="37"/>
      <c r="H704" s="37"/>
      <c r="I704" s="37"/>
    </row>
    <row r="705" spans="1:9" ht="14.25" customHeight="1" x14ac:dyDescent="0.35">
      <c r="A705" s="236"/>
      <c r="B705" s="58">
        <v>19</v>
      </c>
      <c r="C705" s="58" t="s">
        <v>1732</v>
      </c>
      <c r="D705" s="37"/>
      <c r="E705" s="37"/>
      <c r="F705" s="37"/>
      <c r="G705" s="37"/>
      <c r="H705" s="37"/>
      <c r="I705" s="37"/>
    </row>
    <row r="706" spans="1:9" ht="14.25" customHeight="1" x14ac:dyDescent="0.35">
      <c r="A706" s="236"/>
      <c r="B706" s="58">
        <v>19</v>
      </c>
      <c r="C706" s="58" t="s">
        <v>1732</v>
      </c>
      <c r="D706" s="37"/>
      <c r="E706" s="37"/>
      <c r="F706" s="37"/>
      <c r="G706" s="37"/>
      <c r="H706" s="37"/>
      <c r="I706" s="37"/>
    </row>
    <row r="707" spans="1:9" ht="14.25" customHeight="1" x14ac:dyDescent="0.35">
      <c r="A707" s="236"/>
      <c r="B707" s="58">
        <v>19</v>
      </c>
      <c r="C707" s="58" t="s">
        <v>1732</v>
      </c>
      <c r="D707" s="37"/>
      <c r="E707" s="37"/>
      <c r="F707" s="37"/>
      <c r="G707" s="37"/>
      <c r="H707" s="37"/>
      <c r="I707" s="37"/>
    </row>
    <row r="708" spans="1:9" ht="14.25" customHeight="1" x14ac:dyDescent="0.35">
      <c r="A708" s="236"/>
      <c r="B708" s="58">
        <v>19</v>
      </c>
      <c r="C708" s="58" t="s">
        <v>1732</v>
      </c>
      <c r="D708" s="37"/>
      <c r="E708" s="37"/>
      <c r="F708" s="37"/>
      <c r="G708" s="37"/>
      <c r="H708" s="37"/>
      <c r="I708" s="37"/>
    </row>
    <row r="709" spans="1:9" ht="14.25" customHeight="1" x14ac:dyDescent="0.35">
      <c r="A709" s="236"/>
      <c r="B709" s="58">
        <v>19</v>
      </c>
      <c r="C709" s="58" t="s">
        <v>1732</v>
      </c>
      <c r="D709" s="37"/>
      <c r="E709" s="37"/>
      <c r="F709" s="37"/>
      <c r="G709" s="37"/>
      <c r="H709" s="37"/>
      <c r="I709" s="37"/>
    </row>
    <row r="710" spans="1:9" ht="14.25" customHeight="1" x14ac:dyDescent="0.35">
      <c r="A710" s="236"/>
      <c r="B710" s="58">
        <v>19</v>
      </c>
      <c r="C710" s="58" t="s">
        <v>1732</v>
      </c>
      <c r="D710" s="37"/>
      <c r="E710" s="37"/>
      <c r="F710" s="37"/>
      <c r="G710" s="37"/>
      <c r="H710" s="37"/>
      <c r="I710" s="37"/>
    </row>
    <row r="711" spans="1:9" ht="14.25" customHeight="1" x14ac:dyDescent="0.35">
      <c r="A711" s="236"/>
      <c r="B711" s="58">
        <v>19</v>
      </c>
      <c r="C711" s="58" t="s">
        <v>1732</v>
      </c>
      <c r="D711" s="37"/>
      <c r="E711" s="37"/>
      <c r="F711" s="37"/>
      <c r="G711" s="37"/>
      <c r="H711" s="37"/>
      <c r="I711" s="37"/>
    </row>
    <row r="712" spans="1:9" ht="14.25" customHeight="1" x14ac:dyDescent="0.35">
      <c r="A712" s="236"/>
      <c r="B712" s="58">
        <v>19</v>
      </c>
      <c r="C712" s="58" t="s">
        <v>1732</v>
      </c>
      <c r="D712" s="37"/>
      <c r="E712" s="37"/>
      <c r="F712" s="37"/>
      <c r="G712" s="37"/>
      <c r="H712" s="37"/>
      <c r="I712" s="37"/>
    </row>
    <row r="713" spans="1:9" ht="14.25" customHeight="1" x14ac:dyDescent="0.35">
      <c r="A713" s="236"/>
      <c r="B713" s="58">
        <v>19</v>
      </c>
      <c r="C713" s="58" t="s">
        <v>1732</v>
      </c>
      <c r="D713" s="37"/>
      <c r="E713" s="37"/>
      <c r="F713" s="37"/>
      <c r="G713" s="37"/>
      <c r="H713" s="37"/>
      <c r="I713" s="37"/>
    </row>
    <row r="714" spans="1:9" ht="14.25" customHeight="1" x14ac:dyDescent="0.35">
      <c r="A714" s="236"/>
      <c r="B714" s="58">
        <v>19</v>
      </c>
      <c r="C714" s="58" t="s">
        <v>1732</v>
      </c>
      <c r="D714" s="37"/>
      <c r="E714" s="37"/>
      <c r="F714" s="37"/>
      <c r="G714" s="37"/>
      <c r="H714" s="37"/>
      <c r="I714" s="37"/>
    </row>
    <row r="715" spans="1:9" ht="14.25" customHeight="1" x14ac:dyDescent="0.35">
      <c r="A715" s="236"/>
      <c r="B715" s="58">
        <v>19</v>
      </c>
      <c r="C715" s="58" t="s">
        <v>1732</v>
      </c>
      <c r="D715" s="37"/>
      <c r="E715" s="37"/>
      <c r="F715" s="37"/>
      <c r="G715" s="37"/>
      <c r="H715" s="37"/>
      <c r="I715" s="37"/>
    </row>
    <row r="716" spans="1:9" ht="14.25" customHeight="1" x14ac:dyDescent="0.35">
      <c r="A716" s="236"/>
      <c r="B716" s="58">
        <v>19</v>
      </c>
      <c r="C716" s="58" t="s">
        <v>1732</v>
      </c>
      <c r="D716" s="37"/>
      <c r="E716" s="37"/>
      <c r="F716" s="37"/>
      <c r="G716" s="37"/>
      <c r="H716" s="37"/>
      <c r="I716" s="37"/>
    </row>
    <row r="717" spans="1:9" ht="14.25" customHeight="1" x14ac:dyDescent="0.35">
      <c r="A717" s="236"/>
      <c r="B717" s="58">
        <v>19</v>
      </c>
      <c r="C717" s="58" t="s">
        <v>1732</v>
      </c>
      <c r="D717" s="37"/>
      <c r="E717" s="37"/>
      <c r="F717" s="37"/>
      <c r="G717" s="37"/>
      <c r="H717" s="37"/>
      <c r="I717" s="37"/>
    </row>
    <row r="718" spans="1:9" ht="14.25" customHeight="1" x14ac:dyDescent="0.35">
      <c r="A718" s="236"/>
      <c r="B718" s="58">
        <v>19</v>
      </c>
      <c r="C718" s="58" t="s">
        <v>1732</v>
      </c>
      <c r="D718" s="37"/>
      <c r="E718" s="37"/>
      <c r="F718" s="37"/>
      <c r="G718" s="37"/>
      <c r="H718" s="37"/>
      <c r="I718" s="37"/>
    </row>
    <row r="719" spans="1:9" ht="14.25" customHeight="1" x14ac:dyDescent="0.35">
      <c r="A719" s="236"/>
      <c r="B719" s="58">
        <v>19</v>
      </c>
      <c r="C719" s="58" t="s">
        <v>1732</v>
      </c>
      <c r="D719" s="37"/>
      <c r="E719" s="37"/>
      <c r="F719" s="37"/>
      <c r="G719" s="37"/>
      <c r="H719" s="37"/>
      <c r="I719" s="37"/>
    </row>
    <row r="720" spans="1:9" ht="14.25" customHeight="1" x14ac:dyDescent="0.35">
      <c r="A720" s="236"/>
      <c r="B720" s="58">
        <v>19</v>
      </c>
      <c r="C720" s="58" t="s">
        <v>1732</v>
      </c>
      <c r="D720" s="37"/>
      <c r="E720" s="37"/>
      <c r="F720" s="37"/>
      <c r="G720" s="37"/>
      <c r="H720" s="37"/>
      <c r="I720" s="37"/>
    </row>
    <row r="721" spans="1:9" ht="14.25" customHeight="1" x14ac:dyDescent="0.35">
      <c r="A721" s="236"/>
      <c r="B721" s="58">
        <v>19</v>
      </c>
      <c r="C721" s="58" t="s">
        <v>1732</v>
      </c>
      <c r="D721" s="37"/>
      <c r="E721" s="37"/>
      <c r="F721" s="37"/>
      <c r="G721" s="37"/>
      <c r="H721" s="37"/>
      <c r="I721" s="37"/>
    </row>
    <row r="722" spans="1:9" ht="14.25" customHeight="1" x14ac:dyDescent="0.35">
      <c r="A722" s="236"/>
      <c r="B722" s="58">
        <v>19</v>
      </c>
      <c r="C722" s="58" t="s">
        <v>1732</v>
      </c>
      <c r="D722" s="37"/>
      <c r="E722" s="37"/>
      <c r="F722" s="37"/>
      <c r="G722" s="37"/>
      <c r="H722" s="37"/>
      <c r="I722" s="37"/>
    </row>
    <row r="723" spans="1:9" ht="14.25" customHeight="1" x14ac:dyDescent="0.35">
      <c r="A723" s="236"/>
      <c r="B723" s="58">
        <v>19</v>
      </c>
      <c r="C723" s="58" t="s">
        <v>1732</v>
      </c>
      <c r="D723" s="37"/>
      <c r="E723" s="37"/>
      <c r="F723" s="37"/>
      <c r="G723" s="37"/>
      <c r="H723" s="37"/>
      <c r="I723" s="37"/>
    </row>
    <row r="724" spans="1:9" ht="14.25" customHeight="1" x14ac:dyDescent="0.35">
      <c r="A724" s="236"/>
      <c r="B724" s="58">
        <v>19</v>
      </c>
      <c r="C724" s="58" t="s">
        <v>1732</v>
      </c>
      <c r="D724" s="37"/>
      <c r="E724" s="37"/>
      <c r="F724" s="37"/>
      <c r="G724" s="37"/>
      <c r="H724" s="37"/>
      <c r="I724" s="37"/>
    </row>
    <row r="725" spans="1:9" ht="14.25" customHeight="1" x14ac:dyDescent="0.35">
      <c r="A725" s="236"/>
      <c r="B725" s="58">
        <v>19</v>
      </c>
      <c r="C725" s="58" t="s">
        <v>1732</v>
      </c>
      <c r="D725" s="37"/>
      <c r="E725" s="37"/>
      <c r="F725" s="37"/>
      <c r="G725" s="37"/>
      <c r="H725" s="37"/>
      <c r="I725" s="37"/>
    </row>
    <row r="726" spans="1:9" ht="14.25" customHeight="1" x14ac:dyDescent="0.35">
      <c r="A726" s="236"/>
      <c r="B726" s="58">
        <v>19</v>
      </c>
      <c r="C726" s="58" t="s">
        <v>1732</v>
      </c>
      <c r="D726" s="37"/>
      <c r="E726" s="37"/>
      <c r="F726" s="37"/>
      <c r="G726" s="37"/>
      <c r="H726" s="37"/>
      <c r="I726" s="37"/>
    </row>
    <row r="727" spans="1:9" ht="14.25" customHeight="1" x14ac:dyDescent="0.35">
      <c r="A727" s="236"/>
      <c r="B727" s="58">
        <v>19</v>
      </c>
      <c r="C727" s="58" t="s">
        <v>1732</v>
      </c>
      <c r="D727" s="37"/>
      <c r="E727" s="37"/>
      <c r="F727" s="37"/>
      <c r="G727" s="37"/>
      <c r="H727" s="37"/>
      <c r="I727" s="37"/>
    </row>
    <row r="728" spans="1:9" ht="14.25" customHeight="1" x14ac:dyDescent="0.35">
      <c r="A728" s="236"/>
      <c r="B728" s="58">
        <v>19</v>
      </c>
      <c r="C728" s="58" t="s">
        <v>1732</v>
      </c>
      <c r="D728" s="37"/>
      <c r="E728" s="37"/>
      <c r="F728" s="37"/>
      <c r="G728" s="37"/>
      <c r="H728" s="37"/>
      <c r="I728" s="37"/>
    </row>
    <row r="729" spans="1:9" ht="14.25" customHeight="1" x14ac:dyDescent="0.35">
      <c r="A729" s="236"/>
      <c r="B729" s="58">
        <v>19</v>
      </c>
      <c r="C729" s="58" t="s">
        <v>1732</v>
      </c>
      <c r="D729" s="37"/>
      <c r="E729" s="37"/>
      <c r="F729" s="37"/>
      <c r="G729" s="37"/>
      <c r="H729" s="37"/>
      <c r="I729" s="37"/>
    </row>
    <row r="730" spans="1:9" ht="14.25" customHeight="1" x14ac:dyDescent="0.35">
      <c r="A730" s="236"/>
      <c r="B730" s="58">
        <v>19</v>
      </c>
      <c r="C730" s="58" t="s">
        <v>1732</v>
      </c>
      <c r="D730" s="37"/>
      <c r="E730" s="37"/>
      <c r="F730" s="37"/>
      <c r="G730" s="37"/>
      <c r="H730" s="37"/>
      <c r="I730" s="37"/>
    </row>
    <row r="731" spans="1:9" ht="14.25" customHeight="1" x14ac:dyDescent="0.35">
      <c r="A731" s="236"/>
      <c r="B731" s="58">
        <v>19</v>
      </c>
      <c r="C731" s="58" t="s">
        <v>1732</v>
      </c>
      <c r="D731" s="37"/>
      <c r="E731" s="37"/>
      <c r="F731" s="37"/>
      <c r="G731" s="37"/>
      <c r="H731" s="37"/>
      <c r="I731" s="37"/>
    </row>
    <row r="732" spans="1:9" ht="14.25" customHeight="1" x14ac:dyDescent="0.35">
      <c r="A732" s="236"/>
      <c r="B732" s="58">
        <v>19</v>
      </c>
      <c r="C732" s="58" t="s">
        <v>1732</v>
      </c>
      <c r="D732" s="37"/>
      <c r="E732" s="37"/>
      <c r="F732" s="37"/>
      <c r="G732" s="37"/>
      <c r="H732" s="37"/>
      <c r="I732" s="37"/>
    </row>
    <row r="733" spans="1:9" ht="14.25" customHeight="1" x14ac:dyDescent="0.35">
      <c r="A733" s="236"/>
      <c r="B733" s="58">
        <v>19</v>
      </c>
      <c r="C733" s="58" t="s">
        <v>1732</v>
      </c>
      <c r="D733" s="37"/>
      <c r="E733" s="37"/>
      <c r="F733" s="37"/>
      <c r="G733" s="37"/>
      <c r="H733" s="37"/>
      <c r="I733" s="37"/>
    </row>
    <row r="734" spans="1:9" ht="14.25" customHeight="1" x14ac:dyDescent="0.35">
      <c r="A734" s="236"/>
      <c r="B734" s="58">
        <v>19</v>
      </c>
      <c r="C734" s="58" t="s">
        <v>1732</v>
      </c>
      <c r="D734" s="37"/>
      <c r="E734" s="37"/>
      <c r="F734" s="37"/>
      <c r="G734" s="37"/>
      <c r="H734" s="37"/>
      <c r="I734" s="37"/>
    </row>
    <row r="735" spans="1:9" ht="14.25" customHeight="1" x14ac:dyDescent="0.35">
      <c r="A735" s="236"/>
      <c r="B735" s="58">
        <v>19</v>
      </c>
      <c r="C735" s="58" t="s">
        <v>1732</v>
      </c>
      <c r="D735" s="37"/>
      <c r="E735" s="37"/>
      <c r="F735" s="37"/>
      <c r="G735" s="37"/>
      <c r="H735" s="37"/>
      <c r="I735" s="37"/>
    </row>
    <row r="736" spans="1:9" ht="14.25" customHeight="1" x14ac:dyDescent="0.35">
      <c r="A736" s="236"/>
      <c r="B736" s="58">
        <v>19</v>
      </c>
      <c r="C736" s="58" t="s">
        <v>1732</v>
      </c>
      <c r="D736" s="37"/>
      <c r="E736" s="37"/>
      <c r="F736" s="37"/>
      <c r="G736" s="37"/>
      <c r="H736" s="37"/>
      <c r="I736" s="37"/>
    </row>
    <row r="737" spans="1:9" ht="14.25" customHeight="1" x14ac:dyDescent="0.35">
      <c r="A737" s="236"/>
      <c r="B737" s="58">
        <v>19</v>
      </c>
      <c r="C737" s="58" t="s">
        <v>1732</v>
      </c>
      <c r="D737" s="37"/>
      <c r="E737" s="37"/>
      <c r="F737" s="37"/>
      <c r="G737" s="37"/>
      <c r="H737" s="37"/>
      <c r="I737" s="37"/>
    </row>
    <row r="738" spans="1:9" ht="14.25" customHeight="1" x14ac:dyDescent="0.35">
      <c r="A738" s="236"/>
      <c r="B738" s="58">
        <v>19</v>
      </c>
      <c r="C738" s="58" t="s">
        <v>1732</v>
      </c>
      <c r="D738" s="37"/>
      <c r="E738" s="37"/>
      <c r="F738" s="37"/>
      <c r="G738" s="37"/>
      <c r="H738" s="37"/>
      <c r="I738" s="37"/>
    </row>
    <row r="739" spans="1:9" ht="14.25" customHeight="1" x14ac:dyDescent="0.35">
      <c r="A739" s="236"/>
      <c r="B739" s="58">
        <v>19</v>
      </c>
      <c r="C739" s="58" t="s">
        <v>1732</v>
      </c>
      <c r="D739" s="37"/>
      <c r="E739" s="37"/>
      <c r="F739" s="37"/>
      <c r="G739" s="37"/>
      <c r="H739" s="37"/>
      <c r="I739" s="37"/>
    </row>
    <row r="740" spans="1:9" ht="14.25" customHeight="1" x14ac:dyDescent="0.35">
      <c r="A740" s="236"/>
      <c r="B740" s="58">
        <v>19</v>
      </c>
      <c r="C740" s="58" t="s">
        <v>1732</v>
      </c>
      <c r="D740" s="37"/>
      <c r="E740" s="37"/>
      <c r="F740" s="37"/>
      <c r="G740" s="37"/>
      <c r="H740" s="37"/>
      <c r="I740" s="37"/>
    </row>
    <row r="741" spans="1:9" ht="14.25" customHeight="1" x14ac:dyDescent="0.35">
      <c r="A741" s="236"/>
      <c r="B741" s="58">
        <v>19</v>
      </c>
      <c r="C741" s="58" t="s">
        <v>1732</v>
      </c>
      <c r="D741" s="37"/>
      <c r="E741" s="37"/>
      <c r="F741" s="37"/>
      <c r="G741" s="37"/>
      <c r="H741" s="37"/>
      <c r="I741" s="37"/>
    </row>
    <row r="742" spans="1:9" ht="14.25" customHeight="1" x14ac:dyDescent="0.35">
      <c r="A742" s="236"/>
      <c r="B742" s="58">
        <v>19</v>
      </c>
      <c r="C742" s="58" t="s">
        <v>1732</v>
      </c>
      <c r="D742" s="37"/>
      <c r="E742" s="37"/>
      <c r="F742" s="37"/>
      <c r="G742" s="37"/>
      <c r="H742" s="37"/>
      <c r="I742" s="37"/>
    </row>
    <row r="743" spans="1:9" ht="14.25" customHeight="1" x14ac:dyDescent="0.35">
      <c r="A743" s="236"/>
      <c r="B743" s="58">
        <v>19</v>
      </c>
      <c r="C743" s="58" t="s">
        <v>1732</v>
      </c>
      <c r="D743" s="37"/>
      <c r="E743" s="37"/>
      <c r="F743" s="37"/>
      <c r="G743" s="37"/>
      <c r="H743" s="37"/>
      <c r="I743" s="37"/>
    </row>
    <row r="744" spans="1:9" ht="14.25" customHeight="1" x14ac:dyDescent="0.35">
      <c r="A744" s="236"/>
      <c r="B744" s="58">
        <v>19</v>
      </c>
      <c r="C744" s="58" t="s">
        <v>1732</v>
      </c>
      <c r="D744" s="37"/>
      <c r="E744" s="37"/>
      <c r="F744" s="37"/>
      <c r="G744" s="37"/>
      <c r="H744" s="37"/>
      <c r="I744" s="37"/>
    </row>
    <row r="745" spans="1:9" ht="14.25" customHeight="1" x14ac:dyDescent="0.35">
      <c r="A745" s="236"/>
      <c r="B745" s="58">
        <v>19</v>
      </c>
      <c r="C745" s="58" t="s">
        <v>1732</v>
      </c>
      <c r="D745" s="37"/>
      <c r="E745" s="37"/>
      <c r="F745" s="37"/>
      <c r="G745" s="37"/>
      <c r="H745" s="37"/>
      <c r="I745" s="37"/>
    </row>
    <row r="746" spans="1:9" ht="14.25" customHeight="1" x14ac:dyDescent="0.35">
      <c r="A746" s="236"/>
      <c r="B746" s="58">
        <v>19</v>
      </c>
      <c r="C746" s="58" t="s">
        <v>1732</v>
      </c>
      <c r="D746" s="37"/>
      <c r="E746" s="37"/>
      <c r="F746" s="37"/>
      <c r="G746" s="37"/>
      <c r="H746" s="37"/>
      <c r="I746" s="37"/>
    </row>
    <row r="747" spans="1:9" ht="14.25" customHeight="1" x14ac:dyDescent="0.35">
      <c r="A747" s="237"/>
      <c r="B747" s="59">
        <v>19</v>
      </c>
      <c r="C747" s="59" t="s">
        <v>1732</v>
      </c>
      <c r="D747" s="37"/>
      <c r="E747" s="37"/>
      <c r="F747" s="37"/>
      <c r="G747" s="37"/>
      <c r="H747" s="37"/>
      <c r="I747" s="37"/>
    </row>
    <row r="748" spans="1:9" ht="14.25" customHeight="1" x14ac:dyDescent="0.35">
      <c r="A748" s="235" t="s">
        <v>1733</v>
      </c>
      <c r="B748" s="57">
        <v>19</v>
      </c>
      <c r="C748" s="57" t="s">
        <v>1734</v>
      </c>
      <c r="D748" s="37"/>
      <c r="E748" s="37"/>
      <c r="F748" s="37"/>
      <c r="G748" s="37"/>
      <c r="H748" s="37"/>
      <c r="I748" s="37"/>
    </row>
    <row r="749" spans="1:9" ht="14.25" customHeight="1" x14ac:dyDescent="0.35">
      <c r="A749" s="236"/>
      <c r="B749" s="58">
        <v>19</v>
      </c>
      <c r="C749" s="58" t="s">
        <v>1734</v>
      </c>
      <c r="D749" s="37"/>
      <c r="E749" s="37"/>
      <c r="F749" s="37"/>
      <c r="G749" s="37"/>
      <c r="H749" s="37"/>
      <c r="I749" s="37"/>
    </row>
    <row r="750" spans="1:9" ht="14.25" customHeight="1" x14ac:dyDescent="0.35">
      <c r="A750" s="236"/>
      <c r="B750" s="58">
        <v>19</v>
      </c>
      <c r="C750" s="58" t="s">
        <v>1734</v>
      </c>
      <c r="D750" s="37"/>
      <c r="E750" s="37"/>
      <c r="F750" s="37"/>
      <c r="G750" s="37"/>
      <c r="H750" s="37"/>
      <c r="I750" s="37"/>
    </row>
    <row r="751" spans="1:9" ht="14.25" customHeight="1" x14ac:dyDescent="0.35">
      <c r="A751" s="236"/>
      <c r="B751" s="58">
        <v>19</v>
      </c>
      <c r="C751" s="58" t="s">
        <v>1734</v>
      </c>
      <c r="D751" s="37"/>
      <c r="E751" s="37"/>
      <c r="F751" s="37"/>
      <c r="G751" s="37"/>
      <c r="H751" s="37"/>
      <c r="I751" s="37"/>
    </row>
    <row r="752" spans="1:9" ht="14.25" customHeight="1" x14ac:dyDescent="0.35">
      <c r="A752" s="236"/>
      <c r="B752" s="58">
        <v>19</v>
      </c>
      <c r="C752" s="58" t="s">
        <v>1734</v>
      </c>
      <c r="D752" s="37"/>
      <c r="E752" s="37"/>
      <c r="F752" s="37"/>
      <c r="G752" s="37"/>
      <c r="H752" s="37"/>
      <c r="I752" s="37"/>
    </row>
    <row r="753" spans="1:9" ht="14.25" customHeight="1" x14ac:dyDescent="0.35">
      <c r="A753" s="236"/>
      <c r="B753" s="58">
        <v>19</v>
      </c>
      <c r="C753" s="58" t="s">
        <v>1734</v>
      </c>
      <c r="D753" s="37"/>
      <c r="E753" s="37"/>
      <c r="F753" s="37"/>
      <c r="G753" s="37"/>
      <c r="H753" s="37"/>
      <c r="I753" s="37"/>
    </row>
    <row r="754" spans="1:9" ht="14.25" customHeight="1" x14ac:dyDescent="0.35">
      <c r="A754" s="236"/>
      <c r="B754" s="58">
        <v>19</v>
      </c>
      <c r="C754" s="58" t="s">
        <v>1734</v>
      </c>
      <c r="D754" s="37"/>
      <c r="E754" s="37"/>
      <c r="F754" s="37"/>
      <c r="G754" s="37"/>
      <c r="H754" s="37"/>
      <c r="I754" s="37"/>
    </row>
    <row r="755" spans="1:9" ht="14.25" customHeight="1" x14ac:dyDescent="0.35">
      <c r="A755" s="236"/>
      <c r="B755" s="58">
        <v>19</v>
      </c>
      <c r="C755" s="58" t="s">
        <v>1734</v>
      </c>
      <c r="D755" s="37"/>
      <c r="E755" s="37"/>
      <c r="F755" s="37"/>
      <c r="G755" s="37"/>
      <c r="H755" s="37"/>
      <c r="I755" s="37"/>
    </row>
    <row r="756" spans="1:9" ht="14.25" customHeight="1" x14ac:dyDescent="0.35">
      <c r="A756" s="236"/>
      <c r="B756" s="58">
        <v>19</v>
      </c>
      <c r="C756" s="58" t="s">
        <v>1735</v>
      </c>
      <c r="D756" s="37"/>
      <c r="E756" s="37"/>
      <c r="F756" s="37"/>
      <c r="G756" s="37"/>
      <c r="H756" s="37"/>
      <c r="I756" s="37"/>
    </row>
    <row r="757" spans="1:9" ht="14.25" customHeight="1" x14ac:dyDescent="0.35">
      <c r="A757" s="237"/>
      <c r="B757" s="59">
        <v>19</v>
      </c>
      <c r="C757" s="59" t="s">
        <v>1735</v>
      </c>
      <c r="D757" s="37"/>
      <c r="E757" s="37"/>
      <c r="F757" s="37"/>
      <c r="G757" s="37"/>
      <c r="H757" s="37"/>
      <c r="I757" s="37"/>
    </row>
    <row r="758" spans="1:9" ht="14.25" customHeight="1" x14ac:dyDescent="0.35">
      <c r="A758" s="235" t="s">
        <v>1736</v>
      </c>
      <c r="B758" s="57">
        <v>19</v>
      </c>
      <c r="C758" s="57" t="s">
        <v>1737</v>
      </c>
      <c r="D758" s="37"/>
      <c r="E758" s="37"/>
      <c r="F758" s="37"/>
      <c r="G758" s="37"/>
      <c r="H758" s="37"/>
      <c r="I758" s="37"/>
    </row>
    <row r="759" spans="1:9" ht="14.25" customHeight="1" x14ac:dyDescent="0.35">
      <c r="A759" s="236"/>
      <c r="B759" s="58">
        <v>19</v>
      </c>
      <c r="C759" s="58" t="s">
        <v>1737</v>
      </c>
      <c r="D759" s="37"/>
      <c r="E759" s="37"/>
      <c r="F759" s="37"/>
      <c r="G759" s="37"/>
      <c r="H759" s="37"/>
      <c r="I759" s="37"/>
    </row>
    <row r="760" spans="1:9" ht="14.25" customHeight="1" x14ac:dyDescent="0.35">
      <c r="A760" s="236"/>
      <c r="B760" s="58">
        <v>19</v>
      </c>
      <c r="C760" s="58" t="s">
        <v>1737</v>
      </c>
      <c r="D760" s="37"/>
      <c r="E760" s="37"/>
      <c r="F760" s="37"/>
      <c r="G760" s="37"/>
      <c r="H760" s="37"/>
      <c r="I760" s="37"/>
    </row>
    <row r="761" spans="1:9" ht="14.25" customHeight="1" x14ac:dyDescent="0.35">
      <c r="A761" s="236"/>
      <c r="B761" s="58">
        <v>19</v>
      </c>
      <c r="C761" s="58" t="s">
        <v>1737</v>
      </c>
      <c r="D761" s="37"/>
      <c r="E761" s="37"/>
      <c r="F761" s="37"/>
      <c r="G761" s="37"/>
      <c r="H761" s="37"/>
      <c r="I761" s="37"/>
    </row>
    <row r="762" spans="1:9" ht="14.25" customHeight="1" x14ac:dyDescent="0.35">
      <c r="A762" s="236"/>
      <c r="B762" s="58">
        <v>19</v>
      </c>
      <c r="C762" s="58" t="s">
        <v>1737</v>
      </c>
      <c r="D762" s="37"/>
      <c r="E762" s="37"/>
      <c r="F762" s="37"/>
      <c r="G762" s="37"/>
      <c r="H762" s="37"/>
      <c r="I762" s="37"/>
    </row>
    <row r="763" spans="1:9" ht="14.25" customHeight="1" x14ac:dyDescent="0.35">
      <c r="A763" s="236"/>
      <c r="B763" s="58">
        <v>19</v>
      </c>
      <c r="C763" s="58" t="s">
        <v>1737</v>
      </c>
      <c r="D763" s="37"/>
      <c r="E763" s="37"/>
      <c r="F763" s="37"/>
      <c r="G763" s="37"/>
      <c r="H763" s="37"/>
      <c r="I763" s="37"/>
    </row>
    <row r="764" spans="1:9" ht="14.25" customHeight="1" x14ac:dyDescent="0.35">
      <c r="A764" s="236"/>
      <c r="B764" s="58">
        <v>19</v>
      </c>
      <c r="C764" s="58" t="s">
        <v>1737</v>
      </c>
      <c r="D764" s="37"/>
      <c r="E764" s="37"/>
      <c r="F764" s="37"/>
      <c r="G764" s="37"/>
      <c r="H764" s="37"/>
      <c r="I764" s="37"/>
    </row>
    <row r="765" spans="1:9" ht="14.25" customHeight="1" x14ac:dyDescent="0.35">
      <c r="A765" s="236"/>
      <c r="B765" s="58">
        <v>19</v>
      </c>
      <c r="C765" s="58" t="s">
        <v>1737</v>
      </c>
      <c r="D765" s="37"/>
      <c r="E765" s="37"/>
      <c r="F765" s="37"/>
      <c r="G765" s="37"/>
      <c r="H765" s="37"/>
      <c r="I765" s="37"/>
    </row>
    <row r="766" spans="1:9" ht="14.25" customHeight="1" x14ac:dyDescent="0.35">
      <c r="A766" s="236"/>
      <c r="B766" s="58">
        <v>19</v>
      </c>
      <c r="C766" s="58" t="s">
        <v>1737</v>
      </c>
      <c r="D766" s="37"/>
      <c r="E766" s="37"/>
      <c r="F766" s="37"/>
      <c r="G766" s="37"/>
      <c r="H766" s="37"/>
      <c r="I766" s="37"/>
    </row>
    <row r="767" spans="1:9" ht="14.25" customHeight="1" x14ac:dyDescent="0.35">
      <c r="A767" s="236"/>
      <c r="B767" s="58">
        <v>19</v>
      </c>
      <c r="C767" s="58" t="s">
        <v>1737</v>
      </c>
      <c r="D767" s="37"/>
      <c r="E767" s="37"/>
      <c r="F767" s="37"/>
      <c r="G767" s="37"/>
      <c r="H767" s="37"/>
      <c r="I767" s="37"/>
    </row>
    <row r="768" spans="1:9" ht="14.25" customHeight="1" x14ac:dyDescent="0.35">
      <c r="A768" s="236"/>
      <c r="B768" s="58">
        <v>19</v>
      </c>
      <c r="C768" s="58" t="s">
        <v>1737</v>
      </c>
      <c r="D768" s="37"/>
      <c r="E768" s="37"/>
      <c r="F768" s="37"/>
      <c r="G768" s="37"/>
      <c r="H768" s="37"/>
      <c r="I768" s="37"/>
    </row>
    <row r="769" spans="1:9" ht="14.25" customHeight="1" x14ac:dyDescent="0.35">
      <c r="A769" s="236"/>
      <c r="B769" s="58">
        <v>19</v>
      </c>
      <c r="C769" s="58" t="s">
        <v>1737</v>
      </c>
      <c r="D769" s="37"/>
      <c r="E769" s="37"/>
      <c r="F769" s="37"/>
      <c r="G769" s="37"/>
      <c r="H769" s="37"/>
      <c r="I769" s="37"/>
    </row>
    <row r="770" spans="1:9" ht="14.25" customHeight="1" x14ac:dyDescent="0.35">
      <c r="A770" s="236"/>
      <c r="B770" s="58">
        <v>19</v>
      </c>
      <c r="C770" s="58" t="s">
        <v>1737</v>
      </c>
      <c r="D770" s="37"/>
      <c r="E770" s="37"/>
      <c r="F770" s="37"/>
      <c r="G770" s="37"/>
      <c r="H770" s="37"/>
      <c r="I770" s="37"/>
    </row>
    <row r="771" spans="1:9" ht="14.25" customHeight="1" x14ac:dyDescent="0.35">
      <c r="A771" s="236"/>
      <c r="B771" s="58">
        <v>19</v>
      </c>
      <c r="C771" s="58" t="s">
        <v>1737</v>
      </c>
      <c r="D771" s="37"/>
      <c r="E771" s="37"/>
      <c r="F771" s="37"/>
      <c r="G771" s="37"/>
      <c r="H771" s="37"/>
      <c r="I771" s="37"/>
    </row>
    <row r="772" spans="1:9" ht="14.25" customHeight="1" x14ac:dyDescent="0.35">
      <c r="A772" s="236"/>
      <c r="B772" s="58">
        <v>19</v>
      </c>
      <c r="C772" s="58" t="s">
        <v>1737</v>
      </c>
      <c r="D772" s="37"/>
      <c r="E772" s="37"/>
      <c r="F772" s="37"/>
      <c r="G772" s="37"/>
      <c r="H772" s="37"/>
      <c r="I772" s="37"/>
    </row>
    <row r="773" spans="1:9" ht="14.25" customHeight="1" x14ac:dyDescent="0.35">
      <c r="A773" s="236"/>
      <c r="B773" s="58">
        <v>19</v>
      </c>
      <c r="C773" s="58" t="s">
        <v>1737</v>
      </c>
      <c r="D773" s="37"/>
      <c r="E773" s="37"/>
      <c r="F773" s="37"/>
      <c r="G773" s="37"/>
      <c r="H773" s="37"/>
      <c r="I773" s="37"/>
    </row>
    <row r="774" spans="1:9" ht="14.25" customHeight="1" x14ac:dyDescent="0.35">
      <c r="A774" s="236"/>
      <c r="B774" s="58">
        <v>19</v>
      </c>
      <c r="C774" s="58" t="s">
        <v>1737</v>
      </c>
      <c r="D774" s="37"/>
      <c r="E774" s="37"/>
      <c r="F774" s="37"/>
      <c r="G774" s="37"/>
      <c r="H774" s="37"/>
      <c r="I774" s="37"/>
    </row>
    <row r="775" spans="1:9" ht="14.25" customHeight="1" x14ac:dyDescent="0.35">
      <c r="A775" s="236"/>
      <c r="B775" s="58">
        <v>19</v>
      </c>
      <c r="C775" s="58" t="s">
        <v>1737</v>
      </c>
      <c r="D775" s="37"/>
      <c r="E775" s="37"/>
      <c r="F775" s="37"/>
      <c r="G775" s="37"/>
      <c r="H775" s="37"/>
      <c r="I775" s="37"/>
    </row>
    <row r="776" spans="1:9" ht="14.25" customHeight="1" x14ac:dyDescent="0.35">
      <c r="A776" s="236"/>
      <c r="B776" s="58">
        <v>19</v>
      </c>
      <c r="C776" s="58" t="s">
        <v>1737</v>
      </c>
      <c r="D776" s="37"/>
      <c r="E776" s="37"/>
      <c r="F776" s="37"/>
      <c r="G776" s="37"/>
      <c r="H776" s="37"/>
      <c r="I776" s="37"/>
    </row>
    <row r="777" spans="1:9" ht="14.25" customHeight="1" x14ac:dyDescent="0.35">
      <c r="A777" s="236"/>
      <c r="B777" s="58">
        <v>19</v>
      </c>
      <c r="C777" s="58" t="s">
        <v>1737</v>
      </c>
      <c r="D777" s="37"/>
      <c r="E777" s="37"/>
      <c r="F777" s="37"/>
      <c r="G777" s="37"/>
      <c r="H777" s="37"/>
      <c r="I777" s="37"/>
    </row>
    <row r="778" spans="1:9" ht="14.25" customHeight="1" x14ac:dyDescent="0.35">
      <c r="A778" s="236"/>
      <c r="B778" s="58">
        <v>19</v>
      </c>
      <c r="C778" s="58" t="s">
        <v>1737</v>
      </c>
      <c r="D778" s="37"/>
      <c r="E778" s="37"/>
      <c r="F778" s="37"/>
      <c r="G778" s="37"/>
      <c r="H778" s="37"/>
      <c r="I778" s="37"/>
    </row>
    <row r="779" spans="1:9" ht="14.25" customHeight="1" x14ac:dyDescent="0.35">
      <c r="A779" s="236"/>
      <c r="B779" s="58">
        <v>19</v>
      </c>
      <c r="C779" s="58" t="s">
        <v>1737</v>
      </c>
      <c r="D779" s="37"/>
      <c r="E779" s="37"/>
      <c r="F779" s="37"/>
      <c r="G779" s="37"/>
      <c r="H779" s="37"/>
      <c r="I779" s="37"/>
    </row>
    <row r="780" spans="1:9" ht="14.25" customHeight="1" x14ac:dyDescent="0.35">
      <c r="A780" s="236"/>
      <c r="B780" s="58">
        <v>19</v>
      </c>
      <c r="C780" s="58" t="s">
        <v>1737</v>
      </c>
      <c r="D780" s="37"/>
      <c r="E780" s="37"/>
      <c r="F780" s="37"/>
      <c r="G780" s="37"/>
      <c r="H780" s="37"/>
      <c r="I780" s="37"/>
    </row>
    <row r="781" spans="1:9" ht="14.25" customHeight="1" x14ac:dyDescent="0.35">
      <c r="A781" s="236"/>
      <c r="B781" s="58">
        <v>19</v>
      </c>
      <c r="C781" s="58" t="s">
        <v>1737</v>
      </c>
      <c r="D781" s="37"/>
      <c r="E781" s="37"/>
      <c r="F781" s="37"/>
      <c r="G781" s="37"/>
      <c r="H781" s="37"/>
      <c r="I781" s="37"/>
    </row>
    <row r="782" spans="1:9" ht="14.25" customHeight="1" x14ac:dyDescent="0.35">
      <c r="A782" s="237"/>
      <c r="B782" s="59">
        <v>19</v>
      </c>
      <c r="C782" s="59" t="s">
        <v>1737</v>
      </c>
      <c r="D782" s="37"/>
      <c r="E782" s="37"/>
      <c r="F782" s="37"/>
      <c r="G782" s="37"/>
      <c r="H782" s="37"/>
      <c r="I782" s="37"/>
    </row>
    <row r="783" spans="1:9" ht="14.25" customHeight="1" x14ac:dyDescent="0.35">
      <c r="A783" s="46"/>
      <c r="B783" s="46"/>
      <c r="C783" s="46"/>
      <c r="D783" s="37"/>
      <c r="E783" s="37"/>
      <c r="F783" s="37"/>
      <c r="G783" s="37"/>
      <c r="H783" s="37"/>
      <c r="I783" s="37"/>
    </row>
    <row r="784" spans="1:9" ht="14.25" customHeight="1" x14ac:dyDescent="0.35">
      <c r="A784" s="46"/>
      <c r="B784" s="46"/>
      <c r="C784" s="46"/>
      <c r="D784" s="37"/>
      <c r="E784" s="37"/>
      <c r="F784" s="37"/>
      <c r="G784" s="37"/>
      <c r="H784" s="37"/>
      <c r="I784" s="37"/>
    </row>
    <row r="785" spans="1:9" ht="14.25" customHeight="1" x14ac:dyDescent="0.35">
      <c r="A785" s="46"/>
      <c r="B785" s="46"/>
      <c r="C785" s="46"/>
      <c r="D785" s="37"/>
      <c r="E785" s="37"/>
      <c r="F785" s="37"/>
      <c r="G785" s="37"/>
      <c r="H785" s="37"/>
      <c r="I785" s="37"/>
    </row>
    <row r="786" spans="1:9" ht="14.25" customHeight="1" x14ac:dyDescent="0.35">
      <c r="A786" s="46"/>
      <c r="B786" s="46"/>
      <c r="C786" s="46"/>
      <c r="D786" s="37"/>
      <c r="E786" s="37"/>
      <c r="F786" s="37"/>
      <c r="G786" s="37"/>
      <c r="H786" s="37"/>
      <c r="I786" s="37"/>
    </row>
    <row r="787" spans="1:9" ht="14.25" customHeight="1" x14ac:dyDescent="0.35">
      <c r="A787" s="46"/>
      <c r="B787" s="46"/>
      <c r="C787" s="46"/>
      <c r="D787" s="37"/>
      <c r="E787" s="37"/>
      <c r="F787" s="37"/>
      <c r="G787" s="37"/>
      <c r="H787" s="37"/>
      <c r="I787" s="37"/>
    </row>
    <row r="788" spans="1:9" ht="14.25" customHeight="1" x14ac:dyDescent="0.35">
      <c r="A788" s="46"/>
      <c r="B788" s="46"/>
      <c r="C788" s="46"/>
      <c r="D788" s="37"/>
      <c r="E788" s="37"/>
      <c r="F788" s="37"/>
      <c r="G788" s="37"/>
      <c r="H788" s="37"/>
      <c r="I788" s="37"/>
    </row>
    <row r="789" spans="1:9" ht="14.25" customHeight="1" x14ac:dyDescent="0.35">
      <c r="A789" s="46"/>
      <c r="B789" s="46"/>
      <c r="C789" s="46"/>
      <c r="D789" s="37"/>
      <c r="E789" s="37"/>
      <c r="F789" s="37"/>
      <c r="G789" s="37"/>
      <c r="H789" s="37"/>
      <c r="I789" s="37"/>
    </row>
    <row r="790" spans="1:9" ht="14.25" customHeight="1" x14ac:dyDescent="0.35">
      <c r="A790" s="46"/>
      <c r="B790" s="46"/>
      <c r="C790" s="46"/>
      <c r="D790" s="37"/>
      <c r="E790" s="37"/>
      <c r="F790" s="37"/>
      <c r="G790" s="37"/>
      <c r="H790" s="37"/>
      <c r="I790" s="37"/>
    </row>
    <row r="791" spans="1:9" ht="14.25" customHeight="1" x14ac:dyDescent="0.35">
      <c r="A791" s="46"/>
      <c r="B791" s="46"/>
      <c r="C791" s="46"/>
      <c r="D791" s="37"/>
      <c r="E791" s="37"/>
      <c r="F791" s="37"/>
      <c r="G791" s="37"/>
      <c r="H791" s="37"/>
      <c r="I791" s="37"/>
    </row>
    <row r="792" spans="1:9" ht="14.25" customHeight="1" x14ac:dyDescent="0.35">
      <c r="A792" s="46"/>
      <c r="B792" s="46"/>
      <c r="C792" s="46"/>
      <c r="D792" s="37"/>
      <c r="E792" s="37"/>
      <c r="F792" s="37"/>
      <c r="G792" s="37"/>
      <c r="H792" s="37"/>
      <c r="I792" s="37"/>
    </row>
    <row r="793" spans="1:9" ht="14.25" customHeight="1" x14ac:dyDescent="0.35">
      <c r="A793" s="46"/>
      <c r="B793" s="46"/>
      <c r="C793" s="46"/>
      <c r="D793" s="37"/>
      <c r="E793" s="37"/>
      <c r="F793" s="37"/>
      <c r="G793" s="37"/>
      <c r="H793" s="37"/>
      <c r="I793" s="37"/>
    </row>
    <row r="794" spans="1:9" ht="14.25" customHeight="1" x14ac:dyDescent="0.35">
      <c r="A794" s="46"/>
      <c r="B794" s="46"/>
      <c r="C794" s="46"/>
      <c r="D794" s="37"/>
      <c r="E794" s="37"/>
      <c r="F794" s="37"/>
      <c r="G794" s="37"/>
      <c r="H794" s="37"/>
      <c r="I794" s="37"/>
    </row>
    <row r="795" spans="1:9" ht="14.25" customHeight="1" x14ac:dyDescent="0.35">
      <c r="A795" s="46"/>
      <c r="B795" s="46"/>
      <c r="C795" s="46"/>
      <c r="D795" s="37"/>
      <c r="E795" s="37"/>
      <c r="F795" s="37"/>
      <c r="G795" s="37"/>
      <c r="H795" s="37"/>
      <c r="I795" s="37"/>
    </row>
    <row r="796" spans="1:9" ht="14.25" customHeight="1" x14ac:dyDescent="0.35">
      <c r="A796" s="46"/>
      <c r="B796" s="46"/>
      <c r="C796" s="46"/>
      <c r="D796" s="37"/>
      <c r="E796" s="37"/>
      <c r="F796" s="37"/>
      <c r="G796" s="37"/>
      <c r="H796" s="37"/>
      <c r="I796" s="37"/>
    </row>
    <row r="797" spans="1:9" ht="14.25" customHeight="1" x14ac:dyDescent="0.35">
      <c r="A797" s="46"/>
      <c r="B797" s="46"/>
      <c r="C797" s="46"/>
      <c r="D797" s="37"/>
      <c r="E797" s="37"/>
      <c r="F797" s="37"/>
      <c r="G797" s="37"/>
      <c r="H797" s="37"/>
      <c r="I797" s="37"/>
    </row>
    <row r="798" spans="1:9" ht="14.25" customHeight="1" x14ac:dyDescent="0.35">
      <c r="A798" s="46"/>
      <c r="B798" s="46"/>
      <c r="C798" s="46"/>
      <c r="D798" s="37"/>
      <c r="E798" s="37"/>
      <c r="F798" s="37"/>
      <c r="G798" s="37"/>
      <c r="H798" s="37"/>
      <c r="I798" s="37"/>
    </row>
    <row r="799" spans="1:9" ht="14.25" customHeight="1" x14ac:dyDescent="0.35">
      <c r="A799" s="46"/>
      <c r="B799" s="46"/>
      <c r="C799" s="46"/>
      <c r="D799" s="37"/>
      <c r="E799" s="37"/>
      <c r="F799" s="37"/>
      <c r="G799" s="37"/>
      <c r="H799" s="37"/>
      <c r="I799" s="37"/>
    </row>
    <row r="800" spans="1:9" ht="14.25" customHeight="1" x14ac:dyDescent="0.35">
      <c r="A800" s="46"/>
      <c r="B800" s="46"/>
      <c r="C800" s="46"/>
      <c r="D800" s="37"/>
      <c r="E800" s="37"/>
      <c r="F800" s="37"/>
      <c r="G800" s="37"/>
      <c r="H800" s="37"/>
      <c r="I800" s="37"/>
    </row>
    <row r="801" spans="1:9" ht="14.25" customHeight="1" x14ac:dyDescent="0.35">
      <c r="A801" s="46"/>
      <c r="B801" s="46"/>
      <c r="C801" s="46"/>
      <c r="D801" s="37"/>
      <c r="E801" s="37"/>
      <c r="F801" s="37"/>
      <c r="G801" s="37"/>
      <c r="H801" s="37"/>
      <c r="I801" s="37"/>
    </row>
    <row r="802" spans="1:9" ht="14.25" customHeight="1" x14ac:dyDescent="0.35">
      <c r="A802" s="46"/>
      <c r="B802" s="46"/>
      <c r="C802" s="46"/>
      <c r="D802" s="37"/>
      <c r="E802" s="37"/>
      <c r="F802" s="37"/>
      <c r="G802" s="37"/>
      <c r="H802" s="37"/>
      <c r="I802" s="37"/>
    </row>
    <row r="803" spans="1:9" ht="14.25" customHeight="1" x14ac:dyDescent="0.35">
      <c r="A803" s="46"/>
      <c r="B803" s="46"/>
      <c r="C803" s="46"/>
      <c r="D803" s="37"/>
      <c r="E803" s="37"/>
      <c r="F803" s="37"/>
      <c r="G803" s="37"/>
      <c r="H803" s="37"/>
      <c r="I803" s="37"/>
    </row>
    <row r="804" spans="1:9" ht="14.25" customHeight="1" x14ac:dyDescent="0.35">
      <c r="A804" s="46"/>
      <c r="B804" s="46"/>
      <c r="C804" s="46"/>
      <c r="D804" s="37"/>
      <c r="E804" s="37"/>
      <c r="F804" s="37"/>
      <c r="G804" s="37"/>
      <c r="H804" s="37"/>
      <c r="I804" s="37"/>
    </row>
    <row r="805" spans="1:9" ht="14.25" customHeight="1" x14ac:dyDescent="0.35">
      <c r="A805" s="46"/>
      <c r="B805" s="46"/>
      <c r="C805" s="46"/>
      <c r="D805" s="37"/>
      <c r="E805" s="37"/>
      <c r="F805" s="37"/>
      <c r="G805" s="37"/>
      <c r="H805" s="37"/>
      <c r="I805" s="37"/>
    </row>
    <row r="806" spans="1:9" ht="14.25" customHeight="1" x14ac:dyDescent="0.35">
      <c r="A806" s="46"/>
      <c r="B806" s="46"/>
      <c r="C806" s="46"/>
      <c r="D806" s="37"/>
      <c r="E806" s="37"/>
      <c r="F806" s="37"/>
      <c r="G806" s="37"/>
      <c r="H806" s="37"/>
      <c r="I806" s="37"/>
    </row>
    <row r="807" spans="1:9" ht="14.25" customHeight="1" x14ac:dyDescent="0.35">
      <c r="A807" s="46"/>
      <c r="B807" s="46"/>
      <c r="C807" s="46"/>
      <c r="D807" s="37"/>
      <c r="E807" s="37"/>
      <c r="F807" s="37"/>
      <c r="G807" s="37"/>
      <c r="H807" s="37"/>
      <c r="I807" s="37"/>
    </row>
    <row r="808" spans="1:9" ht="14.25" customHeight="1" x14ac:dyDescent="0.35">
      <c r="A808" s="46"/>
      <c r="B808" s="46"/>
      <c r="C808" s="46"/>
      <c r="D808" s="37"/>
      <c r="E808" s="37"/>
      <c r="F808" s="37"/>
      <c r="G808" s="37"/>
      <c r="H808" s="37"/>
      <c r="I808" s="37"/>
    </row>
    <row r="809" spans="1:9" ht="14.25" customHeight="1" x14ac:dyDescent="0.35">
      <c r="A809" s="46"/>
      <c r="B809" s="46"/>
      <c r="C809" s="46"/>
      <c r="D809" s="37"/>
      <c r="E809" s="37"/>
      <c r="F809" s="37"/>
      <c r="G809" s="37"/>
      <c r="H809" s="37"/>
      <c r="I809" s="37"/>
    </row>
    <row r="810" spans="1:9" ht="14.25" customHeight="1" x14ac:dyDescent="0.35">
      <c r="A810" s="46"/>
      <c r="B810" s="46"/>
      <c r="C810" s="46"/>
      <c r="D810" s="37"/>
      <c r="E810" s="37"/>
      <c r="F810" s="37"/>
      <c r="G810" s="37"/>
      <c r="H810" s="37"/>
      <c r="I810" s="37"/>
    </row>
    <row r="811" spans="1:9" ht="14.25" customHeight="1" x14ac:dyDescent="0.35">
      <c r="A811" s="46"/>
      <c r="B811" s="46"/>
      <c r="C811" s="46"/>
      <c r="D811" s="37"/>
      <c r="E811" s="37"/>
      <c r="F811" s="37"/>
      <c r="G811" s="37"/>
      <c r="H811" s="37"/>
      <c r="I811" s="37"/>
    </row>
    <row r="812" spans="1:9" ht="14.25" customHeight="1" x14ac:dyDescent="0.35">
      <c r="A812" s="46"/>
      <c r="B812" s="46"/>
      <c r="C812" s="46"/>
      <c r="D812" s="37"/>
      <c r="E812" s="37"/>
      <c r="F812" s="37"/>
      <c r="G812" s="37"/>
      <c r="H812" s="37"/>
      <c r="I812" s="37"/>
    </row>
    <row r="813" spans="1:9" ht="14.25" customHeight="1" x14ac:dyDescent="0.35">
      <c r="A813" s="46"/>
      <c r="B813" s="46"/>
      <c r="C813" s="46"/>
      <c r="D813" s="37"/>
      <c r="E813" s="37"/>
      <c r="F813" s="37"/>
      <c r="G813" s="37"/>
      <c r="H813" s="37"/>
      <c r="I813" s="37"/>
    </row>
    <row r="814" spans="1:9" ht="14.25" customHeight="1" x14ac:dyDescent="0.35">
      <c r="A814" s="46"/>
      <c r="B814" s="46"/>
      <c r="C814" s="46"/>
      <c r="D814" s="37"/>
      <c r="E814" s="37"/>
      <c r="F814" s="37"/>
      <c r="G814" s="37"/>
      <c r="H814" s="37"/>
      <c r="I814" s="37"/>
    </row>
    <row r="815" spans="1:9" ht="14.25" customHeight="1" x14ac:dyDescent="0.35">
      <c r="A815" s="46"/>
      <c r="B815" s="46"/>
      <c r="C815" s="46"/>
      <c r="D815" s="37"/>
      <c r="E815" s="37"/>
      <c r="F815" s="37"/>
      <c r="G815" s="37"/>
      <c r="H815" s="37"/>
      <c r="I815" s="37"/>
    </row>
    <row r="816" spans="1:9" ht="14.25" customHeight="1" x14ac:dyDescent="0.35">
      <c r="A816" s="46"/>
      <c r="B816" s="46"/>
      <c r="C816" s="46"/>
      <c r="D816" s="37"/>
      <c r="E816" s="37"/>
      <c r="F816" s="37"/>
      <c r="G816" s="37"/>
      <c r="H816" s="37"/>
      <c r="I816" s="37"/>
    </row>
    <row r="817" spans="1:9" ht="14.25" customHeight="1" x14ac:dyDescent="0.35">
      <c r="A817" s="46"/>
      <c r="B817" s="46"/>
      <c r="C817" s="46"/>
      <c r="D817" s="37"/>
      <c r="E817" s="37"/>
      <c r="F817" s="37"/>
      <c r="G817" s="37"/>
      <c r="H817" s="37"/>
      <c r="I817" s="37"/>
    </row>
    <row r="818" spans="1:9" ht="14.25" customHeight="1" x14ac:dyDescent="0.35">
      <c r="A818" s="46"/>
      <c r="B818" s="46"/>
      <c r="C818" s="46"/>
      <c r="D818" s="37"/>
      <c r="E818" s="37"/>
      <c r="F818" s="37"/>
      <c r="G818" s="37"/>
      <c r="H818" s="37"/>
      <c r="I818" s="37"/>
    </row>
    <row r="819" spans="1:9" ht="14.25" customHeight="1" x14ac:dyDescent="0.35">
      <c r="A819" s="46"/>
      <c r="B819" s="46"/>
      <c r="C819" s="46"/>
      <c r="D819" s="37"/>
      <c r="E819" s="37"/>
      <c r="F819" s="37"/>
      <c r="G819" s="37"/>
      <c r="H819" s="37"/>
      <c r="I819" s="37"/>
    </row>
    <row r="820" spans="1:9" ht="14.25" customHeight="1" x14ac:dyDescent="0.35">
      <c r="A820" s="46"/>
      <c r="B820" s="46"/>
      <c r="C820" s="46"/>
      <c r="D820" s="37"/>
      <c r="E820" s="37"/>
      <c r="F820" s="37"/>
      <c r="G820" s="37"/>
      <c r="H820" s="37"/>
      <c r="I820" s="37"/>
    </row>
    <row r="821" spans="1:9" ht="14.25" customHeight="1" x14ac:dyDescent="0.35">
      <c r="A821" s="46"/>
      <c r="B821" s="46"/>
      <c r="C821" s="46"/>
      <c r="D821" s="37"/>
      <c r="E821" s="37"/>
      <c r="F821" s="37"/>
      <c r="G821" s="37"/>
      <c r="H821" s="37"/>
      <c r="I821" s="37"/>
    </row>
    <row r="822" spans="1:9" ht="14.25" customHeight="1" x14ac:dyDescent="0.35">
      <c r="A822" s="46"/>
      <c r="B822" s="46"/>
      <c r="C822" s="46"/>
      <c r="D822" s="37"/>
      <c r="E822" s="37"/>
      <c r="F822" s="37"/>
      <c r="G822" s="37"/>
      <c r="H822" s="37"/>
      <c r="I822" s="37"/>
    </row>
    <row r="823" spans="1:9" ht="14.25" customHeight="1" x14ac:dyDescent="0.35">
      <c r="A823" s="46"/>
      <c r="B823" s="46"/>
      <c r="C823" s="46"/>
      <c r="D823" s="37"/>
      <c r="E823" s="37"/>
      <c r="F823" s="37"/>
      <c r="G823" s="37"/>
      <c r="H823" s="37"/>
      <c r="I823" s="37"/>
    </row>
    <row r="824" spans="1:9" ht="14.25" customHeight="1" x14ac:dyDescent="0.35">
      <c r="A824" s="46"/>
      <c r="B824" s="46"/>
      <c r="C824" s="46"/>
      <c r="D824" s="37"/>
      <c r="E824" s="37"/>
      <c r="F824" s="37"/>
      <c r="G824" s="37"/>
      <c r="H824" s="37"/>
      <c r="I824" s="37"/>
    </row>
    <row r="825" spans="1:9" ht="14.25" customHeight="1" x14ac:dyDescent="0.35">
      <c r="A825" s="46"/>
      <c r="B825" s="46"/>
      <c r="C825" s="46"/>
      <c r="D825" s="37"/>
      <c r="E825" s="37"/>
      <c r="F825" s="37"/>
      <c r="G825" s="37"/>
      <c r="H825" s="37"/>
      <c r="I825" s="37"/>
    </row>
    <row r="826" spans="1:9" ht="14.25" customHeight="1" x14ac:dyDescent="0.35">
      <c r="A826" s="46"/>
      <c r="B826" s="46"/>
      <c r="C826" s="46"/>
      <c r="D826" s="37"/>
      <c r="E826" s="37"/>
      <c r="F826" s="37"/>
      <c r="G826" s="37"/>
      <c r="H826" s="37"/>
      <c r="I826" s="37"/>
    </row>
    <row r="827" spans="1:9" ht="14.25" customHeight="1" x14ac:dyDescent="0.35">
      <c r="A827" s="46"/>
      <c r="B827" s="46"/>
      <c r="C827" s="46"/>
      <c r="D827" s="37"/>
      <c r="E827" s="37"/>
      <c r="F827" s="37"/>
      <c r="G827" s="37"/>
      <c r="H827" s="37"/>
      <c r="I827" s="37"/>
    </row>
    <row r="828" spans="1:9" ht="14.25" customHeight="1" x14ac:dyDescent="0.35">
      <c r="A828" s="46"/>
      <c r="B828" s="46"/>
      <c r="C828" s="46"/>
      <c r="D828" s="37"/>
      <c r="E828" s="37"/>
      <c r="F828" s="37"/>
      <c r="G828" s="37"/>
      <c r="H828" s="37"/>
      <c r="I828" s="37"/>
    </row>
    <row r="829" spans="1:9" ht="14.25" customHeight="1" x14ac:dyDescent="0.35">
      <c r="A829" s="46"/>
      <c r="B829" s="46"/>
      <c r="C829" s="46"/>
      <c r="D829" s="37"/>
      <c r="E829" s="37"/>
      <c r="F829" s="37"/>
      <c r="G829" s="37"/>
      <c r="H829" s="37"/>
      <c r="I829" s="37"/>
    </row>
    <row r="830" spans="1:9" ht="14.25" customHeight="1" x14ac:dyDescent="0.35">
      <c r="A830" s="46"/>
      <c r="B830" s="46"/>
      <c r="C830" s="46"/>
      <c r="D830" s="37"/>
      <c r="E830" s="37"/>
      <c r="F830" s="37"/>
      <c r="G830" s="37"/>
      <c r="H830" s="37"/>
      <c r="I830" s="37"/>
    </row>
    <row r="831" spans="1:9" ht="14.25" customHeight="1" x14ac:dyDescent="0.35">
      <c r="A831" s="46"/>
      <c r="B831" s="46"/>
      <c r="C831" s="46"/>
      <c r="D831" s="37"/>
      <c r="E831" s="37"/>
      <c r="F831" s="37"/>
      <c r="G831" s="37"/>
      <c r="H831" s="37"/>
      <c r="I831" s="37"/>
    </row>
    <row r="832" spans="1:9" ht="14.25" customHeight="1" x14ac:dyDescent="0.35">
      <c r="A832" s="46"/>
      <c r="B832" s="46"/>
      <c r="C832" s="46"/>
      <c r="D832" s="37"/>
      <c r="E832" s="37"/>
      <c r="F832" s="37"/>
      <c r="G832" s="37"/>
      <c r="H832" s="37"/>
      <c r="I832" s="37"/>
    </row>
    <row r="833" spans="1:9" ht="14.25" customHeight="1" x14ac:dyDescent="0.35">
      <c r="A833" s="46"/>
      <c r="B833" s="46"/>
      <c r="C833" s="46"/>
      <c r="D833" s="37"/>
      <c r="E833" s="37"/>
      <c r="F833" s="37"/>
      <c r="G833" s="37"/>
      <c r="H833" s="37"/>
      <c r="I833" s="37"/>
    </row>
    <row r="834" spans="1:9" ht="14.25" customHeight="1" x14ac:dyDescent="0.35">
      <c r="A834" s="46"/>
      <c r="B834" s="46"/>
      <c r="C834" s="46"/>
      <c r="D834" s="37"/>
      <c r="E834" s="37"/>
      <c r="F834" s="37"/>
      <c r="G834" s="37"/>
      <c r="H834" s="37"/>
      <c r="I834" s="37"/>
    </row>
    <row r="835" spans="1:9" ht="14.25" customHeight="1" x14ac:dyDescent="0.35">
      <c r="A835" s="46"/>
      <c r="B835" s="46"/>
      <c r="C835" s="46"/>
      <c r="D835" s="37"/>
      <c r="E835" s="37"/>
      <c r="F835" s="37"/>
      <c r="G835" s="37"/>
      <c r="H835" s="37"/>
      <c r="I835" s="37"/>
    </row>
    <row r="836" spans="1:9" ht="14.25" customHeight="1" x14ac:dyDescent="0.35">
      <c r="A836" s="46"/>
      <c r="B836" s="46"/>
      <c r="C836" s="46"/>
      <c r="D836" s="37"/>
      <c r="E836" s="37"/>
      <c r="F836" s="37"/>
      <c r="G836" s="37"/>
      <c r="H836" s="37"/>
      <c r="I836" s="37"/>
    </row>
    <row r="837" spans="1:9" ht="14.25" customHeight="1" x14ac:dyDescent="0.35">
      <c r="A837" s="46"/>
      <c r="B837" s="46"/>
      <c r="C837" s="46"/>
      <c r="D837" s="37"/>
      <c r="E837" s="37"/>
      <c r="F837" s="37"/>
      <c r="G837" s="37"/>
      <c r="H837" s="37"/>
      <c r="I837" s="37"/>
    </row>
    <row r="838" spans="1:9" ht="14.25" customHeight="1" x14ac:dyDescent="0.35">
      <c r="A838" s="46"/>
      <c r="B838" s="46"/>
      <c r="C838" s="46"/>
      <c r="D838" s="37"/>
      <c r="E838" s="37"/>
      <c r="F838" s="37"/>
      <c r="G838" s="37"/>
      <c r="H838" s="37"/>
      <c r="I838" s="37"/>
    </row>
    <row r="839" spans="1:9" ht="14.25" customHeight="1" x14ac:dyDescent="0.35">
      <c r="A839" s="46"/>
      <c r="B839" s="46"/>
      <c r="C839" s="46"/>
      <c r="D839" s="37"/>
      <c r="E839" s="37"/>
      <c r="F839" s="37"/>
      <c r="G839" s="37"/>
      <c r="H839" s="37"/>
      <c r="I839" s="37"/>
    </row>
    <row r="840" spans="1:9" ht="14.25" customHeight="1" x14ac:dyDescent="0.35">
      <c r="A840" s="46"/>
      <c r="B840" s="46"/>
      <c r="C840" s="46"/>
      <c r="D840" s="37"/>
      <c r="E840" s="37"/>
      <c r="F840" s="37"/>
      <c r="G840" s="37"/>
      <c r="H840" s="37"/>
      <c r="I840" s="37"/>
    </row>
    <row r="841" spans="1:9" ht="14.25" customHeight="1" x14ac:dyDescent="0.35">
      <c r="A841" s="46"/>
      <c r="B841" s="46"/>
      <c r="C841" s="46"/>
      <c r="D841" s="37"/>
      <c r="E841" s="37"/>
      <c r="F841" s="37"/>
      <c r="G841" s="37"/>
      <c r="H841" s="37"/>
      <c r="I841" s="37"/>
    </row>
    <row r="842" spans="1:9" ht="14.25" customHeight="1" x14ac:dyDescent="0.35">
      <c r="A842" s="46"/>
      <c r="B842" s="46"/>
      <c r="C842" s="46"/>
      <c r="D842" s="37"/>
      <c r="E842" s="37"/>
      <c r="F842" s="37"/>
      <c r="G842" s="37"/>
      <c r="H842" s="37"/>
      <c r="I842" s="37"/>
    </row>
    <row r="843" spans="1:9" ht="14.25" customHeight="1" x14ac:dyDescent="0.35">
      <c r="A843" s="46"/>
      <c r="B843" s="46"/>
      <c r="C843" s="46"/>
      <c r="D843" s="37"/>
      <c r="E843" s="37"/>
      <c r="F843" s="37"/>
      <c r="G843" s="37"/>
      <c r="H843" s="37"/>
      <c r="I843" s="37"/>
    </row>
    <row r="844" spans="1:9" ht="14.25" customHeight="1" x14ac:dyDescent="0.35">
      <c r="A844" s="46"/>
      <c r="B844" s="46"/>
      <c r="C844" s="46"/>
      <c r="D844" s="37"/>
      <c r="E844" s="37"/>
      <c r="F844" s="37"/>
      <c r="G844" s="37"/>
      <c r="H844" s="37"/>
      <c r="I844" s="37"/>
    </row>
    <row r="845" spans="1:9" ht="14.25" customHeight="1" x14ac:dyDescent="0.35">
      <c r="A845" s="46"/>
      <c r="B845" s="46"/>
      <c r="C845" s="46"/>
      <c r="D845" s="37"/>
      <c r="E845" s="37"/>
      <c r="F845" s="37"/>
      <c r="G845" s="37"/>
      <c r="H845" s="37"/>
      <c r="I845" s="37"/>
    </row>
    <row r="846" spans="1:9" ht="14.25" customHeight="1" x14ac:dyDescent="0.35">
      <c r="A846" s="46"/>
      <c r="B846" s="46"/>
      <c r="C846" s="46"/>
      <c r="D846" s="37"/>
      <c r="E846" s="37"/>
      <c r="F846" s="37"/>
      <c r="G846" s="37"/>
      <c r="H846" s="37"/>
      <c r="I846" s="37"/>
    </row>
    <row r="847" spans="1:9" ht="14.25" customHeight="1" x14ac:dyDescent="0.35">
      <c r="A847" s="46"/>
      <c r="B847" s="46"/>
      <c r="C847" s="46"/>
      <c r="D847" s="37"/>
      <c r="E847" s="37"/>
      <c r="F847" s="37"/>
      <c r="G847" s="37"/>
      <c r="H847" s="37"/>
      <c r="I847" s="37"/>
    </row>
    <row r="848" spans="1:9" ht="14.25" customHeight="1" x14ac:dyDescent="0.35">
      <c r="A848" s="46"/>
      <c r="B848" s="46"/>
      <c r="C848" s="46"/>
      <c r="D848" s="37"/>
      <c r="E848" s="37"/>
      <c r="F848" s="37"/>
      <c r="G848" s="37"/>
      <c r="H848" s="37"/>
      <c r="I848" s="37"/>
    </row>
    <row r="849" spans="1:9" ht="14.25" customHeight="1" x14ac:dyDescent="0.35">
      <c r="A849" s="46"/>
      <c r="B849" s="46"/>
      <c r="C849" s="46"/>
      <c r="D849" s="37"/>
      <c r="E849" s="37"/>
      <c r="F849" s="37"/>
      <c r="G849" s="37"/>
      <c r="H849" s="37"/>
      <c r="I849" s="37"/>
    </row>
    <row r="850" spans="1:9" ht="14.25" customHeight="1" x14ac:dyDescent="0.35">
      <c r="A850" s="46"/>
      <c r="B850" s="46"/>
      <c r="C850" s="46"/>
      <c r="D850" s="37"/>
      <c r="E850" s="37"/>
      <c r="F850" s="37"/>
      <c r="G850" s="37"/>
      <c r="H850" s="37"/>
      <c r="I850" s="37"/>
    </row>
    <row r="851" spans="1:9" ht="14.25" customHeight="1" x14ac:dyDescent="0.35">
      <c r="A851" s="46"/>
      <c r="B851" s="46"/>
      <c r="C851" s="46"/>
      <c r="D851" s="37"/>
      <c r="E851" s="37"/>
      <c r="F851" s="37"/>
      <c r="G851" s="37"/>
      <c r="H851" s="37"/>
      <c r="I851" s="37"/>
    </row>
    <row r="852" spans="1:9" ht="14.25" customHeight="1" x14ac:dyDescent="0.35">
      <c r="A852" s="46"/>
      <c r="B852" s="46"/>
      <c r="C852" s="46"/>
      <c r="D852" s="37"/>
      <c r="E852" s="37"/>
      <c r="F852" s="37"/>
      <c r="G852" s="37"/>
      <c r="H852" s="37"/>
      <c r="I852" s="37"/>
    </row>
    <row r="853" spans="1:9" ht="14.25" customHeight="1" x14ac:dyDescent="0.35">
      <c r="A853" s="46"/>
      <c r="B853" s="46"/>
      <c r="C853" s="46"/>
      <c r="D853" s="37"/>
      <c r="E853" s="37"/>
      <c r="F853" s="37"/>
      <c r="G853" s="37"/>
      <c r="H853" s="37"/>
      <c r="I853" s="37"/>
    </row>
    <row r="854" spans="1:9" ht="14.25" customHeight="1" x14ac:dyDescent="0.35">
      <c r="A854" s="46"/>
      <c r="B854" s="46"/>
      <c r="C854" s="46"/>
      <c r="D854" s="37"/>
      <c r="E854" s="37"/>
      <c r="F854" s="37"/>
      <c r="G854" s="37"/>
      <c r="H854" s="37"/>
      <c r="I854" s="37"/>
    </row>
    <row r="855" spans="1:9" ht="14.25" customHeight="1" x14ac:dyDescent="0.35">
      <c r="A855" s="46"/>
      <c r="B855" s="46"/>
      <c r="C855" s="46"/>
      <c r="D855" s="37"/>
      <c r="E855" s="37"/>
      <c r="F855" s="37"/>
      <c r="G855" s="37"/>
      <c r="H855" s="37"/>
      <c r="I855" s="37"/>
    </row>
    <row r="856" spans="1:9" ht="14.25" customHeight="1" x14ac:dyDescent="0.35">
      <c r="A856" s="46"/>
      <c r="B856" s="46"/>
      <c r="C856" s="46"/>
      <c r="D856" s="37"/>
      <c r="E856" s="37"/>
      <c r="F856" s="37"/>
      <c r="G856" s="37"/>
      <c r="H856" s="37"/>
      <c r="I856" s="37"/>
    </row>
    <row r="857" spans="1:9" ht="14.25" customHeight="1" x14ac:dyDescent="0.35">
      <c r="A857" s="46"/>
      <c r="B857" s="46"/>
      <c r="C857" s="46"/>
      <c r="D857" s="37"/>
      <c r="E857" s="37"/>
      <c r="F857" s="37"/>
      <c r="G857" s="37"/>
      <c r="H857" s="37"/>
      <c r="I857" s="37"/>
    </row>
    <row r="858" spans="1:9" ht="14.25" customHeight="1" x14ac:dyDescent="0.35">
      <c r="A858" s="46"/>
      <c r="B858" s="46"/>
      <c r="C858" s="46"/>
      <c r="D858" s="37"/>
      <c r="E858" s="37"/>
      <c r="F858" s="37"/>
      <c r="G858" s="37"/>
      <c r="H858" s="37"/>
      <c r="I858" s="37"/>
    </row>
    <row r="859" spans="1:9" ht="14.25" customHeight="1" x14ac:dyDescent="0.35">
      <c r="A859" s="46"/>
      <c r="B859" s="46"/>
      <c r="C859" s="46"/>
      <c r="D859" s="37"/>
      <c r="E859" s="37"/>
      <c r="F859" s="37"/>
      <c r="G859" s="37"/>
      <c r="H859" s="37"/>
      <c r="I859" s="37"/>
    </row>
    <row r="860" spans="1:9" ht="14.25" customHeight="1" x14ac:dyDescent="0.35">
      <c r="A860" s="46"/>
      <c r="B860" s="46"/>
      <c r="C860" s="46"/>
      <c r="D860" s="37"/>
      <c r="E860" s="37"/>
      <c r="F860" s="37"/>
      <c r="G860" s="37"/>
      <c r="H860" s="37"/>
      <c r="I860" s="37"/>
    </row>
    <row r="861" spans="1:9" ht="14.25" customHeight="1" x14ac:dyDescent="0.35">
      <c r="A861" s="46"/>
      <c r="B861" s="46"/>
      <c r="C861" s="46"/>
      <c r="D861" s="37"/>
      <c r="E861" s="37"/>
      <c r="F861" s="37"/>
      <c r="G861" s="37"/>
      <c r="H861" s="37"/>
      <c r="I861" s="37"/>
    </row>
    <row r="862" spans="1:9" ht="14.25" customHeight="1" x14ac:dyDescent="0.35">
      <c r="A862" s="46"/>
      <c r="B862" s="46"/>
      <c r="C862" s="46"/>
      <c r="D862" s="37"/>
      <c r="E862" s="37"/>
      <c r="F862" s="37"/>
      <c r="G862" s="37"/>
      <c r="H862" s="37"/>
      <c r="I862" s="37"/>
    </row>
    <row r="863" spans="1:9" ht="14.25" customHeight="1" x14ac:dyDescent="0.35">
      <c r="A863" s="46"/>
      <c r="B863" s="46"/>
      <c r="C863" s="46"/>
      <c r="D863" s="37"/>
      <c r="E863" s="37"/>
      <c r="F863" s="37"/>
      <c r="G863" s="37"/>
      <c r="H863" s="37"/>
      <c r="I863" s="37"/>
    </row>
    <row r="864" spans="1:9" ht="14.25" customHeight="1" x14ac:dyDescent="0.35">
      <c r="A864" s="46"/>
      <c r="B864" s="46"/>
      <c r="C864" s="46"/>
      <c r="D864" s="37"/>
      <c r="E864" s="37"/>
      <c r="F864" s="37"/>
      <c r="G864" s="37"/>
      <c r="H864" s="37"/>
      <c r="I864" s="37"/>
    </row>
    <row r="865" spans="1:9" ht="14.25" customHeight="1" x14ac:dyDescent="0.35">
      <c r="A865" s="46"/>
      <c r="B865" s="46"/>
      <c r="C865" s="46"/>
      <c r="D865" s="37"/>
      <c r="E865" s="37"/>
      <c r="F865" s="37"/>
      <c r="G865" s="37"/>
      <c r="H865" s="37"/>
      <c r="I865" s="37"/>
    </row>
    <row r="866" spans="1:9" ht="14.25" customHeight="1" x14ac:dyDescent="0.35">
      <c r="A866" s="46"/>
      <c r="B866" s="46"/>
      <c r="C866" s="46"/>
      <c r="D866" s="37"/>
      <c r="E866" s="37"/>
      <c r="F866" s="37"/>
      <c r="G866" s="37"/>
      <c r="H866" s="37"/>
      <c r="I866" s="37"/>
    </row>
    <row r="867" spans="1:9" ht="14.25" customHeight="1" x14ac:dyDescent="0.35">
      <c r="A867" s="46"/>
      <c r="B867" s="46"/>
      <c r="C867" s="46"/>
      <c r="D867" s="37"/>
      <c r="E867" s="37"/>
      <c r="F867" s="37"/>
      <c r="G867" s="37"/>
      <c r="H867" s="37"/>
      <c r="I867" s="37"/>
    </row>
    <row r="868" spans="1:9" ht="14.25" customHeight="1" x14ac:dyDescent="0.35">
      <c r="A868" s="46"/>
      <c r="B868" s="46"/>
      <c r="C868" s="46"/>
      <c r="D868" s="37"/>
      <c r="E868" s="37"/>
      <c r="F868" s="37"/>
      <c r="G868" s="37"/>
      <c r="H868" s="37"/>
      <c r="I868" s="37"/>
    </row>
    <row r="869" spans="1:9" ht="14.25" customHeight="1" x14ac:dyDescent="0.35">
      <c r="A869" s="46"/>
      <c r="B869" s="46"/>
      <c r="C869" s="46"/>
      <c r="D869" s="37"/>
      <c r="E869" s="37"/>
      <c r="F869" s="37"/>
      <c r="G869" s="37"/>
      <c r="H869" s="37"/>
      <c r="I869" s="37"/>
    </row>
    <row r="870" spans="1:9" ht="14.25" customHeight="1" x14ac:dyDescent="0.35">
      <c r="A870" s="46"/>
      <c r="B870" s="46"/>
      <c r="C870" s="46"/>
      <c r="D870" s="37"/>
      <c r="E870" s="37"/>
      <c r="F870" s="37"/>
      <c r="G870" s="37"/>
      <c r="H870" s="37"/>
      <c r="I870" s="37"/>
    </row>
    <row r="871" spans="1:9" ht="14.25" customHeight="1" x14ac:dyDescent="0.35">
      <c r="A871" s="46"/>
      <c r="B871" s="46"/>
      <c r="C871" s="46"/>
      <c r="D871" s="37"/>
      <c r="E871" s="37"/>
      <c r="F871" s="37"/>
      <c r="G871" s="37"/>
      <c r="H871" s="37"/>
      <c r="I871" s="37"/>
    </row>
    <row r="872" spans="1:9" ht="14.25" customHeight="1" x14ac:dyDescent="0.35">
      <c r="A872" s="46"/>
      <c r="B872" s="46"/>
      <c r="C872" s="46"/>
      <c r="D872" s="37"/>
      <c r="E872" s="37"/>
      <c r="F872" s="37"/>
      <c r="G872" s="37"/>
      <c r="H872" s="37"/>
      <c r="I872" s="37"/>
    </row>
    <row r="873" spans="1:9" ht="14.25" customHeight="1" x14ac:dyDescent="0.35">
      <c r="A873" s="46"/>
      <c r="B873" s="46"/>
      <c r="C873" s="46"/>
      <c r="D873" s="37"/>
      <c r="E873" s="37"/>
      <c r="F873" s="37"/>
      <c r="G873" s="37"/>
      <c r="H873" s="37"/>
      <c r="I873" s="37"/>
    </row>
    <row r="874" spans="1:9" ht="14.25" customHeight="1" x14ac:dyDescent="0.35">
      <c r="A874" s="46"/>
      <c r="B874" s="46"/>
      <c r="C874" s="46"/>
      <c r="D874" s="37"/>
      <c r="E874" s="37"/>
      <c r="F874" s="37"/>
      <c r="G874" s="37"/>
      <c r="H874" s="37"/>
      <c r="I874" s="37"/>
    </row>
    <row r="875" spans="1:9" ht="14.25" customHeight="1" x14ac:dyDescent="0.35">
      <c r="A875" s="46"/>
      <c r="B875" s="46"/>
      <c r="C875" s="46"/>
      <c r="D875" s="37"/>
      <c r="E875" s="37"/>
      <c r="F875" s="37"/>
      <c r="G875" s="37"/>
      <c r="H875" s="37"/>
      <c r="I875" s="37"/>
    </row>
    <row r="876" spans="1:9" ht="14.25" customHeight="1" x14ac:dyDescent="0.35">
      <c r="A876" s="46"/>
      <c r="B876" s="46"/>
      <c r="C876" s="46"/>
      <c r="D876" s="37"/>
      <c r="E876" s="37"/>
      <c r="F876" s="37"/>
      <c r="G876" s="37"/>
      <c r="H876" s="37"/>
      <c r="I876" s="37"/>
    </row>
    <row r="877" spans="1:9" ht="14.25" customHeight="1" x14ac:dyDescent="0.35">
      <c r="A877" s="46"/>
      <c r="B877" s="46"/>
      <c r="C877" s="46"/>
      <c r="D877" s="37"/>
      <c r="E877" s="37"/>
      <c r="F877" s="37"/>
      <c r="G877" s="37"/>
      <c r="H877" s="37"/>
      <c r="I877" s="37"/>
    </row>
    <row r="878" spans="1:9" ht="14.25" customHeight="1" x14ac:dyDescent="0.35">
      <c r="A878" s="46"/>
      <c r="B878" s="46"/>
      <c r="C878" s="46"/>
      <c r="D878" s="37"/>
      <c r="E878" s="37"/>
      <c r="F878" s="37"/>
      <c r="G878" s="37"/>
      <c r="H878" s="37"/>
      <c r="I878" s="37"/>
    </row>
    <row r="879" spans="1:9" ht="14.25" customHeight="1" x14ac:dyDescent="0.35">
      <c r="A879" s="46"/>
      <c r="B879" s="46"/>
      <c r="C879" s="46"/>
      <c r="D879" s="37"/>
      <c r="E879" s="37"/>
      <c r="F879" s="37"/>
      <c r="G879" s="37"/>
      <c r="H879" s="37"/>
      <c r="I879" s="37"/>
    </row>
    <row r="880" spans="1:9" ht="14.25" customHeight="1" x14ac:dyDescent="0.35">
      <c r="A880" s="46"/>
      <c r="B880" s="46"/>
      <c r="C880" s="46"/>
      <c r="D880" s="37"/>
      <c r="E880" s="37"/>
      <c r="F880" s="37"/>
      <c r="G880" s="37"/>
      <c r="H880" s="37"/>
      <c r="I880" s="37"/>
    </row>
    <row r="881" spans="1:9" ht="14.25" customHeight="1" x14ac:dyDescent="0.35">
      <c r="A881" s="46"/>
      <c r="B881" s="46"/>
      <c r="C881" s="46"/>
      <c r="D881" s="37"/>
      <c r="E881" s="37"/>
      <c r="F881" s="37"/>
      <c r="G881" s="37"/>
      <c r="H881" s="37"/>
      <c r="I881" s="37"/>
    </row>
    <row r="882" spans="1:9" ht="14.25" customHeight="1" x14ac:dyDescent="0.35">
      <c r="A882" s="46"/>
      <c r="B882" s="46"/>
      <c r="C882" s="46"/>
      <c r="D882" s="37"/>
      <c r="E882" s="37"/>
      <c r="F882" s="37"/>
      <c r="G882" s="37"/>
      <c r="H882" s="37"/>
      <c r="I882" s="37"/>
    </row>
    <row r="883" spans="1:9" ht="14.25" customHeight="1" x14ac:dyDescent="0.35">
      <c r="A883" s="46"/>
      <c r="B883" s="46"/>
      <c r="C883" s="46"/>
      <c r="D883" s="37"/>
      <c r="E883" s="37"/>
      <c r="F883" s="37"/>
      <c r="G883" s="37"/>
      <c r="H883" s="37"/>
      <c r="I883" s="37"/>
    </row>
    <row r="884" spans="1:9" ht="14.25" customHeight="1" x14ac:dyDescent="0.35">
      <c r="A884" s="46"/>
      <c r="B884" s="46"/>
      <c r="C884" s="46"/>
      <c r="D884" s="37"/>
      <c r="E884" s="37"/>
      <c r="F884" s="37"/>
      <c r="G884" s="37"/>
      <c r="H884" s="37"/>
      <c r="I884" s="37"/>
    </row>
    <row r="885" spans="1:9" ht="14.25" customHeight="1" x14ac:dyDescent="0.35">
      <c r="A885" s="46"/>
      <c r="B885" s="46"/>
      <c r="C885" s="46"/>
      <c r="D885" s="37"/>
      <c r="E885" s="37"/>
      <c r="F885" s="37"/>
      <c r="G885" s="37"/>
      <c r="H885" s="37"/>
      <c r="I885" s="37"/>
    </row>
    <row r="886" spans="1:9" ht="14.25" customHeight="1" x14ac:dyDescent="0.35">
      <c r="A886" s="46"/>
      <c r="B886" s="46"/>
      <c r="C886" s="46"/>
      <c r="D886" s="37"/>
      <c r="E886" s="37"/>
      <c r="F886" s="37"/>
      <c r="G886" s="37"/>
      <c r="H886" s="37"/>
      <c r="I886" s="37"/>
    </row>
    <row r="887" spans="1:9" ht="14.25" customHeight="1" x14ac:dyDescent="0.35">
      <c r="A887" s="46"/>
      <c r="B887" s="46"/>
      <c r="C887" s="46"/>
      <c r="D887" s="37"/>
      <c r="E887" s="37"/>
      <c r="F887" s="37"/>
      <c r="G887" s="37"/>
      <c r="H887" s="37"/>
      <c r="I887" s="37"/>
    </row>
    <row r="888" spans="1:9" ht="14.25" customHeight="1" x14ac:dyDescent="0.35">
      <c r="A888" s="46"/>
      <c r="B888" s="46"/>
      <c r="C888" s="46"/>
      <c r="D888" s="37"/>
      <c r="E888" s="37"/>
      <c r="F888" s="37"/>
      <c r="G888" s="37"/>
      <c r="H888" s="37"/>
      <c r="I888" s="37"/>
    </row>
    <row r="889" spans="1:9" ht="14.25" customHeight="1" x14ac:dyDescent="0.35">
      <c r="A889" s="46"/>
      <c r="B889" s="46"/>
      <c r="C889" s="46"/>
      <c r="D889" s="37"/>
      <c r="E889" s="37"/>
      <c r="F889" s="37"/>
      <c r="G889" s="37"/>
      <c r="H889" s="37"/>
      <c r="I889" s="37"/>
    </row>
    <row r="890" spans="1:9" ht="14.25" customHeight="1" x14ac:dyDescent="0.35">
      <c r="A890" s="46"/>
      <c r="B890" s="46"/>
      <c r="C890" s="46"/>
      <c r="D890" s="37"/>
      <c r="E890" s="37"/>
      <c r="F890" s="37"/>
      <c r="G890" s="37"/>
      <c r="H890" s="37"/>
      <c r="I890" s="37"/>
    </row>
    <row r="891" spans="1:9" ht="14.25" customHeight="1" x14ac:dyDescent="0.35">
      <c r="A891" s="46"/>
      <c r="B891" s="46"/>
      <c r="C891" s="46"/>
      <c r="D891" s="37"/>
      <c r="E891" s="37"/>
      <c r="F891" s="37"/>
      <c r="G891" s="37"/>
      <c r="H891" s="37"/>
      <c r="I891" s="37"/>
    </row>
    <row r="892" spans="1:9" ht="14.25" customHeight="1" x14ac:dyDescent="0.35">
      <c r="A892" s="46"/>
      <c r="B892" s="46"/>
      <c r="C892" s="46"/>
      <c r="D892" s="37"/>
      <c r="E892" s="37"/>
      <c r="F892" s="37"/>
      <c r="G892" s="37"/>
      <c r="H892" s="37"/>
      <c r="I892" s="37"/>
    </row>
    <row r="893" spans="1:9" ht="14.25" customHeight="1" x14ac:dyDescent="0.35">
      <c r="A893" s="46"/>
      <c r="B893" s="46"/>
      <c r="C893" s="46"/>
      <c r="D893" s="37"/>
      <c r="E893" s="37"/>
      <c r="F893" s="37"/>
      <c r="G893" s="37"/>
      <c r="H893" s="37"/>
      <c r="I893" s="37"/>
    </row>
    <row r="894" spans="1:9" ht="14.25" customHeight="1" x14ac:dyDescent="0.35">
      <c r="A894" s="46"/>
      <c r="B894" s="46"/>
      <c r="C894" s="46"/>
      <c r="D894" s="37"/>
      <c r="E894" s="37"/>
      <c r="F894" s="37"/>
      <c r="G894" s="37"/>
      <c r="H894" s="37"/>
      <c r="I894" s="37"/>
    </row>
    <row r="895" spans="1:9" ht="14.25" customHeight="1" x14ac:dyDescent="0.35">
      <c r="A895" s="46"/>
      <c r="B895" s="46"/>
      <c r="C895" s="46"/>
      <c r="D895" s="37"/>
      <c r="E895" s="37"/>
      <c r="F895" s="37"/>
      <c r="G895" s="37"/>
      <c r="H895" s="37"/>
      <c r="I895" s="37"/>
    </row>
    <row r="896" spans="1:9" ht="14.25" customHeight="1" x14ac:dyDescent="0.35">
      <c r="A896" s="46"/>
      <c r="B896" s="46"/>
      <c r="C896" s="46"/>
      <c r="D896" s="37"/>
      <c r="E896" s="37"/>
      <c r="F896" s="37"/>
      <c r="G896" s="37"/>
      <c r="H896" s="37"/>
      <c r="I896" s="37"/>
    </row>
    <row r="897" spans="1:9" ht="14.25" customHeight="1" x14ac:dyDescent="0.35">
      <c r="A897" s="46"/>
      <c r="B897" s="46"/>
      <c r="C897" s="46"/>
      <c r="D897" s="37"/>
      <c r="E897" s="37"/>
      <c r="F897" s="37"/>
      <c r="G897" s="37"/>
      <c r="H897" s="37"/>
      <c r="I897" s="37"/>
    </row>
    <row r="898" spans="1:9" ht="14.25" customHeight="1" x14ac:dyDescent="0.35">
      <c r="A898" s="46"/>
      <c r="B898" s="46"/>
      <c r="C898" s="46"/>
      <c r="D898" s="37"/>
      <c r="E898" s="37"/>
      <c r="F898" s="37"/>
      <c r="G898" s="37"/>
      <c r="H898" s="37"/>
      <c r="I898" s="37"/>
    </row>
    <row r="899" spans="1:9" ht="14.25" customHeight="1" x14ac:dyDescent="0.35">
      <c r="A899" s="46"/>
      <c r="B899" s="46"/>
      <c r="C899" s="46"/>
      <c r="D899" s="37"/>
      <c r="E899" s="37"/>
      <c r="F899" s="37"/>
      <c r="G899" s="37"/>
      <c r="H899" s="37"/>
      <c r="I899" s="37"/>
    </row>
    <row r="900" spans="1:9" ht="14.25" customHeight="1" x14ac:dyDescent="0.35">
      <c r="A900" s="46"/>
      <c r="B900" s="46"/>
      <c r="C900" s="46"/>
      <c r="D900" s="37"/>
      <c r="E900" s="37"/>
      <c r="F900" s="37"/>
      <c r="G900" s="37"/>
      <c r="H900" s="37"/>
      <c r="I900" s="37"/>
    </row>
    <row r="901" spans="1:9" ht="14.25" customHeight="1" x14ac:dyDescent="0.35">
      <c r="A901" s="46"/>
      <c r="B901" s="46"/>
      <c r="C901" s="46"/>
      <c r="D901" s="37"/>
      <c r="E901" s="37"/>
      <c r="F901" s="37"/>
      <c r="G901" s="37"/>
      <c r="H901" s="37"/>
      <c r="I901" s="37"/>
    </row>
    <row r="902" spans="1:9" ht="14.25" customHeight="1" x14ac:dyDescent="0.35">
      <c r="A902" s="46"/>
      <c r="B902" s="46"/>
      <c r="C902" s="46"/>
      <c r="D902" s="37"/>
      <c r="E902" s="37"/>
      <c r="F902" s="37"/>
      <c r="G902" s="37"/>
      <c r="H902" s="37"/>
      <c r="I902" s="37"/>
    </row>
    <row r="903" spans="1:9" ht="14.25" customHeight="1" x14ac:dyDescent="0.35">
      <c r="A903" s="46"/>
      <c r="B903" s="46"/>
      <c r="C903" s="46"/>
      <c r="D903" s="37"/>
      <c r="E903" s="37"/>
      <c r="F903" s="37"/>
      <c r="G903" s="37"/>
      <c r="H903" s="37"/>
      <c r="I903" s="37"/>
    </row>
    <row r="904" spans="1:9" ht="14.25" customHeight="1" x14ac:dyDescent="0.35">
      <c r="A904" s="46"/>
      <c r="B904" s="46"/>
      <c r="C904" s="46"/>
      <c r="D904" s="37"/>
      <c r="E904" s="37"/>
      <c r="F904" s="37"/>
      <c r="G904" s="37"/>
      <c r="H904" s="37"/>
      <c r="I904" s="37"/>
    </row>
    <row r="905" spans="1:9" ht="14.25" customHeight="1" x14ac:dyDescent="0.35">
      <c r="A905" s="46"/>
      <c r="B905" s="46"/>
      <c r="C905" s="46"/>
      <c r="D905" s="37"/>
      <c r="E905" s="37"/>
      <c r="F905" s="37"/>
      <c r="G905" s="37"/>
      <c r="H905" s="37"/>
      <c r="I905" s="37"/>
    </row>
    <row r="906" spans="1:9" ht="14.25" customHeight="1" x14ac:dyDescent="0.35">
      <c r="A906" s="46"/>
      <c r="B906" s="46"/>
      <c r="C906" s="46"/>
      <c r="D906" s="37"/>
      <c r="E906" s="37"/>
      <c r="F906" s="37"/>
      <c r="G906" s="37"/>
      <c r="H906" s="37"/>
      <c r="I906" s="37"/>
    </row>
    <row r="907" spans="1:9" ht="14.25" customHeight="1" x14ac:dyDescent="0.35">
      <c r="A907" s="46"/>
      <c r="B907" s="46"/>
      <c r="C907" s="46"/>
      <c r="D907" s="37"/>
      <c r="E907" s="37"/>
      <c r="F907" s="37"/>
      <c r="G907" s="37"/>
      <c r="H907" s="37"/>
      <c r="I907" s="37"/>
    </row>
    <row r="908" spans="1:9" ht="14.25" customHeight="1" x14ac:dyDescent="0.35">
      <c r="A908" s="46"/>
      <c r="B908" s="46"/>
      <c r="C908" s="46"/>
      <c r="D908" s="37"/>
      <c r="E908" s="37"/>
      <c r="F908" s="37"/>
      <c r="G908" s="37"/>
      <c r="H908" s="37"/>
      <c r="I908" s="37"/>
    </row>
    <row r="909" spans="1:9" ht="14.25" customHeight="1" x14ac:dyDescent="0.35">
      <c r="A909" s="46"/>
      <c r="B909" s="46"/>
      <c r="C909" s="46"/>
      <c r="D909" s="37"/>
      <c r="E909" s="37"/>
      <c r="F909" s="37"/>
      <c r="G909" s="37"/>
      <c r="H909" s="37"/>
      <c r="I909" s="37"/>
    </row>
    <row r="910" spans="1:9" ht="14.25" customHeight="1" x14ac:dyDescent="0.35">
      <c r="A910" s="46"/>
      <c r="B910" s="46"/>
      <c r="C910" s="46"/>
      <c r="D910" s="37"/>
      <c r="E910" s="37"/>
      <c r="F910" s="37"/>
      <c r="G910" s="37"/>
      <c r="H910" s="37"/>
      <c r="I910" s="37"/>
    </row>
    <row r="911" spans="1:9" ht="14.25" customHeight="1" x14ac:dyDescent="0.35">
      <c r="A911" s="46"/>
      <c r="B911" s="46"/>
      <c r="C911" s="46"/>
      <c r="D911" s="37"/>
      <c r="E911" s="37"/>
      <c r="F911" s="37"/>
      <c r="G911" s="37"/>
      <c r="H911" s="37"/>
      <c r="I911" s="37"/>
    </row>
    <row r="912" spans="1:9" ht="14.25" customHeight="1" x14ac:dyDescent="0.35">
      <c r="A912" s="46"/>
      <c r="B912" s="46"/>
      <c r="C912" s="46"/>
      <c r="D912" s="37"/>
      <c r="E912" s="37"/>
      <c r="F912" s="37"/>
      <c r="G912" s="37"/>
      <c r="H912" s="37"/>
      <c r="I912" s="37"/>
    </row>
    <row r="913" spans="1:9" ht="14.25" customHeight="1" x14ac:dyDescent="0.35">
      <c r="A913" s="46"/>
      <c r="B913" s="46"/>
      <c r="C913" s="46"/>
      <c r="D913" s="37"/>
      <c r="E913" s="37"/>
      <c r="F913" s="37"/>
      <c r="G913" s="37"/>
      <c r="H913" s="37"/>
      <c r="I913" s="37"/>
    </row>
    <row r="914" spans="1:9" ht="14.25" customHeight="1" x14ac:dyDescent="0.35">
      <c r="A914" s="46"/>
      <c r="B914" s="46"/>
      <c r="C914" s="46"/>
      <c r="D914" s="37"/>
      <c r="E914" s="37"/>
      <c r="F914" s="37"/>
      <c r="G914" s="37"/>
      <c r="H914" s="37"/>
      <c r="I914" s="37"/>
    </row>
    <row r="915" spans="1:9" ht="14.25" customHeight="1" x14ac:dyDescent="0.35">
      <c r="A915" s="46"/>
      <c r="B915" s="46"/>
      <c r="C915" s="46"/>
      <c r="D915" s="37"/>
      <c r="E915" s="37"/>
      <c r="F915" s="37"/>
      <c r="G915" s="37"/>
      <c r="H915" s="37"/>
      <c r="I915" s="37"/>
    </row>
    <row r="916" spans="1:9" ht="14.25" customHeight="1" x14ac:dyDescent="0.35">
      <c r="A916" s="46"/>
      <c r="B916" s="46"/>
      <c r="C916" s="46"/>
      <c r="D916" s="37"/>
      <c r="E916" s="37"/>
      <c r="F916" s="37"/>
      <c r="G916" s="37"/>
      <c r="H916" s="37"/>
      <c r="I916" s="37"/>
    </row>
    <row r="917" spans="1:9" ht="14.25" customHeight="1" x14ac:dyDescent="0.35">
      <c r="A917" s="46"/>
      <c r="B917" s="46"/>
      <c r="C917" s="46"/>
      <c r="D917" s="37"/>
      <c r="E917" s="37"/>
      <c r="F917" s="37"/>
      <c r="G917" s="37"/>
      <c r="H917" s="37"/>
      <c r="I917" s="37"/>
    </row>
    <row r="918" spans="1:9" ht="14.25" customHeight="1" x14ac:dyDescent="0.35">
      <c r="A918" s="46"/>
      <c r="B918" s="46"/>
      <c r="C918" s="46"/>
      <c r="D918" s="37"/>
      <c r="E918" s="37"/>
      <c r="F918" s="37"/>
      <c r="G918" s="37"/>
      <c r="H918" s="37"/>
      <c r="I918" s="37"/>
    </row>
    <row r="919" spans="1:9" ht="14.25" customHeight="1" x14ac:dyDescent="0.35">
      <c r="A919" s="46"/>
      <c r="B919" s="46"/>
      <c r="C919" s="46"/>
      <c r="D919" s="37"/>
      <c r="E919" s="37"/>
      <c r="F919" s="37"/>
      <c r="G919" s="37"/>
      <c r="H919" s="37"/>
      <c r="I919" s="37"/>
    </row>
    <row r="920" spans="1:9" ht="14.25" customHeight="1" x14ac:dyDescent="0.35">
      <c r="A920" s="46"/>
      <c r="B920" s="46"/>
      <c r="C920" s="46"/>
      <c r="D920" s="37"/>
      <c r="E920" s="37"/>
      <c r="F920" s="37"/>
      <c r="G920" s="37"/>
      <c r="H920" s="37"/>
      <c r="I920" s="37"/>
    </row>
    <row r="921" spans="1:9" ht="14.25" customHeight="1" x14ac:dyDescent="0.35">
      <c r="A921" s="46"/>
      <c r="B921" s="46"/>
      <c r="C921" s="46"/>
      <c r="D921" s="37"/>
      <c r="E921" s="37"/>
      <c r="F921" s="37"/>
      <c r="G921" s="37"/>
      <c r="H921" s="37"/>
      <c r="I921" s="37"/>
    </row>
    <row r="922" spans="1:9" ht="14.25" customHeight="1" x14ac:dyDescent="0.35">
      <c r="A922" s="46"/>
      <c r="B922" s="46"/>
      <c r="C922" s="46"/>
      <c r="D922" s="37"/>
      <c r="E922" s="37"/>
      <c r="F922" s="37"/>
      <c r="G922" s="37"/>
      <c r="H922" s="37"/>
      <c r="I922" s="37"/>
    </row>
    <row r="923" spans="1:9" ht="14.25" customHeight="1" x14ac:dyDescent="0.35">
      <c r="A923" s="46"/>
      <c r="B923" s="46"/>
      <c r="C923" s="46"/>
      <c r="D923" s="37"/>
      <c r="E923" s="37"/>
      <c r="F923" s="37"/>
      <c r="G923" s="37"/>
      <c r="H923" s="37"/>
      <c r="I923" s="37"/>
    </row>
    <row r="924" spans="1:9" ht="14.25" customHeight="1" x14ac:dyDescent="0.35">
      <c r="A924" s="46"/>
      <c r="B924" s="46"/>
      <c r="C924" s="46"/>
      <c r="D924" s="37"/>
      <c r="E924" s="37"/>
      <c r="F924" s="37"/>
      <c r="G924" s="37"/>
      <c r="H924" s="37"/>
      <c r="I924" s="37"/>
    </row>
    <row r="925" spans="1:9" ht="14.25" customHeight="1" x14ac:dyDescent="0.35">
      <c r="A925" s="46"/>
      <c r="B925" s="46"/>
      <c r="C925" s="46"/>
      <c r="D925" s="37"/>
      <c r="E925" s="37"/>
      <c r="F925" s="37"/>
      <c r="G925" s="37"/>
      <c r="H925" s="37"/>
      <c r="I925" s="37"/>
    </row>
    <row r="926" spans="1:9" ht="14.25" customHeight="1" x14ac:dyDescent="0.35">
      <c r="A926" s="46"/>
      <c r="B926" s="46"/>
      <c r="C926" s="46"/>
      <c r="D926" s="37"/>
      <c r="E926" s="37"/>
      <c r="F926" s="37"/>
      <c r="G926" s="37"/>
      <c r="H926" s="37"/>
      <c r="I926" s="37"/>
    </row>
    <row r="927" spans="1:9" ht="14.25" customHeight="1" x14ac:dyDescent="0.35">
      <c r="A927" s="46"/>
      <c r="B927" s="46"/>
      <c r="C927" s="46"/>
      <c r="D927" s="37"/>
      <c r="E927" s="37"/>
      <c r="F927" s="37"/>
      <c r="G927" s="37"/>
      <c r="H927" s="37"/>
      <c r="I927" s="37"/>
    </row>
    <row r="928" spans="1:9" ht="14.25" customHeight="1" x14ac:dyDescent="0.35">
      <c r="A928" s="46"/>
      <c r="B928" s="46"/>
      <c r="C928" s="46"/>
      <c r="D928" s="37"/>
      <c r="E928" s="37"/>
      <c r="F928" s="37"/>
      <c r="G928" s="37"/>
      <c r="H928" s="37"/>
      <c r="I928" s="37"/>
    </row>
    <row r="929" spans="1:9" ht="14.25" customHeight="1" x14ac:dyDescent="0.35">
      <c r="A929" s="46"/>
      <c r="B929" s="46"/>
      <c r="C929" s="46"/>
      <c r="D929" s="37"/>
      <c r="E929" s="37"/>
      <c r="F929" s="37"/>
      <c r="G929" s="37"/>
      <c r="H929" s="37"/>
      <c r="I929" s="37"/>
    </row>
    <row r="930" spans="1:9" ht="14.25" customHeight="1" x14ac:dyDescent="0.35">
      <c r="A930" s="46"/>
      <c r="B930" s="46"/>
      <c r="C930" s="46"/>
      <c r="D930" s="37"/>
      <c r="E930" s="37"/>
      <c r="F930" s="37"/>
      <c r="G930" s="37"/>
      <c r="H930" s="37"/>
      <c r="I930" s="37"/>
    </row>
    <row r="931" spans="1:9" ht="14.25" customHeight="1" x14ac:dyDescent="0.35">
      <c r="A931" s="46"/>
      <c r="B931" s="46"/>
      <c r="C931" s="46"/>
      <c r="D931" s="37"/>
      <c r="E931" s="37"/>
      <c r="F931" s="37"/>
      <c r="G931" s="37"/>
      <c r="H931" s="37"/>
      <c r="I931" s="37"/>
    </row>
    <row r="932" spans="1:9" ht="14.25" customHeight="1" x14ac:dyDescent="0.35">
      <c r="A932" s="46"/>
      <c r="B932" s="46"/>
      <c r="C932" s="46"/>
      <c r="D932" s="37"/>
      <c r="E932" s="37"/>
      <c r="F932" s="37"/>
      <c r="G932" s="37"/>
      <c r="H932" s="37"/>
      <c r="I932" s="37"/>
    </row>
    <row r="933" spans="1:9" ht="14.25" customHeight="1" x14ac:dyDescent="0.35">
      <c r="A933" s="46"/>
      <c r="B933" s="46"/>
      <c r="C933" s="46"/>
      <c r="D933" s="37"/>
      <c r="E933" s="37"/>
      <c r="F933" s="37"/>
      <c r="G933" s="37"/>
      <c r="H933" s="37"/>
      <c r="I933" s="37"/>
    </row>
    <row r="934" spans="1:9" ht="14.25" customHeight="1" x14ac:dyDescent="0.35">
      <c r="A934" s="46"/>
      <c r="B934" s="46"/>
      <c r="C934" s="46"/>
      <c r="D934" s="37"/>
      <c r="E934" s="37"/>
      <c r="F934" s="37"/>
      <c r="G934" s="37"/>
      <c r="H934" s="37"/>
      <c r="I934" s="37"/>
    </row>
    <row r="935" spans="1:9" ht="14.25" customHeight="1" x14ac:dyDescent="0.35">
      <c r="A935" s="46"/>
      <c r="B935" s="46"/>
      <c r="C935" s="46"/>
      <c r="D935" s="37"/>
      <c r="E935" s="37"/>
      <c r="F935" s="37"/>
      <c r="G935" s="37"/>
      <c r="H935" s="37"/>
      <c r="I935" s="37"/>
    </row>
    <row r="936" spans="1:9" ht="14.25" customHeight="1" x14ac:dyDescent="0.35">
      <c r="A936" s="46"/>
      <c r="B936" s="46"/>
      <c r="C936" s="46"/>
      <c r="D936" s="37"/>
      <c r="E936" s="37"/>
      <c r="F936" s="37"/>
      <c r="G936" s="37"/>
      <c r="H936" s="37"/>
      <c r="I936" s="37"/>
    </row>
    <row r="937" spans="1:9" ht="14.25" customHeight="1" x14ac:dyDescent="0.35">
      <c r="A937" s="46"/>
      <c r="B937" s="46"/>
      <c r="C937" s="46"/>
      <c r="D937" s="37"/>
      <c r="E937" s="37"/>
      <c r="F937" s="37"/>
      <c r="G937" s="37"/>
      <c r="H937" s="37"/>
      <c r="I937" s="37"/>
    </row>
    <row r="938" spans="1:9" ht="14.25" customHeight="1" x14ac:dyDescent="0.35">
      <c r="A938" s="46"/>
      <c r="B938" s="46"/>
      <c r="C938" s="46"/>
      <c r="D938" s="37"/>
      <c r="E938" s="37"/>
      <c r="F938" s="37"/>
      <c r="G938" s="37"/>
      <c r="H938" s="37"/>
      <c r="I938" s="37"/>
    </row>
    <row r="939" spans="1:9" ht="14.25" customHeight="1" x14ac:dyDescent="0.35">
      <c r="A939" s="46"/>
      <c r="B939" s="46"/>
      <c r="C939" s="46"/>
      <c r="D939" s="37"/>
      <c r="E939" s="37"/>
      <c r="F939" s="37"/>
      <c r="G939" s="37"/>
      <c r="H939" s="37"/>
      <c r="I939" s="37"/>
    </row>
    <row r="940" spans="1:9" ht="14.25" customHeight="1" x14ac:dyDescent="0.35">
      <c r="A940" s="46"/>
      <c r="B940" s="46"/>
      <c r="C940" s="46"/>
      <c r="D940" s="37"/>
      <c r="E940" s="37"/>
      <c r="F940" s="37"/>
      <c r="G940" s="37"/>
      <c r="H940" s="37"/>
      <c r="I940" s="37"/>
    </row>
    <row r="941" spans="1:9" ht="14.25" customHeight="1" x14ac:dyDescent="0.35">
      <c r="A941" s="46"/>
      <c r="B941" s="46"/>
      <c r="C941" s="46"/>
      <c r="D941" s="37"/>
      <c r="E941" s="37"/>
      <c r="F941" s="37"/>
      <c r="G941" s="37"/>
      <c r="H941" s="37"/>
      <c r="I941" s="37"/>
    </row>
    <row r="942" spans="1:9" ht="14.25" customHeight="1" x14ac:dyDescent="0.35">
      <c r="A942" s="46"/>
      <c r="B942" s="46"/>
      <c r="C942" s="46"/>
      <c r="D942" s="37"/>
      <c r="E942" s="37"/>
      <c r="F942" s="37"/>
      <c r="G942" s="37"/>
      <c r="H942" s="37"/>
      <c r="I942" s="37"/>
    </row>
    <row r="943" spans="1:9" ht="14.25" customHeight="1" x14ac:dyDescent="0.35">
      <c r="A943" s="46"/>
      <c r="B943" s="46"/>
      <c r="C943" s="46"/>
      <c r="D943" s="37"/>
      <c r="E943" s="37"/>
      <c r="F943" s="37"/>
      <c r="G943" s="37"/>
      <c r="H943" s="37"/>
      <c r="I943" s="37"/>
    </row>
    <row r="944" spans="1:9" ht="14.25" customHeight="1" x14ac:dyDescent="0.35">
      <c r="A944" s="46"/>
      <c r="B944" s="46"/>
      <c r="C944" s="46"/>
      <c r="D944" s="37"/>
      <c r="E944" s="37"/>
      <c r="F944" s="37"/>
      <c r="G944" s="37"/>
      <c r="H944" s="37"/>
      <c r="I944" s="37"/>
    </row>
    <row r="945" spans="1:9" ht="14.25" customHeight="1" x14ac:dyDescent="0.35">
      <c r="A945" s="46"/>
      <c r="B945" s="46"/>
      <c r="C945" s="46"/>
      <c r="D945" s="37"/>
      <c r="E945" s="37"/>
      <c r="F945" s="37"/>
      <c r="G945" s="37"/>
      <c r="H945" s="37"/>
      <c r="I945" s="37"/>
    </row>
    <row r="946" spans="1:9" ht="14.25" customHeight="1" x14ac:dyDescent="0.35">
      <c r="A946" s="46"/>
      <c r="B946" s="46"/>
      <c r="C946" s="46"/>
      <c r="D946" s="37"/>
      <c r="E946" s="37"/>
      <c r="F946" s="37"/>
      <c r="G946" s="37"/>
      <c r="H946" s="37"/>
      <c r="I946" s="37"/>
    </row>
    <row r="947" spans="1:9" ht="14.25" customHeight="1" x14ac:dyDescent="0.35">
      <c r="A947" s="46"/>
      <c r="B947" s="46"/>
      <c r="C947" s="46"/>
      <c r="D947" s="37"/>
      <c r="E947" s="37"/>
      <c r="F947" s="37"/>
      <c r="G947" s="37"/>
      <c r="H947" s="37"/>
      <c r="I947" s="37"/>
    </row>
    <row r="948" spans="1:9" ht="14.25" customHeight="1" x14ac:dyDescent="0.35">
      <c r="A948" s="46"/>
      <c r="B948" s="46"/>
      <c r="C948" s="46"/>
      <c r="D948" s="37"/>
      <c r="E948" s="37"/>
      <c r="F948" s="37"/>
      <c r="G948" s="37"/>
      <c r="H948" s="37"/>
      <c r="I948" s="37"/>
    </row>
    <row r="949" spans="1:9" ht="14.25" customHeight="1" x14ac:dyDescent="0.35">
      <c r="A949" s="46"/>
      <c r="B949" s="46"/>
      <c r="C949" s="46"/>
      <c r="D949" s="37"/>
      <c r="E949" s="37"/>
      <c r="F949" s="37"/>
      <c r="G949" s="37"/>
      <c r="H949" s="37"/>
      <c r="I949" s="37"/>
    </row>
    <row r="950" spans="1:9" ht="14.25" customHeight="1" x14ac:dyDescent="0.35">
      <c r="A950" s="46"/>
      <c r="B950" s="46"/>
      <c r="C950" s="46"/>
      <c r="D950" s="37"/>
      <c r="E950" s="37"/>
      <c r="F950" s="37"/>
      <c r="G950" s="37"/>
      <c r="H950" s="37"/>
      <c r="I950" s="37"/>
    </row>
    <row r="951" spans="1:9" ht="14.25" customHeight="1" x14ac:dyDescent="0.35">
      <c r="A951" s="46"/>
      <c r="B951" s="46"/>
      <c r="C951" s="46"/>
      <c r="D951" s="37"/>
      <c r="E951" s="37"/>
      <c r="F951" s="37"/>
      <c r="G951" s="37"/>
      <c r="H951" s="37"/>
      <c r="I951" s="37"/>
    </row>
    <row r="952" spans="1:9" ht="14.25" customHeight="1" x14ac:dyDescent="0.35">
      <c r="A952" s="46"/>
      <c r="B952" s="46"/>
      <c r="C952" s="46"/>
      <c r="D952" s="37"/>
      <c r="E952" s="37"/>
      <c r="F952" s="37"/>
      <c r="G952" s="37"/>
      <c r="H952" s="37"/>
      <c r="I952" s="37"/>
    </row>
    <row r="953" spans="1:9" ht="14.25" customHeight="1" x14ac:dyDescent="0.35">
      <c r="A953" s="46"/>
      <c r="B953" s="46"/>
      <c r="C953" s="46"/>
      <c r="D953" s="37"/>
      <c r="E953" s="37"/>
      <c r="F953" s="37"/>
      <c r="G953" s="37"/>
      <c r="H953" s="37"/>
      <c r="I953" s="37"/>
    </row>
    <row r="954" spans="1:9" ht="14.25" customHeight="1" x14ac:dyDescent="0.35">
      <c r="A954" s="46"/>
      <c r="B954" s="46"/>
      <c r="C954" s="46"/>
      <c r="D954" s="37"/>
      <c r="E954" s="37"/>
      <c r="F954" s="37"/>
      <c r="G954" s="37"/>
      <c r="H954" s="37"/>
      <c r="I954" s="37"/>
    </row>
    <row r="955" spans="1:9" ht="14.25" customHeight="1" x14ac:dyDescent="0.35">
      <c r="A955" s="46"/>
      <c r="B955" s="46"/>
      <c r="C955" s="46"/>
      <c r="D955" s="37"/>
      <c r="E955" s="37"/>
      <c r="F955" s="37"/>
      <c r="G955" s="37"/>
      <c r="H955" s="37"/>
      <c r="I955" s="37"/>
    </row>
    <row r="956" spans="1:9" ht="14.25" customHeight="1" x14ac:dyDescent="0.35">
      <c r="A956" s="46"/>
      <c r="B956" s="46"/>
      <c r="C956" s="46"/>
      <c r="D956" s="37"/>
      <c r="E956" s="37"/>
      <c r="F956" s="37"/>
      <c r="G956" s="37"/>
      <c r="H956" s="37"/>
      <c r="I956" s="37"/>
    </row>
    <row r="957" spans="1:9" ht="14.25" customHeight="1" x14ac:dyDescent="0.35">
      <c r="A957" s="46"/>
      <c r="B957" s="46"/>
      <c r="C957" s="46"/>
      <c r="D957" s="37"/>
      <c r="E957" s="37"/>
      <c r="F957" s="37"/>
      <c r="G957" s="37"/>
      <c r="H957" s="37"/>
      <c r="I957" s="37"/>
    </row>
    <row r="958" spans="1:9" ht="14.25" customHeight="1" x14ac:dyDescent="0.35">
      <c r="A958" s="46"/>
      <c r="B958" s="46"/>
      <c r="C958" s="46"/>
      <c r="D958" s="37"/>
      <c r="E958" s="37"/>
      <c r="F958" s="37"/>
      <c r="G958" s="37"/>
      <c r="H958" s="37"/>
      <c r="I958" s="37"/>
    </row>
    <row r="959" spans="1:9" ht="14.25" customHeight="1" x14ac:dyDescent="0.35">
      <c r="A959" s="46"/>
      <c r="B959" s="46"/>
      <c r="C959" s="46"/>
      <c r="D959" s="37"/>
      <c r="E959" s="37"/>
      <c r="F959" s="37"/>
      <c r="G959" s="37"/>
      <c r="H959" s="37"/>
      <c r="I959" s="37"/>
    </row>
    <row r="960" spans="1:9" ht="14.25" customHeight="1" x14ac:dyDescent="0.35">
      <c r="A960" s="46"/>
      <c r="B960" s="46"/>
      <c r="C960" s="46"/>
      <c r="D960" s="37"/>
      <c r="E960" s="37"/>
      <c r="F960" s="37"/>
      <c r="G960" s="37"/>
      <c r="H960" s="37"/>
      <c r="I960" s="37"/>
    </row>
    <row r="961" spans="1:9" ht="14.25" customHeight="1" x14ac:dyDescent="0.35">
      <c r="A961" s="46"/>
      <c r="B961" s="46"/>
      <c r="C961" s="46"/>
      <c r="D961" s="37"/>
      <c r="E961" s="37"/>
      <c r="F961" s="37"/>
      <c r="G961" s="37"/>
      <c r="H961" s="37"/>
      <c r="I961" s="37"/>
    </row>
    <row r="962" spans="1:9" ht="14.25" customHeight="1" x14ac:dyDescent="0.35">
      <c r="A962" s="46"/>
      <c r="B962" s="46"/>
      <c r="C962" s="46"/>
      <c r="D962" s="37"/>
      <c r="E962" s="37"/>
      <c r="F962" s="37"/>
      <c r="G962" s="37"/>
      <c r="H962" s="37"/>
      <c r="I962" s="37"/>
    </row>
    <row r="963" spans="1:9" ht="14.25" customHeight="1" x14ac:dyDescent="0.35">
      <c r="A963" s="46"/>
      <c r="B963" s="46"/>
      <c r="C963" s="46"/>
      <c r="D963" s="37"/>
      <c r="E963" s="37"/>
      <c r="F963" s="37"/>
      <c r="G963" s="37"/>
      <c r="H963" s="37"/>
      <c r="I963" s="37"/>
    </row>
    <row r="964" spans="1:9" ht="14.25" customHeight="1" x14ac:dyDescent="0.35">
      <c r="A964" s="46"/>
      <c r="B964" s="46"/>
      <c r="C964" s="46"/>
      <c r="D964" s="37"/>
      <c r="E964" s="37"/>
      <c r="F964" s="37"/>
      <c r="G964" s="37"/>
      <c r="H964" s="37"/>
      <c r="I964" s="37"/>
    </row>
    <row r="965" spans="1:9" ht="14.25" customHeight="1" x14ac:dyDescent="0.35">
      <c r="A965" s="46"/>
      <c r="B965" s="46"/>
      <c r="C965" s="46"/>
      <c r="D965" s="37"/>
      <c r="E965" s="37"/>
      <c r="F965" s="37"/>
      <c r="G965" s="37"/>
      <c r="H965" s="37"/>
      <c r="I965" s="37"/>
    </row>
    <row r="966" spans="1:9" ht="14.25" customHeight="1" x14ac:dyDescent="0.35">
      <c r="A966" s="46"/>
      <c r="B966" s="46"/>
      <c r="C966" s="46"/>
      <c r="D966" s="37"/>
      <c r="E966" s="37"/>
      <c r="F966" s="37"/>
      <c r="G966" s="37"/>
      <c r="H966" s="37"/>
      <c r="I966" s="37"/>
    </row>
    <row r="967" spans="1:9" ht="14.25" customHeight="1" x14ac:dyDescent="0.35">
      <c r="A967" s="46"/>
      <c r="B967" s="46"/>
      <c r="C967" s="46"/>
      <c r="D967" s="37"/>
      <c r="E967" s="37"/>
      <c r="F967" s="37"/>
      <c r="G967" s="37"/>
      <c r="H967" s="37"/>
      <c r="I967" s="37"/>
    </row>
    <row r="968" spans="1:9" ht="14.25" customHeight="1" x14ac:dyDescent="0.35">
      <c r="A968" s="46"/>
      <c r="B968" s="46"/>
      <c r="C968" s="46"/>
      <c r="D968" s="37"/>
      <c r="E968" s="37"/>
      <c r="F968" s="37"/>
      <c r="G968" s="37"/>
      <c r="H968" s="37"/>
      <c r="I968" s="37"/>
    </row>
    <row r="969" spans="1:9" ht="14.25" customHeight="1" x14ac:dyDescent="0.35">
      <c r="A969" s="46"/>
      <c r="B969" s="46"/>
      <c r="C969" s="46"/>
      <c r="D969" s="37"/>
      <c r="E969" s="37"/>
      <c r="F969" s="37"/>
      <c r="G969" s="37"/>
      <c r="H969" s="37"/>
      <c r="I969" s="37"/>
    </row>
    <row r="970" spans="1:9" ht="14.25" customHeight="1" x14ac:dyDescent="0.35">
      <c r="A970" s="46"/>
      <c r="B970" s="46"/>
      <c r="C970" s="46"/>
      <c r="D970" s="37"/>
      <c r="E970" s="37"/>
      <c r="F970" s="37"/>
      <c r="G970" s="37"/>
      <c r="H970" s="37"/>
      <c r="I970" s="37"/>
    </row>
    <row r="971" spans="1:9" ht="14.25" customHeight="1" x14ac:dyDescent="0.35">
      <c r="A971" s="46"/>
      <c r="B971" s="46"/>
      <c r="C971" s="46"/>
      <c r="D971" s="37"/>
      <c r="E971" s="37"/>
      <c r="F971" s="37"/>
      <c r="G971" s="37"/>
      <c r="H971" s="37"/>
      <c r="I971" s="37"/>
    </row>
    <row r="972" spans="1:9" ht="14.25" customHeight="1" x14ac:dyDescent="0.35">
      <c r="A972" s="46"/>
      <c r="B972" s="46"/>
      <c r="C972" s="46"/>
      <c r="D972" s="37"/>
      <c r="E972" s="37"/>
      <c r="F972" s="37"/>
      <c r="G972" s="37"/>
      <c r="H972" s="37"/>
      <c r="I972" s="37"/>
    </row>
    <row r="973" spans="1:9" ht="14.25" customHeight="1" x14ac:dyDescent="0.35">
      <c r="A973" s="46"/>
      <c r="B973" s="46"/>
      <c r="C973" s="46"/>
      <c r="D973" s="37"/>
      <c r="E973" s="37"/>
      <c r="F973" s="37"/>
      <c r="G973" s="37"/>
      <c r="H973" s="37"/>
      <c r="I973" s="37"/>
    </row>
    <row r="974" spans="1:9" ht="14.25" customHeight="1" x14ac:dyDescent="0.35">
      <c r="A974" s="46"/>
      <c r="B974" s="46"/>
      <c r="C974" s="46"/>
      <c r="D974" s="37"/>
      <c r="E974" s="37"/>
      <c r="F974" s="37"/>
      <c r="G974" s="37"/>
      <c r="H974" s="37"/>
      <c r="I974" s="37"/>
    </row>
    <row r="975" spans="1:9" ht="14.25" customHeight="1" x14ac:dyDescent="0.35">
      <c r="A975" s="46"/>
      <c r="B975" s="46"/>
      <c r="C975" s="46"/>
      <c r="D975" s="37"/>
      <c r="E975" s="37"/>
      <c r="F975" s="37"/>
      <c r="G975" s="37"/>
      <c r="H975" s="37"/>
      <c r="I975" s="37"/>
    </row>
    <row r="976" spans="1:9" ht="14.25" customHeight="1" x14ac:dyDescent="0.35">
      <c r="A976" s="46"/>
      <c r="B976" s="46"/>
      <c r="C976" s="46"/>
      <c r="D976" s="37"/>
      <c r="E976" s="37"/>
      <c r="F976" s="37"/>
      <c r="G976" s="37"/>
      <c r="H976" s="37"/>
      <c r="I976" s="37"/>
    </row>
    <row r="977" spans="1:9" ht="14.25" customHeight="1" x14ac:dyDescent="0.35">
      <c r="A977" s="46"/>
      <c r="B977" s="46"/>
      <c r="C977" s="46"/>
      <c r="D977" s="37"/>
      <c r="E977" s="37"/>
      <c r="F977" s="37"/>
      <c r="G977" s="37"/>
      <c r="H977" s="37"/>
      <c r="I977" s="37"/>
    </row>
    <row r="978" spans="1:9" ht="14.25" customHeight="1" x14ac:dyDescent="0.35">
      <c r="A978" s="46"/>
      <c r="B978" s="46"/>
      <c r="C978" s="46"/>
      <c r="D978" s="37"/>
      <c r="E978" s="37"/>
      <c r="F978" s="37"/>
      <c r="G978" s="37"/>
      <c r="H978" s="37"/>
      <c r="I978" s="37"/>
    </row>
    <row r="979" spans="1:9" ht="14.25" customHeight="1" x14ac:dyDescent="0.35">
      <c r="A979" s="46"/>
      <c r="B979" s="46"/>
      <c r="C979" s="46"/>
      <c r="D979" s="37"/>
      <c r="E979" s="37"/>
      <c r="F979" s="37"/>
      <c r="G979" s="37"/>
      <c r="H979" s="37"/>
      <c r="I979" s="37"/>
    </row>
    <row r="980" spans="1:9" ht="14.25" customHeight="1" x14ac:dyDescent="0.35">
      <c r="A980" s="46"/>
      <c r="B980" s="46"/>
      <c r="C980" s="46"/>
      <c r="D980" s="37"/>
      <c r="E980" s="37"/>
      <c r="F980" s="37"/>
      <c r="G980" s="37"/>
      <c r="H980" s="37"/>
      <c r="I980" s="37"/>
    </row>
    <row r="981" spans="1:9" ht="14.25" customHeight="1" x14ac:dyDescent="0.35">
      <c r="A981" s="46"/>
      <c r="B981" s="46"/>
      <c r="C981" s="46"/>
      <c r="D981" s="37"/>
      <c r="E981" s="37"/>
      <c r="F981" s="37"/>
      <c r="G981" s="37"/>
      <c r="H981" s="37"/>
      <c r="I981" s="37"/>
    </row>
    <row r="982" spans="1:9" ht="14.25" customHeight="1" x14ac:dyDescent="0.35">
      <c r="A982" s="46"/>
      <c r="B982" s="46"/>
      <c r="C982" s="46"/>
      <c r="D982" s="37"/>
      <c r="E982" s="37"/>
      <c r="F982" s="37"/>
      <c r="G982" s="37"/>
      <c r="H982" s="37"/>
      <c r="I982" s="37"/>
    </row>
    <row r="983" spans="1:9" ht="14.25" customHeight="1" x14ac:dyDescent="0.35">
      <c r="A983" s="46"/>
      <c r="B983" s="46"/>
      <c r="C983" s="46"/>
      <c r="D983" s="37"/>
      <c r="E983" s="37"/>
      <c r="F983" s="37"/>
      <c r="G983" s="37"/>
      <c r="H983" s="37"/>
      <c r="I983" s="37"/>
    </row>
    <row r="984" spans="1:9" ht="14.25" customHeight="1" x14ac:dyDescent="0.35">
      <c r="A984" s="46"/>
      <c r="B984" s="46"/>
      <c r="C984" s="46"/>
      <c r="D984" s="37"/>
      <c r="E984" s="37"/>
      <c r="F984" s="37"/>
      <c r="G984" s="37"/>
      <c r="H984" s="37"/>
      <c r="I984" s="37"/>
    </row>
    <row r="985" spans="1:9" ht="14.25" customHeight="1" x14ac:dyDescent="0.35">
      <c r="A985" s="46"/>
      <c r="B985" s="46"/>
      <c r="C985" s="46"/>
      <c r="D985" s="37"/>
      <c r="E985" s="37"/>
      <c r="F985" s="37"/>
      <c r="G985" s="37"/>
      <c r="H985" s="37"/>
      <c r="I985" s="37"/>
    </row>
    <row r="986" spans="1:9" ht="14.25" customHeight="1" x14ac:dyDescent="0.35">
      <c r="A986" s="46"/>
      <c r="B986" s="46"/>
      <c r="C986" s="46"/>
      <c r="D986" s="37"/>
      <c r="E986" s="37"/>
      <c r="F986" s="37"/>
      <c r="G986" s="37"/>
      <c r="H986" s="37"/>
      <c r="I986" s="37"/>
    </row>
    <row r="987" spans="1:9" ht="14.25" customHeight="1" x14ac:dyDescent="0.35">
      <c r="A987" s="46"/>
      <c r="B987" s="46"/>
      <c r="C987" s="46"/>
      <c r="D987" s="37"/>
      <c r="E987" s="37"/>
      <c r="F987" s="37"/>
      <c r="G987" s="37"/>
      <c r="H987" s="37"/>
      <c r="I987" s="37"/>
    </row>
    <row r="988" spans="1:9" ht="14.25" customHeight="1" x14ac:dyDescent="0.35">
      <c r="A988" s="46"/>
      <c r="B988" s="46"/>
      <c r="C988" s="46"/>
      <c r="D988" s="37"/>
      <c r="E988" s="37"/>
      <c r="F988" s="37"/>
      <c r="G988" s="37"/>
      <c r="H988" s="37"/>
      <c r="I988" s="37"/>
    </row>
    <row r="989" spans="1:9" ht="14.25" customHeight="1" x14ac:dyDescent="0.35">
      <c r="A989" s="46"/>
      <c r="B989" s="46"/>
      <c r="C989" s="46"/>
      <c r="D989" s="37"/>
      <c r="E989" s="37"/>
      <c r="F989" s="37"/>
      <c r="G989" s="37"/>
      <c r="H989" s="37"/>
      <c r="I989" s="37"/>
    </row>
    <row r="990" spans="1:9" ht="14.25" customHeight="1" x14ac:dyDescent="0.35">
      <c r="A990" s="46"/>
      <c r="B990" s="46"/>
      <c r="C990" s="46"/>
      <c r="D990" s="37"/>
      <c r="E990" s="37"/>
      <c r="F990" s="37"/>
      <c r="G990" s="37"/>
      <c r="H990" s="37"/>
      <c r="I990" s="37"/>
    </row>
    <row r="991" spans="1:9" ht="14.25" customHeight="1" x14ac:dyDescent="0.35">
      <c r="A991" s="46"/>
      <c r="B991" s="46"/>
      <c r="C991" s="46"/>
      <c r="D991" s="37"/>
      <c r="E991" s="37"/>
      <c r="F991" s="37"/>
      <c r="G991" s="37"/>
      <c r="H991" s="37"/>
      <c r="I991" s="37"/>
    </row>
    <row r="992" spans="1:9" ht="14.25" customHeight="1" x14ac:dyDescent="0.35">
      <c r="A992" s="46"/>
      <c r="B992" s="46"/>
      <c r="C992" s="46"/>
      <c r="D992" s="37"/>
      <c r="E992" s="37"/>
      <c r="F992" s="37"/>
      <c r="G992" s="37"/>
      <c r="H992" s="37"/>
      <c r="I992" s="37"/>
    </row>
    <row r="993" spans="1:9" ht="14.25" customHeight="1" x14ac:dyDescent="0.35">
      <c r="A993" s="46"/>
      <c r="B993" s="46"/>
      <c r="C993" s="46"/>
      <c r="D993" s="37"/>
      <c r="E993" s="37"/>
      <c r="F993" s="37"/>
      <c r="G993" s="37"/>
      <c r="H993" s="37"/>
      <c r="I993" s="37"/>
    </row>
    <row r="994" spans="1:9" ht="14.25" customHeight="1" x14ac:dyDescent="0.35">
      <c r="A994" s="46"/>
      <c r="B994" s="46"/>
      <c r="C994" s="46"/>
      <c r="D994" s="37"/>
      <c r="E994" s="37"/>
      <c r="F994" s="37"/>
      <c r="G994" s="37"/>
      <c r="H994" s="37"/>
      <c r="I994" s="37"/>
    </row>
    <row r="995" spans="1:9" ht="14.25" customHeight="1" x14ac:dyDescent="0.35">
      <c r="A995" s="46"/>
      <c r="B995" s="46"/>
      <c r="C995" s="46"/>
      <c r="D995" s="37"/>
      <c r="E995" s="37"/>
      <c r="F995" s="37"/>
      <c r="G995" s="37"/>
      <c r="H995" s="37"/>
      <c r="I995" s="37"/>
    </row>
    <row r="996" spans="1:9" ht="14.25" customHeight="1" x14ac:dyDescent="0.35">
      <c r="A996" s="46"/>
      <c r="B996" s="46"/>
      <c r="C996" s="46"/>
      <c r="D996" s="37"/>
      <c r="E996" s="37"/>
      <c r="F996" s="37"/>
      <c r="G996" s="37"/>
      <c r="H996" s="37"/>
      <c r="I996" s="37"/>
    </row>
    <row r="997" spans="1:9" ht="14.25" customHeight="1" x14ac:dyDescent="0.35">
      <c r="A997" s="46"/>
      <c r="B997" s="46"/>
      <c r="C997" s="46"/>
      <c r="D997" s="37"/>
      <c r="E997" s="37"/>
      <c r="F997" s="37"/>
      <c r="G997" s="37"/>
      <c r="H997" s="37"/>
      <c r="I997" s="37"/>
    </row>
    <row r="998" spans="1:9" ht="14.25" customHeight="1" x14ac:dyDescent="0.35">
      <c r="A998" s="46"/>
      <c r="B998" s="46"/>
      <c r="C998" s="46"/>
      <c r="D998" s="37"/>
      <c r="E998" s="37"/>
      <c r="F998" s="37"/>
      <c r="G998" s="37"/>
      <c r="H998" s="37"/>
      <c r="I998" s="37"/>
    </row>
    <row r="999" spans="1:9" ht="14.25" customHeight="1" x14ac:dyDescent="0.35">
      <c r="A999" s="46"/>
      <c r="B999" s="46"/>
      <c r="C999" s="46"/>
      <c r="D999" s="37"/>
      <c r="E999" s="37"/>
      <c r="F999" s="37"/>
      <c r="G999" s="37"/>
      <c r="H999" s="37"/>
      <c r="I999" s="37"/>
    </row>
    <row r="1000" spans="1:9" ht="14.25" customHeight="1" x14ac:dyDescent="0.35">
      <c r="A1000" s="46"/>
      <c r="B1000" s="46"/>
      <c r="C1000" s="46"/>
      <c r="D1000" s="37"/>
      <c r="E1000" s="37"/>
      <c r="F1000" s="37"/>
      <c r="G1000" s="37"/>
      <c r="H1000" s="37"/>
      <c r="I1000" s="37"/>
    </row>
  </sheetData>
  <mergeCells count="4">
    <mergeCell ref="A699:A703"/>
    <mergeCell ref="A704:A747"/>
    <mergeCell ref="A748:A757"/>
    <mergeCell ref="A758:A782"/>
  </mergeCells>
  <pageMargins left="0.70078740157480324" right="0.70078740157480324" top="0.75196850393700787" bottom="0.75196850393700787"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L1000"/>
  <sheetViews>
    <sheetView showGridLines="0" workbookViewId="0">
      <selection activeCell="B12" sqref="B12"/>
    </sheetView>
  </sheetViews>
  <sheetFormatPr baseColWidth="10" defaultColWidth="14.453125" defaultRowHeight="15" customHeight="1" x14ac:dyDescent="0.35"/>
  <cols>
    <col min="1" max="1" width="48" customWidth="1"/>
    <col min="2" max="2" width="119.7265625" customWidth="1"/>
    <col min="3" max="3" width="48.1796875" customWidth="1"/>
    <col min="4" max="4" width="36.1796875" customWidth="1"/>
    <col min="5" max="9" width="10.7265625" customWidth="1"/>
    <col min="10" max="10" width="45.81640625" customWidth="1"/>
    <col min="11" max="26" width="10.7265625" customWidth="1"/>
  </cols>
  <sheetData>
    <row r="1" spans="1:4" ht="14.25" customHeight="1" x14ac:dyDescent="0.35">
      <c r="A1" s="35" t="s">
        <v>901</v>
      </c>
      <c r="B1" s="36"/>
      <c r="C1" s="37"/>
      <c r="D1" s="37"/>
    </row>
    <row r="2" spans="1:4" ht="14.25" customHeight="1" x14ac:dyDescent="0.35">
      <c r="A2" s="36">
        <v>1</v>
      </c>
      <c r="B2" s="36" t="s">
        <v>118</v>
      </c>
      <c r="C2" s="37"/>
      <c r="D2" s="37"/>
    </row>
    <row r="3" spans="1:4" ht="14.25" customHeight="1" x14ac:dyDescent="0.35">
      <c r="A3" s="36">
        <v>2</v>
      </c>
      <c r="B3" s="36" t="s">
        <v>195</v>
      </c>
      <c r="C3" s="37"/>
      <c r="D3" s="37"/>
    </row>
    <row r="4" spans="1:4" ht="14.25" customHeight="1" x14ac:dyDescent="0.35">
      <c r="A4" s="36">
        <v>3</v>
      </c>
      <c r="B4" s="36" t="s">
        <v>653</v>
      </c>
      <c r="C4" s="37"/>
      <c r="D4" s="37"/>
    </row>
    <row r="5" spans="1:4" ht="14.25" customHeight="1" x14ac:dyDescent="0.35">
      <c r="A5" s="36">
        <v>4</v>
      </c>
      <c r="B5" s="36" t="s">
        <v>97</v>
      </c>
      <c r="C5" s="37"/>
      <c r="D5" s="37"/>
    </row>
    <row r="6" spans="1:4" ht="14.25" customHeight="1" x14ac:dyDescent="0.35">
      <c r="A6" s="36">
        <v>5</v>
      </c>
      <c r="B6" s="36" t="s">
        <v>685</v>
      </c>
      <c r="C6" s="37"/>
      <c r="D6" s="37"/>
    </row>
    <row r="7" spans="1:4" ht="14.25" customHeight="1" x14ac:dyDescent="0.35">
      <c r="A7" s="36">
        <v>6</v>
      </c>
      <c r="B7" s="36" t="s">
        <v>133</v>
      </c>
      <c r="C7" s="37"/>
      <c r="D7" s="37"/>
    </row>
    <row r="8" spans="1:4" ht="14.25" customHeight="1" x14ac:dyDescent="0.35">
      <c r="A8" s="36">
        <v>7</v>
      </c>
      <c r="B8" s="36" t="s">
        <v>436</v>
      </c>
      <c r="C8" s="37"/>
      <c r="D8" s="37"/>
    </row>
    <row r="9" spans="1:4" ht="14.25" customHeight="1" x14ac:dyDescent="0.35">
      <c r="A9" s="37"/>
      <c r="B9" s="37"/>
      <c r="C9" s="37"/>
      <c r="D9" s="37"/>
    </row>
    <row r="10" spans="1:4" ht="14.25" customHeight="1" x14ac:dyDescent="0.35">
      <c r="A10" s="35" t="s">
        <v>902</v>
      </c>
      <c r="B10" s="35"/>
      <c r="C10" s="37"/>
      <c r="D10" s="37"/>
    </row>
    <row r="11" spans="1:4" ht="14.25" customHeight="1" x14ac:dyDescent="0.35">
      <c r="A11" s="35" t="s">
        <v>903</v>
      </c>
      <c r="B11" s="35" t="s">
        <v>904</v>
      </c>
      <c r="C11" s="37"/>
      <c r="D11" s="37"/>
    </row>
    <row r="12" spans="1:4" ht="14.25" customHeight="1" x14ac:dyDescent="0.35">
      <c r="A12" s="36" t="s">
        <v>118</v>
      </c>
      <c r="B12" s="36" t="s">
        <v>905</v>
      </c>
      <c r="C12" s="37"/>
      <c r="D12" s="37"/>
    </row>
    <row r="13" spans="1:4" ht="14.25" customHeight="1" x14ac:dyDescent="0.35">
      <c r="A13" s="36" t="s">
        <v>118</v>
      </c>
      <c r="B13" s="36" t="s">
        <v>906</v>
      </c>
      <c r="C13" s="37"/>
      <c r="D13" s="37"/>
    </row>
    <row r="14" spans="1:4" ht="14.25" customHeight="1" x14ac:dyDescent="0.35">
      <c r="A14" s="36" t="s">
        <v>195</v>
      </c>
      <c r="B14" s="36" t="s">
        <v>907</v>
      </c>
      <c r="C14" s="37"/>
      <c r="D14" s="37"/>
    </row>
    <row r="15" spans="1:4" ht="14.25" customHeight="1" x14ac:dyDescent="0.35">
      <c r="A15" s="36" t="s">
        <v>653</v>
      </c>
      <c r="B15" s="36" t="s">
        <v>908</v>
      </c>
      <c r="C15" s="37"/>
      <c r="D15" s="37"/>
    </row>
    <row r="16" spans="1:4" ht="14.25" customHeight="1" x14ac:dyDescent="0.35">
      <c r="A16" s="36" t="s">
        <v>97</v>
      </c>
      <c r="B16" s="36" t="s">
        <v>909</v>
      </c>
      <c r="C16" s="37"/>
      <c r="D16" s="37"/>
    </row>
    <row r="17" spans="1:4" ht="14.25" customHeight="1" x14ac:dyDescent="0.35">
      <c r="A17" s="36" t="s">
        <v>685</v>
      </c>
      <c r="B17" s="36" t="s">
        <v>910</v>
      </c>
      <c r="C17" s="37"/>
      <c r="D17" s="37"/>
    </row>
    <row r="18" spans="1:4" ht="14.25" customHeight="1" x14ac:dyDescent="0.35">
      <c r="A18" s="36" t="s">
        <v>133</v>
      </c>
      <c r="B18" s="36" t="s">
        <v>911</v>
      </c>
      <c r="C18" s="37"/>
      <c r="D18" s="37"/>
    </row>
    <row r="19" spans="1:4" ht="14.25" customHeight="1" x14ac:dyDescent="0.35">
      <c r="A19" s="36" t="s">
        <v>436</v>
      </c>
      <c r="B19" s="36" t="s">
        <v>912</v>
      </c>
      <c r="C19" s="37"/>
      <c r="D19" s="37"/>
    </row>
    <row r="20" spans="1:4" ht="14.25" customHeight="1" x14ac:dyDescent="0.35">
      <c r="A20" s="37"/>
      <c r="B20" s="37"/>
      <c r="C20" s="37"/>
      <c r="D20" s="37"/>
    </row>
    <row r="21" spans="1:4" ht="14.25" customHeight="1" x14ac:dyDescent="0.35">
      <c r="A21" s="35" t="s">
        <v>913</v>
      </c>
      <c r="B21" s="35"/>
      <c r="C21" s="37"/>
      <c r="D21" s="37"/>
    </row>
    <row r="22" spans="1:4" ht="14.25" customHeight="1" x14ac:dyDescent="0.35">
      <c r="A22" s="35" t="s">
        <v>903</v>
      </c>
      <c r="B22" s="35" t="s">
        <v>914</v>
      </c>
      <c r="C22" s="37"/>
      <c r="D22" s="37"/>
    </row>
    <row r="23" spans="1:4" ht="14.25" customHeight="1" x14ac:dyDescent="0.35">
      <c r="A23" s="36" t="s">
        <v>118</v>
      </c>
      <c r="B23" s="36" t="s">
        <v>155</v>
      </c>
      <c r="C23" s="37"/>
      <c r="D23" s="37"/>
    </row>
    <row r="24" spans="1:4" ht="14.25" customHeight="1" x14ac:dyDescent="0.35">
      <c r="A24" s="36" t="s">
        <v>118</v>
      </c>
      <c r="B24" s="36" t="s">
        <v>120</v>
      </c>
      <c r="C24" s="37"/>
      <c r="D24" s="37"/>
    </row>
    <row r="25" spans="1:4" ht="14.25" customHeight="1" x14ac:dyDescent="0.35">
      <c r="A25" s="36" t="s">
        <v>118</v>
      </c>
      <c r="B25" s="36" t="s">
        <v>562</v>
      </c>
      <c r="C25" s="37"/>
      <c r="D25" s="37"/>
    </row>
    <row r="26" spans="1:4" ht="14.25" customHeight="1" x14ac:dyDescent="0.35">
      <c r="A26" s="36" t="s">
        <v>195</v>
      </c>
      <c r="B26" s="36" t="s">
        <v>547</v>
      </c>
      <c r="C26" s="37"/>
      <c r="D26" s="37"/>
    </row>
    <row r="27" spans="1:4" ht="14.25" customHeight="1" x14ac:dyDescent="0.35">
      <c r="A27" s="36" t="s">
        <v>195</v>
      </c>
      <c r="B27" s="36" t="s">
        <v>185</v>
      </c>
      <c r="C27" s="37"/>
      <c r="D27" s="37"/>
    </row>
    <row r="28" spans="1:4" ht="14.25" customHeight="1" x14ac:dyDescent="0.35">
      <c r="A28" s="36" t="s">
        <v>195</v>
      </c>
      <c r="B28" s="36" t="s">
        <v>915</v>
      </c>
      <c r="C28" s="37"/>
      <c r="D28" s="37"/>
    </row>
    <row r="29" spans="1:4" ht="14.25" customHeight="1" x14ac:dyDescent="0.35">
      <c r="A29" s="36" t="s">
        <v>195</v>
      </c>
      <c r="B29" s="36" t="s">
        <v>487</v>
      </c>
      <c r="C29" s="37"/>
      <c r="D29" s="37"/>
    </row>
    <row r="30" spans="1:4" ht="14.25" customHeight="1" x14ac:dyDescent="0.35">
      <c r="A30" s="36" t="s">
        <v>653</v>
      </c>
      <c r="B30" s="36" t="s">
        <v>916</v>
      </c>
      <c r="C30" s="37"/>
      <c r="D30" s="37"/>
    </row>
    <row r="31" spans="1:4" ht="14.25" customHeight="1" x14ac:dyDescent="0.35">
      <c r="A31" s="36" t="s">
        <v>653</v>
      </c>
      <c r="B31" s="36" t="s">
        <v>654</v>
      </c>
      <c r="C31" s="37"/>
      <c r="D31" s="37"/>
    </row>
    <row r="32" spans="1:4" ht="14.25" customHeight="1" x14ac:dyDescent="0.35">
      <c r="A32" s="36" t="s">
        <v>653</v>
      </c>
      <c r="B32" s="36" t="s">
        <v>917</v>
      </c>
      <c r="C32" s="37"/>
      <c r="D32" s="37"/>
    </row>
    <row r="33" spans="1:4" ht="14.25" customHeight="1" x14ac:dyDescent="0.35">
      <c r="A33" s="36" t="s">
        <v>653</v>
      </c>
      <c r="B33" s="36" t="s">
        <v>918</v>
      </c>
      <c r="C33" s="37"/>
      <c r="D33" s="37"/>
    </row>
    <row r="34" spans="1:4" ht="14.25" customHeight="1" x14ac:dyDescent="0.35">
      <c r="A34" s="36" t="s">
        <v>97</v>
      </c>
      <c r="B34" s="36" t="s">
        <v>919</v>
      </c>
      <c r="C34" s="37"/>
      <c r="D34" s="37"/>
    </row>
    <row r="35" spans="1:4" ht="14.25" customHeight="1" x14ac:dyDescent="0.35">
      <c r="A35" s="36" t="s">
        <v>97</v>
      </c>
      <c r="B35" s="36" t="s">
        <v>216</v>
      </c>
      <c r="C35" s="37"/>
      <c r="D35" s="37"/>
    </row>
    <row r="36" spans="1:4" ht="14.25" customHeight="1" x14ac:dyDescent="0.35">
      <c r="A36" s="36" t="s">
        <v>97</v>
      </c>
      <c r="B36" s="36" t="s">
        <v>99</v>
      </c>
      <c r="C36" s="37"/>
      <c r="D36" s="37"/>
    </row>
    <row r="37" spans="1:4" ht="14.25" customHeight="1" x14ac:dyDescent="0.35">
      <c r="A37" s="36" t="s">
        <v>97</v>
      </c>
      <c r="B37" s="36" t="s">
        <v>390</v>
      </c>
      <c r="C37" s="37"/>
      <c r="D37" s="37"/>
    </row>
    <row r="38" spans="1:4" ht="14.25" customHeight="1" x14ac:dyDescent="0.35">
      <c r="A38" s="36" t="s">
        <v>97</v>
      </c>
      <c r="B38" s="36" t="s">
        <v>920</v>
      </c>
      <c r="C38" s="37"/>
      <c r="D38" s="37"/>
    </row>
    <row r="39" spans="1:4" ht="14.25" customHeight="1" x14ac:dyDescent="0.35">
      <c r="A39" s="36" t="s">
        <v>685</v>
      </c>
      <c r="B39" s="36" t="s">
        <v>142</v>
      </c>
      <c r="C39" s="37"/>
      <c r="D39" s="37"/>
    </row>
    <row r="40" spans="1:4" ht="14.25" customHeight="1" x14ac:dyDescent="0.35">
      <c r="A40" s="36" t="s">
        <v>685</v>
      </c>
      <c r="B40" s="36" t="s">
        <v>613</v>
      </c>
      <c r="C40" s="37"/>
      <c r="D40" s="37"/>
    </row>
    <row r="41" spans="1:4" ht="14.25" customHeight="1" x14ac:dyDescent="0.35">
      <c r="A41" s="36" t="s">
        <v>685</v>
      </c>
      <c r="B41" s="36" t="s">
        <v>921</v>
      </c>
      <c r="C41" s="37"/>
      <c r="D41" s="37"/>
    </row>
    <row r="42" spans="1:4" ht="14.25" customHeight="1" x14ac:dyDescent="0.35">
      <c r="A42" s="36" t="s">
        <v>133</v>
      </c>
      <c r="B42" s="36" t="s">
        <v>212</v>
      </c>
      <c r="C42" s="37"/>
      <c r="D42" s="37"/>
    </row>
    <row r="43" spans="1:4" ht="14.25" customHeight="1" x14ac:dyDescent="0.35">
      <c r="A43" s="36" t="s">
        <v>133</v>
      </c>
      <c r="B43" s="36" t="s">
        <v>134</v>
      </c>
      <c r="C43" s="37"/>
      <c r="D43" s="37"/>
    </row>
    <row r="44" spans="1:4" ht="14.25" customHeight="1" x14ac:dyDescent="0.35">
      <c r="A44" s="36" t="s">
        <v>133</v>
      </c>
      <c r="B44" s="36" t="s">
        <v>922</v>
      </c>
      <c r="C44" s="37"/>
      <c r="D44" s="37"/>
    </row>
    <row r="45" spans="1:4" ht="14.25" customHeight="1" x14ac:dyDescent="0.35">
      <c r="A45" s="36" t="s">
        <v>436</v>
      </c>
      <c r="B45" s="36" t="s">
        <v>923</v>
      </c>
      <c r="C45" s="37"/>
      <c r="D45" s="37"/>
    </row>
    <row r="46" spans="1:4" ht="14.25" customHeight="1" x14ac:dyDescent="0.35">
      <c r="A46" s="36" t="s">
        <v>436</v>
      </c>
      <c r="B46" s="36" t="s">
        <v>924</v>
      </c>
      <c r="C46" s="37"/>
      <c r="D46" s="37"/>
    </row>
    <row r="47" spans="1:4" ht="14.25" customHeight="1" x14ac:dyDescent="0.35">
      <c r="A47" s="36" t="s">
        <v>436</v>
      </c>
      <c r="B47" s="36" t="s">
        <v>925</v>
      </c>
      <c r="C47" s="37"/>
      <c r="D47" s="37"/>
    </row>
    <row r="48" spans="1:4" ht="14.25" customHeight="1" x14ac:dyDescent="0.35">
      <c r="A48" s="36" t="s">
        <v>436</v>
      </c>
      <c r="B48" s="36" t="s">
        <v>926</v>
      </c>
      <c r="C48" s="37"/>
      <c r="D48" s="37"/>
    </row>
    <row r="49" spans="1:4" ht="14.25" customHeight="1" x14ac:dyDescent="0.35">
      <c r="A49" s="37"/>
      <c r="B49" s="37"/>
      <c r="C49" s="37"/>
      <c r="D49" s="37"/>
    </row>
    <row r="50" spans="1:4" ht="14.25" customHeight="1" x14ac:dyDescent="0.35">
      <c r="A50" s="35" t="s">
        <v>927</v>
      </c>
      <c r="B50" s="38"/>
      <c r="C50" s="38"/>
      <c r="D50" s="37"/>
    </row>
    <row r="51" spans="1:4" ht="14.25" customHeight="1" x14ac:dyDescent="0.35">
      <c r="A51" s="35" t="s">
        <v>928</v>
      </c>
      <c r="B51" s="35" t="s">
        <v>914</v>
      </c>
      <c r="C51" s="35" t="s">
        <v>903</v>
      </c>
      <c r="D51" s="37"/>
    </row>
    <row r="52" spans="1:4" ht="14.25" customHeight="1" x14ac:dyDescent="0.35">
      <c r="A52" s="36" t="s">
        <v>929</v>
      </c>
      <c r="B52" s="36" t="s">
        <v>289</v>
      </c>
      <c r="C52" s="36" t="s">
        <v>118</v>
      </c>
      <c r="D52" s="37"/>
    </row>
    <row r="53" spans="1:4" ht="14.25" customHeight="1" x14ac:dyDescent="0.35">
      <c r="A53" s="36" t="s">
        <v>930</v>
      </c>
      <c r="B53" s="36" t="s">
        <v>289</v>
      </c>
      <c r="C53" s="36" t="s">
        <v>118</v>
      </c>
      <c r="D53" s="37"/>
    </row>
    <row r="54" spans="1:4" ht="14.25" customHeight="1" x14ac:dyDescent="0.35">
      <c r="A54" s="36" t="s">
        <v>931</v>
      </c>
      <c r="B54" s="36" t="s">
        <v>289</v>
      </c>
      <c r="C54" s="36" t="s">
        <v>118</v>
      </c>
      <c r="D54" s="37"/>
    </row>
    <row r="55" spans="1:4" ht="14.25" customHeight="1" x14ac:dyDescent="0.35">
      <c r="A55" s="36" t="s">
        <v>807</v>
      </c>
      <c r="B55" s="36" t="s">
        <v>289</v>
      </c>
      <c r="C55" s="36" t="s">
        <v>118</v>
      </c>
      <c r="D55" s="37"/>
    </row>
    <row r="56" spans="1:4" ht="14.25" customHeight="1" x14ac:dyDescent="0.35">
      <c r="A56" s="36" t="s">
        <v>932</v>
      </c>
      <c r="B56" s="36" t="s">
        <v>289</v>
      </c>
      <c r="C56" s="36" t="s">
        <v>118</v>
      </c>
      <c r="D56" s="37"/>
    </row>
    <row r="57" spans="1:4" ht="14.25" customHeight="1" x14ac:dyDescent="0.35">
      <c r="A57" s="36" t="s">
        <v>933</v>
      </c>
      <c r="B57" s="36" t="s">
        <v>289</v>
      </c>
      <c r="C57" s="36" t="s">
        <v>118</v>
      </c>
      <c r="D57" s="37"/>
    </row>
    <row r="58" spans="1:4" ht="14.25" customHeight="1" x14ac:dyDescent="0.35">
      <c r="A58" s="36" t="s">
        <v>934</v>
      </c>
      <c r="B58" s="36" t="s">
        <v>289</v>
      </c>
      <c r="C58" s="36" t="s">
        <v>118</v>
      </c>
      <c r="D58" s="37"/>
    </row>
    <row r="59" spans="1:4" ht="14.25" customHeight="1" x14ac:dyDescent="0.35">
      <c r="A59" s="36" t="s">
        <v>935</v>
      </c>
      <c r="B59" s="36" t="s">
        <v>289</v>
      </c>
      <c r="C59" s="36" t="s">
        <v>118</v>
      </c>
      <c r="D59" s="37"/>
    </row>
    <row r="60" spans="1:4" ht="14.25" customHeight="1" x14ac:dyDescent="0.35">
      <c r="A60" s="36" t="s">
        <v>936</v>
      </c>
      <c r="B60" s="36" t="s">
        <v>289</v>
      </c>
      <c r="C60" s="36" t="s">
        <v>118</v>
      </c>
      <c r="D60" s="37"/>
    </row>
    <row r="61" spans="1:4" ht="14.25" customHeight="1" x14ac:dyDescent="0.35">
      <c r="A61" s="36" t="s">
        <v>937</v>
      </c>
      <c r="B61" s="36" t="s">
        <v>289</v>
      </c>
      <c r="C61" s="36" t="s">
        <v>118</v>
      </c>
      <c r="D61" s="37"/>
    </row>
    <row r="62" spans="1:4" ht="14.25" customHeight="1" x14ac:dyDescent="0.35">
      <c r="A62" s="36" t="s">
        <v>938</v>
      </c>
      <c r="B62" s="36" t="s">
        <v>289</v>
      </c>
      <c r="C62" s="36" t="s">
        <v>118</v>
      </c>
      <c r="D62" s="37"/>
    </row>
    <row r="63" spans="1:4" ht="14.25" customHeight="1" x14ac:dyDescent="0.35">
      <c r="A63" s="36" t="s">
        <v>939</v>
      </c>
      <c r="B63" s="36" t="s">
        <v>120</v>
      </c>
      <c r="C63" s="36" t="s">
        <v>118</v>
      </c>
      <c r="D63" s="37"/>
    </row>
    <row r="64" spans="1:4" ht="14.25" customHeight="1" x14ac:dyDescent="0.35">
      <c r="A64" s="36" t="s">
        <v>418</v>
      </c>
      <c r="B64" s="36" t="s">
        <v>120</v>
      </c>
      <c r="C64" s="36" t="s">
        <v>118</v>
      </c>
      <c r="D64" s="37"/>
    </row>
    <row r="65" spans="1:4" ht="14.25" customHeight="1" x14ac:dyDescent="0.35">
      <c r="A65" s="36" t="s">
        <v>940</v>
      </c>
      <c r="B65" s="36" t="s">
        <v>120</v>
      </c>
      <c r="C65" s="36" t="s">
        <v>118</v>
      </c>
      <c r="D65" s="37"/>
    </row>
    <row r="66" spans="1:4" ht="14.25" customHeight="1" x14ac:dyDescent="0.35">
      <c r="A66" s="36" t="s">
        <v>941</v>
      </c>
      <c r="B66" s="36" t="s">
        <v>278</v>
      </c>
      <c r="C66" s="36" t="s">
        <v>118</v>
      </c>
      <c r="D66" s="37"/>
    </row>
    <row r="67" spans="1:4" ht="14.25" customHeight="1" x14ac:dyDescent="0.35">
      <c r="A67" s="36" t="s">
        <v>942</v>
      </c>
      <c r="B67" s="36" t="s">
        <v>278</v>
      </c>
      <c r="C67" s="36" t="s">
        <v>118</v>
      </c>
      <c r="D67" s="37"/>
    </row>
    <row r="68" spans="1:4" ht="14.25" customHeight="1" x14ac:dyDescent="0.35">
      <c r="A68" s="36" t="s">
        <v>943</v>
      </c>
      <c r="B68" s="36" t="s">
        <v>278</v>
      </c>
      <c r="C68" s="36" t="s">
        <v>118</v>
      </c>
      <c r="D68" s="37"/>
    </row>
    <row r="69" spans="1:4" ht="14.25" customHeight="1" x14ac:dyDescent="0.35">
      <c r="A69" s="36" t="s">
        <v>944</v>
      </c>
      <c r="B69" s="36" t="s">
        <v>278</v>
      </c>
      <c r="C69" s="36" t="s">
        <v>118</v>
      </c>
      <c r="D69" s="37"/>
    </row>
    <row r="70" spans="1:4" ht="14.25" customHeight="1" x14ac:dyDescent="0.35">
      <c r="A70" s="36" t="s">
        <v>945</v>
      </c>
      <c r="B70" s="36" t="s">
        <v>278</v>
      </c>
      <c r="C70" s="36" t="s">
        <v>118</v>
      </c>
      <c r="D70" s="37"/>
    </row>
    <row r="71" spans="1:4" ht="14.25" customHeight="1" x14ac:dyDescent="0.35">
      <c r="A71" s="36" t="s">
        <v>386</v>
      </c>
      <c r="B71" s="36" t="s">
        <v>547</v>
      </c>
      <c r="C71" s="36" t="s">
        <v>195</v>
      </c>
      <c r="D71" s="37"/>
    </row>
    <row r="72" spans="1:4" ht="14.25" customHeight="1" x14ac:dyDescent="0.35">
      <c r="A72" s="36" t="s">
        <v>946</v>
      </c>
      <c r="B72" s="36" t="s">
        <v>547</v>
      </c>
      <c r="C72" s="36" t="s">
        <v>195</v>
      </c>
      <c r="D72" s="37"/>
    </row>
    <row r="73" spans="1:4" ht="14.25" customHeight="1" x14ac:dyDescent="0.35">
      <c r="A73" s="36" t="s">
        <v>947</v>
      </c>
      <c r="B73" s="36" t="s">
        <v>547</v>
      </c>
      <c r="C73" s="36" t="s">
        <v>195</v>
      </c>
      <c r="D73" s="37"/>
    </row>
    <row r="74" spans="1:4" ht="14.25" customHeight="1" x14ac:dyDescent="0.35">
      <c r="A74" s="36" t="s">
        <v>948</v>
      </c>
      <c r="B74" s="36" t="s">
        <v>547</v>
      </c>
      <c r="C74" s="36" t="s">
        <v>195</v>
      </c>
      <c r="D74" s="37"/>
    </row>
    <row r="75" spans="1:4" ht="14.25" customHeight="1" x14ac:dyDescent="0.35">
      <c r="A75" s="36" t="s">
        <v>949</v>
      </c>
      <c r="B75" s="36" t="s">
        <v>547</v>
      </c>
      <c r="C75" s="36" t="s">
        <v>195</v>
      </c>
      <c r="D75" s="37"/>
    </row>
    <row r="76" spans="1:4" ht="14.25" customHeight="1" x14ac:dyDescent="0.35">
      <c r="A76" s="36" t="s">
        <v>950</v>
      </c>
      <c r="B76" s="36" t="s">
        <v>547</v>
      </c>
      <c r="C76" s="36" t="s">
        <v>195</v>
      </c>
      <c r="D76" s="37"/>
    </row>
    <row r="77" spans="1:4" ht="14.25" customHeight="1" x14ac:dyDescent="0.35">
      <c r="A77" s="36" t="s">
        <v>951</v>
      </c>
      <c r="B77" s="36" t="s">
        <v>547</v>
      </c>
      <c r="C77" s="36" t="s">
        <v>195</v>
      </c>
      <c r="D77" s="37"/>
    </row>
    <row r="78" spans="1:4" ht="14.25" customHeight="1" x14ac:dyDescent="0.35">
      <c r="A78" s="36" t="s">
        <v>952</v>
      </c>
      <c r="B78" s="36" t="s">
        <v>185</v>
      </c>
      <c r="C78" s="36" t="s">
        <v>195</v>
      </c>
      <c r="D78" s="37"/>
    </row>
    <row r="79" spans="1:4" ht="14.25" customHeight="1" x14ac:dyDescent="0.35">
      <c r="A79" s="36" t="s">
        <v>953</v>
      </c>
      <c r="B79" s="36" t="s">
        <v>185</v>
      </c>
      <c r="C79" s="36" t="s">
        <v>195</v>
      </c>
      <c r="D79" s="37"/>
    </row>
    <row r="80" spans="1:4" ht="14.25" customHeight="1" x14ac:dyDescent="0.35">
      <c r="A80" s="36" t="s">
        <v>954</v>
      </c>
      <c r="B80" s="36" t="s">
        <v>185</v>
      </c>
      <c r="C80" s="36" t="s">
        <v>195</v>
      </c>
      <c r="D80" s="37"/>
    </row>
    <row r="81" spans="1:4" ht="14.25" customHeight="1" x14ac:dyDescent="0.35">
      <c r="A81" s="36" t="s">
        <v>955</v>
      </c>
      <c r="B81" s="36" t="s">
        <v>185</v>
      </c>
      <c r="C81" s="36" t="s">
        <v>195</v>
      </c>
      <c r="D81" s="37"/>
    </row>
    <row r="82" spans="1:4" ht="14.25" customHeight="1" x14ac:dyDescent="0.35">
      <c r="A82" s="36" t="s">
        <v>956</v>
      </c>
      <c r="B82" s="36" t="s">
        <v>915</v>
      </c>
      <c r="C82" s="36" t="s">
        <v>195</v>
      </c>
      <c r="D82" s="37"/>
    </row>
    <row r="83" spans="1:4" ht="14.25" customHeight="1" x14ac:dyDescent="0.35">
      <c r="A83" s="36" t="s">
        <v>957</v>
      </c>
      <c r="B83" s="36" t="s">
        <v>915</v>
      </c>
      <c r="C83" s="36" t="s">
        <v>195</v>
      </c>
      <c r="D83" s="37"/>
    </row>
    <row r="84" spans="1:4" ht="14.25" customHeight="1" x14ac:dyDescent="0.35">
      <c r="A84" s="36" t="s">
        <v>958</v>
      </c>
      <c r="B84" s="36" t="s">
        <v>915</v>
      </c>
      <c r="C84" s="36" t="s">
        <v>195</v>
      </c>
      <c r="D84" s="37"/>
    </row>
    <row r="85" spans="1:4" ht="14.25" customHeight="1" x14ac:dyDescent="0.35">
      <c r="A85" s="36" t="s">
        <v>959</v>
      </c>
      <c r="B85" s="36" t="s">
        <v>915</v>
      </c>
      <c r="C85" s="36" t="s">
        <v>195</v>
      </c>
      <c r="D85" s="37"/>
    </row>
    <row r="86" spans="1:4" ht="14.25" customHeight="1" x14ac:dyDescent="0.35">
      <c r="A86" s="36" t="s">
        <v>960</v>
      </c>
      <c r="B86" s="36" t="s">
        <v>487</v>
      </c>
      <c r="C86" s="36" t="s">
        <v>195</v>
      </c>
      <c r="D86" s="37"/>
    </row>
    <row r="87" spans="1:4" ht="14.25" customHeight="1" x14ac:dyDescent="0.35">
      <c r="A87" s="36" t="s">
        <v>961</v>
      </c>
      <c r="B87" s="36" t="s">
        <v>487</v>
      </c>
      <c r="C87" s="36" t="s">
        <v>195</v>
      </c>
      <c r="D87" s="37"/>
    </row>
    <row r="88" spans="1:4" ht="14.25" customHeight="1" x14ac:dyDescent="0.35">
      <c r="A88" s="36" t="s">
        <v>962</v>
      </c>
      <c r="B88" s="36" t="s">
        <v>487</v>
      </c>
      <c r="C88" s="36" t="s">
        <v>195</v>
      </c>
      <c r="D88" s="37"/>
    </row>
    <row r="89" spans="1:4" ht="14.25" customHeight="1" x14ac:dyDescent="0.35">
      <c r="A89" s="36" t="s">
        <v>963</v>
      </c>
      <c r="B89" s="36" t="s">
        <v>487</v>
      </c>
      <c r="C89" s="36" t="s">
        <v>195</v>
      </c>
      <c r="D89" s="37"/>
    </row>
    <row r="90" spans="1:4" ht="14.25" customHeight="1" x14ac:dyDescent="0.35">
      <c r="A90" s="36" t="s">
        <v>964</v>
      </c>
      <c r="B90" s="36" t="s">
        <v>965</v>
      </c>
      <c r="C90" s="36" t="s">
        <v>653</v>
      </c>
      <c r="D90" s="37"/>
    </row>
    <row r="91" spans="1:4" ht="14.25" customHeight="1" x14ac:dyDescent="0.35">
      <c r="A91" s="36" t="s">
        <v>966</v>
      </c>
      <c r="B91" s="36" t="s">
        <v>965</v>
      </c>
      <c r="C91" s="36" t="s">
        <v>653</v>
      </c>
      <c r="D91" s="37"/>
    </row>
    <row r="92" spans="1:4" ht="14.25" customHeight="1" x14ac:dyDescent="0.35">
      <c r="A92" s="36" t="s">
        <v>967</v>
      </c>
      <c r="B92" s="36" t="s">
        <v>965</v>
      </c>
      <c r="C92" s="36" t="s">
        <v>653</v>
      </c>
      <c r="D92" s="37"/>
    </row>
    <row r="93" spans="1:4" ht="14.25" customHeight="1" x14ac:dyDescent="0.35">
      <c r="A93" s="36" t="s">
        <v>968</v>
      </c>
      <c r="B93" s="36" t="s">
        <v>965</v>
      </c>
      <c r="C93" s="36" t="s">
        <v>653</v>
      </c>
      <c r="D93" s="37"/>
    </row>
    <row r="94" spans="1:4" ht="14.25" customHeight="1" x14ac:dyDescent="0.35">
      <c r="A94" s="36" t="s">
        <v>969</v>
      </c>
      <c r="B94" s="36" t="s">
        <v>965</v>
      </c>
      <c r="C94" s="36" t="s">
        <v>653</v>
      </c>
      <c r="D94" s="37"/>
    </row>
    <row r="95" spans="1:4" ht="14.25" customHeight="1" x14ac:dyDescent="0.35">
      <c r="A95" s="36" t="s">
        <v>970</v>
      </c>
      <c r="B95" s="36" t="s">
        <v>965</v>
      </c>
      <c r="C95" s="36" t="s">
        <v>653</v>
      </c>
      <c r="D95" s="37"/>
    </row>
    <row r="96" spans="1:4" ht="14.25" customHeight="1" x14ac:dyDescent="0.35">
      <c r="A96" s="36" t="s">
        <v>971</v>
      </c>
      <c r="B96" s="36" t="s">
        <v>965</v>
      </c>
      <c r="C96" s="36" t="s">
        <v>653</v>
      </c>
      <c r="D96" s="37"/>
    </row>
    <row r="97" spans="1:4" ht="14.25" customHeight="1" x14ac:dyDescent="0.35">
      <c r="A97" s="36" t="s">
        <v>972</v>
      </c>
      <c r="B97" s="36" t="s">
        <v>965</v>
      </c>
      <c r="C97" s="36" t="s">
        <v>653</v>
      </c>
      <c r="D97" s="37"/>
    </row>
    <row r="98" spans="1:4" ht="14.25" customHeight="1" x14ac:dyDescent="0.35">
      <c r="A98" s="36" t="s">
        <v>973</v>
      </c>
      <c r="B98" s="36" t="s">
        <v>654</v>
      </c>
      <c r="C98" s="36" t="s">
        <v>653</v>
      </c>
      <c r="D98" s="37"/>
    </row>
    <row r="99" spans="1:4" ht="14.25" customHeight="1" x14ac:dyDescent="0.35">
      <c r="A99" s="36" t="s">
        <v>974</v>
      </c>
      <c r="B99" s="36" t="s">
        <v>654</v>
      </c>
      <c r="C99" s="36" t="s">
        <v>653</v>
      </c>
      <c r="D99" s="37"/>
    </row>
    <row r="100" spans="1:4" ht="14.25" customHeight="1" x14ac:dyDescent="0.35">
      <c r="A100" s="36" t="s">
        <v>975</v>
      </c>
      <c r="B100" s="36" t="s">
        <v>654</v>
      </c>
      <c r="C100" s="36" t="s">
        <v>653</v>
      </c>
      <c r="D100" s="37"/>
    </row>
    <row r="101" spans="1:4" ht="14.25" customHeight="1" x14ac:dyDescent="0.35">
      <c r="A101" s="36" t="s">
        <v>976</v>
      </c>
      <c r="B101" s="36" t="s">
        <v>654</v>
      </c>
      <c r="C101" s="36" t="s">
        <v>653</v>
      </c>
      <c r="D101" s="37"/>
    </row>
    <row r="102" spans="1:4" ht="14.25" customHeight="1" x14ac:dyDescent="0.35">
      <c r="A102" s="36" t="s">
        <v>977</v>
      </c>
      <c r="B102" s="36" t="s">
        <v>654</v>
      </c>
      <c r="C102" s="36" t="s">
        <v>653</v>
      </c>
      <c r="D102" s="37"/>
    </row>
    <row r="103" spans="1:4" ht="14.25" customHeight="1" x14ac:dyDescent="0.35">
      <c r="A103" s="36" t="s">
        <v>655</v>
      </c>
      <c r="B103" s="36" t="s">
        <v>654</v>
      </c>
      <c r="C103" s="36" t="s">
        <v>653</v>
      </c>
      <c r="D103" s="37"/>
    </row>
    <row r="104" spans="1:4" ht="14.25" customHeight="1" x14ac:dyDescent="0.35">
      <c r="A104" s="36" t="s">
        <v>978</v>
      </c>
      <c r="B104" s="36" t="s">
        <v>654</v>
      </c>
      <c r="C104" s="36" t="s">
        <v>653</v>
      </c>
      <c r="D104" s="37"/>
    </row>
    <row r="105" spans="1:4" ht="14.25" customHeight="1" x14ac:dyDescent="0.35">
      <c r="A105" s="36" t="s">
        <v>979</v>
      </c>
      <c r="B105" s="36" t="s">
        <v>654</v>
      </c>
      <c r="C105" s="36" t="s">
        <v>653</v>
      </c>
      <c r="D105" s="37"/>
    </row>
    <row r="106" spans="1:4" ht="14.25" customHeight="1" x14ac:dyDescent="0.35">
      <c r="A106" s="36" t="s">
        <v>973</v>
      </c>
      <c r="B106" s="36" t="s">
        <v>917</v>
      </c>
      <c r="C106" s="36" t="s">
        <v>653</v>
      </c>
      <c r="D106" s="37"/>
    </row>
    <row r="107" spans="1:4" ht="14.25" customHeight="1" x14ac:dyDescent="0.35">
      <c r="A107" s="36" t="s">
        <v>974</v>
      </c>
      <c r="B107" s="36" t="s">
        <v>917</v>
      </c>
      <c r="C107" s="36" t="s">
        <v>653</v>
      </c>
      <c r="D107" s="37"/>
    </row>
    <row r="108" spans="1:4" ht="14.25" customHeight="1" x14ac:dyDescent="0.35">
      <c r="A108" s="36" t="s">
        <v>978</v>
      </c>
      <c r="B108" s="36" t="s">
        <v>917</v>
      </c>
      <c r="C108" s="36" t="s">
        <v>653</v>
      </c>
      <c r="D108" s="37"/>
    </row>
    <row r="109" spans="1:4" ht="14.25" customHeight="1" x14ac:dyDescent="0.35">
      <c r="A109" s="36" t="s">
        <v>980</v>
      </c>
      <c r="B109" s="36" t="s">
        <v>917</v>
      </c>
      <c r="C109" s="36" t="s">
        <v>653</v>
      </c>
      <c r="D109" s="37"/>
    </row>
    <row r="110" spans="1:4" ht="14.25" customHeight="1" x14ac:dyDescent="0.35">
      <c r="A110" s="36" t="s">
        <v>981</v>
      </c>
      <c r="B110" s="36" t="s">
        <v>982</v>
      </c>
      <c r="C110" s="36" t="s">
        <v>653</v>
      </c>
      <c r="D110" s="37"/>
    </row>
    <row r="111" spans="1:4" ht="14.25" customHeight="1" x14ac:dyDescent="0.35">
      <c r="A111" s="36" t="s">
        <v>983</v>
      </c>
      <c r="B111" s="36" t="s">
        <v>982</v>
      </c>
      <c r="C111" s="36" t="s">
        <v>653</v>
      </c>
      <c r="D111" s="37"/>
    </row>
    <row r="112" spans="1:4" ht="14.25" customHeight="1" x14ac:dyDescent="0.35">
      <c r="A112" s="36" t="s">
        <v>984</v>
      </c>
      <c r="B112" s="36" t="s">
        <v>982</v>
      </c>
      <c r="C112" s="36" t="s">
        <v>653</v>
      </c>
      <c r="D112" s="37"/>
    </row>
    <row r="113" spans="1:4" ht="14.25" customHeight="1" x14ac:dyDescent="0.35">
      <c r="A113" s="36" t="s">
        <v>985</v>
      </c>
      <c r="B113" s="36" t="s">
        <v>982</v>
      </c>
      <c r="C113" s="36" t="s">
        <v>653</v>
      </c>
      <c r="D113" s="37"/>
    </row>
    <row r="114" spans="1:4" ht="14.25" customHeight="1" x14ac:dyDescent="0.35">
      <c r="A114" s="36" t="s">
        <v>986</v>
      </c>
      <c r="B114" s="36" t="s">
        <v>982</v>
      </c>
      <c r="C114" s="36" t="s">
        <v>653</v>
      </c>
      <c r="D114" s="37"/>
    </row>
    <row r="115" spans="1:4" ht="14.25" customHeight="1" x14ac:dyDescent="0.35">
      <c r="A115" s="36" t="s">
        <v>987</v>
      </c>
      <c r="B115" s="36" t="s">
        <v>982</v>
      </c>
      <c r="C115" s="36" t="s">
        <v>653</v>
      </c>
      <c r="D115" s="37"/>
    </row>
    <row r="116" spans="1:4" ht="14.25" customHeight="1" x14ac:dyDescent="0.35">
      <c r="A116" s="36" t="s">
        <v>988</v>
      </c>
      <c r="B116" s="36" t="s">
        <v>982</v>
      </c>
      <c r="C116" s="36" t="s">
        <v>653</v>
      </c>
      <c r="D116" s="37"/>
    </row>
    <row r="117" spans="1:4" ht="14.25" customHeight="1" x14ac:dyDescent="0.35">
      <c r="A117" s="36" t="s">
        <v>989</v>
      </c>
      <c r="B117" s="36" t="s">
        <v>315</v>
      </c>
      <c r="C117" s="36" t="s">
        <v>97</v>
      </c>
      <c r="D117" s="37"/>
    </row>
    <row r="118" spans="1:4" ht="14.25" customHeight="1" x14ac:dyDescent="0.35">
      <c r="A118" s="36" t="s">
        <v>990</v>
      </c>
      <c r="B118" s="36" t="s">
        <v>766</v>
      </c>
      <c r="C118" s="36" t="s">
        <v>97</v>
      </c>
      <c r="D118" s="37"/>
    </row>
    <row r="119" spans="1:4" ht="14.25" customHeight="1" x14ac:dyDescent="0.35">
      <c r="A119" s="36" t="s">
        <v>765</v>
      </c>
      <c r="B119" s="36" t="s">
        <v>766</v>
      </c>
      <c r="C119" s="36" t="s">
        <v>97</v>
      </c>
      <c r="D119" s="37"/>
    </row>
    <row r="120" spans="1:4" ht="14.25" customHeight="1" x14ac:dyDescent="0.35">
      <c r="A120" s="36" t="s">
        <v>991</v>
      </c>
      <c r="B120" s="36" t="s">
        <v>766</v>
      </c>
      <c r="C120" s="36" t="s">
        <v>97</v>
      </c>
      <c r="D120" s="37"/>
    </row>
    <row r="121" spans="1:4" ht="14.25" customHeight="1" x14ac:dyDescent="0.35">
      <c r="A121" s="36" t="s">
        <v>992</v>
      </c>
      <c r="B121" s="36" t="s">
        <v>766</v>
      </c>
      <c r="C121" s="36" t="s">
        <v>97</v>
      </c>
      <c r="D121" s="37"/>
    </row>
    <row r="122" spans="1:4" ht="14.25" customHeight="1" x14ac:dyDescent="0.35">
      <c r="A122" s="36" t="s">
        <v>316</v>
      </c>
      <c r="B122" s="36" t="s">
        <v>205</v>
      </c>
      <c r="C122" s="36" t="s">
        <v>97</v>
      </c>
      <c r="D122" s="37"/>
    </row>
    <row r="123" spans="1:4" ht="14.25" customHeight="1" x14ac:dyDescent="0.35">
      <c r="A123" s="36" t="s">
        <v>993</v>
      </c>
      <c r="B123" s="36" t="s">
        <v>205</v>
      </c>
      <c r="C123" s="36" t="s">
        <v>97</v>
      </c>
      <c r="D123" s="37"/>
    </row>
    <row r="124" spans="1:4" ht="14.25" customHeight="1" x14ac:dyDescent="0.35">
      <c r="A124" s="36" t="s">
        <v>994</v>
      </c>
      <c r="B124" s="36" t="s">
        <v>205</v>
      </c>
      <c r="C124" s="36" t="s">
        <v>97</v>
      </c>
      <c r="D124" s="37"/>
    </row>
    <row r="125" spans="1:4" ht="14.25" customHeight="1" x14ac:dyDescent="0.35">
      <c r="A125" s="36" t="s">
        <v>995</v>
      </c>
      <c r="B125" s="36" t="s">
        <v>996</v>
      </c>
      <c r="C125" s="36" t="s">
        <v>97</v>
      </c>
      <c r="D125" s="37"/>
    </row>
    <row r="126" spans="1:4" ht="14.25" customHeight="1" x14ac:dyDescent="0.35">
      <c r="A126" s="36" t="s">
        <v>997</v>
      </c>
      <c r="B126" s="36" t="s">
        <v>996</v>
      </c>
      <c r="C126" s="36" t="s">
        <v>97</v>
      </c>
      <c r="D126" s="37"/>
    </row>
    <row r="127" spans="1:4" ht="14.25" customHeight="1" x14ac:dyDescent="0.35">
      <c r="A127" s="36" t="s">
        <v>998</v>
      </c>
      <c r="B127" s="36" t="s">
        <v>996</v>
      </c>
      <c r="C127" s="36" t="s">
        <v>97</v>
      </c>
      <c r="D127" s="37"/>
    </row>
    <row r="128" spans="1:4" ht="14.25" customHeight="1" x14ac:dyDescent="0.35">
      <c r="A128" s="36" t="s">
        <v>999</v>
      </c>
      <c r="B128" s="36" t="s">
        <v>996</v>
      </c>
      <c r="C128" s="36" t="s">
        <v>97</v>
      </c>
      <c r="D128" s="37"/>
    </row>
    <row r="129" spans="1:4" ht="14.25" customHeight="1" x14ac:dyDescent="0.35">
      <c r="A129" s="36" t="s">
        <v>1000</v>
      </c>
      <c r="B129" s="36" t="s">
        <v>996</v>
      </c>
      <c r="C129" s="36" t="s">
        <v>97</v>
      </c>
      <c r="D129" s="37"/>
    </row>
    <row r="130" spans="1:4" ht="14.25" customHeight="1" x14ac:dyDescent="0.35">
      <c r="A130" s="36" t="s">
        <v>1001</v>
      </c>
      <c r="B130" s="36" t="s">
        <v>1002</v>
      </c>
      <c r="C130" s="36" t="s">
        <v>97</v>
      </c>
      <c r="D130" s="37"/>
    </row>
    <row r="131" spans="1:4" ht="14.25" customHeight="1" x14ac:dyDescent="0.35">
      <c r="A131" s="36" t="s">
        <v>1003</v>
      </c>
      <c r="B131" s="36" t="s">
        <v>1002</v>
      </c>
      <c r="C131" s="36" t="s">
        <v>97</v>
      </c>
      <c r="D131" s="37"/>
    </row>
    <row r="132" spans="1:4" ht="14.25" customHeight="1" x14ac:dyDescent="0.35">
      <c r="A132" s="36" t="s">
        <v>1004</v>
      </c>
      <c r="B132" s="36" t="s">
        <v>1002</v>
      </c>
      <c r="C132" s="36" t="s">
        <v>97</v>
      </c>
      <c r="D132" s="37"/>
    </row>
    <row r="133" spans="1:4" ht="14.25" customHeight="1" x14ac:dyDescent="0.35">
      <c r="A133" s="36" t="s">
        <v>1005</v>
      </c>
      <c r="B133" s="36" t="s">
        <v>1002</v>
      </c>
      <c r="C133" s="36" t="s">
        <v>97</v>
      </c>
      <c r="D133" s="37"/>
    </row>
    <row r="134" spans="1:4" ht="14.25" customHeight="1" x14ac:dyDescent="0.35">
      <c r="A134" s="36" t="s">
        <v>1006</v>
      </c>
      <c r="B134" s="36" t="s">
        <v>1002</v>
      </c>
      <c r="C134" s="36" t="s">
        <v>97</v>
      </c>
      <c r="D134" s="37"/>
    </row>
    <row r="135" spans="1:4" ht="14.25" customHeight="1" x14ac:dyDescent="0.35">
      <c r="A135" s="36" t="s">
        <v>1007</v>
      </c>
      <c r="B135" s="36" t="s">
        <v>1002</v>
      </c>
      <c r="C135" s="36" t="s">
        <v>97</v>
      </c>
      <c r="D135" s="37"/>
    </row>
    <row r="136" spans="1:4" ht="14.25" customHeight="1" x14ac:dyDescent="0.35">
      <c r="A136" s="36" t="s">
        <v>1008</v>
      </c>
      <c r="B136" s="36" t="s">
        <v>1009</v>
      </c>
      <c r="C136" s="36" t="s">
        <v>685</v>
      </c>
      <c r="D136" s="37"/>
    </row>
    <row r="137" spans="1:4" ht="14.25" customHeight="1" x14ac:dyDescent="0.35">
      <c r="A137" s="36" t="s">
        <v>1010</v>
      </c>
      <c r="B137" s="36" t="s">
        <v>1009</v>
      </c>
      <c r="C137" s="36" t="s">
        <v>685</v>
      </c>
      <c r="D137" s="37"/>
    </row>
    <row r="138" spans="1:4" ht="14.25" customHeight="1" x14ac:dyDescent="0.35">
      <c r="A138" s="36" t="s">
        <v>1011</v>
      </c>
      <c r="B138" s="36" t="s">
        <v>1009</v>
      </c>
      <c r="C138" s="36" t="s">
        <v>685</v>
      </c>
      <c r="D138" s="37"/>
    </row>
    <row r="139" spans="1:4" ht="14.25" customHeight="1" x14ac:dyDescent="0.35">
      <c r="A139" s="36" t="s">
        <v>1012</v>
      </c>
      <c r="B139" s="36" t="s">
        <v>613</v>
      </c>
      <c r="C139" s="36" t="s">
        <v>685</v>
      </c>
      <c r="D139" s="37"/>
    </row>
    <row r="140" spans="1:4" ht="14.25" customHeight="1" x14ac:dyDescent="0.35">
      <c r="A140" s="36" t="s">
        <v>1013</v>
      </c>
      <c r="B140" s="36" t="s">
        <v>613</v>
      </c>
      <c r="C140" s="36" t="s">
        <v>685</v>
      </c>
      <c r="D140" s="37"/>
    </row>
    <row r="141" spans="1:4" ht="14.25" customHeight="1" x14ac:dyDescent="0.35">
      <c r="A141" s="36" t="s">
        <v>1014</v>
      </c>
      <c r="B141" s="36" t="s">
        <v>613</v>
      </c>
      <c r="C141" s="36" t="s">
        <v>685</v>
      </c>
      <c r="D141" s="37"/>
    </row>
    <row r="142" spans="1:4" ht="14.25" customHeight="1" x14ac:dyDescent="0.35">
      <c r="A142" s="36" t="s">
        <v>1015</v>
      </c>
      <c r="B142" s="36" t="s">
        <v>613</v>
      </c>
      <c r="C142" s="36" t="s">
        <v>685</v>
      </c>
      <c r="D142" s="37"/>
    </row>
    <row r="143" spans="1:4" ht="14.25" customHeight="1" x14ac:dyDescent="0.35">
      <c r="A143" s="36" t="s">
        <v>1016</v>
      </c>
      <c r="B143" s="36" t="s">
        <v>613</v>
      </c>
      <c r="C143" s="36" t="s">
        <v>685</v>
      </c>
      <c r="D143" s="37"/>
    </row>
    <row r="144" spans="1:4" ht="14.25" customHeight="1" x14ac:dyDescent="0.35">
      <c r="A144" s="36" t="s">
        <v>1017</v>
      </c>
      <c r="B144" s="36" t="s">
        <v>613</v>
      </c>
      <c r="C144" s="36" t="s">
        <v>685</v>
      </c>
      <c r="D144" s="37"/>
    </row>
    <row r="145" spans="1:4" ht="14.25" customHeight="1" x14ac:dyDescent="0.35">
      <c r="A145" s="36" t="s">
        <v>1018</v>
      </c>
      <c r="B145" s="36" t="s">
        <v>613</v>
      </c>
      <c r="C145" s="36" t="s">
        <v>685</v>
      </c>
      <c r="D145" s="37"/>
    </row>
    <row r="146" spans="1:4" ht="14.25" customHeight="1" x14ac:dyDescent="0.35">
      <c r="A146" s="36" t="s">
        <v>687</v>
      </c>
      <c r="B146" s="36" t="s">
        <v>613</v>
      </c>
      <c r="C146" s="36" t="s">
        <v>685</v>
      </c>
      <c r="D146" s="37"/>
    </row>
    <row r="147" spans="1:4" ht="14.25" customHeight="1" x14ac:dyDescent="0.35">
      <c r="A147" s="36" t="s">
        <v>1019</v>
      </c>
      <c r="B147" s="36" t="s">
        <v>613</v>
      </c>
      <c r="C147" s="36" t="s">
        <v>685</v>
      </c>
      <c r="D147" s="37"/>
    </row>
    <row r="148" spans="1:4" ht="14.25" customHeight="1" x14ac:dyDescent="0.35">
      <c r="A148" s="36" t="s">
        <v>1020</v>
      </c>
      <c r="B148" s="36" t="s">
        <v>613</v>
      </c>
      <c r="C148" s="36" t="s">
        <v>685</v>
      </c>
      <c r="D148" s="37"/>
    </row>
    <row r="149" spans="1:4" ht="14.25" customHeight="1" x14ac:dyDescent="0.35">
      <c r="A149" s="36" t="s">
        <v>1021</v>
      </c>
      <c r="B149" s="36" t="s">
        <v>613</v>
      </c>
      <c r="C149" s="36" t="s">
        <v>685</v>
      </c>
      <c r="D149" s="37"/>
    </row>
    <row r="150" spans="1:4" ht="14.25" customHeight="1" x14ac:dyDescent="0.35">
      <c r="A150" s="36" t="s">
        <v>1022</v>
      </c>
      <c r="B150" s="36" t="s">
        <v>613</v>
      </c>
      <c r="C150" s="36" t="s">
        <v>685</v>
      </c>
      <c r="D150" s="37"/>
    </row>
    <row r="151" spans="1:4" ht="14.25" customHeight="1" x14ac:dyDescent="0.35">
      <c r="A151" s="36" t="s">
        <v>1023</v>
      </c>
      <c r="B151" s="36" t="s">
        <v>613</v>
      </c>
      <c r="C151" s="36" t="s">
        <v>685</v>
      </c>
      <c r="D151" s="37"/>
    </row>
    <row r="152" spans="1:4" ht="14.25" customHeight="1" x14ac:dyDescent="0.35">
      <c r="A152" s="36" t="s">
        <v>1024</v>
      </c>
      <c r="B152" s="36" t="s">
        <v>613</v>
      </c>
      <c r="C152" s="36" t="s">
        <v>685</v>
      </c>
      <c r="D152" s="37"/>
    </row>
    <row r="153" spans="1:4" ht="14.25" customHeight="1" x14ac:dyDescent="0.35">
      <c r="A153" s="36" t="s">
        <v>1025</v>
      </c>
      <c r="B153" s="36" t="s">
        <v>1026</v>
      </c>
      <c r="C153" s="36" t="s">
        <v>685</v>
      </c>
      <c r="D153" s="37"/>
    </row>
    <row r="154" spans="1:4" ht="14.25" customHeight="1" x14ac:dyDescent="0.35">
      <c r="A154" s="36" t="s">
        <v>1025</v>
      </c>
      <c r="B154" s="36" t="s">
        <v>1026</v>
      </c>
      <c r="C154" s="36" t="s">
        <v>685</v>
      </c>
      <c r="D154" s="37"/>
    </row>
    <row r="155" spans="1:4" ht="14.25" customHeight="1" x14ac:dyDescent="0.35">
      <c r="A155" s="36" t="s">
        <v>1027</v>
      </c>
      <c r="B155" s="36" t="s">
        <v>1026</v>
      </c>
      <c r="C155" s="36" t="s">
        <v>685</v>
      </c>
      <c r="D155" s="37"/>
    </row>
    <row r="156" spans="1:4" ht="14.25" customHeight="1" x14ac:dyDescent="0.35">
      <c r="A156" s="36" t="s">
        <v>1028</v>
      </c>
      <c r="B156" s="36" t="s">
        <v>1026</v>
      </c>
      <c r="C156" s="36" t="s">
        <v>685</v>
      </c>
      <c r="D156" s="37"/>
    </row>
    <row r="157" spans="1:4" ht="14.25" customHeight="1" x14ac:dyDescent="0.35">
      <c r="A157" s="36" t="s">
        <v>1029</v>
      </c>
      <c r="B157" s="36" t="s">
        <v>1026</v>
      </c>
      <c r="C157" s="36" t="s">
        <v>685</v>
      </c>
      <c r="D157" s="37"/>
    </row>
    <row r="158" spans="1:4" ht="14.25" customHeight="1" x14ac:dyDescent="0.35">
      <c r="A158" s="36" t="s">
        <v>1030</v>
      </c>
      <c r="B158" s="36" t="s">
        <v>1026</v>
      </c>
      <c r="C158" s="36" t="s">
        <v>685</v>
      </c>
      <c r="D158" s="37"/>
    </row>
    <row r="159" spans="1:4" ht="14.25" customHeight="1" x14ac:dyDescent="0.35">
      <c r="A159" s="36" t="s">
        <v>1031</v>
      </c>
      <c r="B159" s="36" t="s">
        <v>1026</v>
      </c>
      <c r="C159" s="36" t="s">
        <v>685</v>
      </c>
      <c r="D159" s="37"/>
    </row>
    <row r="160" spans="1:4" ht="14.25" customHeight="1" x14ac:dyDescent="0.35">
      <c r="A160" s="36" t="s">
        <v>1032</v>
      </c>
      <c r="B160" s="36" t="s">
        <v>1026</v>
      </c>
      <c r="C160" s="36" t="s">
        <v>685</v>
      </c>
      <c r="D160" s="37"/>
    </row>
    <row r="161" spans="1:4" ht="14.25" customHeight="1" x14ac:dyDescent="0.35">
      <c r="A161" s="36" t="s">
        <v>1033</v>
      </c>
      <c r="B161" s="36" t="s">
        <v>212</v>
      </c>
      <c r="C161" s="36" t="s">
        <v>133</v>
      </c>
      <c r="D161" s="37"/>
    </row>
    <row r="162" spans="1:4" ht="14.25" customHeight="1" x14ac:dyDescent="0.35">
      <c r="A162" s="36" t="s">
        <v>1034</v>
      </c>
      <c r="B162" s="36" t="s">
        <v>212</v>
      </c>
      <c r="C162" s="36" t="s">
        <v>133</v>
      </c>
      <c r="D162" s="37"/>
    </row>
    <row r="163" spans="1:4" ht="14.25" customHeight="1" x14ac:dyDescent="0.35">
      <c r="A163" s="36" t="s">
        <v>1035</v>
      </c>
      <c r="B163" s="36" t="s">
        <v>212</v>
      </c>
      <c r="C163" s="36" t="s">
        <v>133</v>
      </c>
      <c r="D163" s="37"/>
    </row>
    <row r="164" spans="1:4" ht="14.25" customHeight="1" x14ac:dyDescent="0.35">
      <c r="A164" s="36" t="s">
        <v>479</v>
      </c>
      <c r="B164" s="36" t="s">
        <v>212</v>
      </c>
      <c r="C164" s="36" t="s">
        <v>133</v>
      </c>
      <c r="D164" s="37"/>
    </row>
    <row r="165" spans="1:4" ht="14.25" customHeight="1" x14ac:dyDescent="0.35">
      <c r="A165" s="36" t="s">
        <v>1036</v>
      </c>
      <c r="B165" s="36" t="s">
        <v>212</v>
      </c>
      <c r="C165" s="36" t="s">
        <v>133</v>
      </c>
      <c r="D165" s="37"/>
    </row>
    <row r="166" spans="1:4" ht="14.25" customHeight="1" x14ac:dyDescent="0.35">
      <c r="A166" s="36" t="s">
        <v>1037</v>
      </c>
      <c r="B166" s="36" t="s">
        <v>212</v>
      </c>
      <c r="C166" s="36" t="s">
        <v>133</v>
      </c>
      <c r="D166" s="37"/>
    </row>
    <row r="167" spans="1:4" ht="14.25" customHeight="1" x14ac:dyDescent="0.35">
      <c r="A167" s="36" t="s">
        <v>1038</v>
      </c>
      <c r="B167" s="36" t="s">
        <v>212</v>
      </c>
      <c r="C167" s="36" t="s">
        <v>133</v>
      </c>
      <c r="D167" s="37"/>
    </row>
    <row r="168" spans="1:4" ht="14.25" customHeight="1" x14ac:dyDescent="0.35">
      <c r="A168" s="36" t="s">
        <v>1039</v>
      </c>
      <c r="B168" s="36" t="s">
        <v>212</v>
      </c>
      <c r="C168" s="36" t="s">
        <v>133</v>
      </c>
      <c r="D168" s="37"/>
    </row>
    <row r="169" spans="1:4" ht="14.25" customHeight="1" x14ac:dyDescent="0.35">
      <c r="A169" s="36" t="s">
        <v>1040</v>
      </c>
      <c r="B169" s="36" t="s">
        <v>212</v>
      </c>
      <c r="C169" s="36" t="s">
        <v>133</v>
      </c>
      <c r="D169" s="37"/>
    </row>
    <row r="170" spans="1:4" ht="14.25" customHeight="1" x14ac:dyDescent="0.35">
      <c r="A170" s="36" t="s">
        <v>1041</v>
      </c>
      <c r="B170" s="36" t="s">
        <v>465</v>
      </c>
      <c r="C170" s="36" t="s">
        <v>133</v>
      </c>
      <c r="D170" s="37"/>
    </row>
    <row r="171" spans="1:4" ht="14.25" customHeight="1" x14ac:dyDescent="0.35">
      <c r="A171" s="36" t="s">
        <v>1042</v>
      </c>
      <c r="B171" s="36" t="s">
        <v>465</v>
      </c>
      <c r="C171" s="36" t="s">
        <v>133</v>
      </c>
      <c r="D171" s="37"/>
    </row>
    <row r="172" spans="1:4" ht="14.25" customHeight="1" x14ac:dyDescent="0.35">
      <c r="A172" s="36" t="s">
        <v>1043</v>
      </c>
      <c r="B172" s="36" t="s">
        <v>465</v>
      </c>
      <c r="C172" s="36" t="s">
        <v>133</v>
      </c>
      <c r="D172" s="37"/>
    </row>
    <row r="173" spans="1:4" ht="14.25" customHeight="1" x14ac:dyDescent="0.35">
      <c r="A173" s="36" t="s">
        <v>1044</v>
      </c>
      <c r="B173" s="36" t="s">
        <v>465</v>
      </c>
      <c r="C173" s="36" t="s">
        <v>133</v>
      </c>
      <c r="D173" s="37"/>
    </row>
    <row r="174" spans="1:4" ht="14.25" customHeight="1" x14ac:dyDescent="0.35">
      <c r="A174" s="36" t="s">
        <v>1045</v>
      </c>
      <c r="B174" s="36" t="s">
        <v>465</v>
      </c>
      <c r="C174" s="36" t="s">
        <v>133</v>
      </c>
      <c r="D174" s="37"/>
    </row>
    <row r="175" spans="1:4" ht="14.25" customHeight="1" x14ac:dyDescent="0.35">
      <c r="A175" s="36" t="s">
        <v>1046</v>
      </c>
      <c r="B175" s="36" t="s">
        <v>465</v>
      </c>
      <c r="C175" s="36" t="s">
        <v>133</v>
      </c>
      <c r="D175" s="37"/>
    </row>
    <row r="176" spans="1:4" ht="14.25" customHeight="1" x14ac:dyDescent="0.35">
      <c r="A176" s="36" t="s">
        <v>1047</v>
      </c>
      <c r="B176" s="36" t="s">
        <v>465</v>
      </c>
      <c r="C176" s="36" t="s">
        <v>133</v>
      </c>
      <c r="D176" s="37"/>
    </row>
    <row r="177" spans="1:4" ht="14.25" customHeight="1" x14ac:dyDescent="0.35">
      <c r="A177" s="36" t="s">
        <v>1048</v>
      </c>
      <c r="B177" s="36" t="s">
        <v>1049</v>
      </c>
      <c r="C177" s="36" t="s">
        <v>133</v>
      </c>
      <c r="D177" s="37"/>
    </row>
    <row r="178" spans="1:4" ht="14.25" customHeight="1" x14ac:dyDescent="0.35">
      <c r="A178" s="36" t="s">
        <v>1050</v>
      </c>
      <c r="B178" s="36" t="s">
        <v>1049</v>
      </c>
      <c r="C178" s="36" t="s">
        <v>133</v>
      </c>
      <c r="D178" s="37"/>
    </row>
    <row r="179" spans="1:4" ht="14.25" customHeight="1" x14ac:dyDescent="0.35">
      <c r="A179" s="36" t="s">
        <v>1051</v>
      </c>
      <c r="B179" s="36" t="s">
        <v>1052</v>
      </c>
      <c r="C179" s="36" t="s">
        <v>436</v>
      </c>
      <c r="D179" s="37"/>
    </row>
    <row r="180" spans="1:4" ht="14.25" customHeight="1" x14ac:dyDescent="0.35">
      <c r="A180" s="36" t="s">
        <v>1053</v>
      </c>
      <c r="B180" s="36" t="s">
        <v>1052</v>
      </c>
      <c r="C180" s="36" t="s">
        <v>436</v>
      </c>
      <c r="D180" s="37"/>
    </row>
    <row r="181" spans="1:4" ht="14.25" customHeight="1" x14ac:dyDescent="0.35">
      <c r="A181" s="36" t="s">
        <v>1054</v>
      </c>
      <c r="B181" s="36" t="s">
        <v>1052</v>
      </c>
      <c r="C181" s="36" t="s">
        <v>436</v>
      </c>
      <c r="D181" s="37"/>
    </row>
    <row r="182" spans="1:4" ht="14.25" customHeight="1" x14ac:dyDescent="0.35">
      <c r="A182" s="36" t="s">
        <v>1055</v>
      </c>
      <c r="B182" s="36" t="s">
        <v>1052</v>
      </c>
      <c r="C182" s="36" t="s">
        <v>436</v>
      </c>
      <c r="D182" s="37"/>
    </row>
    <row r="183" spans="1:4" ht="14.25" customHeight="1" x14ac:dyDescent="0.35">
      <c r="A183" s="36" t="s">
        <v>1056</v>
      </c>
      <c r="B183" s="36" t="s">
        <v>797</v>
      </c>
      <c r="C183" s="36" t="s">
        <v>436</v>
      </c>
      <c r="D183" s="37"/>
    </row>
    <row r="184" spans="1:4" ht="14.25" customHeight="1" x14ac:dyDescent="0.35">
      <c r="A184" s="36" t="s">
        <v>1057</v>
      </c>
      <c r="B184" s="36" t="s">
        <v>797</v>
      </c>
      <c r="C184" s="36" t="s">
        <v>436</v>
      </c>
      <c r="D184" s="37"/>
    </row>
    <row r="185" spans="1:4" ht="14.25" customHeight="1" x14ac:dyDescent="0.35">
      <c r="A185" s="36" t="s">
        <v>1058</v>
      </c>
      <c r="B185" s="36" t="s">
        <v>797</v>
      </c>
      <c r="C185" s="36" t="s">
        <v>436</v>
      </c>
      <c r="D185" s="37"/>
    </row>
    <row r="186" spans="1:4" ht="14.25" customHeight="1" x14ac:dyDescent="0.35">
      <c r="A186" s="36" t="s">
        <v>1059</v>
      </c>
      <c r="B186" s="36" t="s">
        <v>797</v>
      </c>
      <c r="C186" s="36" t="s">
        <v>436</v>
      </c>
      <c r="D186" s="37"/>
    </row>
    <row r="187" spans="1:4" ht="14.25" customHeight="1" x14ac:dyDescent="0.35">
      <c r="A187" s="36" t="s">
        <v>1060</v>
      </c>
      <c r="B187" s="36" t="s">
        <v>1061</v>
      </c>
      <c r="C187" s="36" t="s">
        <v>436</v>
      </c>
      <c r="D187" s="37"/>
    </row>
    <row r="188" spans="1:4" ht="14.25" customHeight="1" x14ac:dyDescent="0.35">
      <c r="A188" s="36" t="s">
        <v>1062</v>
      </c>
      <c r="B188" s="36" t="s">
        <v>1061</v>
      </c>
      <c r="C188" s="36" t="s">
        <v>436</v>
      </c>
      <c r="D188" s="37"/>
    </row>
    <row r="189" spans="1:4" ht="14.25" customHeight="1" x14ac:dyDescent="0.35">
      <c r="A189" s="36" t="s">
        <v>1063</v>
      </c>
      <c r="B189" s="36" t="s">
        <v>1061</v>
      </c>
      <c r="C189" s="36" t="s">
        <v>436</v>
      </c>
      <c r="D189" s="37"/>
    </row>
    <row r="190" spans="1:4" ht="14.25" customHeight="1" x14ac:dyDescent="0.35">
      <c r="A190" s="36" t="s">
        <v>1064</v>
      </c>
      <c r="B190" s="36" t="s">
        <v>1061</v>
      </c>
      <c r="C190" s="36" t="s">
        <v>436</v>
      </c>
      <c r="D190" s="37"/>
    </row>
    <row r="191" spans="1:4" ht="14.25" customHeight="1" x14ac:dyDescent="0.35">
      <c r="A191" s="36" t="s">
        <v>1065</v>
      </c>
      <c r="B191" s="36" t="s">
        <v>1066</v>
      </c>
      <c r="C191" s="36" t="s">
        <v>436</v>
      </c>
      <c r="D191" s="37"/>
    </row>
    <row r="192" spans="1:4" ht="14.25" customHeight="1" x14ac:dyDescent="0.35">
      <c r="A192" s="36" t="s">
        <v>1067</v>
      </c>
      <c r="B192" s="36" t="s">
        <v>1066</v>
      </c>
      <c r="C192" s="36" t="s">
        <v>436</v>
      </c>
      <c r="D192" s="37"/>
    </row>
    <row r="193" spans="1:4" ht="14.25" customHeight="1" x14ac:dyDescent="0.35">
      <c r="A193" s="36" t="s">
        <v>1068</v>
      </c>
      <c r="B193" s="36" t="s">
        <v>1066</v>
      </c>
      <c r="C193" s="36" t="s">
        <v>436</v>
      </c>
      <c r="D193" s="37"/>
    </row>
    <row r="194" spans="1:4" ht="14.25" customHeight="1" x14ac:dyDescent="0.35">
      <c r="A194" s="36" t="s">
        <v>1069</v>
      </c>
      <c r="B194" s="36" t="s">
        <v>1066</v>
      </c>
      <c r="C194" s="36" t="s">
        <v>436</v>
      </c>
      <c r="D194" s="37"/>
    </row>
    <row r="195" spans="1:4" ht="14.25" customHeight="1" x14ac:dyDescent="0.35">
      <c r="A195" s="37"/>
      <c r="B195" s="37"/>
      <c r="C195" s="37"/>
      <c r="D195" s="37"/>
    </row>
    <row r="196" spans="1:4" ht="14.25" customHeight="1" x14ac:dyDescent="0.35">
      <c r="A196" s="35" t="s">
        <v>1070</v>
      </c>
      <c r="B196" s="35"/>
      <c r="C196" s="37"/>
      <c r="D196" s="37"/>
    </row>
    <row r="197" spans="1:4" ht="14.25" customHeight="1" x14ac:dyDescent="0.35">
      <c r="A197" s="35" t="s">
        <v>903</v>
      </c>
      <c r="B197" s="35" t="s">
        <v>1071</v>
      </c>
      <c r="C197" s="37"/>
      <c r="D197" s="37"/>
    </row>
    <row r="198" spans="1:4" ht="14.25" customHeight="1" x14ac:dyDescent="0.35">
      <c r="A198" s="36" t="s">
        <v>118</v>
      </c>
      <c r="B198" s="36" t="s">
        <v>317</v>
      </c>
      <c r="C198" s="37"/>
      <c r="D198" s="37"/>
    </row>
    <row r="199" spans="1:4" ht="14.25" customHeight="1" x14ac:dyDescent="0.35">
      <c r="A199" s="36" t="s">
        <v>118</v>
      </c>
      <c r="B199" s="36" t="s">
        <v>480</v>
      </c>
      <c r="C199" s="37"/>
      <c r="D199" s="37"/>
    </row>
    <row r="200" spans="1:4" ht="14.25" customHeight="1" x14ac:dyDescent="0.35">
      <c r="A200" s="36" t="s">
        <v>118</v>
      </c>
      <c r="B200" s="36" t="s">
        <v>1072</v>
      </c>
      <c r="C200" s="37"/>
      <c r="D200" s="37"/>
    </row>
    <row r="201" spans="1:4" ht="14.25" customHeight="1" x14ac:dyDescent="0.35">
      <c r="A201" s="36" t="s">
        <v>118</v>
      </c>
      <c r="B201" s="36" t="s">
        <v>1073</v>
      </c>
      <c r="C201" s="37"/>
      <c r="D201" s="37"/>
    </row>
    <row r="202" spans="1:4" ht="14.25" customHeight="1" x14ac:dyDescent="0.35">
      <c r="A202" s="36" t="s">
        <v>118</v>
      </c>
      <c r="B202" s="36" t="s">
        <v>1074</v>
      </c>
      <c r="C202" s="37"/>
      <c r="D202" s="37"/>
    </row>
    <row r="203" spans="1:4" ht="14.25" customHeight="1" x14ac:dyDescent="0.35">
      <c r="A203" s="36" t="s">
        <v>195</v>
      </c>
      <c r="B203" s="36" t="s">
        <v>1075</v>
      </c>
      <c r="C203" s="37"/>
      <c r="D203" s="37"/>
    </row>
    <row r="204" spans="1:4" ht="14.25" customHeight="1" x14ac:dyDescent="0.35">
      <c r="A204" s="36" t="s">
        <v>195</v>
      </c>
      <c r="B204" s="36" t="s">
        <v>1076</v>
      </c>
      <c r="C204" s="37"/>
      <c r="D204" s="37"/>
    </row>
    <row r="205" spans="1:4" ht="14.25" customHeight="1" x14ac:dyDescent="0.35">
      <c r="A205" s="36" t="s">
        <v>195</v>
      </c>
      <c r="B205" s="36" t="s">
        <v>1077</v>
      </c>
      <c r="C205" s="37"/>
      <c r="D205" s="37"/>
    </row>
    <row r="206" spans="1:4" ht="14.25" customHeight="1" x14ac:dyDescent="0.35">
      <c r="A206" s="36" t="s">
        <v>195</v>
      </c>
      <c r="B206" s="36" t="s">
        <v>1078</v>
      </c>
      <c r="C206" s="37"/>
      <c r="D206" s="37"/>
    </row>
    <row r="207" spans="1:4" ht="14.25" customHeight="1" x14ac:dyDescent="0.35">
      <c r="A207" s="36" t="s">
        <v>195</v>
      </c>
      <c r="B207" s="36" t="s">
        <v>1079</v>
      </c>
      <c r="C207" s="37"/>
      <c r="D207" s="37"/>
    </row>
    <row r="208" spans="1:4" ht="14.25" customHeight="1" x14ac:dyDescent="0.35">
      <c r="A208" s="36" t="s">
        <v>195</v>
      </c>
      <c r="B208" s="36" t="s">
        <v>1080</v>
      </c>
      <c r="C208" s="37"/>
      <c r="D208" s="37"/>
    </row>
    <row r="209" spans="1:4" ht="14.25" customHeight="1" x14ac:dyDescent="0.35">
      <c r="A209" s="36" t="s">
        <v>195</v>
      </c>
      <c r="B209" s="36" t="s">
        <v>1081</v>
      </c>
      <c r="C209" s="37"/>
      <c r="D209" s="37"/>
    </row>
    <row r="210" spans="1:4" ht="14.25" customHeight="1" x14ac:dyDescent="0.35">
      <c r="A210" s="36" t="s">
        <v>195</v>
      </c>
      <c r="B210" s="36" t="s">
        <v>1082</v>
      </c>
      <c r="C210" s="37"/>
      <c r="D210" s="37"/>
    </row>
    <row r="211" spans="1:4" ht="14.25" customHeight="1" x14ac:dyDescent="0.35">
      <c r="A211" s="36" t="s">
        <v>195</v>
      </c>
      <c r="B211" s="36" t="s">
        <v>1083</v>
      </c>
      <c r="C211" s="37"/>
      <c r="D211" s="37"/>
    </row>
    <row r="212" spans="1:4" ht="14.25" customHeight="1" x14ac:dyDescent="0.35">
      <c r="A212" s="36" t="s">
        <v>195</v>
      </c>
      <c r="B212" s="36" t="s">
        <v>1084</v>
      </c>
      <c r="C212" s="37"/>
      <c r="D212" s="37"/>
    </row>
    <row r="213" spans="1:4" ht="14.25" customHeight="1" x14ac:dyDescent="0.35">
      <c r="A213" s="36" t="s">
        <v>195</v>
      </c>
      <c r="B213" s="36" t="s">
        <v>1085</v>
      </c>
      <c r="C213" s="37"/>
      <c r="D213" s="37"/>
    </row>
    <row r="214" spans="1:4" ht="14.25" customHeight="1" x14ac:dyDescent="0.35">
      <c r="A214" s="36" t="s">
        <v>195</v>
      </c>
      <c r="B214" s="36" t="s">
        <v>1086</v>
      </c>
      <c r="C214" s="37"/>
      <c r="D214" s="37"/>
    </row>
    <row r="215" spans="1:4" ht="14.25" customHeight="1" x14ac:dyDescent="0.35">
      <c r="A215" s="36" t="s">
        <v>195</v>
      </c>
      <c r="B215" s="36" t="s">
        <v>1087</v>
      </c>
      <c r="C215" s="37"/>
      <c r="D215" s="37"/>
    </row>
    <row r="216" spans="1:4" ht="14.25" customHeight="1" x14ac:dyDescent="0.35">
      <c r="A216" s="36" t="s">
        <v>653</v>
      </c>
      <c r="B216" s="36" t="s">
        <v>599</v>
      </c>
      <c r="C216" s="37"/>
      <c r="D216" s="37"/>
    </row>
    <row r="217" spans="1:4" ht="14.25" customHeight="1" x14ac:dyDescent="0.35">
      <c r="A217" s="36" t="s">
        <v>653</v>
      </c>
      <c r="B217" s="36" t="s">
        <v>711</v>
      </c>
      <c r="C217" s="37"/>
      <c r="D217" s="37"/>
    </row>
    <row r="218" spans="1:4" ht="14.25" customHeight="1" x14ac:dyDescent="0.35">
      <c r="A218" s="36" t="s">
        <v>97</v>
      </c>
      <c r="B218" s="36" t="s">
        <v>769</v>
      </c>
      <c r="C218" s="37"/>
      <c r="D218" s="37"/>
    </row>
    <row r="219" spans="1:4" ht="14.25" customHeight="1" x14ac:dyDescent="0.35">
      <c r="A219" s="36" t="s">
        <v>97</v>
      </c>
      <c r="B219" s="36" t="s">
        <v>1088</v>
      </c>
      <c r="C219" s="37"/>
      <c r="D219" s="37"/>
    </row>
    <row r="220" spans="1:4" ht="14.25" customHeight="1" x14ac:dyDescent="0.35">
      <c r="A220" s="36" t="s">
        <v>97</v>
      </c>
      <c r="B220" s="36" t="s">
        <v>767</v>
      </c>
      <c r="C220" s="37"/>
      <c r="D220" s="37"/>
    </row>
    <row r="221" spans="1:4" ht="14.25" customHeight="1" x14ac:dyDescent="0.35">
      <c r="A221" s="36" t="s">
        <v>97</v>
      </c>
      <c r="B221" s="36" t="s">
        <v>1089</v>
      </c>
      <c r="C221" s="37"/>
      <c r="D221" s="37"/>
    </row>
    <row r="222" spans="1:4" ht="14.25" customHeight="1" x14ac:dyDescent="0.35">
      <c r="A222" s="36" t="s">
        <v>97</v>
      </c>
      <c r="B222" s="36" t="s">
        <v>1090</v>
      </c>
      <c r="C222" s="37"/>
      <c r="D222" s="37"/>
    </row>
    <row r="223" spans="1:4" ht="14.25" customHeight="1" x14ac:dyDescent="0.35">
      <c r="A223" s="36" t="s">
        <v>685</v>
      </c>
      <c r="B223" s="36" t="s">
        <v>686</v>
      </c>
      <c r="C223" s="37"/>
      <c r="D223" s="37"/>
    </row>
    <row r="224" spans="1:4" ht="14.25" customHeight="1" x14ac:dyDescent="0.35">
      <c r="A224" s="36" t="s">
        <v>685</v>
      </c>
      <c r="B224" s="36" t="s">
        <v>1091</v>
      </c>
      <c r="C224" s="37"/>
      <c r="D224" s="37"/>
    </row>
    <row r="225" spans="1:4" ht="14.25" customHeight="1" x14ac:dyDescent="0.35">
      <c r="A225" s="36" t="s">
        <v>685</v>
      </c>
      <c r="B225" s="36" t="s">
        <v>688</v>
      </c>
      <c r="C225" s="37"/>
      <c r="D225" s="37"/>
    </row>
    <row r="226" spans="1:4" ht="14.25" customHeight="1" x14ac:dyDescent="0.35">
      <c r="A226" s="36" t="s">
        <v>133</v>
      </c>
      <c r="B226" s="36" t="s">
        <v>1092</v>
      </c>
      <c r="C226" s="37"/>
      <c r="D226" s="37"/>
    </row>
    <row r="227" spans="1:4" ht="14.25" customHeight="1" x14ac:dyDescent="0.35">
      <c r="A227" s="36" t="s">
        <v>133</v>
      </c>
      <c r="B227" s="36" t="s">
        <v>1093</v>
      </c>
      <c r="C227" s="37"/>
      <c r="D227" s="37"/>
    </row>
    <row r="228" spans="1:4" ht="14.25" customHeight="1" x14ac:dyDescent="0.35">
      <c r="A228" s="36" t="s">
        <v>133</v>
      </c>
      <c r="B228" s="36" t="s">
        <v>1094</v>
      </c>
      <c r="C228" s="37"/>
      <c r="D228" s="37"/>
    </row>
    <row r="229" spans="1:4" ht="14.25" customHeight="1" x14ac:dyDescent="0.35">
      <c r="A229" s="36" t="s">
        <v>133</v>
      </c>
      <c r="B229" s="36" t="s">
        <v>1095</v>
      </c>
      <c r="C229" s="37"/>
      <c r="D229" s="37"/>
    </row>
    <row r="230" spans="1:4" ht="14.25" customHeight="1" x14ac:dyDescent="0.35">
      <c r="A230" s="36" t="s">
        <v>133</v>
      </c>
      <c r="B230" s="36" t="s">
        <v>1096</v>
      </c>
      <c r="C230" s="37"/>
      <c r="D230" s="37"/>
    </row>
    <row r="231" spans="1:4" ht="14.25" customHeight="1" x14ac:dyDescent="0.35">
      <c r="A231" s="36" t="s">
        <v>436</v>
      </c>
      <c r="B231" s="36" t="s">
        <v>1097</v>
      </c>
      <c r="C231" s="37"/>
      <c r="D231" s="37"/>
    </row>
    <row r="232" spans="1:4" ht="14.25" customHeight="1" x14ac:dyDescent="0.35">
      <c r="A232" s="36" t="s">
        <v>436</v>
      </c>
      <c r="B232" s="36" t="s">
        <v>1098</v>
      </c>
      <c r="C232" s="37"/>
      <c r="D232" s="37"/>
    </row>
    <row r="233" spans="1:4" ht="14.25" customHeight="1" x14ac:dyDescent="0.35">
      <c r="A233" s="36" t="s">
        <v>436</v>
      </c>
      <c r="B233" s="36" t="s">
        <v>1099</v>
      </c>
      <c r="C233" s="37"/>
      <c r="D233" s="37"/>
    </row>
    <row r="234" spans="1:4" ht="14.25" customHeight="1" x14ac:dyDescent="0.35">
      <c r="A234" s="36" t="s">
        <v>436</v>
      </c>
      <c r="B234" s="36" t="s">
        <v>1100</v>
      </c>
      <c r="C234" s="37"/>
      <c r="D234" s="37"/>
    </row>
    <row r="235" spans="1:4" ht="14.25" customHeight="1" x14ac:dyDescent="0.35">
      <c r="A235" s="36" t="s">
        <v>436</v>
      </c>
      <c r="B235" s="36" t="s">
        <v>1101</v>
      </c>
      <c r="C235" s="37"/>
      <c r="D235" s="37"/>
    </row>
    <row r="236" spans="1:4" ht="14.25" customHeight="1" x14ac:dyDescent="0.35">
      <c r="A236" s="36" t="s">
        <v>436</v>
      </c>
      <c r="B236" s="36" t="s">
        <v>1102</v>
      </c>
      <c r="C236" s="37"/>
      <c r="D236" s="37"/>
    </row>
    <row r="237" spans="1:4" ht="14.25" customHeight="1" x14ac:dyDescent="0.35">
      <c r="A237" s="36" t="s">
        <v>436</v>
      </c>
      <c r="B237" s="36" t="s">
        <v>1103</v>
      </c>
      <c r="C237" s="37"/>
      <c r="D237" s="37"/>
    </row>
    <row r="238" spans="1:4" ht="14.25" customHeight="1" x14ac:dyDescent="0.35">
      <c r="A238" s="36" t="s">
        <v>436</v>
      </c>
      <c r="B238" s="36" t="s">
        <v>1104</v>
      </c>
      <c r="C238" s="37"/>
      <c r="D238" s="37"/>
    </row>
    <row r="239" spans="1:4" ht="14.25" customHeight="1" x14ac:dyDescent="0.35">
      <c r="A239" s="37"/>
      <c r="B239" s="37"/>
      <c r="C239" s="37"/>
      <c r="D239" s="37"/>
    </row>
    <row r="240" spans="1:4" ht="14.25" customHeight="1" x14ac:dyDescent="0.35">
      <c r="A240" s="37"/>
      <c r="B240" s="37"/>
      <c r="C240" s="37"/>
      <c r="D240" s="37"/>
    </row>
    <row r="241" spans="1:4" ht="14.25" customHeight="1" x14ac:dyDescent="0.35">
      <c r="A241" s="35" t="s">
        <v>1105</v>
      </c>
      <c r="B241" s="35" t="s">
        <v>1106</v>
      </c>
      <c r="C241" s="38"/>
      <c r="D241" s="37"/>
    </row>
    <row r="242" spans="1:4" ht="14.25" customHeight="1" x14ac:dyDescent="0.35">
      <c r="A242" s="36">
        <v>1</v>
      </c>
      <c r="B242" s="36" t="s">
        <v>1107</v>
      </c>
      <c r="C242" s="36"/>
      <c r="D242" s="37"/>
    </row>
    <row r="243" spans="1:4" ht="14.25" customHeight="1" x14ac:dyDescent="0.35">
      <c r="A243" s="36">
        <v>2</v>
      </c>
      <c r="B243" s="36" t="s">
        <v>1108</v>
      </c>
      <c r="C243" s="36"/>
      <c r="D243" s="37"/>
    </row>
    <row r="244" spans="1:4" ht="14.25" customHeight="1" x14ac:dyDescent="0.35">
      <c r="A244" s="36">
        <v>3</v>
      </c>
      <c r="B244" s="36" t="s">
        <v>1109</v>
      </c>
      <c r="C244" s="36"/>
      <c r="D244" s="37"/>
    </row>
    <row r="245" spans="1:4" ht="14.25" customHeight="1" x14ac:dyDescent="0.35">
      <c r="A245" s="36">
        <v>4</v>
      </c>
      <c r="B245" s="36" t="s">
        <v>1110</v>
      </c>
      <c r="C245" s="36"/>
      <c r="D245" s="37"/>
    </row>
    <row r="246" spans="1:4" ht="14.25" customHeight="1" x14ac:dyDescent="0.35">
      <c r="A246" s="36">
        <v>5</v>
      </c>
      <c r="B246" s="36" t="s">
        <v>1111</v>
      </c>
      <c r="C246" s="36"/>
      <c r="D246" s="37"/>
    </row>
    <row r="247" spans="1:4" ht="14.25" customHeight="1" x14ac:dyDescent="0.35">
      <c r="A247" s="36">
        <v>6</v>
      </c>
      <c r="B247" s="36" t="s">
        <v>1112</v>
      </c>
      <c r="C247" s="36"/>
      <c r="D247" s="37"/>
    </row>
    <row r="248" spans="1:4" ht="14.25" customHeight="1" x14ac:dyDescent="0.35">
      <c r="A248" s="36">
        <v>7</v>
      </c>
      <c r="B248" s="36" t="s">
        <v>1113</v>
      </c>
      <c r="C248" s="36"/>
      <c r="D248" s="37"/>
    </row>
    <row r="249" spans="1:4" ht="14.25" customHeight="1" x14ac:dyDescent="0.35">
      <c r="A249" s="36">
        <v>8</v>
      </c>
      <c r="B249" s="36" t="s">
        <v>1114</v>
      </c>
      <c r="C249" s="36" t="s">
        <v>1115</v>
      </c>
      <c r="D249" s="37"/>
    </row>
    <row r="250" spans="1:4" ht="14.25" customHeight="1" x14ac:dyDescent="0.35">
      <c r="A250" s="36">
        <v>9</v>
      </c>
      <c r="B250" s="36" t="s">
        <v>1116</v>
      </c>
      <c r="C250" s="36" t="s">
        <v>1115</v>
      </c>
      <c r="D250" s="37"/>
    </row>
    <row r="251" spans="1:4" ht="14.25" customHeight="1" x14ac:dyDescent="0.35">
      <c r="A251" s="36">
        <v>10</v>
      </c>
      <c r="B251" s="36" t="s">
        <v>1117</v>
      </c>
      <c r="C251" s="36" t="s">
        <v>1115</v>
      </c>
      <c r="D251" s="37"/>
    </row>
    <row r="252" spans="1:4" ht="14.25" customHeight="1" x14ac:dyDescent="0.35">
      <c r="A252" s="36">
        <v>11</v>
      </c>
      <c r="B252" s="36" t="s">
        <v>1118</v>
      </c>
      <c r="C252" s="36" t="s">
        <v>1115</v>
      </c>
      <c r="D252" s="37"/>
    </row>
    <row r="253" spans="1:4" ht="14.25" customHeight="1" x14ac:dyDescent="0.35">
      <c r="A253" s="36">
        <v>12</v>
      </c>
      <c r="B253" s="36" t="s">
        <v>1119</v>
      </c>
      <c r="C253" s="36" t="s">
        <v>1115</v>
      </c>
      <c r="D253" s="37"/>
    </row>
    <row r="254" spans="1:4" ht="14.25" customHeight="1" x14ac:dyDescent="0.35">
      <c r="A254" s="36">
        <v>13</v>
      </c>
      <c r="B254" s="36" t="s">
        <v>1120</v>
      </c>
      <c r="C254" s="36" t="s">
        <v>1115</v>
      </c>
      <c r="D254" s="37"/>
    </row>
    <row r="255" spans="1:4" ht="14.25" customHeight="1" x14ac:dyDescent="0.35">
      <c r="A255" s="36">
        <v>14</v>
      </c>
      <c r="B255" s="36" t="s">
        <v>1121</v>
      </c>
      <c r="C255" s="36" t="s">
        <v>1115</v>
      </c>
      <c r="D255" s="37"/>
    </row>
    <row r="256" spans="1:4" ht="14.25" customHeight="1" x14ac:dyDescent="0.35">
      <c r="A256" s="36">
        <v>15</v>
      </c>
      <c r="B256" s="36" t="s">
        <v>1122</v>
      </c>
      <c r="C256" s="36" t="s">
        <v>1115</v>
      </c>
      <c r="D256" s="37"/>
    </row>
    <row r="257" spans="1:4" ht="14.25" customHeight="1" x14ac:dyDescent="0.35">
      <c r="A257" s="36">
        <v>16</v>
      </c>
      <c r="B257" s="36" t="s">
        <v>1123</v>
      </c>
      <c r="C257" s="36" t="s">
        <v>1115</v>
      </c>
      <c r="D257" s="37"/>
    </row>
    <row r="258" spans="1:4" ht="14.25" customHeight="1" x14ac:dyDescent="0.35">
      <c r="A258" s="36">
        <v>17</v>
      </c>
      <c r="B258" s="36" t="s">
        <v>1124</v>
      </c>
      <c r="C258" s="36" t="s">
        <v>1115</v>
      </c>
      <c r="D258" s="37"/>
    </row>
    <row r="259" spans="1:4" ht="14.25" customHeight="1" x14ac:dyDescent="0.35">
      <c r="A259" s="36">
        <v>18</v>
      </c>
      <c r="B259" s="36" t="s">
        <v>1125</v>
      </c>
      <c r="C259" s="36" t="s">
        <v>1115</v>
      </c>
      <c r="D259" s="37"/>
    </row>
    <row r="260" spans="1:4" ht="14.25" customHeight="1" x14ac:dyDescent="0.35">
      <c r="A260" s="36">
        <v>19</v>
      </c>
      <c r="B260" s="36" t="s">
        <v>1126</v>
      </c>
      <c r="C260" s="36" t="s">
        <v>1115</v>
      </c>
      <c r="D260" s="37"/>
    </row>
    <row r="261" spans="1:4" ht="14.25" customHeight="1" x14ac:dyDescent="0.35">
      <c r="A261" s="36">
        <v>20</v>
      </c>
      <c r="B261" s="36" t="s">
        <v>1127</v>
      </c>
      <c r="C261" s="36" t="s">
        <v>714</v>
      </c>
      <c r="D261" s="37"/>
    </row>
    <row r="262" spans="1:4" ht="14.25" customHeight="1" x14ac:dyDescent="0.35">
      <c r="A262" s="36">
        <v>21</v>
      </c>
      <c r="B262" s="36" t="s">
        <v>1128</v>
      </c>
      <c r="C262" s="36" t="s">
        <v>714</v>
      </c>
      <c r="D262" s="37"/>
    </row>
    <row r="263" spans="1:4" ht="14.25" customHeight="1" x14ac:dyDescent="0.35">
      <c r="A263" s="36">
        <v>22</v>
      </c>
      <c r="B263" s="36" t="s">
        <v>1129</v>
      </c>
      <c r="C263" s="36" t="s">
        <v>714</v>
      </c>
      <c r="D263" s="37"/>
    </row>
    <row r="264" spans="1:4" ht="14.25" customHeight="1" x14ac:dyDescent="0.35">
      <c r="A264" s="36">
        <v>23</v>
      </c>
      <c r="B264" s="36" t="s">
        <v>1130</v>
      </c>
      <c r="C264" s="36" t="s">
        <v>714</v>
      </c>
      <c r="D264" s="37"/>
    </row>
    <row r="265" spans="1:4" ht="14.25" customHeight="1" x14ac:dyDescent="0.35">
      <c r="A265" s="36">
        <v>24</v>
      </c>
      <c r="B265" s="36" t="s">
        <v>1124</v>
      </c>
      <c r="C265" s="36" t="s">
        <v>714</v>
      </c>
      <c r="D265" s="37"/>
    </row>
    <row r="266" spans="1:4" ht="14.25" customHeight="1" x14ac:dyDescent="0.35">
      <c r="A266" s="36">
        <v>25</v>
      </c>
      <c r="B266" s="36" t="s">
        <v>1131</v>
      </c>
      <c r="C266" s="36" t="s">
        <v>714</v>
      </c>
      <c r="D266" s="37"/>
    </row>
    <row r="267" spans="1:4" ht="14.25" customHeight="1" x14ac:dyDescent="0.35">
      <c r="A267" s="36">
        <v>26</v>
      </c>
      <c r="B267" s="36" t="s">
        <v>1132</v>
      </c>
      <c r="C267" s="36" t="s">
        <v>714</v>
      </c>
      <c r="D267" s="37"/>
    </row>
    <row r="268" spans="1:4" ht="14.25" customHeight="1" x14ac:dyDescent="0.35">
      <c r="A268" s="36">
        <v>27</v>
      </c>
      <c r="B268" s="36" t="s">
        <v>1133</v>
      </c>
      <c r="C268" s="36" t="s">
        <v>714</v>
      </c>
      <c r="D268" s="37"/>
    </row>
    <row r="269" spans="1:4" ht="14.25" customHeight="1" x14ac:dyDescent="0.35">
      <c r="A269" s="36">
        <v>28</v>
      </c>
      <c r="B269" s="36" t="s">
        <v>1134</v>
      </c>
      <c r="C269" s="36" t="s">
        <v>714</v>
      </c>
      <c r="D269" s="37"/>
    </row>
    <row r="270" spans="1:4" ht="14.25" customHeight="1" x14ac:dyDescent="0.35">
      <c r="A270" s="36">
        <v>29</v>
      </c>
      <c r="B270" s="36" t="s">
        <v>1135</v>
      </c>
      <c r="C270" s="36" t="s">
        <v>714</v>
      </c>
      <c r="D270" s="37"/>
    </row>
    <row r="271" spans="1:4" ht="14.25" customHeight="1" x14ac:dyDescent="0.35">
      <c r="A271" s="36">
        <v>30</v>
      </c>
      <c r="B271" s="36" t="s">
        <v>1136</v>
      </c>
      <c r="C271" s="36" t="s">
        <v>1137</v>
      </c>
      <c r="D271" s="37"/>
    </row>
    <row r="272" spans="1:4" ht="14.25" customHeight="1" x14ac:dyDescent="0.35">
      <c r="A272" s="36">
        <v>31</v>
      </c>
      <c r="B272" s="36" t="s">
        <v>1130</v>
      </c>
      <c r="C272" s="36" t="s">
        <v>1137</v>
      </c>
      <c r="D272" s="37"/>
    </row>
    <row r="273" spans="1:4" ht="14.25" customHeight="1" x14ac:dyDescent="0.35">
      <c r="A273" s="36">
        <v>32</v>
      </c>
      <c r="B273" s="36" t="s">
        <v>1138</v>
      </c>
      <c r="C273" s="36" t="s">
        <v>1137</v>
      </c>
      <c r="D273" s="37"/>
    </row>
    <row r="274" spans="1:4" ht="14.25" customHeight="1" x14ac:dyDescent="0.35">
      <c r="A274" s="36">
        <v>33</v>
      </c>
      <c r="B274" s="36" t="s">
        <v>1139</v>
      </c>
      <c r="C274" s="36" t="s">
        <v>1137</v>
      </c>
      <c r="D274" s="37"/>
    </row>
    <row r="275" spans="1:4" ht="14.25" customHeight="1" x14ac:dyDescent="0.35">
      <c r="A275" s="36">
        <v>34</v>
      </c>
      <c r="B275" s="36" t="s">
        <v>1140</v>
      </c>
      <c r="C275" s="36" t="s">
        <v>1137</v>
      </c>
      <c r="D275" s="37"/>
    </row>
    <row r="276" spans="1:4" ht="14.25" customHeight="1" x14ac:dyDescent="0.35">
      <c r="A276" s="36">
        <v>35</v>
      </c>
      <c r="B276" s="36" t="s">
        <v>1126</v>
      </c>
      <c r="C276" s="36" t="s">
        <v>1137</v>
      </c>
      <c r="D276" s="37"/>
    </row>
    <row r="277" spans="1:4" ht="14.25" customHeight="1" x14ac:dyDescent="0.35">
      <c r="A277" s="36">
        <v>36</v>
      </c>
      <c r="B277" s="36" t="s">
        <v>1141</v>
      </c>
      <c r="C277" s="36" t="s">
        <v>1115</v>
      </c>
      <c r="D277" s="37"/>
    </row>
    <row r="278" spans="1:4" ht="14.25" customHeight="1" x14ac:dyDescent="0.35">
      <c r="A278" s="36">
        <v>37</v>
      </c>
      <c r="B278" s="36" t="s">
        <v>1142</v>
      </c>
      <c r="C278" s="36" t="s">
        <v>1115</v>
      </c>
      <c r="D278" s="37"/>
    </row>
    <row r="279" spans="1:4" ht="14.25" customHeight="1" x14ac:dyDescent="0.35">
      <c r="A279" s="36">
        <v>38</v>
      </c>
      <c r="B279" s="36" t="s">
        <v>1143</v>
      </c>
      <c r="C279" s="36" t="s">
        <v>714</v>
      </c>
      <c r="D279" s="37"/>
    </row>
    <row r="280" spans="1:4" ht="14.25" customHeight="1" x14ac:dyDescent="0.35">
      <c r="A280" s="36">
        <v>39</v>
      </c>
      <c r="B280" s="36" t="s">
        <v>1144</v>
      </c>
      <c r="C280" s="36" t="s">
        <v>1137</v>
      </c>
      <c r="D280" s="37"/>
    </row>
    <row r="281" spans="1:4" ht="14.25" customHeight="1" x14ac:dyDescent="0.35">
      <c r="A281" s="36">
        <v>40</v>
      </c>
      <c r="B281" s="36" t="s">
        <v>1145</v>
      </c>
      <c r="C281" s="36" t="s">
        <v>1137</v>
      </c>
      <c r="D281" s="37"/>
    </row>
    <row r="282" spans="1:4" ht="14.25" customHeight="1" x14ac:dyDescent="0.35">
      <c r="A282" s="36">
        <v>41</v>
      </c>
      <c r="B282" s="36" t="s">
        <v>1146</v>
      </c>
      <c r="C282" s="36" t="s">
        <v>1137</v>
      </c>
      <c r="D282" s="37"/>
    </row>
    <row r="283" spans="1:4" ht="14.25" customHeight="1" x14ac:dyDescent="0.35">
      <c r="A283" s="36">
        <v>42</v>
      </c>
      <c r="B283" s="36" t="s">
        <v>1143</v>
      </c>
      <c r="C283" s="36" t="s">
        <v>1137</v>
      </c>
      <c r="D283" s="37"/>
    </row>
    <row r="284" spans="1:4" ht="14.25" customHeight="1" x14ac:dyDescent="0.35">
      <c r="A284" s="36">
        <v>43</v>
      </c>
      <c r="B284" s="36" t="s">
        <v>1147</v>
      </c>
      <c r="C284" s="36" t="s">
        <v>1137</v>
      </c>
      <c r="D284" s="37"/>
    </row>
    <row r="285" spans="1:4" ht="14.25" customHeight="1" x14ac:dyDescent="0.35">
      <c r="A285" s="36">
        <v>44</v>
      </c>
      <c r="B285" s="36" t="s">
        <v>1148</v>
      </c>
      <c r="C285" s="36" t="s">
        <v>1137</v>
      </c>
      <c r="D285" s="37"/>
    </row>
    <row r="286" spans="1:4" ht="14.25" customHeight="1" x14ac:dyDescent="0.35">
      <c r="A286" s="37"/>
      <c r="B286" s="37"/>
      <c r="C286" s="37"/>
      <c r="D286" s="37"/>
    </row>
    <row r="287" spans="1:4" ht="14.25" customHeight="1" x14ac:dyDescent="0.35">
      <c r="A287" s="37"/>
      <c r="B287" s="37"/>
      <c r="C287" s="37"/>
      <c r="D287" s="37"/>
    </row>
    <row r="288" spans="1:4" ht="14.25" customHeight="1" x14ac:dyDescent="0.35">
      <c r="A288" s="35" t="s">
        <v>1149</v>
      </c>
      <c r="B288" s="38"/>
      <c r="C288" s="37"/>
      <c r="D288" s="37"/>
    </row>
    <row r="289" spans="1:4" ht="14.25" customHeight="1" x14ac:dyDescent="0.35">
      <c r="A289" s="36">
        <v>1</v>
      </c>
      <c r="B289" s="36" t="s">
        <v>1115</v>
      </c>
      <c r="C289" s="37"/>
      <c r="D289" s="37"/>
    </row>
    <row r="290" spans="1:4" ht="14.25" customHeight="1" x14ac:dyDescent="0.35">
      <c r="A290" s="36">
        <v>2</v>
      </c>
      <c r="B290" s="36" t="s">
        <v>714</v>
      </c>
      <c r="C290" s="37"/>
      <c r="D290" s="37"/>
    </row>
    <row r="291" spans="1:4" ht="14.25" customHeight="1" x14ac:dyDescent="0.35">
      <c r="A291" s="36">
        <v>3</v>
      </c>
      <c r="B291" s="36" t="s">
        <v>1137</v>
      </c>
      <c r="C291" s="37"/>
      <c r="D291" s="37"/>
    </row>
    <row r="292" spans="1:4" ht="14.25" customHeight="1" x14ac:dyDescent="0.35">
      <c r="A292" s="37"/>
      <c r="B292" s="37"/>
      <c r="C292" s="37"/>
      <c r="D292" s="37"/>
    </row>
    <row r="293" spans="1:4" ht="14.25" customHeight="1" x14ac:dyDescent="0.35">
      <c r="A293" s="35" t="s">
        <v>1150</v>
      </c>
      <c r="B293" s="38"/>
      <c r="C293" s="37"/>
      <c r="D293" s="37"/>
    </row>
    <row r="294" spans="1:4" ht="14.25" customHeight="1" x14ac:dyDescent="0.35">
      <c r="A294" s="36">
        <v>1</v>
      </c>
      <c r="B294" s="36" t="s">
        <v>659</v>
      </c>
      <c r="C294" s="37"/>
      <c r="D294" s="37"/>
    </row>
    <row r="295" spans="1:4" ht="14.25" customHeight="1" x14ac:dyDescent="0.35">
      <c r="A295" s="36">
        <v>2</v>
      </c>
      <c r="B295" s="36" t="s">
        <v>662</v>
      </c>
      <c r="C295" s="37"/>
      <c r="D295" s="37"/>
    </row>
    <row r="296" spans="1:4" ht="14.25" customHeight="1" x14ac:dyDescent="0.35">
      <c r="A296" s="36">
        <v>3</v>
      </c>
      <c r="B296" s="36" t="s">
        <v>665</v>
      </c>
      <c r="C296" s="37"/>
      <c r="D296" s="37"/>
    </row>
    <row r="297" spans="1:4" ht="14.25" customHeight="1" x14ac:dyDescent="0.35">
      <c r="A297" s="37"/>
      <c r="B297" s="37"/>
      <c r="C297" s="37"/>
      <c r="D297" s="37"/>
    </row>
    <row r="298" spans="1:4" ht="14.25" customHeight="1" x14ac:dyDescent="0.35">
      <c r="A298" s="37"/>
      <c r="B298" s="37"/>
      <c r="C298" s="37"/>
      <c r="D298" s="37"/>
    </row>
    <row r="299" spans="1:4" ht="14.25" customHeight="1" x14ac:dyDescent="0.35">
      <c r="A299" s="37" t="s">
        <v>1151</v>
      </c>
      <c r="B299" s="37"/>
      <c r="C299" s="37"/>
      <c r="D299" s="37"/>
    </row>
    <row r="300" spans="1:4" ht="14.25" customHeight="1" x14ac:dyDescent="0.35">
      <c r="A300" s="37" t="s">
        <v>1152</v>
      </c>
      <c r="B300" s="37"/>
      <c r="C300" s="37"/>
      <c r="D300" s="37"/>
    </row>
    <row r="301" spans="1:4" ht="14.25" customHeight="1" x14ac:dyDescent="0.35">
      <c r="A301" s="37"/>
      <c r="B301" s="37"/>
      <c r="C301" s="37"/>
      <c r="D301" s="37"/>
    </row>
    <row r="302" spans="1:4" ht="14.25" customHeight="1" x14ac:dyDescent="0.35">
      <c r="A302" s="39" t="s">
        <v>1153</v>
      </c>
      <c r="B302" s="37"/>
      <c r="C302" s="37"/>
      <c r="D302" s="37"/>
    </row>
    <row r="303" spans="1:4" ht="14.25" customHeight="1" x14ac:dyDescent="0.35">
      <c r="A303" s="39"/>
      <c r="B303" s="40" t="s">
        <v>1154</v>
      </c>
      <c r="C303" s="40" t="s">
        <v>1155</v>
      </c>
      <c r="D303" s="37"/>
    </row>
    <row r="304" spans="1:4" ht="14.25" customHeight="1" x14ac:dyDescent="0.35">
      <c r="A304" s="37"/>
      <c r="B304" s="36" t="s">
        <v>1156</v>
      </c>
      <c r="C304" s="41" t="s">
        <v>1157</v>
      </c>
      <c r="D304" s="37"/>
    </row>
    <row r="305" spans="1:4" ht="14.25" customHeight="1" x14ac:dyDescent="0.35">
      <c r="A305" s="37"/>
      <c r="B305" s="36" t="s">
        <v>1158</v>
      </c>
      <c r="C305" s="41" t="s">
        <v>1159</v>
      </c>
      <c r="D305" s="37"/>
    </row>
    <row r="306" spans="1:4" ht="14.25" customHeight="1" x14ac:dyDescent="0.35">
      <c r="A306" s="37"/>
      <c r="B306" s="36" t="s">
        <v>1160</v>
      </c>
      <c r="C306" s="41" t="s">
        <v>1161</v>
      </c>
      <c r="D306" s="37"/>
    </row>
    <row r="307" spans="1:4" ht="14.25" customHeight="1" x14ac:dyDescent="0.35">
      <c r="A307" s="37"/>
      <c r="B307" s="36" t="s">
        <v>1162</v>
      </c>
      <c r="C307" s="41" t="s">
        <v>1163</v>
      </c>
      <c r="D307" s="37"/>
    </row>
    <row r="308" spans="1:4" ht="14.25" customHeight="1" x14ac:dyDescent="0.35">
      <c r="A308" s="37"/>
      <c r="B308" s="36" t="s">
        <v>1164</v>
      </c>
      <c r="C308" s="41" t="s">
        <v>1165</v>
      </c>
      <c r="D308" s="37"/>
    </row>
    <row r="309" spans="1:4" ht="14.25" customHeight="1" x14ac:dyDescent="0.35">
      <c r="A309" s="37"/>
      <c r="B309" s="36" t="s">
        <v>1166</v>
      </c>
      <c r="C309" s="41" t="s">
        <v>1167</v>
      </c>
      <c r="D309" s="37"/>
    </row>
    <row r="310" spans="1:4" ht="14.25" customHeight="1" x14ac:dyDescent="0.35">
      <c r="A310" s="37"/>
      <c r="B310" s="36" t="s">
        <v>1168</v>
      </c>
      <c r="C310" s="41" t="s">
        <v>1169</v>
      </c>
      <c r="D310" s="37"/>
    </row>
    <row r="311" spans="1:4" ht="14.25" customHeight="1" x14ac:dyDescent="0.35">
      <c r="A311" s="37"/>
      <c r="B311" s="36" t="s">
        <v>1170</v>
      </c>
      <c r="C311" s="41" t="s">
        <v>1171</v>
      </c>
      <c r="D311" s="37"/>
    </row>
    <row r="312" spans="1:4" ht="14.25" customHeight="1" x14ac:dyDescent="0.35">
      <c r="A312" s="37"/>
      <c r="B312" s="36" t="s">
        <v>1172</v>
      </c>
      <c r="C312" s="41" t="s">
        <v>1173</v>
      </c>
      <c r="D312" s="37"/>
    </row>
    <row r="313" spans="1:4" ht="14.25" customHeight="1" x14ac:dyDescent="0.35">
      <c r="A313" s="37"/>
      <c r="B313" s="36" t="s">
        <v>1174</v>
      </c>
      <c r="C313" s="41" t="s">
        <v>1175</v>
      </c>
      <c r="D313" s="37"/>
    </row>
    <row r="314" spans="1:4" ht="14.25" customHeight="1" x14ac:dyDescent="0.35">
      <c r="A314" s="37"/>
      <c r="B314" s="36" t="s">
        <v>1176</v>
      </c>
      <c r="C314" s="41" t="s">
        <v>1177</v>
      </c>
      <c r="D314" s="37"/>
    </row>
    <row r="315" spans="1:4" ht="14.25" customHeight="1" x14ac:dyDescent="0.35">
      <c r="A315" s="37"/>
      <c r="B315" s="36" t="s">
        <v>1178</v>
      </c>
      <c r="C315" s="41" t="s">
        <v>1179</v>
      </c>
      <c r="D315" s="37"/>
    </row>
    <row r="316" spans="1:4" ht="14.25" customHeight="1" x14ac:dyDescent="0.35">
      <c r="A316" s="37"/>
      <c r="B316" s="36" t="s">
        <v>1180</v>
      </c>
      <c r="C316" s="41" t="s">
        <v>1181</v>
      </c>
      <c r="D316" s="37"/>
    </row>
    <row r="317" spans="1:4" ht="14.25" customHeight="1" x14ac:dyDescent="0.35">
      <c r="A317" s="37"/>
      <c r="B317" s="36" t="s">
        <v>1182</v>
      </c>
      <c r="C317" s="41" t="s">
        <v>1183</v>
      </c>
      <c r="D317" s="37"/>
    </row>
    <row r="318" spans="1:4" ht="14.25" customHeight="1" x14ac:dyDescent="0.35">
      <c r="A318" s="37"/>
      <c r="B318" s="36" t="s">
        <v>1184</v>
      </c>
      <c r="C318" s="41" t="s">
        <v>1185</v>
      </c>
      <c r="D318" s="37"/>
    </row>
    <row r="319" spans="1:4" ht="14.25" customHeight="1" x14ac:dyDescent="0.35">
      <c r="A319" s="37"/>
      <c r="B319" s="36" t="s">
        <v>1186</v>
      </c>
      <c r="C319" s="41" t="s">
        <v>1187</v>
      </c>
      <c r="D319" s="37"/>
    </row>
    <row r="320" spans="1:4" ht="14.25" customHeight="1" x14ac:dyDescent="0.35">
      <c r="A320" s="37"/>
      <c r="B320" s="36" t="s">
        <v>1188</v>
      </c>
      <c r="C320" s="41" t="s">
        <v>1189</v>
      </c>
      <c r="D320" s="37"/>
    </row>
    <row r="321" spans="1:4" ht="14.25" customHeight="1" x14ac:dyDescent="0.35">
      <c r="A321" s="37"/>
      <c r="B321" s="36" t="s">
        <v>1190</v>
      </c>
      <c r="C321" s="41" t="s">
        <v>1191</v>
      </c>
      <c r="D321" s="37"/>
    </row>
    <row r="322" spans="1:4" ht="14.25" customHeight="1" x14ac:dyDescent="0.35">
      <c r="A322" s="37"/>
      <c r="B322" s="36" t="s">
        <v>1192</v>
      </c>
      <c r="C322" s="41" t="s">
        <v>1193</v>
      </c>
      <c r="D322" s="37"/>
    </row>
    <row r="323" spans="1:4" ht="14.25" customHeight="1" x14ac:dyDescent="0.35">
      <c r="A323" s="37"/>
      <c r="B323" s="36" t="s">
        <v>1194</v>
      </c>
      <c r="C323" s="41" t="s">
        <v>1195</v>
      </c>
      <c r="D323" s="37"/>
    </row>
    <row r="324" spans="1:4" ht="14.25" customHeight="1" x14ac:dyDescent="0.35">
      <c r="A324" s="37"/>
      <c r="B324" s="36" t="s">
        <v>1196</v>
      </c>
      <c r="C324" s="41" t="s">
        <v>1197</v>
      </c>
      <c r="D324" s="37"/>
    </row>
    <row r="325" spans="1:4" ht="14.25" customHeight="1" x14ac:dyDescent="0.35">
      <c r="A325" s="37"/>
      <c r="B325" s="36" t="s">
        <v>1198</v>
      </c>
      <c r="C325" s="41" t="s">
        <v>1199</v>
      </c>
      <c r="D325" s="37"/>
    </row>
    <row r="326" spans="1:4" ht="14.25" customHeight="1" x14ac:dyDescent="0.35">
      <c r="A326" s="37"/>
      <c r="B326" s="36" t="s">
        <v>1200</v>
      </c>
      <c r="C326" s="41" t="s">
        <v>1201</v>
      </c>
      <c r="D326" s="37"/>
    </row>
    <row r="327" spans="1:4" ht="14.25" customHeight="1" x14ac:dyDescent="0.35">
      <c r="A327" s="37"/>
      <c r="B327" s="36" t="s">
        <v>1202</v>
      </c>
      <c r="C327" s="41" t="s">
        <v>1203</v>
      </c>
      <c r="D327" s="37"/>
    </row>
    <row r="328" spans="1:4" ht="14.25" customHeight="1" x14ac:dyDescent="0.35">
      <c r="A328" s="37"/>
      <c r="B328" s="36" t="s">
        <v>1204</v>
      </c>
      <c r="C328" s="41" t="s">
        <v>1205</v>
      </c>
      <c r="D328" s="37"/>
    </row>
    <row r="329" spans="1:4" ht="14.25" customHeight="1" x14ac:dyDescent="0.35">
      <c r="A329" s="37"/>
      <c r="B329" s="36" t="s">
        <v>1206</v>
      </c>
      <c r="C329" s="41" t="s">
        <v>1207</v>
      </c>
      <c r="D329" s="37"/>
    </row>
    <row r="330" spans="1:4" ht="14.25" customHeight="1" x14ac:dyDescent="0.35">
      <c r="A330" s="37"/>
      <c r="B330" s="36" t="s">
        <v>1208</v>
      </c>
      <c r="C330" s="41" t="s">
        <v>1209</v>
      </c>
      <c r="D330" s="37"/>
    </row>
    <row r="331" spans="1:4" ht="14.25" customHeight="1" x14ac:dyDescent="0.35">
      <c r="A331" s="37"/>
      <c r="B331" s="36" t="s">
        <v>1210</v>
      </c>
      <c r="C331" s="41" t="s">
        <v>1211</v>
      </c>
      <c r="D331" s="37"/>
    </row>
    <row r="332" spans="1:4" ht="14.25" customHeight="1" x14ac:dyDescent="0.35">
      <c r="A332" s="37"/>
      <c r="B332" s="36" t="s">
        <v>1212</v>
      </c>
      <c r="C332" s="41" t="s">
        <v>1213</v>
      </c>
      <c r="D332" s="37"/>
    </row>
    <row r="333" spans="1:4" ht="14.25" customHeight="1" x14ac:dyDescent="0.35">
      <c r="A333" s="37"/>
      <c r="B333" s="36" t="s">
        <v>1214</v>
      </c>
      <c r="C333" s="41" t="s">
        <v>1215</v>
      </c>
      <c r="D333" s="37"/>
    </row>
    <row r="334" spans="1:4" ht="14.25" customHeight="1" x14ac:dyDescent="0.35">
      <c r="A334" s="37"/>
      <c r="B334" s="36" t="s">
        <v>1216</v>
      </c>
      <c r="C334" s="41" t="s">
        <v>1217</v>
      </c>
      <c r="D334" s="37"/>
    </row>
    <row r="335" spans="1:4" ht="14.25" customHeight="1" x14ac:dyDescent="0.35">
      <c r="A335" s="37"/>
      <c r="B335" s="36" t="s">
        <v>1218</v>
      </c>
      <c r="C335" s="41" t="s">
        <v>1219</v>
      </c>
      <c r="D335" s="37"/>
    </row>
    <row r="336" spans="1:4" ht="14.25" customHeight="1" x14ac:dyDescent="0.35">
      <c r="A336" s="37"/>
      <c r="B336" s="36" t="s">
        <v>1220</v>
      </c>
      <c r="C336" s="41" t="s">
        <v>1221</v>
      </c>
      <c r="D336" s="37"/>
    </row>
    <row r="337" spans="1:4" ht="14.25" customHeight="1" x14ac:dyDescent="0.35">
      <c r="A337" s="37"/>
      <c r="B337" s="36" t="s">
        <v>1222</v>
      </c>
      <c r="C337" s="41" t="s">
        <v>1223</v>
      </c>
      <c r="D337" s="37"/>
    </row>
    <row r="338" spans="1:4" ht="14.25" customHeight="1" x14ac:dyDescent="0.35">
      <c r="A338" s="37"/>
      <c r="B338" s="36" t="s">
        <v>1224</v>
      </c>
      <c r="C338" s="41" t="s">
        <v>1225</v>
      </c>
      <c r="D338" s="37"/>
    </row>
    <row r="339" spans="1:4" ht="14.25" customHeight="1" x14ac:dyDescent="0.35">
      <c r="A339" s="37"/>
      <c r="B339" s="36" t="s">
        <v>1226</v>
      </c>
      <c r="C339" s="41" t="s">
        <v>1227</v>
      </c>
      <c r="D339" s="37"/>
    </row>
    <row r="340" spans="1:4" ht="14.25" customHeight="1" x14ac:dyDescent="0.35">
      <c r="A340" s="37"/>
      <c r="B340" s="36" t="s">
        <v>1228</v>
      </c>
      <c r="C340" s="41" t="s">
        <v>1229</v>
      </c>
      <c r="D340" s="37"/>
    </row>
    <row r="341" spans="1:4" ht="14.25" customHeight="1" x14ac:dyDescent="0.35">
      <c r="A341" s="37"/>
      <c r="B341" s="36" t="s">
        <v>1230</v>
      </c>
      <c r="C341" s="41" t="s">
        <v>1231</v>
      </c>
      <c r="D341" s="37"/>
    </row>
    <row r="342" spans="1:4" ht="14.25" customHeight="1" x14ac:dyDescent="0.35">
      <c r="A342" s="37"/>
      <c r="B342" s="36" t="s">
        <v>1232</v>
      </c>
      <c r="C342" s="41" t="s">
        <v>1233</v>
      </c>
      <c r="D342" s="37"/>
    </row>
    <row r="343" spans="1:4" ht="14.25" customHeight="1" x14ac:dyDescent="0.35">
      <c r="A343" s="37"/>
      <c r="B343" s="36" t="s">
        <v>1234</v>
      </c>
      <c r="C343" s="41" t="s">
        <v>1235</v>
      </c>
      <c r="D343" s="37"/>
    </row>
    <row r="344" spans="1:4" ht="14.25" customHeight="1" x14ac:dyDescent="0.35">
      <c r="A344" s="37"/>
      <c r="B344" s="36" t="s">
        <v>1236</v>
      </c>
      <c r="C344" s="41" t="s">
        <v>1237</v>
      </c>
      <c r="D344" s="37"/>
    </row>
    <row r="345" spans="1:4" ht="14.25" customHeight="1" x14ac:dyDescent="0.35">
      <c r="A345" s="37"/>
      <c r="B345" s="36" t="s">
        <v>1238</v>
      </c>
      <c r="C345" s="41" t="s">
        <v>1239</v>
      </c>
      <c r="D345" s="37"/>
    </row>
    <row r="346" spans="1:4" ht="14.25" customHeight="1" x14ac:dyDescent="0.35">
      <c r="A346" s="37"/>
      <c r="B346" s="36" t="s">
        <v>1240</v>
      </c>
      <c r="C346" s="41" t="s">
        <v>1241</v>
      </c>
      <c r="D346" s="37"/>
    </row>
    <row r="347" spans="1:4" ht="14.25" customHeight="1" x14ac:dyDescent="0.35">
      <c r="A347" s="37"/>
      <c r="B347" s="36" t="s">
        <v>1242</v>
      </c>
      <c r="C347" s="41" t="s">
        <v>1243</v>
      </c>
      <c r="D347" s="37"/>
    </row>
    <row r="348" spans="1:4" ht="14.25" customHeight="1" x14ac:dyDescent="0.35">
      <c r="A348" s="37"/>
      <c r="B348" s="36" t="s">
        <v>1244</v>
      </c>
      <c r="C348" s="41" t="s">
        <v>1245</v>
      </c>
      <c r="D348" s="37"/>
    </row>
    <row r="349" spans="1:4" ht="14.25" customHeight="1" x14ac:dyDescent="0.35">
      <c r="A349" s="37"/>
      <c r="B349" s="36" t="s">
        <v>1246</v>
      </c>
      <c r="C349" s="41" t="s">
        <v>1247</v>
      </c>
      <c r="D349" s="37"/>
    </row>
    <row r="350" spans="1:4" ht="14.25" customHeight="1" x14ac:dyDescent="0.35">
      <c r="A350" s="37"/>
      <c r="B350" s="36" t="s">
        <v>1248</v>
      </c>
      <c r="C350" s="41" t="s">
        <v>1249</v>
      </c>
      <c r="D350" s="37"/>
    </row>
    <row r="351" spans="1:4" ht="14.25" customHeight="1" x14ac:dyDescent="0.35">
      <c r="A351" s="37"/>
      <c r="B351" s="36" t="s">
        <v>1250</v>
      </c>
      <c r="C351" s="41" t="s">
        <v>1251</v>
      </c>
      <c r="D351" s="37"/>
    </row>
    <row r="352" spans="1:4" ht="14.25" customHeight="1" x14ac:dyDescent="0.35">
      <c r="A352" s="37"/>
      <c r="B352" s="36" t="s">
        <v>1252</v>
      </c>
      <c r="C352" s="41" t="s">
        <v>1253</v>
      </c>
      <c r="D352" s="37"/>
    </row>
    <row r="353" spans="1:4" ht="14.25" customHeight="1" x14ac:dyDescent="0.35">
      <c r="A353" s="37"/>
      <c r="B353" s="36" t="s">
        <v>1254</v>
      </c>
      <c r="C353" s="41" t="s">
        <v>1255</v>
      </c>
      <c r="D353" s="37"/>
    </row>
    <row r="354" spans="1:4" ht="14.25" customHeight="1" x14ac:dyDescent="0.35">
      <c r="A354" s="37"/>
      <c r="B354" s="36" t="s">
        <v>1256</v>
      </c>
      <c r="C354" s="41" t="s">
        <v>1257</v>
      </c>
      <c r="D354" s="37"/>
    </row>
    <row r="355" spans="1:4" ht="14.25" customHeight="1" x14ac:dyDescent="0.35">
      <c r="A355" s="37"/>
      <c r="B355" s="36" t="s">
        <v>1258</v>
      </c>
      <c r="C355" s="41" t="s">
        <v>1259</v>
      </c>
      <c r="D355" s="37"/>
    </row>
    <row r="356" spans="1:4" ht="14.25" customHeight="1" x14ac:dyDescent="0.35">
      <c r="A356" s="37"/>
      <c r="B356" s="36" t="s">
        <v>1260</v>
      </c>
      <c r="C356" s="41" t="s">
        <v>1261</v>
      </c>
      <c r="D356" s="37"/>
    </row>
    <row r="357" spans="1:4" ht="14.25" customHeight="1" x14ac:dyDescent="0.35">
      <c r="A357" s="37"/>
      <c r="B357" s="36" t="s">
        <v>1262</v>
      </c>
      <c r="C357" s="41" t="s">
        <v>1263</v>
      </c>
      <c r="D357" s="37"/>
    </row>
    <row r="358" spans="1:4" ht="14.25" customHeight="1" x14ac:dyDescent="0.35">
      <c r="A358" s="37"/>
      <c r="B358" s="36" t="s">
        <v>1264</v>
      </c>
      <c r="C358" s="41" t="s">
        <v>1265</v>
      </c>
      <c r="D358" s="37"/>
    </row>
    <row r="359" spans="1:4" ht="14.25" customHeight="1" x14ac:dyDescent="0.35">
      <c r="A359" s="37"/>
      <c r="B359" s="36" t="s">
        <v>1266</v>
      </c>
      <c r="C359" s="41" t="s">
        <v>1267</v>
      </c>
      <c r="D359" s="37"/>
    </row>
    <row r="360" spans="1:4" ht="14.25" customHeight="1" x14ac:dyDescent="0.35">
      <c r="A360" s="37"/>
      <c r="B360" s="36" t="s">
        <v>1268</v>
      </c>
      <c r="C360" s="41" t="s">
        <v>1269</v>
      </c>
      <c r="D360" s="37"/>
    </row>
    <row r="361" spans="1:4" ht="14.25" customHeight="1" x14ac:dyDescent="0.35">
      <c r="A361" s="37"/>
      <c r="B361" s="36" t="s">
        <v>1270</v>
      </c>
      <c r="C361" s="41" t="s">
        <v>1271</v>
      </c>
      <c r="D361" s="37"/>
    </row>
    <row r="362" spans="1:4" ht="14.25" customHeight="1" x14ac:dyDescent="0.35">
      <c r="A362" s="37"/>
      <c r="B362" s="36" t="s">
        <v>1272</v>
      </c>
      <c r="C362" s="41" t="s">
        <v>1273</v>
      </c>
      <c r="D362" s="37"/>
    </row>
    <row r="363" spans="1:4" ht="14.25" customHeight="1" x14ac:dyDescent="0.35">
      <c r="A363" s="37"/>
      <c r="B363" s="36" t="s">
        <v>1274</v>
      </c>
      <c r="C363" s="41" t="s">
        <v>1275</v>
      </c>
      <c r="D363" s="37"/>
    </row>
    <row r="364" spans="1:4" ht="14.25" customHeight="1" x14ac:dyDescent="0.35">
      <c r="A364" s="37"/>
      <c r="B364" s="36" t="s">
        <v>1276</v>
      </c>
      <c r="C364" s="41" t="s">
        <v>1277</v>
      </c>
      <c r="D364" s="37"/>
    </row>
    <row r="365" spans="1:4" ht="14.25" customHeight="1" x14ac:dyDescent="0.35">
      <c r="A365" s="37"/>
      <c r="B365" s="36" t="s">
        <v>1278</v>
      </c>
      <c r="C365" s="41" t="s">
        <v>1279</v>
      </c>
      <c r="D365" s="37"/>
    </row>
    <row r="366" spans="1:4" ht="14.25" customHeight="1" x14ac:dyDescent="0.35">
      <c r="A366" s="37"/>
      <c r="B366" s="36" t="s">
        <v>1280</v>
      </c>
      <c r="C366" s="41" t="s">
        <v>1281</v>
      </c>
      <c r="D366" s="37"/>
    </row>
    <row r="367" spans="1:4" ht="14.25" customHeight="1" x14ac:dyDescent="0.35">
      <c r="A367" s="37"/>
      <c r="B367" s="36" t="s">
        <v>1282</v>
      </c>
      <c r="C367" s="41" t="s">
        <v>1283</v>
      </c>
      <c r="D367" s="37"/>
    </row>
    <row r="368" spans="1:4" ht="14.25" customHeight="1" x14ac:dyDescent="0.35">
      <c r="A368" s="37"/>
      <c r="B368" s="36" t="s">
        <v>1284</v>
      </c>
      <c r="C368" s="41" t="s">
        <v>1285</v>
      </c>
      <c r="D368" s="37"/>
    </row>
    <row r="369" spans="1:4" ht="14.25" customHeight="1" x14ac:dyDescent="0.35">
      <c r="A369" s="37"/>
      <c r="B369" s="36" t="s">
        <v>1286</v>
      </c>
      <c r="C369" s="41" t="s">
        <v>1287</v>
      </c>
      <c r="D369" s="37"/>
    </row>
    <row r="370" spans="1:4" ht="14.25" customHeight="1" x14ac:dyDescent="0.35">
      <c r="A370" s="37"/>
      <c r="B370" s="36" t="s">
        <v>1288</v>
      </c>
      <c r="C370" s="41" t="s">
        <v>1289</v>
      </c>
      <c r="D370" s="37"/>
    </row>
    <row r="371" spans="1:4" ht="14.25" customHeight="1" x14ac:dyDescent="0.35">
      <c r="A371" s="37"/>
      <c r="B371" s="36" t="s">
        <v>1290</v>
      </c>
      <c r="C371" s="41" t="s">
        <v>1291</v>
      </c>
      <c r="D371" s="37"/>
    </row>
    <row r="372" spans="1:4" ht="14.25" customHeight="1" x14ac:dyDescent="0.35">
      <c r="A372" s="37"/>
      <c r="B372" s="36" t="s">
        <v>1292</v>
      </c>
      <c r="C372" s="41" t="s">
        <v>1293</v>
      </c>
      <c r="D372" s="37"/>
    </row>
    <row r="373" spans="1:4" ht="14.25" customHeight="1" x14ac:dyDescent="0.35">
      <c r="A373" s="37"/>
      <c r="B373" s="36" t="s">
        <v>1294</v>
      </c>
      <c r="C373" s="41" t="s">
        <v>1295</v>
      </c>
      <c r="D373" s="37"/>
    </row>
    <row r="374" spans="1:4" ht="14.25" customHeight="1" x14ac:dyDescent="0.35">
      <c r="A374" s="37"/>
      <c r="B374" s="36" t="s">
        <v>1296</v>
      </c>
      <c r="C374" s="41" t="s">
        <v>1297</v>
      </c>
      <c r="D374" s="37"/>
    </row>
    <row r="375" spans="1:4" ht="14.25" customHeight="1" x14ac:dyDescent="0.35">
      <c r="A375" s="37"/>
      <c r="B375" s="36" t="s">
        <v>1298</v>
      </c>
      <c r="C375" s="41" t="s">
        <v>1299</v>
      </c>
      <c r="D375" s="37"/>
    </row>
    <row r="376" spans="1:4" ht="14.25" customHeight="1" x14ac:dyDescent="0.35">
      <c r="A376" s="37"/>
      <c r="B376" s="36" t="s">
        <v>1300</v>
      </c>
      <c r="C376" s="41" t="s">
        <v>1301</v>
      </c>
      <c r="D376" s="37"/>
    </row>
    <row r="377" spans="1:4" ht="14.25" customHeight="1" x14ac:dyDescent="0.35">
      <c r="A377" s="37"/>
      <c r="B377" s="36" t="s">
        <v>1302</v>
      </c>
      <c r="C377" s="41" t="s">
        <v>1303</v>
      </c>
      <c r="D377" s="37"/>
    </row>
    <row r="378" spans="1:4" ht="14.25" customHeight="1" x14ac:dyDescent="0.35">
      <c r="A378" s="37"/>
      <c r="B378" s="36" t="s">
        <v>1304</v>
      </c>
      <c r="C378" s="41" t="s">
        <v>1305</v>
      </c>
      <c r="D378" s="37"/>
    </row>
    <row r="379" spans="1:4" ht="14.25" customHeight="1" x14ac:dyDescent="0.35">
      <c r="A379" s="37"/>
      <c r="B379" s="36" t="s">
        <v>1306</v>
      </c>
      <c r="C379" s="41" t="s">
        <v>1307</v>
      </c>
      <c r="D379" s="37"/>
    </row>
    <row r="380" spans="1:4" ht="14.25" customHeight="1" x14ac:dyDescent="0.35">
      <c r="A380" s="37"/>
      <c r="B380" s="36" t="s">
        <v>725</v>
      </c>
      <c r="C380" s="41" t="s">
        <v>1308</v>
      </c>
      <c r="D380" s="37"/>
    </row>
    <row r="381" spans="1:4" ht="14.25" customHeight="1" x14ac:dyDescent="0.35">
      <c r="A381" s="37"/>
      <c r="B381" s="36" t="s">
        <v>113</v>
      </c>
      <c r="C381" s="41" t="s">
        <v>114</v>
      </c>
      <c r="D381" s="37"/>
    </row>
    <row r="382" spans="1:4" ht="14.25" customHeight="1" x14ac:dyDescent="0.35">
      <c r="A382" s="37"/>
      <c r="B382" s="36" t="s">
        <v>1309</v>
      </c>
      <c r="C382" s="41" t="s">
        <v>1310</v>
      </c>
      <c r="D382" s="37"/>
    </row>
    <row r="383" spans="1:4" ht="14.25" customHeight="1" x14ac:dyDescent="0.35">
      <c r="A383" s="37"/>
      <c r="B383" s="36" t="s">
        <v>1311</v>
      </c>
      <c r="C383" s="41" t="s">
        <v>1312</v>
      </c>
      <c r="D383" s="37"/>
    </row>
    <row r="384" spans="1:4" ht="14.25" customHeight="1" x14ac:dyDescent="0.35">
      <c r="A384" s="37"/>
      <c r="B384" s="36" t="s">
        <v>1313</v>
      </c>
      <c r="C384" s="41" t="s">
        <v>1314</v>
      </c>
      <c r="D384" s="37"/>
    </row>
    <row r="385" spans="1:4" ht="14.25" customHeight="1" x14ac:dyDescent="0.35">
      <c r="A385" s="37"/>
      <c r="B385" s="36" t="s">
        <v>1315</v>
      </c>
      <c r="C385" s="41" t="s">
        <v>1316</v>
      </c>
      <c r="D385" s="37"/>
    </row>
    <row r="386" spans="1:4" ht="14.25" customHeight="1" x14ac:dyDescent="0.35">
      <c r="A386" s="37"/>
      <c r="B386" s="36" t="s">
        <v>1317</v>
      </c>
      <c r="C386" s="41" t="s">
        <v>1318</v>
      </c>
      <c r="D386" s="37"/>
    </row>
    <row r="387" spans="1:4" ht="14.25" customHeight="1" x14ac:dyDescent="0.35">
      <c r="A387" s="37"/>
      <c r="B387" s="36" t="s">
        <v>1319</v>
      </c>
      <c r="C387" s="41" t="s">
        <v>1320</v>
      </c>
      <c r="D387" s="37"/>
    </row>
    <row r="388" spans="1:4" ht="14.25" customHeight="1" x14ac:dyDescent="0.35">
      <c r="A388" s="37"/>
      <c r="B388" s="36" t="s">
        <v>1321</v>
      </c>
      <c r="C388" s="41" t="s">
        <v>1322</v>
      </c>
      <c r="D388" s="37"/>
    </row>
    <row r="389" spans="1:4" ht="14.25" customHeight="1" x14ac:dyDescent="0.35">
      <c r="A389" s="37"/>
      <c r="B389" s="36" t="s">
        <v>1323</v>
      </c>
      <c r="C389" s="41" t="s">
        <v>1324</v>
      </c>
      <c r="D389" s="37"/>
    </row>
    <row r="390" spans="1:4" ht="14.25" customHeight="1" x14ac:dyDescent="0.35">
      <c r="A390" s="37"/>
      <c r="B390" s="36" t="s">
        <v>1325</v>
      </c>
      <c r="C390" s="41" t="s">
        <v>1326</v>
      </c>
      <c r="D390" s="37"/>
    </row>
    <row r="391" spans="1:4" ht="14.25" customHeight="1" x14ac:dyDescent="0.35">
      <c r="A391" s="37"/>
      <c r="B391" s="36" t="s">
        <v>1327</v>
      </c>
      <c r="C391" s="41" t="s">
        <v>1328</v>
      </c>
      <c r="D391" s="37"/>
    </row>
    <row r="392" spans="1:4" ht="14.25" customHeight="1" x14ac:dyDescent="0.35">
      <c r="A392" s="37"/>
      <c r="B392" s="42" t="s">
        <v>604</v>
      </c>
      <c r="C392" s="43" t="s">
        <v>605</v>
      </c>
      <c r="D392" s="37"/>
    </row>
    <row r="393" spans="1:4" ht="14.25" customHeight="1" x14ac:dyDescent="0.35">
      <c r="A393" s="37"/>
      <c r="B393" s="36" t="s">
        <v>1329</v>
      </c>
      <c r="C393" s="41" t="s">
        <v>1330</v>
      </c>
      <c r="D393" s="37"/>
    </row>
    <row r="394" spans="1:4" ht="14.25" customHeight="1" x14ac:dyDescent="0.35">
      <c r="A394" s="37"/>
      <c r="B394" s="36" t="s">
        <v>1331</v>
      </c>
      <c r="C394" s="41" t="s">
        <v>1332</v>
      </c>
      <c r="D394" s="37"/>
    </row>
    <row r="395" spans="1:4" ht="14.25" customHeight="1" x14ac:dyDescent="0.35">
      <c r="A395" s="37"/>
      <c r="B395" s="36" t="s">
        <v>1333</v>
      </c>
      <c r="C395" s="41" t="s">
        <v>1334</v>
      </c>
      <c r="D395" s="37"/>
    </row>
    <row r="396" spans="1:4" ht="14.25" customHeight="1" x14ac:dyDescent="0.35">
      <c r="A396" s="37"/>
      <c r="B396" s="36" t="s">
        <v>1335</v>
      </c>
      <c r="C396" s="41" t="s">
        <v>1336</v>
      </c>
      <c r="D396" s="37"/>
    </row>
    <row r="397" spans="1:4" ht="14.25" customHeight="1" x14ac:dyDescent="0.35">
      <c r="A397" s="37"/>
      <c r="B397" s="36" t="s">
        <v>1337</v>
      </c>
      <c r="C397" s="41" t="s">
        <v>1338</v>
      </c>
      <c r="D397" s="37"/>
    </row>
    <row r="398" spans="1:4" ht="14.25" customHeight="1" x14ac:dyDescent="0.35">
      <c r="A398" s="37"/>
      <c r="B398" s="36" t="s">
        <v>1339</v>
      </c>
      <c r="C398" s="41" t="s">
        <v>1340</v>
      </c>
      <c r="D398" s="37"/>
    </row>
    <row r="399" spans="1:4" ht="14.25" customHeight="1" x14ac:dyDescent="0.35">
      <c r="A399" s="37"/>
      <c r="B399" s="36" t="s">
        <v>1341</v>
      </c>
      <c r="C399" s="41" t="s">
        <v>1342</v>
      </c>
      <c r="D399" s="37"/>
    </row>
    <row r="400" spans="1:4" ht="14.25" customHeight="1" x14ac:dyDescent="0.35">
      <c r="A400" s="37"/>
      <c r="B400" s="36" t="s">
        <v>1343</v>
      </c>
      <c r="C400" s="41" t="s">
        <v>1344</v>
      </c>
      <c r="D400" s="37"/>
    </row>
    <row r="401" spans="1:4" ht="14.25" customHeight="1" x14ac:dyDescent="0.35">
      <c r="A401" s="37"/>
      <c r="B401" s="36" t="s">
        <v>1345</v>
      </c>
      <c r="C401" s="41" t="s">
        <v>1346</v>
      </c>
      <c r="D401" s="37"/>
    </row>
    <row r="402" spans="1:4" ht="14.25" customHeight="1" x14ac:dyDescent="0.35">
      <c r="A402" s="37"/>
      <c r="B402" s="36" t="s">
        <v>1347</v>
      </c>
      <c r="C402" s="41" t="s">
        <v>1348</v>
      </c>
      <c r="D402" s="37"/>
    </row>
    <row r="403" spans="1:4" ht="14.25" customHeight="1" x14ac:dyDescent="0.35">
      <c r="A403" s="37"/>
      <c r="B403" s="36" t="s">
        <v>1349</v>
      </c>
      <c r="C403" s="41" t="s">
        <v>1350</v>
      </c>
      <c r="D403" s="37"/>
    </row>
    <row r="404" spans="1:4" ht="14.25" customHeight="1" x14ac:dyDescent="0.35">
      <c r="A404" s="37"/>
      <c r="B404" s="36" t="s">
        <v>1351</v>
      </c>
      <c r="C404" s="41" t="s">
        <v>1352</v>
      </c>
      <c r="D404" s="37"/>
    </row>
    <row r="405" spans="1:4" ht="14.25" customHeight="1" x14ac:dyDescent="0.35">
      <c r="A405" s="37"/>
      <c r="B405" s="36" t="s">
        <v>1353</v>
      </c>
      <c r="C405" s="41" t="s">
        <v>1354</v>
      </c>
      <c r="D405" s="37"/>
    </row>
    <row r="406" spans="1:4" ht="14.25" customHeight="1" x14ac:dyDescent="0.35">
      <c r="A406" s="37"/>
      <c r="B406" s="36" t="s">
        <v>1355</v>
      </c>
      <c r="C406" s="41" t="s">
        <v>1356</v>
      </c>
      <c r="D406" s="37"/>
    </row>
    <row r="407" spans="1:4" ht="14.25" customHeight="1" x14ac:dyDescent="0.35">
      <c r="A407" s="37"/>
      <c r="B407" s="36" t="s">
        <v>1357</v>
      </c>
      <c r="C407" s="41" t="s">
        <v>1358</v>
      </c>
      <c r="D407" s="37"/>
    </row>
    <row r="408" spans="1:4" ht="14.25" customHeight="1" x14ac:dyDescent="0.35">
      <c r="A408" s="37"/>
      <c r="B408" s="36" t="s">
        <v>1359</v>
      </c>
      <c r="C408" s="41" t="s">
        <v>1360</v>
      </c>
      <c r="D408" s="37"/>
    </row>
    <row r="409" spans="1:4" ht="14.25" customHeight="1" x14ac:dyDescent="0.35">
      <c r="A409" s="37"/>
      <c r="B409" s="36" t="s">
        <v>1361</v>
      </c>
      <c r="C409" s="41" t="s">
        <v>1362</v>
      </c>
      <c r="D409" s="37"/>
    </row>
    <row r="410" spans="1:4" ht="14.25" customHeight="1" x14ac:dyDescent="0.35">
      <c r="A410" s="37"/>
      <c r="B410" s="36" t="s">
        <v>1363</v>
      </c>
      <c r="C410" s="41" t="s">
        <v>1364</v>
      </c>
      <c r="D410" s="37"/>
    </row>
    <row r="411" spans="1:4" ht="14.25" customHeight="1" x14ac:dyDescent="0.35">
      <c r="A411" s="37"/>
      <c r="B411" s="36" t="s">
        <v>1365</v>
      </c>
      <c r="C411" s="41" t="s">
        <v>1366</v>
      </c>
      <c r="D411" s="37"/>
    </row>
    <row r="412" spans="1:4" ht="14.25" customHeight="1" x14ac:dyDescent="0.35">
      <c r="A412" s="37"/>
      <c r="B412" s="36" t="s">
        <v>1367</v>
      </c>
      <c r="C412" s="41" t="s">
        <v>1368</v>
      </c>
      <c r="D412" s="37"/>
    </row>
    <row r="413" spans="1:4" ht="14.25" customHeight="1" x14ac:dyDescent="0.35">
      <c r="A413" s="37"/>
      <c r="B413" s="36" t="s">
        <v>1369</v>
      </c>
      <c r="C413" s="41" t="s">
        <v>1370</v>
      </c>
      <c r="D413" s="37"/>
    </row>
    <row r="414" spans="1:4" ht="14.25" customHeight="1" x14ac:dyDescent="0.35">
      <c r="A414" s="37"/>
      <c r="B414" s="36" t="s">
        <v>1371</v>
      </c>
      <c r="C414" s="41" t="s">
        <v>1372</v>
      </c>
      <c r="D414" s="37"/>
    </row>
    <row r="415" spans="1:4" ht="14.25" customHeight="1" x14ac:dyDescent="0.35">
      <c r="A415" s="37"/>
      <c r="B415" s="36" t="s">
        <v>1373</v>
      </c>
      <c r="C415" s="41" t="s">
        <v>1374</v>
      </c>
      <c r="D415" s="37"/>
    </row>
    <row r="416" spans="1:4" ht="14.25" customHeight="1" x14ac:dyDescent="0.35">
      <c r="A416" s="37"/>
      <c r="B416" s="36" t="s">
        <v>1375</v>
      </c>
      <c r="C416" s="41" t="s">
        <v>1376</v>
      </c>
      <c r="D416" s="37"/>
    </row>
    <row r="417" spans="1:4" ht="14.25" customHeight="1" x14ac:dyDescent="0.35">
      <c r="A417" s="37"/>
      <c r="B417" s="36" t="s">
        <v>1377</v>
      </c>
      <c r="C417" s="41" t="s">
        <v>1378</v>
      </c>
      <c r="D417" s="37"/>
    </row>
    <row r="418" spans="1:4" ht="14.25" customHeight="1" x14ac:dyDescent="0.35">
      <c r="A418" s="37"/>
      <c r="B418" s="36" t="s">
        <v>1379</v>
      </c>
      <c r="C418" s="41" t="s">
        <v>1380</v>
      </c>
      <c r="D418" s="37"/>
    </row>
    <row r="419" spans="1:4" ht="14.25" customHeight="1" x14ac:dyDescent="0.35">
      <c r="A419" s="37"/>
      <c r="B419" s="36" t="s">
        <v>1381</v>
      </c>
      <c r="C419" s="41" t="s">
        <v>1382</v>
      </c>
      <c r="D419" s="37"/>
    </row>
    <row r="420" spans="1:4" ht="14.25" customHeight="1" x14ac:dyDescent="0.35">
      <c r="A420" s="37"/>
      <c r="B420" s="36" t="s">
        <v>1383</v>
      </c>
      <c r="C420" s="41" t="s">
        <v>1384</v>
      </c>
      <c r="D420" s="37"/>
    </row>
    <row r="421" spans="1:4" ht="14.25" customHeight="1" x14ac:dyDescent="0.35">
      <c r="A421" s="37"/>
      <c r="B421" s="36" t="s">
        <v>1385</v>
      </c>
      <c r="C421" s="41" t="s">
        <v>1386</v>
      </c>
      <c r="D421" s="37"/>
    </row>
    <row r="422" spans="1:4" ht="14.25" customHeight="1" x14ac:dyDescent="0.35">
      <c r="A422" s="37"/>
      <c r="B422" s="36" t="s">
        <v>1387</v>
      </c>
      <c r="C422" s="41" t="s">
        <v>1388</v>
      </c>
      <c r="D422" s="37"/>
    </row>
    <row r="423" spans="1:4" ht="14.25" customHeight="1" x14ac:dyDescent="0.35">
      <c r="A423" s="37"/>
      <c r="B423" s="36" t="s">
        <v>1389</v>
      </c>
      <c r="C423" s="41" t="s">
        <v>1390</v>
      </c>
      <c r="D423" s="37"/>
    </row>
    <row r="424" spans="1:4" ht="14.25" customHeight="1" x14ac:dyDescent="0.35">
      <c r="A424" s="37"/>
      <c r="B424" s="36" t="s">
        <v>1391</v>
      </c>
      <c r="C424" s="41" t="s">
        <v>1392</v>
      </c>
      <c r="D424" s="37"/>
    </row>
    <row r="425" spans="1:4" ht="14.25" customHeight="1" x14ac:dyDescent="0.35">
      <c r="A425" s="37"/>
      <c r="B425" s="36" t="s">
        <v>1393</v>
      </c>
      <c r="C425" s="41" t="s">
        <v>1394</v>
      </c>
      <c r="D425" s="37"/>
    </row>
    <row r="426" spans="1:4" ht="14.25" customHeight="1" x14ac:dyDescent="0.35">
      <c r="A426" s="37"/>
      <c r="B426" s="36" t="s">
        <v>1395</v>
      </c>
      <c r="C426" s="41" t="s">
        <v>1396</v>
      </c>
      <c r="D426" s="37"/>
    </row>
    <row r="427" spans="1:4" ht="14.25" customHeight="1" x14ac:dyDescent="0.35">
      <c r="A427" s="37"/>
      <c r="B427" s="36" t="s">
        <v>1397</v>
      </c>
      <c r="C427" s="41" t="s">
        <v>1398</v>
      </c>
      <c r="D427" s="37"/>
    </row>
    <row r="428" spans="1:4" ht="14.25" customHeight="1" x14ac:dyDescent="0.35">
      <c r="A428" s="37"/>
      <c r="B428" s="36" t="s">
        <v>1399</v>
      </c>
      <c r="C428" s="41" t="s">
        <v>1400</v>
      </c>
      <c r="D428" s="37"/>
    </row>
    <row r="429" spans="1:4" ht="14.25" customHeight="1" x14ac:dyDescent="0.35">
      <c r="A429" s="37"/>
      <c r="B429" s="36" t="s">
        <v>1401</v>
      </c>
      <c r="C429" s="41" t="s">
        <v>1402</v>
      </c>
      <c r="D429" s="37"/>
    </row>
    <row r="430" spans="1:4" ht="14.25" customHeight="1" x14ac:dyDescent="0.35">
      <c r="A430" s="37"/>
      <c r="B430" s="36" t="s">
        <v>1403</v>
      </c>
      <c r="C430" s="41" t="s">
        <v>1404</v>
      </c>
      <c r="D430" s="37"/>
    </row>
    <row r="431" spans="1:4" ht="14.25" customHeight="1" x14ac:dyDescent="0.35">
      <c r="A431" s="37"/>
      <c r="B431" s="36" t="s">
        <v>1405</v>
      </c>
      <c r="C431" s="41" t="s">
        <v>1406</v>
      </c>
      <c r="D431" s="37"/>
    </row>
    <row r="432" spans="1:4" ht="14.25" customHeight="1" x14ac:dyDescent="0.35">
      <c r="A432" s="37"/>
      <c r="B432" s="36" t="s">
        <v>1407</v>
      </c>
      <c r="C432" s="41" t="s">
        <v>1408</v>
      </c>
      <c r="D432" s="37"/>
    </row>
    <row r="433" spans="1:4" ht="14.25" customHeight="1" x14ac:dyDescent="0.35">
      <c r="A433" s="37"/>
      <c r="B433" s="36" t="s">
        <v>1409</v>
      </c>
      <c r="C433" s="41" t="s">
        <v>1410</v>
      </c>
      <c r="D433" s="37"/>
    </row>
    <row r="434" spans="1:4" ht="14.25" customHeight="1" x14ac:dyDescent="0.35">
      <c r="A434" s="37"/>
      <c r="B434" s="36" t="s">
        <v>1411</v>
      </c>
      <c r="C434" s="41" t="s">
        <v>1412</v>
      </c>
      <c r="D434" s="37"/>
    </row>
    <row r="435" spans="1:4" ht="14.25" customHeight="1" x14ac:dyDescent="0.35">
      <c r="A435" s="37"/>
      <c r="B435" s="36" t="s">
        <v>1413</v>
      </c>
      <c r="C435" s="41" t="s">
        <v>1414</v>
      </c>
      <c r="D435" s="37"/>
    </row>
    <row r="436" spans="1:4" ht="14.25" customHeight="1" x14ac:dyDescent="0.35">
      <c r="A436" s="37"/>
      <c r="B436" s="36" t="s">
        <v>1415</v>
      </c>
      <c r="C436" s="41" t="s">
        <v>1416</v>
      </c>
      <c r="D436" s="37"/>
    </row>
    <row r="437" spans="1:4" ht="14.25" customHeight="1" x14ac:dyDescent="0.35">
      <c r="A437" s="37"/>
      <c r="B437" s="36" t="s">
        <v>1417</v>
      </c>
      <c r="C437" s="41" t="s">
        <v>1418</v>
      </c>
      <c r="D437" s="37"/>
    </row>
    <row r="438" spans="1:4" ht="14.25" customHeight="1" x14ac:dyDescent="0.35">
      <c r="A438" s="37"/>
      <c r="B438" s="36" t="s">
        <v>1419</v>
      </c>
      <c r="C438" s="41" t="s">
        <v>1420</v>
      </c>
      <c r="D438" s="37"/>
    </row>
    <row r="439" spans="1:4" ht="14.25" customHeight="1" x14ac:dyDescent="0.35">
      <c r="A439" s="37"/>
      <c r="B439" s="36" t="s">
        <v>1421</v>
      </c>
      <c r="C439" s="41" t="s">
        <v>1422</v>
      </c>
      <c r="D439" s="37"/>
    </row>
    <row r="440" spans="1:4" ht="14.25" customHeight="1" x14ac:dyDescent="0.35">
      <c r="A440" s="37"/>
      <c r="B440" s="36" t="s">
        <v>1423</v>
      </c>
      <c r="C440" s="41" t="s">
        <v>1424</v>
      </c>
      <c r="D440" s="37"/>
    </row>
    <row r="441" spans="1:4" ht="14.25" customHeight="1" x14ac:dyDescent="0.35">
      <c r="A441" s="37"/>
      <c r="B441" s="36" t="s">
        <v>1425</v>
      </c>
      <c r="C441" s="41" t="s">
        <v>1426</v>
      </c>
      <c r="D441" s="37"/>
    </row>
    <row r="442" spans="1:4" ht="14.25" customHeight="1" x14ac:dyDescent="0.35">
      <c r="A442" s="37"/>
      <c r="B442" s="36" t="s">
        <v>1427</v>
      </c>
      <c r="C442" s="41" t="s">
        <v>1428</v>
      </c>
      <c r="D442" s="37"/>
    </row>
    <row r="443" spans="1:4" ht="14.25" customHeight="1" x14ac:dyDescent="0.35">
      <c r="A443" s="37"/>
      <c r="B443" s="36" t="s">
        <v>1429</v>
      </c>
      <c r="C443" s="41" t="s">
        <v>1430</v>
      </c>
      <c r="D443" s="37"/>
    </row>
    <row r="444" spans="1:4" ht="14.25" customHeight="1" x14ac:dyDescent="0.35">
      <c r="A444" s="37"/>
      <c r="B444" s="36" t="s">
        <v>1431</v>
      </c>
      <c r="C444" s="41" t="s">
        <v>1432</v>
      </c>
      <c r="D444" s="37"/>
    </row>
    <row r="445" spans="1:4" ht="14.25" customHeight="1" x14ac:dyDescent="0.35">
      <c r="A445" s="37"/>
      <c r="B445" s="36" t="s">
        <v>1433</v>
      </c>
      <c r="C445" s="41" t="s">
        <v>1434</v>
      </c>
      <c r="D445" s="37"/>
    </row>
    <row r="446" spans="1:4" ht="14.25" customHeight="1" x14ac:dyDescent="0.35">
      <c r="A446" s="37"/>
      <c r="B446" s="36" t="s">
        <v>1435</v>
      </c>
      <c r="C446" s="41" t="s">
        <v>1436</v>
      </c>
      <c r="D446" s="37"/>
    </row>
    <row r="447" spans="1:4" ht="14.25" customHeight="1" x14ac:dyDescent="0.35">
      <c r="A447" s="37"/>
      <c r="B447" s="36" t="s">
        <v>1437</v>
      </c>
      <c r="C447" s="41" t="s">
        <v>1438</v>
      </c>
      <c r="D447" s="37"/>
    </row>
    <row r="448" spans="1:4" ht="14.25" customHeight="1" x14ac:dyDescent="0.35">
      <c r="A448" s="37"/>
      <c r="B448" s="36" t="s">
        <v>1439</v>
      </c>
      <c r="C448" s="41" t="s">
        <v>1440</v>
      </c>
      <c r="D448" s="37"/>
    </row>
    <row r="449" spans="1:4" ht="14.25" customHeight="1" x14ac:dyDescent="0.35">
      <c r="A449" s="37"/>
      <c r="B449" s="36" t="s">
        <v>1441</v>
      </c>
      <c r="C449" s="41" t="s">
        <v>1442</v>
      </c>
      <c r="D449" s="37"/>
    </row>
    <row r="450" spans="1:4" ht="14.25" customHeight="1" x14ac:dyDescent="0.35">
      <c r="A450" s="37"/>
      <c r="B450" s="36" t="s">
        <v>1443</v>
      </c>
      <c r="C450" s="41" t="s">
        <v>1444</v>
      </c>
      <c r="D450" s="37"/>
    </row>
    <row r="451" spans="1:4" ht="14.25" customHeight="1" x14ac:dyDescent="0.35">
      <c r="A451" s="37"/>
      <c r="B451" s="36" t="s">
        <v>1445</v>
      </c>
      <c r="C451" s="41" t="s">
        <v>1446</v>
      </c>
      <c r="D451" s="37"/>
    </row>
    <row r="452" spans="1:4" ht="14.25" customHeight="1" x14ac:dyDescent="0.35">
      <c r="A452" s="37"/>
      <c r="B452" s="36" t="s">
        <v>1447</v>
      </c>
      <c r="C452" s="41" t="s">
        <v>1448</v>
      </c>
      <c r="D452" s="37"/>
    </row>
    <row r="453" spans="1:4" ht="14.25" customHeight="1" x14ac:dyDescent="0.35">
      <c r="A453" s="37"/>
      <c r="B453" s="36" t="s">
        <v>1449</v>
      </c>
      <c r="C453" s="41" t="s">
        <v>1450</v>
      </c>
      <c r="D453" s="37"/>
    </row>
    <row r="454" spans="1:4" ht="14.25" customHeight="1" x14ac:dyDescent="0.35">
      <c r="A454" s="37"/>
      <c r="B454" s="36" t="s">
        <v>1451</v>
      </c>
      <c r="C454" s="41" t="s">
        <v>1452</v>
      </c>
      <c r="D454" s="37"/>
    </row>
    <row r="455" spans="1:4" ht="14.25" customHeight="1" x14ac:dyDescent="0.35">
      <c r="A455" s="37"/>
      <c r="B455" s="36" t="s">
        <v>1453</v>
      </c>
      <c r="C455" s="41" t="s">
        <v>1454</v>
      </c>
      <c r="D455" s="37"/>
    </row>
    <row r="456" spans="1:4" ht="14.25" customHeight="1" x14ac:dyDescent="0.35">
      <c r="A456" s="37"/>
      <c r="B456" s="36" t="s">
        <v>1455</v>
      </c>
      <c r="C456" s="41" t="s">
        <v>1456</v>
      </c>
      <c r="D456" s="37"/>
    </row>
    <row r="457" spans="1:4" ht="14.25" customHeight="1" x14ac:dyDescent="0.35">
      <c r="A457" s="37"/>
      <c r="B457" s="36" t="s">
        <v>1457</v>
      </c>
      <c r="C457" s="41" t="s">
        <v>1458</v>
      </c>
      <c r="D457" s="37"/>
    </row>
    <row r="458" spans="1:4" ht="14.25" customHeight="1" x14ac:dyDescent="0.35">
      <c r="A458" s="37"/>
      <c r="B458" s="36" t="s">
        <v>1459</v>
      </c>
      <c r="C458" s="41" t="s">
        <v>1460</v>
      </c>
      <c r="D458" s="37"/>
    </row>
    <row r="459" spans="1:4" ht="14.25" customHeight="1" x14ac:dyDescent="0.35">
      <c r="A459" s="37"/>
      <c r="B459" s="36" t="s">
        <v>1461</v>
      </c>
      <c r="C459" s="41" t="s">
        <v>1462</v>
      </c>
      <c r="D459" s="37"/>
    </row>
    <row r="460" spans="1:4" ht="14.25" customHeight="1" x14ac:dyDescent="0.35">
      <c r="A460" s="37"/>
      <c r="B460" s="36" t="s">
        <v>1463</v>
      </c>
      <c r="C460" s="41" t="s">
        <v>1464</v>
      </c>
      <c r="D460" s="37"/>
    </row>
    <row r="461" spans="1:4" ht="14.25" customHeight="1" x14ac:dyDescent="0.35">
      <c r="A461" s="37"/>
      <c r="B461" s="36" t="s">
        <v>1465</v>
      </c>
      <c r="C461" s="41" t="s">
        <v>1466</v>
      </c>
      <c r="D461" s="37"/>
    </row>
    <row r="462" spans="1:4" ht="14.25" customHeight="1" x14ac:dyDescent="0.35">
      <c r="A462" s="37"/>
      <c r="B462" s="36" t="s">
        <v>1467</v>
      </c>
      <c r="C462" s="41" t="s">
        <v>1468</v>
      </c>
      <c r="D462" s="37"/>
    </row>
    <row r="463" spans="1:4" ht="14.25" customHeight="1" x14ac:dyDescent="0.35">
      <c r="A463" s="37"/>
      <c r="B463" s="36" t="s">
        <v>1469</v>
      </c>
      <c r="C463" s="41" t="s">
        <v>1470</v>
      </c>
      <c r="D463" s="37"/>
    </row>
    <row r="464" spans="1:4" ht="14.25" customHeight="1" x14ac:dyDescent="0.35">
      <c r="A464" s="37"/>
      <c r="B464" s="36" t="s">
        <v>1471</v>
      </c>
      <c r="C464" s="41" t="s">
        <v>1472</v>
      </c>
      <c r="D464" s="37"/>
    </row>
    <row r="465" spans="1:4" ht="14.25" customHeight="1" x14ac:dyDescent="0.35">
      <c r="A465" s="37"/>
      <c r="B465" s="36" t="s">
        <v>1473</v>
      </c>
      <c r="C465" s="41" t="s">
        <v>1474</v>
      </c>
      <c r="D465" s="37"/>
    </row>
    <row r="466" spans="1:4" ht="14.25" customHeight="1" x14ac:dyDescent="0.35">
      <c r="A466" s="37"/>
      <c r="B466" s="36" t="s">
        <v>1475</v>
      </c>
      <c r="C466" s="41" t="s">
        <v>1476</v>
      </c>
      <c r="D466" s="37"/>
    </row>
    <row r="467" spans="1:4" ht="14.25" customHeight="1" x14ac:dyDescent="0.35">
      <c r="A467" s="37"/>
      <c r="B467" s="36" t="s">
        <v>1477</v>
      </c>
      <c r="C467" s="41" t="s">
        <v>1478</v>
      </c>
      <c r="D467" s="37"/>
    </row>
    <row r="468" spans="1:4" ht="14.25" customHeight="1" x14ac:dyDescent="0.35">
      <c r="A468" s="37"/>
      <c r="B468" s="36" t="s">
        <v>1479</v>
      </c>
      <c r="C468" s="41" t="s">
        <v>1480</v>
      </c>
      <c r="D468" s="37"/>
    </row>
    <row r="469" spans="1:4" ht="14.25" customHeight="1" x14ac:dyDescent="0.35">
      <c r="A469" s="37"/>
      <c r="B469" s="36" t="s">
        <v>1481</v>
      </c>
      <c r="C469" s="41" t="s">
        <v>1482</v>
      </c>
      <c r="D469" s="37"/>
    </row>
    <row r="470" spans="1:4" ht="14.25" customHeight="1" x14ac:dyDescent="0.35">
      <c r="A470" s="37"/>
      <c r="B470" s="36" t="s">
        <v>1483</v>
      </c>
      <c r="C470" s="41" t="s">
        <v>1484</v>
      </c>
      <c r="D470" s="37"/>
    </row>
    <row r="471" spans="1:4" ht="14.25" customHeight="1" x14ac:dyDescent="0.35">
      <c r="A471" s="37"/>
      <c r="B471" s="36" t="s">
        <v>1485</v>
      </c>
      <c r="C471" s="41" t="s">
        <v>1486</v>
      </c>
      <c r="D471" s="37"/>
    </row>
    <row r="472" spans="1:4" ht="14.25" customHeight="1" x14ac:dyDescent="0.35">
      <c r="A472" s="37"/>
      <c r="B472" s="36" t="s">
        <v>1487</v>
      </c>
      <c r="C472" s="41" t="s">
        <v>1488</v>
      </c>
      <c r="D472" s="37"/>
    </row>
    <row r="473" spans="1:4" ht="14.25" customHeight="1" x14ac:dyDescent="0.35">
      <c r="A473" s="37"/>
      <c r="B473" s="36" t="s">
        <v>1489</v>
      </c>
      <c r="C473" s="41" t="s">
        <v>1490</v>
      </c>
      <c r="D473" s="37"/>
    </row>
    <row r="474" spans="1:4" ht="14.25" customHeight="1" x14ac:dyDescent="0.35">
      <c r="A474" s="37"/>
      <c r="B474" s="36" t="s">
        <v>1491</v>
      </c>
      <c r="C474" s="41" t="s">
        <v>1492</v>
      </c>
      <c r="D474" s="37"/>
    </row>
    <row r="475" spans="1:4" ht="14.25" customHeight="1" x14ac:dyDescent="0.35">
      <c r="A475" s="37"/>
      <c r="B475" s="36" t="s">
        <v>1493</v>
      </c>
      <c r="C475" s="41" t="s">
        <v>1494</v>
      </c>
      <c r="D475" s="37"/>
    </row>
    <row r="476" spans="1:4" ht="14.25" customHeight="1" x14ac:dyDescent="0.35">
      <c r="A476" s="37"/>
      <c r="B476" s="36" t="s">
        <v>1495</v>
      </c>
      <c r="C476" s="41" t="s">
        <v>1496</v>
      </c>
      <c r="D476" s="37"/>
    </row>
    <row r="477" spans="1:4" ht="14.25" customHeight="1" x14ac:dyDescent="0.35">
      <c r="A477" s="37"/>
      <c r="B477" s="36" t="s">
        <v>1497</v>
      </c>
      <c r="C477" s="41" t="s">
        <v>1498</v>
      </c>
      <c r="D477" s="37"/>
    </row>
    <row r="478" spans="1:4" ht="14.25" customHeight="1" x14ac:dyDescent="0.35">
      <c r="A478" s="37"/>
      <c r="B478" s="36" t="s">
        <v>1499</v>
      </c>
      <c r="C478" s="41" t="s">
        <v>1500</v>
      </c>
      <c r="D478" s="37"/>
    </row>
    <row r="479" spans="1:4" ht="14.25" customHeight="1" x14ac:dyDescent="0.35">
      <c r="A479" s="37"/>
      <c r="B479" s="36" t="s">
        <v>1501</v>
      </c>
      <c r="C479" s="41" t="s">
        <v>1502</v>
      </c>
      <c r="D479" s="37"/>
    </row>
    <row r="480" spans="1:4" ht="14.25" customHeight="1" x14ac:dyDescent="0.35">
      <c r="A480" s="37"/>
      <c r="B480" s="36" t="s">
        <v>1503</v>
      </c>
      <c r="C480" s="41" t="s">
        <v>1504</v>
      </c>
      <c r="D480" s="37"/>
    </row>
    <row r="481" spans="1:4" ht="14.25" customHeight="1" x14ac:dyDescent="0.35">
      <c r="A481" s="37"/>
      <c r="B481" s="36" t="s">
        <v>1505</v>
      </c>
      <c r="C481" s="41" t="s">
        <v>1506</v>
      </c>
      <c r="D481" s="37"/>
    </row>
    <row r="482" spans="1:4" ht="14.25" customHeight="1" x14ac:dyDescent="0.35">
      <c r="A482" s="37"/>
      <c r="B482" s="36" t="s">
        <v>1507</v>
      </c>
      <c r="C482" s="41" t="s">
        <v>1508</v>
      </c>
      <c r="D482" s="37"/>
    </row>
    <row r="483" spans="1:4" ht="14.25" customHeight="1" x14ac:dyDescent="0.35">
      <c r="A483" s="37"/>
      <c r="B483" s="36" t="s">
        <v>1509</v>
      </c>
      <c r="C483" s="41" t="s">
        <v>1510</v>
      </c>
      <c r="D483" s="37"/>
    </row>
    <row r="484" spans="1:4" ht="14.25" customHeight="1" x14ac:dyDescent="0.35">
      <c r="A484" s="37"/>
      <c r="B484" s="36" t="s">
        <v>1511</v>
      </c>
      <c r="C484" s="41" t="s">
        <v>1512</v>
      </c>
      <c r="D484" s="37"/>
    </row>
    <row r="485" spans="1:4" ht="14.25" customHeight="1" x14ac:dyDescent="0.35">
      <c r="A485" s="37"/>
      <c r="B485" s="36" t="s">
        <v>1513</v>
      </c>
      <c r="C485" s="41" t="s">
        <v>1514</v>
      </c>
      <c r="D485" s="37"/>
    </row>
    <row r="486" spans="1:4" ht="14.25" customHeight="1" x14ac:dyDescent="0.35">
      <c r="A486" s="37"/>
      <c r="B486" s="36" t="s">
        <v>1515</v>
      </c>
      <c r="C486" s="41" t="s">
        <v>1516</v>
      </c>
      <c r="D486" s="37"/>
    </row>
    <row r="487" spans="1:4" ht="14.25" customHeight="1" x14ac:dyDescent="0.35">
      <c r="A487" s="37"/>
      <c r="B487" s="36" t="s">
        <v>1517</v>
      </c>
      <c r="C487" s="41" t="s">
        <v>1518</v>
      </c>
      <c r="D487" s="37"/>
    </row>
    <row r="488" spans="1:4" ht="14.25" customHeight="1" x14ac:dyDescent="0.35">
      <c r="A488" s="37"/>
      <c r="B488" s="36" t="s">
        <v>1519</v>
      </c>
      <c r="C488" s="41" t="s">
        <v>1520</v>
      </c>
      <c r="D488" s="37"/>
    </row>
    <row r="489" spans="1:4" ht="14.25" customHeight="1" x14ac:dyDescent="0.35">
      <c r="A489" s="37"/>
      <c r="B489" s="36" t="s">
        <v>1521</v>
      </c>
      <c r="C489" s="41" t="s">
        <v>1522</v>
      </c>
      <c r="D489" s="37"/>
    </row>
    <row r="490" spans="1:4" ht="14.25" customHeight="1" x14ac:dyDescent="0.35">
      <c r="A490" s="37"/>
      <c r="B490" s="36" t="s">
        <v>1523</v>
      </c>
      <c r="C490" s="41" t="s">
        <v>1524</v>
      </c>
      <c r="D490" s="37"/>
    </row>
    <row r="491" spans="1:4" ht="14.25" customHeight="1" x14ac:dyDescent="0.35">
      <c r="A491" s="37"/>
      <c r="B491" s="36" t="s">
        <v>1525</v>
      </c>
      <c r="C491" s="41" t="s">
        <v>1526</v>
      </c>
      <c r="D491" s="37"/>
    </row>
    <row r="492" spans="1:4" ht="14.25" customHeight="1" x14ac:dyDescent="0.35">
      <c r="A492" s="37"/>
      <c r="B492" s="36" t="s">
        <v>1527</v>
      </c>
      <c r="C492" s="41" t="s">
        <v>1528</v>
      </c>
      <c r="D492" s="37"/>
    </row>
    <row r="493" spans="1:4" ht="14.25" customHeight="1" x14ac:dyDescent="0.35">
      <c r="A493" s="37"/>
      <c r="B493" s="36" t="s">
        <v>1529</v>
      </c>
      <c r="C493" s="41" t="s">
        <v>1530</v>
      </c>
      <c r="D493" s="37"/>
    </row>
    <row r="494" spans="1:4" ht="14.25" customHeight="1" x14ac:dyDescent="0.35">
      <c r="A494" s="37"/>
      <c r="B494" s="36" t="s">
        <v>1531</v>
      </c>
      <c r="C494" s="41" t="s">
        <v>1532</v>
      </c>
      <c r="D494" s="37"/>
    </row>
    <row r="495" spans="1:4" ht="14.25" customHeight="1" x14ac:dyDescent="0.35">
      <c r="A495" s="37"/>
      <c r="B495" s="36" t="s">
        <v>1533</v>
      </c>
      <c r="C495" s="41" t="s">
        <v>1534</v>
      </c>
      <c r="D495" s="37"/>
    </row>
    <row r="496" spans="1:4" ht="14.25" customHeight="1" x14ac:dyDescent="0.35">
      <c r="A496" s="37"/>
      <c r="B496" s="36" t="s">
        <v>1535</v>
      </c>
      <c r="C496" s="41" t="s">
        <v>1536</v>
      </c>
      <c r="D496" s="37"/>
    </row>
    <row r="497" spans="1:4" ht="14.25" customHeight="1" x14ac:dyDescent="0.35">
      <c r="A497" s="37"/>
      <c r="B497" s="36" t="s">
        <v>1537</v>
      </c>
      <c r="C497" s="41" t="s">
        <v>1538</v>
      </c>
      <c r="D497" s="37"/>
    </row>
    <row r="498" spans="1:4" ht="14.25" customHeight="1" x14ac:dyDescent="0.35">
      <c r="A498" s="37"/>
      <c r="B498" s="36" t="s">
        <v>1539</v>
      </c>
      <c r="C498" s="41" t="s">
        <v>1540</v>
      </c>
      <c r="D498" s="37"/>
    </row>
    <row r="499" spans="1:4" ht="14.25" customHeight="1" x14ac:dyDescent="0.35">
      <c r="A499" s="37"/>
      <c r="B499" s="36" t="s">
        <v>1541</v>
      </c>
      <c r="C499" s="41" t="s">
        <v>1542</v>
      </c>
      <c r="D499" s="37"/>
    </row>
    <row r="500" spans="1:4" ht="14.25" customHeight="1" x14ac:dyDescent="0.35">
      <c r="A500" s="37"/>
      <c r="B500" s="36" t="s">
        <v>1543</v>
      </c>
      <c r="C500" s="41" t="s">
        <v>1544</v>
      </c>
      <c r="D500" s="37"/>
    </row>
    <row r="501" spans="1:4" ht="14.25" customHeight="1" x14ac:dyDescent="0.35">
      <c r="A501" s="37"/>
      <c r="B501" s="36" t="s">
        <v>1545</v>
      </c>
      <c r="C501" s="41" t="s">
        <v>1546</v>
      </c>
      <c r="D501" s="37"/>
    </row>
    <row r="502" spans="1:4" ht="14.25" customHeight="1" x14ac:dyDescent="0.35">
      <c r="A502" s="37"/>
      <c r="B502" s="36" t="s">
        <v>1547</v>
      </c>
      <c r="C502" s="41" t="s">
        <v>1548</v>
      </c>
      <c r="D502" s="37"/>
    </row>
    <row r="503" spans="1:4" ht="14.25" customHeight="1" x14ac:dyDescent="0.35">
      <c r="A503" s="37"/>
      <c r="B503" s="36" t="s">
        <v>1549</v>
      </c>
      <c r="C503" s="41" t="s">
        <v>1550</v>
      </c>
      <c r="D503" s="37"/>
    </row>
    <row r="504" spans="1:4" ht="14.25" customHeight="1" x14ac:dyDescent="0.35">
      <c r="A504" s="37"/>
      <c r="B504" s="36" t="s">
        <v>1551</v>
      </c>
      <c r="C504" s="41" t="s">
        <v>1552</v>
      </c>
      <c r="D504" s="37"/>
    </row>
    <row r="505" spans="1:4" ht="14.25" customHeight="1" x14ac:dyDescent="0.35">
      <c r="A505" s="37"/>
      <c r="B505" s="36" t="s">
        <v>1553</v>
      </c>
      <c r="C505" s="41" t="s">
        <v>1554</v>
      </c>
      <c r="D505" s="37"/>
    </row>
    <row r="506" spans="1:4" ht="14.25" customHeight="1" x14ac:dyDescent="0.35">
      <c r="A506" s="37"/>
      <c r="B506" s="36" t="s">
        <v>1555</v>
      </c>
      <c r="C506" s="41" t="s">
        <v>1556</v>
      </c>
      <c r="D506" s="37"/>
    </row>
    <row r="507" spans="1:4" ht="14.25" customHeight="1" x14ac:dyDescent="0.35">
      <c r="A507" s="37"/>
      <c r="B507" s="44" t="s">
        <v>1557</v>
      </c>
      <c r="C507" s="41" t="s">
        <v>1558</v>
      </c>
      <c r="D507" s="37"/>
    </row>
    <row r="508" spans="1:4" ht="14.25" customHeight="1" x14ac:dyDescent="0.35">
      <c r="A508" s="37"/>
      <c r="B508" s="36" t="s">
        <v>1559</v>
      </c>
      <c r="C508" s="41" t="s">
        <v>1560</v>
      </c>
      <c r="D508" s="37"/>
    </row>
    <row r="509" spans="1:4" ht="14.25" customHeight="1" x14ac:dyDescent="0.35">
      <c r="A509" s="37"/>
      <c r="B509" s="36" t="s">
        <v>1561</v>
      </c>
      <c r="C509" s="41" t="s">
        <v>1562</v>
      </c>
      <c r="D509" s="37"/>
    </row>
    <row r="510" spans="1:4" ht="14.25" customHeight="1" x14ac:dyDescent="0.35">
      <c r="A510" s="37"/>
      <c r="B510" s="36" t="s">
        <v>1563</v>
      </c>
      <c r="C510" s="41" t="s">
        <v>1564</v>
      </c>
      <c r="D510" s="37"/>
    </row>
    <row r="511" spans="1:4" ht="14.25" customHeight="1" x14ac:dyDescent="0.35">
      <c r="A511" s="37"/>
      <c r="B511" s="36" t="s">
        <v>1565</v>
      </c>
      <c r="C511" s="41" t="s">
        <v>1566</v>
      </c>
      <c r="D511" s="37"/>
    </row>
    <row r="512" spans="1:4" ht="14.25" customHeight="1" x14ac:dyDescent="0.35">
      <c r="A512" s="37"/>
      <c r="B512" s="36" t="s">
        <v>1567</v>
      </c>
      <c r="C512" s="41" t="s">
        <v>1568</v>
      </c>
      <c r="D512" s="37"/>
    </row>
    <row r="513" spans="1:4" ht="14.25" customHeight="1" x14ac:dyDescent="0.35">
      <c r="A513" s="37"/>
      <c r="B513" s="36" t="s">
        <v>1569</v>
      </c>
      <c r="C513" s="41" t="s">
        <v>1570</v>
      </c>
      <c r="D513" s="37"/>
    </row>
    <row r="514" spans="1:4" ht="14.25" customHeight="1" x14ac:dyDescent="0.35">
      <c r="A514" s="37"/>
      <c r="B514" s="36" t="s">
        <v>1571</v>
      </c>
      <c r="C514" s="41" t="s">
        <v>1572</v>
      </c>
      <c r="D514" s="37"/>
    </row>
    <row r="515" spans="1:4" ht="14.25" customHeight="1" x14ac:dyDescent="0.35">
      <c r="A515" s="37"/>
      <c r="B515" s="36" t="s">
        <v>1573</v>
      </c>
      <c r="C515" s="41" t="s">
        <v>1574</v>
      </c>
      <c r="D515" s="37"/>
    </row>
    <row r="516" spans="1:4" ht="14.25" customHeight="1" x14ac:dyDescent="0.35">
      <c r="A516" s="37"/>
      <c r="B516" s="36" t="s">
        <v>1575</v>
      </c>
      <c r="C516" s="41" t="s">
        <v>1576</v>
      </c>
      <c r="D516" s="37"/>
    </row>
    <row r="517" spans="1:4" ht="14.25" customHeight="1" x14ac:dyDescent="0.35">
      <c r="A517" s="37"/>
      <c r="B517" s="36" t="s">
        <v>1577</v>
      </c>
      <c r="C517" s="41" t="s">
        <v>1578</v>
      </c>
      <c r="D517" s="37"/>
    </row>
    <row r="518" spans="1:4" ht="14.25" customHeight="1" x14ac:dyDescent="0.35">
      <c r="A518" s="37"/>
      <c r="B518" s="36" t="s">
        <v>1579</v>
      </c>
      <c r="C518" s="41" t="s">
        <v>1580</v>
      </c>
      <c r="D518" s="37"/>
    </row>
    <row r="519" spans="1:4" ht="14.25" customHeight="1" x14ac:dyDescent="0.35">
      <c r="A519" s="37"/>
      <c r="B519" s="36" t="s">
        <v>1581</v>
      </c>
      <c r="C519" s="41" t="s">
        <v>1582</v>
      </c>
      <c r="D519" s="37"/>
    </row>
    <row r="520" spans="1:4" ht="14.25" customHeight="1" x14ac:dyDescent="0.35">
      <c r="A520" s="37"/>
      <c r="B520" s="36" t="s">
        <v>1583</v>
      </c>
      <c r="C520" s="43" t="s">
        <v>1584</v>
      </c>
      <c r="D520" s="37"/>
    </row>
    <row r="521" spans="1:4" ht="14.25" customHeight="1" x14ac:dyDescent="0.35">
      <c r="A521" s="37"/>
      <c r="B521" s="36" t="s">
        <v>1585</v>
      </c>
      <c r="C521" s="41" t="s">
        <v>1586</v>
      </c>
      <c r="D521" s="37"/>
    </row>
    <row r="522" spans="1:4" ht="14.25" customHeight="1" x14ac:dyDescent="0.35">
      <c r="A522" s="37"/>
      <c r="B522" s="36" t="s">
        <v>1587</v>
      </c>
      <c r="C522" s="41" t="s">
        <v>1588</v>
      </c>
      <c r="D522" s="37"/>
    </row>
    <row r="523" spans="1:4" ht="14.25" customHeight="1" x14ac:dyDescent="0.35">
      <c r="A523" s="37"/>
      <c r="B523" s="36" t="s">
        <v>1589</v>
      </c>
      <c r="C523" s="41" t="s">
        <v>1590</v>
      </c>
      <c r="D523" s="37"/>
    </row>
    <row r="524" spans="1:4" ht="14.25" customHeight="1" x14ac:dyDescent="0.35">
      <c r="A524" s="37"/>
      <c r="B524" s="36" t="s">
        <v>1591</v>
      </c>
      <c r="C524" s="41" t="s">
        <v>726</v>
      </c>
      <c r="D524" s="37"/>
    </row>
    <row r="525" spans="1:4" ht="14.25" customHeight="1" x14ac:dyDescent="0.35">
      <c r="A525" s="37"/>
      <c r="B525" s="36" t="s">
        <v>1592</v>
      </c>
      <c r="C525" s="41" t="s">
        <v>1593</v>
      </c>
      <c r="D525" s="37"/>
    </row>
    <row r="526" spans="1:4" ht="14.25" customHeight="1" x14ac:dyDescent="0.35">
      <c r="A526" s="37"/>
      <c r="B526" s="36" t="s">
        <v>1594</v>
      </c>
      <c r="C526" s="41" t="s">
        <v>1595</v>
      </c>
      <c r="D526" s="37"/>
    </row>
    <row r="527" spans="1:4" ht="14.25" customHeight="1" x14ac:dyDescent="0.35">
      <c r="A527" s="37"/>
      <c r="B527" s="36" t="s">
        <v>1596</v>
      </c>
      <c r="C527" s="41" t="s">
        <v>1597</v>
      </c>
      <c r="D527" s="37"/>
    </row>
    <row r="528" spans="1:4" ht="14.25" customHeight="1" x14ac:dyDescent="0.35">
      <c r="A528" s="37"/>
      <c r="B528" s="36" t="s">
        <v>1598</v>
      </c>
      <c r="C528" s="41" t="s">
        <v>1599</v>
      </c>
      <c r="D528" s="37"/>
    </row>
    <row r="529" spans="1:4" ht="14.25" customHeight="1" x14ac:dyDescent="0.35">
      <c r="A529" s="37"/>
      <c r="B529" s="36" t="s">
        <v>1600</v>
      </c>
      <c r="C529" s="41" t="s">
        <v>1601</v>
      </c>
      <c r="D529" s="37"/>
    </row>
    <row r="530" spans="1:4" ht="14.25" customHeight="1" x14ac:dyDescent="0.35">
      <c r="A530" s="37"/>
      <c r="B530" s="36" t="s">
        <v>1602</v>
      </c>
      <c r="C530" s="41" t="s">
        <v>1603</v>
      </c>
      <c r="D530" s="37"/>
    </row>
    <row r="531" spans="1:4" ht="14.25" customHeight="1" x14ac:dyDescent="0.35">
      <c r="A531" s="37"/>
      <c r="B531" s="36" t="s">
        <v>1604</v>
      </c>
      <c r="C531" s="41" t="s">
        <v>1605</v>
      </c>
      <c r="D531" s="37"/>
    </row>
    <row r="532" spans="1:4" ht="14.25" customHeight="1" x14ac:dyDescent="0.35">
      <c r="A532" s="37"/>
      <c r="B532" s="36" t="s">
        <v>1606</v>
      </c>
      <c r="C532" s="41" t="s">
        <v>1607</v>
      </c>
      <c r="D532" s="37"/>
    </row>
    <row r="533" spans="1:4" ht="14.25" customHeight="1" x14ac:dyDescent="0.35">
      <c r="A533" s="37"/>
      <c r="B533" s="36" t="s">
        <v>1608</v>
      </c>
      <c r="C533" s="41" t="s">
        <v>1609</v>
      </c>
      <c r="D533" s="37"/>
    </row>
    <row r="534" spans="1:4" ht="14.25" customHeight="1" x14ac:dyDescent="0.35">
      <c r="A534" s="37"/>
      <c r="B534" s="36" t="s">
        <v>1610</v>
      </c>
      <c r="C534" s="41" t="s">
        <v>1611</v>
      </c>
      <c r="D534" s="37"/>
    </row>
    <row r="535" spans="1:4" ht="14.25" customHeight="1" x14ac:dyDescent="0.35">
      <c r="A535" s="37"/>
      <c r="B535" s="37"/>
      <c r="C535" s="45"/>
      <c r="D535" s="37"/>
    </row>
    <row r="536" spans="1:4" ht="14.25" customHeight="1" x14ac:dyDescent="0.35">
      <c r="A536" s="37"/>
      <c r="B536" s="37"/>
      <c r="C536" s="37"/>
      <c r="D536" s="37"/>
    </row>
    <row r="537" spans="1:4" ht="14.25" customHeight="1" x14ac:dyDescent="0.35">
      <c r="A537" s="35" t="s">
        <v>1612</v>
      </c>
      <c r="B537" s="35"/>
      <c r="C537" s="37"/>
      <c r="D537" s="37"/>
    </row>
    <row r="538" spans="1:4" ht="14.25" customHeight="1" x14ac:dyDescent="0.35">
      <c r="A538" s="36"/>
      <c r="B538" s="36" t="s">
        <v>115</v>
      </c>
      <c r="C538" s="37"/>
      <c r="D538" s="37"/>
    </row>
    <row r="539" spans="1:4" ht="14.25" customHeight="1" x14ac:dyDescent="0.35">
      <c r="A539" s="36"/>
      <c r="B539" s="36" t="s">
        <v>783</v>
      </c>
      <c r="C539" s="37"/>
      <c r="D539" s="37"/>
    </row>
    <row r="540" spans="1:4" ht="14.25" customHeight="1" x14ac:dyDescent="0.35">
      <c r="A540" s="36"/>
      <c r="B540" s="36" t="s">
        <v>777</v>
      </c>
      <c r="C540" s="37"/>
      <c r="D540" s="37"/>
    </row>
    <row r="541" spans="1:4" ht="14.25" customHeight="1" x14ac:dyDescent="0.35">
      <c r="A541" s="36"/>
      <c r="B541" s="36" t="s">
        <v>1613</v>
      </c>
      <c r="C541" s="37"/>
      <c r="D541" s="37"/>
    </row>
    <row r="542" spans="1:4" ht="14.25" customHeight="1" x14ac:dyDescent="0.35">
      <c r="A542" s="36"/>
      <c r="B542" s="36" t="s">
        <v>683</v>
      </c>
      <c r="C542" s="37"/>
      <c r="D542" s="37"/>
    </row>
    <row r="543" spans="1:4" ht="14.25" customHeight="1" x14ac:dyDescent="0.35">
      <c r="A543" s="36"/>
      <c r="B543" s="36" t="s">
        <v>1614</v>
      </c>
      <c r="C543" s="37"/>
      <c r="D543" s="37"/>
    </row>
    <row r="544" spans="1:4" ht="14.25" customHeight="1" x14ac:dyDescent="0.35">
      <c r="A544" s="36"/>
      <c r="B544" s="36" t="s">
        <v>1615</v>
      </c>
      <c r="C544" s="37"/>
      <c r="D544" s="37"/>
    </row>
    <row r="545" spans="1:4" ht="14.25" customHeight="1" x14ac:dyDescent="0.35">
      <c r="A545" s="36"/>
      <c r="B545" s="36" t="s">
        <v>533</v>
      </c>
      <c r="C545" s="37"/>
      <c r="D545" s="37"/>
    </row>
    <row r="546" spans="1:4" ht="14.25" customHeight="1" x14ac:dyDescent="0.35">
      <c r="A546" s="36"/>
      <c r="B546" s="36" t="s">
        <v>508</v>
      </c>
      <c r="C546" s="37"/>
      <c r="D546" s="37"/>
    </row>
    <row r="547" spans="1:4" ht="14.25" customHeight="1" x14ac:dyDescent="0.35">
      <c r="A547" s="36"/>
      <c r="B547" s="36" t="s">
        <v>1616</v>
      </c>
      <c r="C547" s="37"/>
      <c r="D547" s="37"/>
    </row>
    <row r="548" spans="1:4" ht="14.25" customHeight="1" x14ac:dyDescent="0.35">
      <c r="A548" s="36"/>
      <c r="B548" s="36" t="s">
        <v>1617</v>
      </c>
      <c r="C548" s="37"/>
      <c r="D548" s="37"/>
    </row>
    <row r="549" spans="1:4" ht="14.25" customHeight="1" x14ac:dyDescent="0.35">
      <c r="A549" s="36"/>
      <c r="B549" s="36" t="s">
        <v>1618</v>
      </c>
      <c r="C549" s="37"/>
      <c r="D549" s="37"/>
    </row>
    <row r="550" spans="1:4" ht="14.25" customHeight="1" x14ac:dyDescent="0.35">
      <c r="A550" s="36"/>
      <c r="B550" s="36" t="s">
        <v>1619</v>
      </c>
      <c r="C550" s="37"/>
      <c r="D550" s="37"/>
    </row>
    <row r="551" spans="1:4" ht="14.25" customHeight="1" x14ac:dyDescent="0.35">
      <c r="A551" s="36"/>
      <c r="B551" s="36" t="s">
        <v>1620</v>
      </c>
      <c r="C551" s="37"/>
      <c r="D551" s="37"/>
    </row>
    <row r="552" spans="1:4" ht="14.25" customHeight="1" x14ac:dyDescent="0.35">
      <c r="A552" s="36"/>
      <c r="B552" s="36" t="s">
        <v>1621</v>
      </c>
      <c r="C552" s="37"/>
      <c r="D552" s="37"/>
    </row>
    <row r="553" spans="1:4" ht="14.25" customHeight="1" x14ac:dyDescent="0.35">
      <c r="A553" s="36"/>
      <c r="B553" s="36" t="s">
        <v>1622</v>
      </c>
      <c r="C553" s="37"/>
      <c r="D553" s="37"/>
    </row>
    <row r="554" spans="1:4" ht="14.25" customHeight="1" x14ac:dyDescent="0.35">
      <c r="A554" s="36"/>
      <c r="B554" s="36" t="s">
        <v>1623</v>
      </c>
      <c r="C554" s="37"/>
      <c r="D554" s="37"/>
    </row>
    <row r="555" spans="1:4" ht="14.25" customHeight="1" x14ac:dyDescent="0.35">
      <c r="A555" s="36"/>
      <c r="B555" s="36" t="s">
        <v>1624</v>
      </c>
      <c r="C555" s="37"/>
      <c r="D555" s="37"/>
    </row>
    <row r="556" spans="1:4" ht="14.25" customHeight="1" x14ac:dyDescent="0.35">
      <c r="A556" s="36"/>
      <c r="B556" s="36" t="s">
        <v>699</v>
      </c>
      <c r="C556" s="37"/>
      <c r="D556" s="37"/>
    </row>
    <row r="557" spans="1:4" ht="14.25" customHeight="1" x14ac:dyDescent="0.35">
      <c r="A557" s="36"/>
      <c r="B557" s="36" t="s">
        <v>812</v>
      </c>
      <c r="C557" s="37"/>
      <c r="D557" s="37"/>
    </row>
    <row r="558" spans="1:4" ht="14.25" customHeight="1" x14ac:dyDescent="0.35">
      <c r="A558" s="37"/>
      <c r="B558" s="37"/>
      <c r="C558" s="37"/>
      <c r="D558" s="37"/>
    </row>
    <row r="559" spans="1:4" ht="14.25" customHeight="1" x14ac:dyDescent="0.35">
      <c r="A559" s="37"/>
      <c r="B559" s="37"/>
      <c r="C559" s="37"/>
      <c r="D559" s="37"/>
    </row>
    <row r="560" spans="1:4" ht="14.25" customHeight="1" x14ac:dyDescent="0.35">
      <c r="A560" s="35" t="s">
        <v>1625</v>
      </c>
      <c r="B560" s="35" t="s">
        <v>1626</v>
      </c>
      <c r="C560" s="37"/>
      <c r="D560" s="37"/>
    </row>
    <row r="561" spans="1:4" ht="14.25" customHeight="1" x14ac:dyDescent="0.35">
      <c r="A561" s="46"/>
      <c r="B561" s="47" t="s">
        <v>324</v>
      </c>
      <c r="C561" s="46"/>
      <c r="D561" s="46"/>
    </row>
    <row r="562" spans="1:4" ht="14.25" customHeight="1" x14ac:dyDescent="0.35">
      <c r="A562" s="46"/>
      <c r="B562" s="47" t="s">
        <v>467</v>
      </c>
      <c r="C562" s="46"/>
      <c r="D562" s="46"/>
    </row>
    <row r="563" spans="1:4" ht="14.25" customHeight="1" x14ac:dyDescent="0.35">
      <c r="A563" s="46"/>
      <c r="B563" s="47" t="s">
        <v>312</v>
      </c>
      <c r="C563" s="46"/>
      <c r="D563" s="46"/>
    </row>
    <row r="564" spans="1:4" ht="14.25" customHeight="1" x14ac:dyDescent="0.35">
      <c r="A564" s="46"/>
      <c r="B564" s="47" t="s">
        <v>311</v>
      </c>
      <c r="C564" s="46"/>
      <c r="D564" s="46"/>
    </row>
    <row r="565" spans="1:4" ht="14.25" customHeight="1" x14ac:dyDescent="0.35">
      <c r="A565" s="46"/>
      <c r="B565" s="47" t="s">
        <v>337</v>
      </c>
      <c r="C565" s="46"/>
      <c r="D565" s="46"/>
    </row>
    <row r="566" spans="1:4" ht="14.25" customHeight="1" x14ac:dyDescent="0.35">
      <c r="A566" s="46"/>
      <c r="B566" s="47" t="s">
        <v>1627</v>
      </c>
      <c r="C566" s="46"/>
      <c r="D566" s="46"/>
    </row>
    <row r="567" spans="1:4" ht="14.25" customHeight="1" x14ac:dyDescent="0.35">
      <c r="A567" s="46"/>
      <c r="B567" s="47" t="s">
        <v>1628</v>
      </c>
      <c r="C567" s="46"/>
      <c r="D567" s="46"/>
    </row>
    <row r="568" spans="1:4" ht="14.25" customHeight="1" x14ac:dyDescent="0.35">
      <c r="A568" s="46"/>
      <c r="B568" s="47" t="s">
        <v>1629</v>
      </c>
      <c r="C568" s="46"/>
      <c r="D568" s="46"/>
    </row>
    <row r="569" spans="1:4" ht="14.25" customHeight="1" x14ac:dyDescent="0.35">
      <c r="A569" s="46"/>
      <c r="B569" s="47" t="s">
        <v>173</v>
      </c>
      <c r="C569" s="46"/>
      <c r="D569" s="46"/>
    </row>
    <row r="570" spans="1:4" ht="14.25" customHeight="1" x14ac:dyDescent="0.35">
      <c r="A570" s="46"/>
      <c r="B570" s="47" t="s">
        <v>285</v>
      </c>
      <c r="C570" s="46"/>
      <c r="D570" s="46"/>
    </row>
    <row r="571" spans="1:4" ht="14.25" customHeight="1" x14ac:dyDescent="0.35">
      <c r="A571" s="46"/>
      <c r="B571" s="47" t="s">
        <v>400</v>
      </c>
      <c r="C571" s="46"/>
      <c r="D571" s="46"/>
    </row>
    <row r="572" spans="1:4" ht="14.25" customHeight="1" x14ac:dyDescent="0.35">
      <c r="A572" s="46"/>
      <c r="B572" s="47" t="s">
        <v>295</v>
      </c>
      <c r="C572" s="46"/>
      <c r="D572" s="46"/>
    </row>
    <row r="573" spans="1:4" ht="14.25" customHeight="1" x14ac:dyDescent="0.35">
      <c r="A573" s="46"/>
      <c r="B573" s="47" t="s">
        <v>1630</v>
      </c>
      <c r="C573" s="46"/>
      <c r="D573" s="46"/>
    </row>
    <row r="574" spans="1:4" ht="14.25" customHeight="1" x14ac:dyDescent="0.35">
      <c r="A574" s="46"/>
      <c r="B574" s="47" t="s">
        <v>281</v>
      </c>
      <c r="C574" s="46"/>
      <c r="D574" s="46"/>
    </row>
    <row r="575" spans="1:4" ht="14.25" customHeight="1" x14ac:dyDescent="0.35">
      <c r="A575" s="46"/>
      <c r="B575" s="47" t="s">
        <v>274</v>
      </c>
      <c r="C575" s="46"/>
      <c r="D575" s="46"/>
    </row>
    <row r="576" spans="1:4" ht="14.25" customHeight="1" x14ac:dyDescent="0.35">
      <c r="A576" s="46"/>
      <c r="B576" s="47" t="s">
        <v>379</v>
      </c>
      <c r="C576" s="46"/>
      <c r="D576" s="46"/>
    </row>
    <row r="577" spans="1:4" ht="14.25" customHeight="1" x14ac:dyDescent="0.35">
      <c r="A577" s="46"/>
      <c r="B577" s="47" t="s">
        <v>383</v>
      </c>
      <c r="C577" s="46"/>
      <c r="D577" s="46"/>
    </row>
    <row r="578" spans="1:4" ht="14.25" customHeight="1" x14ac:dyDescent="0.35">
      <c r="A578" s="46"/>
      <c r="B578" s="47" t="s">
        <v>394</v>
      </c>
      <c r="C578" s="46"/>
      <c r="D578" s="46"/>
    </row>
    <row r="579" spans="1:4" ht="14.25" customHeight="1" x14ac:dyDescent="0.35">
      <c r="A579" s="46"/>
      <c r="B579" s="47" t="s">
        <v>335</v>
      </c>
      <c r="C579" s="46"/>
      <c r="D579" s="46"/>
    </row>
    <row r="580" spans="1:4" ht="14.25" customHeight="1" x14ac:dyDescent="0.35">
      <c r="A580" s="46"/>
      <c r="B580" s="47" t="s">
        <v>318</v>
      </c>
      <c r="C580" s="46"/>
      <c r="D580" s="46"/>
    </row>
    <row r="581" spans="1:4" ht="14.25" customHeight="1" x14ac:dyDescent="0.35">
      <c r="A581" s="46"/>
      <c r="B581" s="47" t="s">
        <v>1631</v>
      </c>
      <c r="C581" s="46"/>
      <c r="D581" s="46"/>
    </row>
    <row r="582" spans="1:4" ht="14.25" customHeight="1" x14ac:dyDescent="0.35">
      <c r="A582" s="46"/>
      <c r="B582" s="47" t="s">
        <v>1632</v>
      </c>
      <c r="C582" s="46"/>
      <c r="D582" s="46"/>
    </row>
    <row r="583" spans="1:4" ht="14.25" customHeight="1" x14ac:dyDescent="0.35">
      <c r="A583" s="46"/>
      <c r="B583" s="47" t="s">
        <v>768</v>
      </c>
      <c r="C583" s="46"/>
      <c r="D583" s="46"/>
    </row>
    <row r="584" spans="1:4" ht="14.25" customHeight="1" x14ac:dyDescent="0.35">
      <c r="A584" s="46"/>
      <c r="B584" s="47" t="s">
        <v>1633</v>
      </c>
      <c r="C584" s="46"/>
      <c r="D584" s="46"/>
    </row>
    <row r="585" spans="1:4" ht="14.25" customHeight="1" x14ac:dyDescent="0.35">
      <c r="A585" s="46"/>
      <c r="B585" s="47" t="s">
        <v>1634</v>
      </c>
      <c r="C585" s="46"/>
      <c r="D585" s="46"/>
    </row>
    <row r="586" spans="1:4" ht="14.25" customHeight="1" x14ac:dyDescent="0.35">
      <c r="A586" s="46"/>
      <c r="B586" s="47" t="s">
        <v>1635</v>
      </c>
      <c r="C586" s="46"/>
      <c r="D586" s="46"/>
    </row>
    <row r="587" spans="1:4" ht="14.25" customHeight="1" x14ac:dyDescent="0.35">
      <c r="A587" s="46"/>
      <c r="B587" s="47" t="s">
        <v>1636</v>
      </c>
      <c r="C587" s="46"/>
      <c r="D587" s="46"/>
    </row>
    <row r="588" spans="1:4" ht="14.25" customHeight="1" x14ac:dyDescent="0.35">
      <c r="A588" s="46"/>
      <c r="B588" s="47" t="s">
        <v>1637</v>
      </c>
      <c r="C588" s="46"/>
      <c r="D588" s="46"/>
    </row>
    <row r="589" spans="1:4" ht="14.25" customHeight="1" x14ac:dyDescent="0.35">
      <c r="A589" s="46"/>
      <c r="B589" s="47" t="s">
        <v>1638</v>
      </c>
      <c r="C589" s="46"/>
      <c r="D589" s="46"/>
    </row>
    <row r="590" spans="1:4" ht="14.25" customHeight="1" x14ac:dyDescent="0.35">
      <c r="A590" s="46"/>
      <c r="B590" s="47" t="s">
        <v>1639</v>
      </c>
      <c r="C590" s="46"/>
      <c r="D590" s="46"/>
    </row>
    <row r="591" spans="1:4" ht="14.25" customHeight="1" x14ac:dyDescent="0.35">
      <c r="A591" s="46"/>
      <c r="B591" s="47" t="s">
        <v>1640</v>
      </c>
      <c r="C591" s="46"/>
      <c r="D591" s="46"/>
    </row>
    <row r="592" spans="1:4" ht="14.25" customHeight="1" x14ac:dyDescent="0.35">
      <c r="A592" s="46"/>
      <c r="B592" s="47" t="s">
        <v>1641</v>
      </c>
      <c r="C592" s="46"/>
      <c r="D592" s="46"/>
    </row>
    <row r="593" spans="1:4" ht="14.25" customHeight="1" x14ac:dyDescent="0.35">
      <c r="A593" s="46"/>
      <c r="B593" s="47" t="s">
        <v>1642</v>
      </c>
      <c r="C593" s="46"/>
      <c r="D593" s="46"/>
    </row>
    <row r="594" spans="1:4" ht="14.25" customHeight="1" x14ac:dyDescent="0.35">
      <c r="A594" s="46"/>
      <c r="B594" s="47" t="s">
        <v>1643</v>
      </c>
      <c r="C594" s="46"/>
      <c r="D594" s="46"/>
    </row>
    <row r="595" spans="1:4" ht="14.25" customHeight="1" x14ac:dyDescent="0.35">
      <c r="A595" s="46"/>
      <c r="B595" s="47" t="s">
        <v>1644</v>
      </c>
      <c r="C595" s="46"/>
      <c r="D595" s="46"/>
    </row>
    <row r="596" spans="1:4" ht="14.25" customHeight="1" x14ac:dyDescent="0.35">
      <c r="A596" s="46"/>
      <c r="B596" s="47" t="s">
        <v>1645</v>
      </c>
      <c r="C596" s="46"/>
      <c r="D596" s="46"/>
    </row>
    <row r="597" spans="1:4" ht="14.25" customHeight="1" x14ac:dyDescent="0.35">
      <c r="A597" s="46"/>
      <c r="B597" s="47" t="s">
        <v>1646</v>
      </c>
      <c r="C597" s="46"/>
      <c r="D597" s="46"/>
    </row>
    <row r="598" spans="1:4" ht="14.25" customHeight="1" x14ac:dyDescent="0.35">
      <c r="A598" s="46"/>
      <c r="B598" s="47" t="s">
        <v>1647</v>
      </c>
      <c r="C598" s="46"/>
      <c r="D598" s="46"/>
    </row>
    <row r="599" spans="1:4" ht="14.25" customHeight="1" x14ac:dyDescent="0.35">
      <c r="A599" s="46"/>
      <c r="B599" s="47" t="s">
        <v>1648</v>
      </c>
      <c r="C599" s="46"/>
      <c r="D599" s="46"/>
    </row>
    <row r="600" spans="1:4" ht="14.25" customHeight="1" x14ac:dyDescent="0.35">
      <c r="A600" s="46"/>
      <c r="B600" s="47" t="s">
        <v>222</v>
      </c>
      <c r="C600" s="46"/>
      <c r="D600" s="46"/>
    </row>
    <row r="601" spans="1:4" ht="14.25" customHeight="1" x14ac:dyDescent="0.35">
      <c r="A601" s="46"/>
      <c r="B601" s="47" t="s">
        <v>1649</v>
      </c>
      <c r="C601" s="46"/>
      <c r="D601" s="46"/>
    </row>
    <row r="602" spans="1:4" ht="14.25" customHeight="1" x14ac:dyDescent="0.35">
      <c r="A602" s="46"/>
      <c r="B602" s="47" t="s">
        <v>1650</v>
      </c>
      <c r="C602" s="46"/>
      <c r="D602" s="46"/>
    </row>
    <row r="603" spans="1:4" ht="14.25" customHeight="1" x14ac:dyDescent="0.35">
      <c r="A603" s="46"/>
      <c r="B603" s="47" t="s">
        <v>1651</v>
      </c>
      <c r="C603" s="46"/>
      <c r="D603" s="46"/>
    </row>
    <row r="604" spans="1:4" ht="14.25" customHeight="1" x14ac:dyDescent="0.35">
      <c r="A604" s="46"/>
      <c r="B604" s="47" t="s">
        <v>1652</v>
      </c>
      <c r="C604" s="46"/>
      <c r="D604" s="46"/>
    </row>
    <row r="605" spans="1:4" ht="14.25" customHeight="1" x14ac:dyDescent="0.35">
      <c r="A605" s="46"/>
      <c r="B605" s="47" t="s">
        <v>1653</v>
      </c>
      <c r="C605" s="46"/>
      <c r="D605" s="46"/>
    </row>
    <row r="606" spans="1:4" ht="14.25" customHeight="1" x14ac:dyDescent="0.35">
      <c r="A606" s="46"/>
      <c r="B606" s="47" t="s">
        <v>1654</v>
      </c>
      <c r="C606" s="46"/>
      <c r="D606" s="46"/>
    </row>
    <row r="607" spans="1:4" ht="14.25" customHeight="1" x14ac:dyDescent="0.35">
      <c r="A607" s="46"/>
      <c r="B607" s="47" t="s">
        <v>1655</v>
      </c>
      <c r="C607" s="46"/>
      <c r="D607" s="46"/>
    </row>
    <row r="608" spans="1:4" ht="14.25" customHeight="1" x14ac:dyDescent="0.35">
      <c r="A608" s="46"/>
      <c r="B608" s="47" t="s">
        <v>1656</v>
      </c>
      <c r="C608" s="46"/>
      <c r="D608" s="46"/>
    </row>
    <row r="609" spans="1:4" ht="14.25" customHeight="1" x14ac:dyDescent="0.35">
      <c r="A609" s="46"/>
      <c r="B609" s="47" t="s">
        <v>1657</v>
      </c>
      <c r="C609" s="46"/>
      <c r="D609" s="46"/>
    </row>
    <row r="610" spans="1:4" ht="14.25" customHeight="1" x14ac:dyDescent="0.35">
      <c r="A610" s="46"/>
      <c r="B610" s="47" t="s">
        <v>234</v>
      </c>
      <c r="C610" s="46"/>
      <c r="D610" s="46"/>
    </row>
    <row r="611" spans="1:4" ht="14.25" customHeight="1" x14ac:dyDescent="0.35">
      <c r="A611" s="46"/>
      <c r="B611" s="47" t="s">
        <v>1658</v>
      </c>
      <c r="C611" s="46"/>
      <c r="D611" s="46"/>
    </row>
    <row r="612" spans="1:4" ht="14.25" customHeight="1" x14ac:dyDescent="0.35">
      <c r="A612" s="46"/>
      <c r="B612" s="47" t="s">
        <v>1659</v>
      </c>
      <c r="C612" s="46"/>
      <c r="D612" s="46"/>
    </row>
    <row r="613" spans="1:4" ht="14.25" customHeight="1" x14ac:dyDescent="0.35">
      <c r="A613" s="46"/>
      <c r="B613" s="47" t="s">
        <v>1660</v>
      </c>
      <c r="C613" s="46"/>
      <c r="D613" s="46"/>
    </row>
    <row r="614" spans="1:4" ht="14.25" customHeight="1" x14ac:dyDescent="0.35">
      <c r="A614" s="46"/>
      <c r="B614" s="47" t="s">
        <v>224</v>
      </c>
      <c r="C614" s="46"/>
      <c r="D614" s="46"/>
    </row>
    <row r="615" spans="1:4" ht="14.25" customHeight="1" x14ac:dyDescent="0.35">
      <c r="A615" s="46"/>
      <c r="B615" s="47" t="s">
        <v>1661</v>
      </c>
      <c r="C615" s="46"/>
      <c r="D615" s="46"/>
    </row>
    <row r="616" spans="1:4" ht="14.25" customHeight="1" x14ac:dyDescent="0.35">
      <c r="A616" s="46"/>
      <c r="B616" s="47" t="s">
        <v>1662</v>
      </c>
      <c r="C616" s="46"/>
      <c r="D616" s="46"/>
    </row>
    <row r="617" spans="1:4" ht="14.25" customHeight="1" x14ac:dyDescent="0.35">
      <c r="A617" s="46"/>
      <c r="B617" s="47" t="s">
        <v>1663</v>
      </c>
      <c r="C617" s="46"/>
      <c r="D617" s="46"/>
    </row>
    <row r="618" spans="1:4" ht="14.25" customHeight="1" x14ac:dyDescent="0.35">
      <c r="A618" s="46"/>
      <c r="B618" s="47" t="s">
        <v>1664</v>
      </c>
      <c r="C618" s="46"/>
      <c r="D618" s="46"/>
    </row>
    <row r="619" spans="1:4" ht="14.25" customHeight="1" x14ac:dyDescent="0.35">
      <c r="A619" s="46"/>
      <c r="B619" s="47" t="s">
        <v>1665</v>
      </c>
      <c r="C619" s="46"/>
      <c r="D619" s="46"/>
    </row>
    <row r="620" spans="1:4" ht="14.25" customHeight="1" x14ac:dyDescent="0.35">
      <c r="A620" s="46"/>
      <c r="B620" s="47" t="s">
        <v>1666</v>
      </c>
      <c r="C620" s="46"/>
      <c r="D620" s="46"/>
    </row>
    <row r="621" spans="1:4" ht="14.25" customHeight="1" x14ac:dyDescent="0.35">
      <c r="A621" s="46"/>
      <c r="B621" s="47" t="s">
        <v>218</v>
      </c>
      <c r="C621" s="46"/>
      <c r="D621" s="46"/>
    </row>
    <row r="622" spans="1:4" ht="14.25" customHeight="1" x14ac:dyDescent="0.35">
      <c r="A622" s="46"/>
      <c r="B622" s="47" t="s">
        <v>227</v>
      </c>
      <c r="C622" s="46"/>
      <c r="D622" s="46"/>
    </row>
    <row r="623" spans="1:4" ht="14.25" customHeight="1" x14ac:dyDescent="0.35">
      <c r="A623" s="46"/>
      <c r="B623" s="47" t="s">
        <v>1667</v>
      </c>
      <c r="C623" s="46"/>
      <c r="D623" s="46"/>
    </row>
    <row r="624" spans="1:4" ht="14.25" customHeight="1" x14ac:dyDescent="0.35">
      <c r="A624" s="46"/>
      <c r="B624" s="47" t="s">
        <v>1668</v>
      </c>
      <c r="C624" s="46"/>
      <c r="D624" s="46"/>
    </row>
    <row r="625" spans="1:4" ht="14.25" customHeight="1" x14ac:dyDescent="0.35">
      <c r="A625" s="46"/>
      <c r="B625" s="47" t="s">
        <v>1669</v>
      </c>
      <c r="C625" s="46"/>
      <c r="D625" s="46"/>
    </row>
    <row r="626" spans="1:4" ht="14.25" customHeight="1" x14ac:dyDescent="0.35">
      <c r="A626" s="46"/>
      <c r="B626" s="47" t="s">
        <v>1670</v>
      </c>
      <c r="C626" s="46"/>
      <c r="D626" s="46"/>
    </row>
    <row r="627" spans="1:4" ht="14.25" customHeight="1" x14ac:dyDescent="0.35">
      <c r="A627" s="46"/>
      <c r="B627" s="47" t="s">
        <v>621</v>
      </c>
      <c r="C627" s="46"/>
      <c r="D627" s="46"/>
    </row>
    <row r="628" spans="1:4" ht="14.25" customHeight="1" x14ac:dyDescent="0.35">
      <c r="A628" s="46"/>
      <c r="B628" s="47" t="s">
        <v>124</v>
      </c>
      <c r="C628" s="46"/>
      <c r="D628" s="46"/>
    </row>
    <row r="629" spans="1:4" ht="14.25" customHeight="1" x14ac:dyDescent="0.35">
      <c r="A629" s="46"/>
      <c r="B629" s="47" t="s">
        <v>153</v>
      </c>
      <c r="C629" s="46"/>
      <c r="D629" s="46"/>
    </row>
    <row r="630" spans="1:4" ht="14.25" customHeight="1" x14ac:dyDescent="0.35">
      <c r="A630" s="46"/>
      <c r="B630" s="47" t="s">
        <v>1671</v>
      </c>
      <c r="C630" s="46"/>
      <c r="D630" s="46"/>
    </row>
    <row r="631" spans="1:4" ht="14.25" customHeight="1" x14ac:dyDescent="0.35">
      <c r="A631" s="46"/>
      <c r="B631" s="47" t="s">
        <v>1672</v>
      </c>
      <c r="C631" s="46"/>
      <c r="D631" s="46"/>
    </row>
    <row r="632" spans="1:4" ht="14.25" customHeight="1" x14ac:dyDescent="0.35">
      <c r="A632" s="46"/>
      <c r="B632" s="47" t="s">
        <v>1673</v>
      </c>
      <c r="C632" s="46"/>
      <c r="D632" s="46"/>
    </row>
    <row r="633" spans="1:4" ht="14.25" customHeight="1" x14ac:dyDescent="0.35">
      <c r="A633" s="46"/>
      <c r="B633" s="47" t="s">
        <v>1674</v>
      </c>
      <c r="C633" s="46"/>
      <c r="D633" s="46"/>
    </row>
    <row r="634" spans="1:4" ht="14.25" customHeight="1" x14ac:dyDescent="0.35">
      <c r="A634" s="46"/>
      <c r="B634" s="36" t="s">
        <v>340</v>
      </c>
      <c r="C634" s="46"/>
      <c r="D634" s="46"/>
    </row>
    <row r="635" spans="1:4" ht="14.25" customHeight="1" x14ac:dyDescent="0.35">
      <c r="A635" s="46"/>
      <c r="B635" s="36" t="s">
        <v>374</v>
      </c>
      <c r="C635" s="46"/>
      <c r="D635" s="46"/>
    </row>
    <row r="636" spans="1:4" ht="14.25" customHeight="1" x14ac:dyDescent="0.35">
      <c r="A636" s="46"/>
      <c r="B636" s="47" t="s">
        <v>1675</v>
      </c>
      <c r="C636" s="46"/>
      <c r="D636" s="46"/>
    </row>
    <row r="637" spans="1:4" ht="14.25" customHeight="1" x14ac:dyDescent="0.35">
      <c r="A637" s="46"/>
      <c r="B637" s="47" t="s">
        <v>451</v>
      </c>
      <c r="C637" s="46"/>
      <c r="D637" s="46"/>
    </row>
    <row r="638" spans="1:4" ht="14.25" customHeight="1" x14ac:dyDescent="0.35">
      <c r="A638" s="46"/>
      <c r="B638" s="47" t="s">
        <v>1676</v>
      </c>
      <c r="C638" s="46"/>
      <c r="D638" s="46"/>
    </row>
    <row r="639" spans="1:4" ht="14.25" customHeight="1" x14ac:dyDescent="0.35">
      <c r="A639" s="46"/>
      <c r="B639" s="47" t="s">
        <v>645</v>
      </c>
      <c r="C639" s="46"/>
      <c r="D639" s="46"/>
    </row>
    <row r="640" spans="1:4" ht="14.25" customHeight="1" x14ac:dyDescent="0.35">
      <c r="A640" s="46"/>
      <c r="B640" s="47" t="s">
        <v>1677</v>
      </c>
      <c r="C640" s="46"/>
      <c r="D640" s="46"/>
    </row>
    <row r="641" spans="1:4" ht="14.25" customHeight="1" x14ac:dyDescent="0.35">
      <c r="A641" s="46"/>
      <c r="B641" s="36" t="s">
        <v>1678</v>
      </c>
      <c r="C641" s="46"/>
      <c r="D641" s="46"/>
    </row>
    <row r="642" spans="1:4" ht="14.25" customHeight="1" x14ac:dyDescent="0.35">
      <c r="A642" s="46"/>
      <c r="B642" s="47" t="s">
        <v>474</v>
      </c>
      <c r="C642" s="46"/>
      <c r="D642" s="46"/>
    </row>
    <row r="643" spans="1:4" ht="14.25" customHeight="1" x14ac:dyDescent="0.35">
      <c r="A643" s="46"/>
      <c r="B643" s="47" t="s">
        <v>1679</v>
      </c>
      <c r="C643" s="46"/>
      <c r="D643" s="46"/>
    </row>
    <row r="644" spans="1:4" ht="14.25" customHeight="1" x14ac:dyDescent="0.35">
      <c r="A644" s="46"/>
      <c r="B644" s="36" t="s">
        <v>346</v>
      </c>
      <c r="C644" s="46"/>
      <c r="D644" s="46"/>
    </row>
    <row r="645" spans="1:4" ht="14.25" customHeight="1" x14ac:dyDescent="0.35">
      <c r="A645" s="46"/>
      <c r="B645" s="47" t="s">
        <v>639</v>
      </c>
      <c r="C645" s="46"/>
      <c r="D645" s="46"/>
    </row>
    <row r="646" spans="1:4" ht="14.25" customHeight="1" x14ac:dyDescent="0.35">
      <c r="A646" s="46"/>
      <c r="B646" s="47" t="s">
        <v>1680</v>
      </c>
      <c r="C646" s="46"/>
      <c r="D646" s="46"/>
    </row>
    <row r="647" spans="1:4" ht="14.25" customHeight="1" x14ac:dyDescent="0.35">
      <c r="A647" s="46"/>
      <c r="B647" s="47" t="s">
        <v>1681</v>
      </c>
      <c r="C647" s="46"/>
      <c r="D647" s="46"/>
    </row>
    <row r="648" spans="1:4" ht="14.25" customHeight="1" x14ac:dyDescent="0.35">
      <c r="A648" s="46"/>
      <c r="B648" s="47" t="s">
        <v>210</v>
      </c>
      <c r="C648" s="46"/>
      <c r="D648" s="46"/>
    </row>
    <row r="649" spans="1:4" ht="14.25" customHeight="1" x14ac:dyDescent="0.35">
      <c r="A649" s="46"/>
      <c r="B649" s="47" t="s">
        <v>1682</v>
      </c>
      <c r="C649" s="46"/>
      <c r="D649" s="46"/>
    </row>
    <row r="650" spans="1:4" ht="14.25" customHeight="1" x14ac:dyDescent="0.35">
      <c r="A650" s="46"/>
      <c r="B650" s="47" t="s">
        <v>188</v>
      </c>
      <c r="C650" s="46"/>
      <c r="D650" s="46"/>
    </row>
    <row r="651" spans="1:4" ht="14.25" customHeight="1" x14ac:dyDescent="0.35">
      <c r="A651" s="46"/>
      <c r="B651" s="47" t="s">
        <v>1683</v>
      </c>
      <c r="C651" s="46"/>
      <c r="D651" s="46"/>
    </row>
    <row r="652" spans="1:4" ht="14.25" customHeight="1" x14ac:dyDescent="0.35">
      <c r="A652" s="46"/>
      <c r="B652" s="47" t="s">
        <v>1684</v>
      </c>
      <c r="C652" s="46"/>
      <c r="D652" s="46"/>
    </row>
    <row r="653" spans="1:4" ht="14.25" customHeight="1" x14ac:dyDescent="0.35">
      <c r="A653" s="46"/>
      <c r="B653" s="47" t="s">
        <v>423</v>
      </c>
      <c r="C653" s="46"/>
      <c r="D653" s="46"/>
    </row>
    <row r="654" spans="1:4" ht="14.25" customHeight="1" x14ac:dyDescent="0.35">
      <c r="A654" s="46"/>
      <c r="B654" s="47" t="s">
        <v>439</v>
      </c>
      <c r="C654" s="46"/>
      <c r="D654" s="46"/>
    </row>
    <row r="655" spans="1:4" ht="14.25" customHeight="1" x14ac:dyDescent="0.35">
      <c r="A655" s="46"/>
      <c r="B655" s="47" t="s">
        <v>243</v>
      </c>
      <c r="C655" s="46"/>
      <c r="D655" s="46"/>
    </row>
    <row r="656" spans="1:4" ht="14.25" customHeight="1" x14ac:dyDescent="0.35">
      <c r="A656" s="46"/>
      <c r="B656" s="47" t="s">
        <v>1685</v>
      </c>
      <c r="C656" s="46"/>
      <c r="D656" s="46"/>
    </row>
    <row r="657" spans="1:4" ht="14.25" customHeight="1" x14ac:dyDescent="0.35">
      <c r="A657" s="46"/>
      <c r="B657" s="47" t="s">
        <v>254</v>
      </c>
      <c r="C657" s="46"/>
      <c r="D657" s="46"/>
    </row>
    <row r="658" spans="1:4" ht="14.25" customHeight="1" x14ac:dyDescent="0.35">
      <c r="A658" s="46"/>
      <c r="B658" s="36" t="s">
        <v>103</v>
      </c>
      <c r="C658" s="46"/>
      <c r="D658" s="46"/>
    </row>
    <row r="659" spans="1:4" ht="14.25" customHeight="1" x14ac:dyDescent="0.35">
      <c r="A659" s="46"/>
      <c r="B659" s="36" t="s">
        <v>413</v>
      </c>
      <c r="C659" s="46"/>
      <c r="D659" s="46"/>
    </row>
    <row r="660" spans="1:4" ht="14.25" customHeight="1" x14ac:dyDescent="0.35">
      <c r="A660" s="46"/>
      <c r="B660" s="46"/>
      <c r="C660" s="46"/>
      <c r="D660" s="46"/>
    </row>
    <row r="661" spans="1:4" ht="14.25" customHeight="1" x14ac:dyDescent="0.35">
      <c r="A661" s="46"/>
      <c r="B661" s="46"/>
      <c r="C661" s="46"/>
      <c r="D661" s="46"/>
    </row>
    <row r="662" spans="1:4" ht="14.25" customHeight="1" x14ac:dyDescent="0.35">
      <c r="A662" s="35" t="s">
        <v>1686</v>
      </c>
      <c r="B662" s="35" t="s">
        <v>1687</v>
      </c>
      <c r="C662" s="35" t="s">
        <v>1688</v>
      </c>
      <c r="D662" s="35" t="s">
        <v>1689</v>
      </c>
    </row>
    <row r="663" spans="1:4" ht="14.25" customHeight="1" x14ac:dyDescent="0.35">
      <c r="A663" s="36" t="s">
        <v>1690</v>
      </c>
      <c r="B663" s="60" t="s">
        <v>1691</v>
      </c>
      <c r="C663" s="61" t="s">
        <v>1692</v>
      </c>
      <c r="D663" s="36" t="s">
        <v>1693</v>
      </c>
    </row>
    <row r="664" spans="1:4" ht="14.25" customHeight="1" x14ac:dyDescent="0.35">
      <c r="A664" s="36" t="s">
        <v>1690</v>
      </c>
      <c r="B664" s="60" t="s">
        <v>1691</v>
      </c>
      <c r="C664" s="61" t="s">
        <v>1692</v>
      </c>
      <c r="D664" s="36" t="s">
        <v>155</v>
      </c>
    </row>
    <row r="665" spans="1:4" ht="14.25" customHeight="1" x14ac:dyDescent="0.35">
      <c r="A665" s="36" t="s">
        <v>1690</v>
      </c>
      <c r="B665" s="60" t="s">
        <v>1691</v>
      </c>
      <c r="C665" s="61" t="s">
        <v>1692</v>
      </c>
      <c r="D665" s="36" t="s">
        <v>562</v>
      </c>
    </row>
    <row r="666" spans="1:4" ht="14.25" customHeight="1" x14ac:dyDescent="0.35">
      <c r="A666" s="36" t="s">
        <v>1694</v>
      </c>
      <c r="B666" s="62" t="s">
        <v>196</v>
      </c>
      <c r="C666" s="61" t="s">
        <v>907</v>
      </c>
      <c r="D666" s="36" t="s">
        <v>1695</v>
      </c>
    </row>
    <row r="667" spans="1:4" ht="14.25" customHeight="1" x14ac:dyDescent="0.35">
      <c r="A667" s="36" t="s">
        <v>1694</v>
      </c>
      <c r="B667" s="62" t="s">
        <v>196</v>
      </c>
      <c r="C667" s="61" t="s">
        <v>907</v>
      </c>
      <c r="D667" s="36" t="s">
        <v>1696</v>
      </c>
    </row>
    <row r="668" spans="1:4" ht="14.25" customHeight="1" x14ac:dyDescent="0.35">
      <c r="A668" s="36" t="s">
        <v>1694</v>
      </c>
      <c r="B668" s="62" t="s">
        <v>196</v>
      </c>
      <c r="C668" s="61" t="s">
        <v>907</v>
      </c>
      <c r="D668" s="36" t="s">
        <v>1697</v>
      </c>
    </row>
    <row r="669" spans="1:4" ht="14.25" customHeight="1" x14ac:dyDescent="0.35">
      <c r="A669" s="36" t="s">
        <v>1694</v>
      </c>
      <c r="B669" s="62" t="s">
        <v>196</v>
      </c>
      <c r="C669" s="61" t="s">
        <v>907</v>
      </c>
      <c r="D669" s="36" t="s">
        <v>1698</v>
      </c>
    </row>
    <row r="670" spans="1:4" ht="14.25" customHeight="1" x14ac:dyDescent="0.35">
      <c r="A670" s="36" t="s">
        <v>1699</v>
      </c>
      <c r="B670" s="62" t="s">
        <v>119</v>
      </c>
      <c r="C670" s="61" t="s">
        <v>1700</v>
      </c>
      <c r="D670" s="36" t="s">
        <v>1701</v>
      </c>
    </row>
    <row r="671" spans="1:4" ht="14.25" customHeight="1" x14ac:dyDescent="0.35">
      <c r="A671" s="36" t="s">
        <v>1699</v>
      </c>
      <c r="B671" s="62" t="s">
        <v>119</v>
      </c>
      <c r="C671" s="61" t="s">
        <v>1700</v>
      </c>
      <c r="D671" s="36" t="s">
        <v>709</v>
      </c>
    </row>
    <row r="672" spans="1:4" ht="14.25" customHeight="1" x14ac:dyDescent="0.35">
      <c r="A672" s="36" t="s">
        <v>1699</v>
      </c>
      <c r="B672" s="62" t="s">
        <v>119</v>
      </c>
      <c r="C672" s="61" t="s">
        <v>1700</v>
      </c>
      <c r="D672" s="36" t="s">
        <v>729</v>
      </c>
    </row>
    <row r="673" spans="1:4" ht="14.25" customHeight="1" x14ac:dyDescent="0.35">
      <c r="A673" s="36" t="s">
        <v>1699</v>
      </c>
      <c r="B673" s="62" t="s">
        <v>119</v>
      </c>
      <c r="C673" s="61" t="s">
        <v>1700</v>
      </c>
      <c r="D673" s="36" t="s">
        <v>982</v>
      </c>
    </row>
    <row r="674" spans="1:4" ht="14.25" customHeight="1" x14ac:dyDescent="0.35">
      <c r="A674" s="36" t="s">
        <v>97</v>
      </c>
      <c r="B674" s="62" t="s">
        <v>98</v>
      </c>
      <c r="C674" s="61" t="s">
        <v>1702</v>
      </c>
      <c r="D674" s="36" t="s">
        <v>1703</v>
      </c>
    </row>
    <row r="675" spans="1:4" ht="14.25" customHeight="1" x14ac:dyDescent="0.35">
      <c r="A675" s="36" t="s">
        <v>97</v>
      </c>
      <c r="B675" s="62" t="s">
        <v>98</v>
      </c>
      <c r="C675" s="61" t="s">
        <v>1702</v>
      </c>
      <c r="D675" s="36" t="s">
        <v>1704</v>
      </c>
    </row>
    <row r="676" spans="1:4" ht="14.25" customHeight="1" x14ac:dyDescent="0.35">
      <c r="A676" s="36" t="s">
        <v>97</v>
      </c>
      <c r="B676" s="62" t="s">
        <v>98</v>
      </c>
      <c r="C676" s="61" t="s">
        <v>1702</v>
      </c>
      <c r="D676" s="36" t="s">
        <v>1705</v>
      </c>
    </row>
    <row r="677" spans="1:4" ht="14.25" customHeight="1" x14ac:dyDescent="0.35">
      <c r="A677" s="36" t="s">
        <v>97</v>
      </c>
      <c r="B677" s="62" t="s">
        <v>98</v>
      </c>
      <c r="C677" s="61" t="s">
        <v>1702</v>
      </c>
      <c r="D677" s="36" t="s">
        <v>1706</v>
      </c>
    </row>
    <row r="678" spans="1:4" ht="14.25" customHeight="1" x14ac:dyDescent="0.35">
      <c r="A678" s="36" t="s">
        <v>97</v>
      </c>
      <c r="B678" s="62" t="s">
        <v>98</v>
      </c>
      <c r="C678" s="61" t="s">
        <v>1702</v>
      </c>
      <c r="D678" s="36" t="s">
        <v>1707</v>
      </c>
    </row>
    <row r="679" spans="1:4" ht="14.25" customHeight="1" x14ac:dyDescent="0.35">
      <c r="A679" s="36" t="s">
        <v>685</v>
      </c>
      <c r="B679" s="62" t="s">
        <v>1708</v>
      </c>
      <c r="C679" s="61" t="s">
        <v>1709</v>
      </c>
      <c r="D679" s="36" t="s">
        <v>1710</v>
      </c>
    </row>
    <row r="680" spans="1:4" ht="14.25" customHeight="1" x14ac:dyDescent="0.35">
      <c r="A680" s="36" t="s">
        <v>685</v>
      </c>
      <c r="B680" s="62" t="s">
        <v>1708</v>
      </c>
      <c r="C680" s="61" t="s">
        <v>1709</v>
      </c>
      <c r="D680" s="36" t="s">
        <v>1711</v>
      </c>
    </row>
    <row r="681" spans="1:4" ht="14.25" customHeight="1" x14ac:dyDescent="0.35">
      <c r="A681" s="36" t="s">
        <v>685</v>
      </c>
      <c r="B681" s="62" t="s">
        <v>1708</v>
      </c>
      <c r="C681" s="61" t="s">
        <v>1709</v>
      </c>
      <c r="D681" s="36" t="s">
        <v>1712</v>
      </c>
    </row>
    <row r="682" spans="1:4" ht="14.25" customHeight="1" x14ac:dyDescent="0.35">
      <c r="A682" s="36" t="s">
        <v>1713</v>
      </c>
      <c r="B682" s="62" t="s">
        <v>1714</v>
      </c>
      <c r="C682" s="61" t="s">
        <v>1715</v>
      </c>
      <c r="D682" s="36" t="s">
        <v>1716</v>
      </c>
    </row>
    <row r="683" spans="1:4" ht="14.25" customHeight="1" x14ac:dyDescent="0.35">
      <c r="A683" s="36" t="s">
        <v>1713</v>
      </c>
      <c r="B683" s="62" t="s">
        <v>1714</v>
      </c>
      <c r="C683" s="61" t="s">
        <v>1715</v>
      </c>
      <c r="D683" s="36" t="s">
        <v>1717</v>
      </c>
    </row>
    <row r="684" spans="1:4" ht="14.25" customHeight="1" x14ac:dyDescent="0.35">
      <c r="A684" s="36" t="s">
        <v>1713</v>
      </c>
      <c r="B684" s="62" t="s">
        <v>1718</v>
      </c>
      <c r="C684" s="61" t="s">
        <v>1715</v>
      </c>
      <c r="D684" s="36" t="s">
        <v>1719</v>
      </c>
    </row>
    <row r="685" spans="1:4" ht="14.25" customHeight="1" x14ac:dyDescent="0.35">
      <c r="A685" s="36" t="s">
        <v>436</v>
      </c>
      <c r="B685" s="62" t="s">
        <v>437</v>
      </c>
      <c r="C685" s="61" t="s">
        <v>1720</v>
      </c>
      <c r="D685" s="36" t="s">
        <v>1721</v>
      </c>
    </row>
    <row r="686" spans="1:4" ht="14.25" customHeight="1" x14ac:dyDescent="0.35">
      <c r="A686" s="36" t="s">
        <v>436</v>
      </c>
      <c r="B686" s="62" t="s">
        <v>437</v>
      </c>
      <c r="C686" s="61" t="s">
        <v>1720</v>
      </c>
      <c r="D686" s="36" t="s">
        <v>924</v>
      </c>
    </row>
    <row r="687" spans="1:4" ht="14.25" customHeight="1" x14ac:dyDescent="0.35">
      <c r="A687" s="36" t="s">
        <v>436</v>
      </c>
      <c r="B687" s="12" t="s">
        <v>437</v>
      </c>
      <c r="C687" s="61" t="s">
        <v>1720</v>
      </c>
      <c r="D687" s="36" t="s">
        <v>1722</v>
      </c>
    </row>
    <row r="688" spans="1:4" ht="14.25" customHeight="1" x14ac:dyDescent="0.35">
      <c r="A688" s="36" t="s">
        <v>436</v>
      </c>
      <c r="B688" s="12" t="s">
        <v>437</v>
      </c>
      <c r="C688" s="61" t="s">
        <v>1720</v>
      </c>
      <c r="D688" s="36" t="s">
        <v>1723</v>
      </c>
    </row>
    <row r="689" spans="1:12" ht="14.25" customHeight="1" x14ac:dyDescent="0.35">
      <c r="A689" s="46"/>
      <c r="B689" s="54"/>
      <c r="C689" s="46"/>
      <c r="D689" s="46"/>
    </row>
    <row r="690" spans="1:12" ht="14.25" customHeight="1" x14ac:dyDescent="0.35">
      <c r="A690" s="37"/>
      <c r="B690" s="55"/>
      <c r="C690" s="46"/>
      <c r="D690" s="46"/>
    </row>
    <row r="691" spans="1:12" ht="14.25" customHeight="1" x14ac:dyDescent="0.35">
      <c r="A691" s="37"/>
      <c r="B691" s="55"/>
      <c r="C691" s="46"/>
      <c r="D691" s="46"/>
    </row>
    <row r="692" spans="1:12" ht="14.25" customHeight="1" x14ac:dyDescent="0.35">
      <c r="A692" s="35" t="s">
        <v>1724</v>
      </c>
      <c r="B692" s="55"/>
      <c r="C692" s="46"/>
      <c r="D692" s="46"/>
    </row>
    <row r="693" spans="1:12" ht="14.25" customHeight="1" x14ac:dyDescent="0.35">
      <c r="A693" s="56" t="s">
        <v>1738</v>
      </c>
      <c r="B693" s="55"/>
      <c r="C693" s="46"/>
      <c r="D693" s="46"/>
    </row>
    <row r="694" spans="1:12" ht="14.25" customHeight="1" x14ac:dyDescent="0.35">
      <c r="A694" s="56" t="s">
        <v>129</v>
      </c>
      <c r="B694" s="55"/>
      <c r="C694" s="46"/>
      <c r="D694" s="46"/>
    </row>
    <row r="695" spans="1:12" ht="14.25" customHeight="1" x14ac:dyDescent="0.35">
      <c r="A695" s="31" t="s">
        <v>803</v>
      </c>
      <c r="B695" s="46"/>
      <c r="C695" s="46"/>
      <c r="D695" s="46"/>
    </row>
    <row r="696" spans="1:12" ht="14.25" customHeight="1" x14ac:dyDescent="0.35">
      <c r="A696" s="31"/>
      <c r="B696" s="46"/>
      <c r="C696" s="46"/>
      <c r="D696" s="46"/>
    </row>
    <row r="697" spans="1:12" ht="14.25" customHeight="1" x14ac:dyDescent="0.35">
      <c r="A697" s="46"/>
      <c r="B697" s="46"/>
      <c r="C697" s="46"/>
      <c r="D697" s="46"/>
    </row>
    <row r="698" spans="1:12" ht="14.25" customHeight="1" x14ac:dyDescent="0.35">
      <c r="A698" s="35" t="s">
        <v>1726</v>
      </c>
      <c r="B698" s="46"/>
      <c r="C698" s="46"/>
      <c r="D698" s="46"/>
    </row>
    <row r="699" spans="1:12" ht="14.25" customHeight="1" x14ac:dyDescent="0.4">
      <c r="A699" s="35" t="s">
        <v>1727</v>
      </c>
      <c r="B699" s="35" t="s">
        <v>1728</v>
      </c>
      <c r="C699" s="35" t="s">
        <v>1729</v>
      </c>
      <c r="D699" s="35" t="s">
        <v>1739</v>
      </c>
      <c r="E699" s="35" t="s">
        <v>1155</v>
      </c>
      <c r="F699" s="35" t="s">
        <v>1740</v>
      </c>
      <c r="G699" s="35" t="s">
        <v>901</v>
      </c>
      <c r="H699" s="35" t="s">
        <v>1741</v>
      </c>
      <c r="I699" s="35" t="s">
        <v>1742</v>
      </c>
      <c r="J699" s="63" t="s">
        <v>1743</v>
      </c>
      <c r="K699" s="35" t="s">
        <v>1744</v>
      </c>
      <c r="L699" s="35" t="s">
        <v>1745</v>
      </c>
    </row>
    <row r="700" spans="1:12" ht="14.25" customHeight="1" x14ac:dyDescent="0.35">
      <c r="A700" s="235" t="s">
        <v>1730</v>
      </c>
      <c r="B700" s="57">
        <v>19</v>
      </c>
      <c r="C700" s="57" t="s">
        <v>1731</v>
      </c>
      <c r="D700" s="57" t="s">
        <v>1746</v>
      </c>
      <c r="E700" s="64" t="s">
        <v>1747</v>
      </c>
      <c r="F700" s="64" t="s">
        <v>1748</v>
      </c>
      <c r="G700" s="65" t="s">
        <v>1749</v>
      </c>
      <c r="H700" s="65" t="s">
        <v>1750</v>
      </c>
      <c r="I700" s="65" t="s">
        <v>1751</v>
      </c>
      <c r="J700" s="66" t="s">
        <v>727</v>
      </c>
      <c r="K700" s="66" t="s">
        <v>1752</v>
      </c>
      <c r="L700" s="67" t="s">
        <v>1753</v>
      </c>
    </row>
    <row r="701" spans="1:12" ht="14.25" customHeight="1" x14ac:dyDescent="0.35">
      <c r="A701" s="236"/>
      <c r="B701" s="58">
        <v>19</v>
      </c>
      <c r="C701" s="58" t="s">
        <v>1731</v>
      </c>
      <c r="D701" s="58" t="s">
        <v>1754</v>
      </c>
      <c r="E701" s="68" t="s">
        <v>1755</v>
      </c>
      <c r="F701" s="68" t="s">
        <v>1748</v>
      </c>
      <c r="G701" s="69" t="s">
        <v>1756</v>
      </c>
      <c r="H701" s="69" t="s">
        <v>1757</v>
      </c>
      <c r="I701" s="69" t="s">
        <v>1758</v>
      </c>
      <c r="J701" s="70" t="s">
        <v>1759</v>
      </c>
      <c r="K701" s="70" t="s">
        <v>1760</v>
      </c>
      <c r="L701" s="70" t="s">
        <v>1761</v>
      </c>
    </row>
    <row r="702" spans="1:12" ht="14.25" customHeight="1" x14ac:dyDescent="0.35">
      <c r="A702" s="236"/>
      <c r="B702" s="58">
        <v>19</v>
      </c>
      <c r="C702" s="58" t="s">
        <v>1731</v>
      </c>
      <c r="D702" s="58" t="s">
        <v>1762</v>
      </c>
      <c r="E702" s="68" t="s">
        <v>1763</v>
      </c>
      <c r="F702" s="68" t="s">
        <v>1748</v>
      </c>
      <c r="G702" s="69" t="s">
        <v>1756</v>
      </c>
      <c r="H702" s="69" t="s">
        <v>1757</v>
      </c>
      <c r="I702" s="69" t="s">
        <v>1764</v>
      </c>
      <c r="J702" s="70" t="s">
        <v>1765</v>
      </c>
      <c r="K702" s="70" t="s">
        <v>1766</v>
      </c>
      <c r="L702" s="70" t="s">
        <v>1767</v>
      </c>
    </row>
    <row r="703" spans="1:12" ht="14.25" customHeight="1" x14ac:dyDescent="0.35">
      <c r="A703" s="236"/>
      <c r="B703" s="58">
        <v>19</v>
      </c>
      <c r="C703" s="58" t="s">
        <v>1731</v>
      </c>
      <c r="D703" s="58" t="s">
        <v>1768</v>
      </c>
      <c r="E703" s="68" t="s">
        <v>1769</v>
      </c>
      <c r="F703" s="68" t="s">
        <v>1748</v>
      </c>
      <c r="G703" s="69" t="s">
        <v>1756</v>
      </c>
      <c r="H703" s="69" t="s">
        <v>1757</v>
      </c>
      <c r="I703" s="69" t="s">
        <v>1770</v>
      </c>
      <c r="J703" s="70" t="s">
        <v>1771</v>
      </c>
      <c r="K703" s="70" t="s">
        <v>1772</v>
      </c>
      <c r="L703" s="70" t="s">
        <v>1773</v>
      </c>
    </row>
    <row r="704" spans="1:12" ht="14.25" customHeight="1" x14ac:dyDescent="0.35">
      <c r="A704" s="237"/>
      <c r="B704" s="59">
        <v>19</v>
      </c>
      <c r="C704" s="59" t="s">
        <v>1731</v>
      </c>
      <c r="D704" s="59" t="s">
        <v>1774</v>
      </c>
      <c r="E704" s="71" t="s">
        <v>1775</v>
      </c>
      <c r="F704" s="71" t="s">
        <v>1748</v>
      </c>
      <c r="G704" s="72" t="s">
        <v>1749</v>
      </c>
      <c r="H704" s="72" t="s">
        <v>1750</v>
      </c>
      <c r="I704" s="72" t="s">
        <v>1776</v>
      </c>
      <c r="J704" s="73" t="s">
        <v>1777</v>
      </c>
      <c r="K704" s="73" t="s">
        <v>1778</v>
      </c>
      <c r="L704" s="73" t="s">
        <v>1779</v>
      </c>
    </row>
    <row r="705" spans="1:12" ht="14.25" customHeight="1" x14ac:dyDescent="0.35">
      <c r="A705" s="235" t="s">
        <v>104</v>
      </c>
      <c r="B705" s="57">
        <v>19</v>
      </c>
      <c r="C705" s="57" t="s">
        <v>1732</v>
      </c>
      <c r="D705" s="57" t="s">
        <v>1780</v>
      </c>
      <c r="E705" s="64" t="s">
        <v>1781</v>
      </c>
      <c r="F705" s="64" t="s">
        <v>1782</v>
      </c>
      <c r="G705" s="74" t="s">
        <v>1756</v>
      </c>
      <c r="H705" s="74" t="s">
        <v>1757</v>
      </c>
      <c r="I705" s="65" t="s">
        <v>1783</v>
      </c>
      <c r="J705" s="67" t="s">
        <v>750</v>
      </c>
      <c r="K705" s="67" t="s">
        <v>1784</v>
      </c>
      <c r="L705" s="67" t="s">
        <v>1785</v>
      </c>
    </row>
    <row r="706" spans="1:12" ht="14.25" customHeight="1" x14ac:dyDescent="0.35">
      <c r="A706" s="236"/>
      <c r="B706" s="58">
        <v>19</v>
      </c>
      <c r="C706" s="58" t="s">
        <v>1732</v>
      </c>
      <c r="D706" s="58" t="s">
        <v>1786</v>
      </c>
      <c r="E706" s="68" t="s">
        <v>1787</v>
      </c>
      <c r="F706" s="68" t="s">
        <v>1782</v>
      </c>
      <c r="G706" s="75" t="s">
        <v>1756</v>
      </c>
      <c r="H706" s="75" t="s">
        <v>1757</v>
      </c>
      <c r="I706" s="69" t="s">
        <v>1788</v>
      </c>
      <c r="J706" s="76" t="s">
        <v>1789</v>
      </c>
      <c r="K706" s="76" t="s">
        <v>1790</v>
      </c>
      <c r="L706" s="76" t="s">
        <v>1791</v>
      </c>
    </row>
    <row r="707" spans="1:12" ht="14.25" customHeight="1" x14ac:dyDescent="0.35">
      <c r="A707" s="236"/>
      <c r="B707" s="58">
        <v>19</v>
      </c>
      <c r="C707" s="58" t="s">
        <v>1732</v>
      </c>
      <c r="D707" s="58" t="s">
        <v>1792</v>
      </c>
      <c r="E707" s="68" t="s">
        <v>1793</v>
      </c>
      <c r="F707" s="68" t="s">
        <v>1782</v>
      </c>
      <c r="G707" s="75" t="s">
        <v>1756</v>
      </c>
      <c r="H707" s="75" t="s">
        <v>1757</v>
      </c>
      <c r="I707" s="69" t="s">
        <v>1794</v>
      </c>
      <c r="J707" s="76" t="s">
        <v>1795</v>
      </c>
      <c r="K707" s="76" t="s">
        <v>1796</v>
      </c>
      <c r="L707" s="76" t="s">
        <v>1797</v>
      </c>
    </row>
    <row r="708" spans="1:12" ht="14.25" customHeight="1" x14ac:dyDescent="0.35">
      <c r="A708" s="236"/>
      <c r="B708" s="58">
        <v>19</v>
      </c>
      <c r="C708" s="58" t="s">
        <v>1732</v>
      </c>
      <c r="D708" s="58" t="s">
        <v>1798</v>
      </c>
      <c r="E708" s="68" t="s">
        <v>1799</v>
      </c>
      <c r="F708" s="68" t="s">
        <v>1782</v>
      </c>
      <c r="G708" s="75" t="s">
        <v>1756</v>
      </c>
      <c r="H708" s="75" t="s">
        <v>1757</v>
      </c>
      <c r="I708" s="69" t="s">
        <v>1800</v>
      </c>
      <c r="J708" s="76" t="s">
        <v>1801</v>
      </c>
      <c r="K708" s="76" t="s">
        <v>1802</v>
      </c>
      <c r="L708" s="76" t="s">
        <v>1797</v>
      </c>
    </row>
    <row r="709" spans="1:12" ht="14.25" customHeight="1" x14ac:dyDescent="0.35">
      <c r="A709" s="236"/>
      <c r="B709" s="58">
        <v>19</v>
      </c>
      <c r="C709" s="58" t="s">
        <v>1732</v>
      </c>
      <c r="D709" s="58" t="s">
        <v>1803</v>
      </c>
      <c r="E709" s="68" t="s">
        <v>1804</v>
      </c>
      <c r="F709" s="68" t="s">
        <v>1782</v>
      </c>
      <c r="G709" s="75" t="s">
        <v>1756</v>
      </c>
      <c r="H709" s="75" t="s">
        <v>1757</v>
      </c>
      <c r="I709" s="69" t="s">
        <v>1805</v>
      </c>
      <c r="J709" s="76" t="s">
        <v>1806</v>
      </c>
      <c r="K709" s="76" t="s">
        <v>1807</v>
      </c>
      <c r="L709" s="76" t="s">
        <v>1797</v>
      </c>
    </row>
    <row r="710" spans="1:12" ht="14.25" customHeight="1" x14ac:dyDescent="0.35">
      <c r="A710" s="236"/>
      <c r="B710" s="58">
        <v>19</v>
      </c>
      <c r="C710" s="58" t="s">
        <v>1732</v>
      </c>
      <c r="D710" s="58" t="s">
        <v>1808</v>
      </c>
      <c r="E710" s="68" t="s">
        <v>1809</v>
      </c>
      <c r="F710" s="68" t="s">
        <v>1782</v>
      </c>
      <c r="G710" s="75" t="s">
        <v>1756</v>
      </c>
      <c r="H710" s="75" t="s">
        <v>1757</v>
      </c>
      <c r="I710" s="69" t="s">
        <v>1810</v>
      </c>
      <c r="J710" s="76" t="s">
        <v>1811</v>
      </c>
      <c r="K710" s="76" t="s">
        <v>1812</v>
      </c>
      <c r="L710" s="76" t="s">
        <v>1797</v>
      </c>
    </row>
    <row r="711" spans="1:12" ht="14.25" customHeight="1" x14ac:dyDescent="0.35">
      <c r="A711" s="236"/>
      <c r="B711" s="58">
        <v>19</v>
      </c>
      <c r="C711" s="58" t="s">
        <v>1732</v>
      </c>
      <c r="D711" s="58" t="s">
        <v>1813</v>
      </c>
      <c r="E711" s="68" t="s">
        <v>1814</v>
      </c>
      <c r="F711" s="68" t="s">
        <v>1782</v>
      </c>
      <c r="G711" s="75" t="s">
        <v>1756</v>
      </c>
      <c r="H711" s="75" t="s">
        <v>1757</v>
      </c>
      <c r="I711" s="69" t="s">
        <v>1815</v>
      </c>
      <c r="J711" s="76" t="s">
        <v>1816</v>
      </c>
      <c r="K711" s="76" t="s">
        <v>1817</v>
      </c>
      <c r="L711" s="76" t="s">
        <v>1818</v>
      </c>
    </row>
    <row r="712" spans="1:12" ht="14.25" customHeight="1" x14ac:dyDescent="0.35">
      <c r="A712" s="236"/>
      <c r="B712" s="58">
        <v>19</v>
      </c>
      <c r="C712" s="58" t="s">
        <v>1732</v>
      </c>
      <c r="D712" s="58" t="s">
        <v>1819</v>
      </c>
      <c r="E712" s="68" t="s">
        <v>1820</v>
      </c>
      <c r="F712" s="68" t="s">
        <v>1782</v>
      </c>
      <c r="G712" s="75" t="s">
        <v>1756</v>
      </c>
      <c r="H712" s="75" t="s">
        <v>1757</v>
      </c>
      <c r="I712" s="69" t="s">
        <v>1821</v>
      </c>
      <c r="J712" s="76" t="s">
        <v>1822</v>
      </c>
      <c r="K712" s="76" t="s">
        <v>1823</v>
      </c>
      <c r="L712" s="76" t="s">
        <v>1818</v>
      </c>
    </row>
    <row r="713" spans="1:12" ht="14.25" customHeight="1" x14ac:dyDescent="0.35">
      <c r="A713" s="236"/>
      <c r="B713" s="58">
        <v>19</v>
      </c>
      <c r="C713" s="58" t="s">
        <v>1732</v>
      </c>
      <c r="D713" s="58" t="s">
        <v>1824</v>
      </c>
      <c r="E713" s="68" t="s">
        <v>1825</v>
      </c>
      <c r="F713" s="68" t="s">
        <v>1782</v>
      </c>
      <c r="G713" s="75" t="s">
        <v>1756</v>
      </c>
      <c r="H713" s="75" t="s">
        <v>1757</v>
      </c>
      <c r="I713" s="69" t="s">
        <v>1826</v>
      </c>
      <c r="J713" s="76" t="s">
        <v>1827</v>
      </c>
      <c r="K713" s="76" t="s">
        <v>1828</v>
      </c>
      <c r="L713" s="76" t="s">
        <v>1818</v>
      </c>
    </row>
    <row r="714" spans="1:12" ht="14.25" customHeight="1" x14ac:dyDescent="0.35">
      <c r="A714" s="236"/>
      <c r="B714" s="58">
        <v>19</v>
      </c>
      <c r="C714" s="58" t="s">
        <v>1732</v>
      </c>
      <c r="D714" s="58" t="s">
        <v>1829</v>
      </c>
      <c r="E714" s="68" t="s">
        <v>1830</v>
      </c>
      <c r="F714" s="68" t="s">
        <v>1782</v>
      </c>
      <c r="G714" s="75" t="s">
        <v>1756</v>
      </c>
      <c r="H714" s="75" t="s">
        <v>1831</v>
      </c>
      <c r="I714" s="69" t="s">
        <v>1832</v>
      </c>
      <c r="J714" s="76" t="s">
        <v>1833</v>
      </c>
      <c r="K714" s="76" t="s">
        <v>1834</v>
      </c>
      <c r="L714" s="76" t="s">
        <v>1818</v>
      </c>
    </row>
    <row r="715" spans="1:12" ht="14.25" customHeight="1" x14ac:dyDescent="0.35">
      <c r="A715" s="236"/>
      <c r="B715" s="58">
        <v>19</v>
      </c>
      <c r="C715" s="58" t="s">
        <v>1732</v>
      </c>
      <c r="D715" s="58" t="s">
        <v>1835</v>
      </c>
      <c r="E715" s="68" t="s">
        <v>1836</v>
      </c>
      <c r="F715" s="68" t="s">
        <v>1782</v>
      </c>
      <c r="G715" s="75" t="s">
        <v>1756</v>
      </c>
      <c r="H715" s="75" t="s">
        <v>1831</v>
      </c>
      <c r="I715" s="69" t="s">
        <v>1837</v>
      </c>
      <c r="J715" s="76" t="s">
        <v>1838</v>
      </c>
      <c r="K715" s="76" t="s">
        <v>1839</v>
      </c>
      <c r="L715" s="76" t="s">
        <v>1818</v>
      </c>
    </row>
    <row r="716" spans="1:12" ht="14.25" customHeight="1" x14ac:dyDescent="0.35">
      <c r="A716" s="236"/>
      <c r="B716" s="58">
        <v>19</v>
      </c>
      <c r="C716" s="58" t="s">
        <v>1732</v>
      </c>
      <c r="D716" s="58" t="s">
        <v>1840</v>
      </c>
      <c r="E716" s="68" t="s">
        <v>1841</v>
      </c>
      <c r="F716" s="68" t="s">
        <v>1782</v>
      </c>
      <c r="G716" s="75" t="s">
        <v>1756</v>
      </c>
      <c r="H716" s="75" t="s">
        <v>1750</v>
      </c>
      <c r="I716" s="69" t="s">
        <v>1842</v>
      </c>
      <c r="J716" s="76" t="s">
        <v>1843</v>
      </c>
      <c r="K716" s="76" t="s">
        <v>1844</v>
      </c>
      <c r="L716" s="76" t="s">
        <v>1845</v>
      </c>
    </row>
    <row r="717" spans="1:12" ht="14.25" customHeight="1" x14ac:dyDescent="0.35">
      <c r="A717" s="236"/>
      <c r="B717" s="58">
        <v>19</v>
      </c>
      <c r="C717" s="58" t="s">
        <v>1732</v>
      </c>
      <c r="D717" s="58" t="s">
        <v>1846</v>
      </c>
      <c r="E717" s="68" t="s">
        <v>1847</v>
      </c>
      <c r="F717" s="68" t="s">
        <v>1782</v>
      </c>
      <c r="G717" s="75" t="s">
        <v>1848</v>
      </c>
      <c r="H717" s="75" t="s">
        <v>1757</v>
      </c>
      <c r="I717" s="69" t="s">
        <v>1849</v>
      </c>
      <c r="J717" s="76" t="s">
        <v>1850</v>
      </c>
      <c r="K717" s="76" t="s">
        <v>1851</v>
      </c>
      <c r="L717" s="76" t="s">
        <v>1845</v>
      </c>
    </row>
    <row r="718" spans="1:12" ht="14.25" customHeight="1" x14ac:dyDescent="0.35">
      <c r="A718" s="236"/>
      <c r="B718" s="58">
        <v>19</v>
      </c>
      <c r="C718" s="58" t="s">
        <v>1732</v>
      </c>
      <c r="D718" s="58" t="s">
        <v>1852</v>
      </c>
      <c r="E718" s="68" t="s">
        <v>1853</v>
      </c>
      <c r="F718" s="68" t="s">
        <v>1782</v>
      </c>
      <c r="G718" s="75" t="s">
        <v>1848</v>
      </c>
      <c r="H718" s="75" t="s">
        <v>1831</v>
      </c>
      <c r="I718" s="69" t="s">
        <v>1854</v>
      </c>
      <c r="J718" s="76" t="s">
        <v>1855</v>
      </c>
      <c r="K718" s="76" t="s">
        <v>1856</v>
      </c>
      <c r="L718" s="76" t="s">
        <v>1845</v>
      </c>
    </row>
    <row r="719" spans="1:12" ht="14.25" customHeight="1" x14ac:dyDescent="0.35">
      <c r="A719" s="236"/>
      <c r="B719" s="58">
        <v>19</v>
      </c>
      <c r="C719" s="58" t="s">
        <v>1732</v>
      </c>
      <c r="D719" s="58" t="s">
        <v>1857</v>
      </c>
      <c r="E719" s="68" t="s">
        <v>1858</v>
      </c>
      <c r="F719" s="68" t="s">
        <v>1782</v>
      </c>
      <c r="G719" s="75" t="s">
        <v>1848</v>
      </c>
      <c r="H719" s="75" t="s">
        <v>1831</v>
      </c>
      <c r="I719" s="69" t="s">
        <v>1859</v>
      </c>
      <c r="J719" s="76" t="s">
        <v>1860</v>
      </c>
      <c r="K719" s="76" t="s">
        <v>1861</v>
      </c>
      <c r="L719" s="76" t="s">
        <v>1845</v>
      </c>
    </row>
    <row r="720" spans="1:12" ht="14.25" customHeight="1" x14ac:dyDescent="0.35">
      <c r="A720" s="236"/>
      <c r="B720" s="58">
        <v>19</v>
      </c>
      <c r="C720" s="58" t="s">
        <v>1732</v>
      </c>
      <c r="D720" s="58" t="s">
        <v>1862</v>
      </c>
      <c r="E720" s="68" t="s">
        <v>1863</v>
      </c>
      <c r="F720" s="68" t="s">
        <v>1782</v>
      </c>
      <c r="G720" s="75" t="s">
        <v>1848</v>
      </c>
      <c r="H720" s="75" t="s">
        <v>1750</v>
      </c>
      <c r="I720" s="69" t="s">
        <v>1864</v>
      </c>
      <c r="J720" s="76" t="s">
        <v>1865</v>
      </c>
      <c r="K720" s="77" t="s">
        <v>1866</v>
      </c>
      <c r="L720" s="76" t="s">
        <v>1845</v>
      </c>
    </row>
    <row r="721" spans="1:12" ht="14.25" customHeight="1" x14ac:dyDescent="0.35">
      <c r="A721" s="236"/>
      <c r="B721" s="58">
        <v>19</v>
      </c>
      <c r="C721" s="58" t="s">
        <v>1732</v>
      </c>
      <c r="D721" s="58" t="s">
        <v>1867</v>
      </c>
      <c r="E721" s="68" t="s">
        <v>1868</v>
      </c>
      <c r="F721" s="68" t="s">
        <v>1782</v>
      </c>
      <c r="G721" s="75" t="s">
        <v>1869</v>
      </c>
      <c r="H721" s="75" t="s">
        <v>1757</v>
      </c>
      <c r="I721" s="69" t="s">
        <v>1870</v>
      </c>
      <c r="J721" s="76" t="s">
        <v>1871</v>
      </c>
      <c r="K721" s="77" t="s">
        <v>1872</v>
      </c>
      <c r="L721" s="76" t="s">
        <v>1845</v>
      </c>
    </row>
    <row r="722" spans="1:12" ht="14.25" customHeight="1" x14ac:dyDescent="0.35">
      <c r="A722" s="236"/>
      <c r="B722" s="58">
        <v>19</v>
      </c>
      <c r="C722" s="58" t="s">
        <v>1732</v>
      </c>
      <c r="D722" s="58" t="s">
        <v>1873</v>
      </c>
      <c r="E722" s="68" t="s">
        <v>1874</v>
      </c>
      <c r="F722" s="68" t="s">
        <v>1782</v>
      </c>
      <c r="G722" s="75" t="s">
        <v>1869</v>
      </c>
      <c r="H722" s="75" t="s">
        <v>1831</v>
      </c>
      <c r="I722" s="69" t="s">
        <v>1875</v>
      </c>
      <c r="J722" s="76" t="s">
        <v>1876</v>
      </c>
      <c r="K722" s="70" t="s">
        <v>1877</v>
      </c>
      <c r="L722" s="76" t="s">
        <v>1845</v>
      </c>
    </row>
    <row r="723" spans="1:12" ht="14.25" customHeight="1" x14ac:dyDescent="0.35">
      <c r="A723" s="236"/>
      <c r="B723" s="58">
        <v>19</v>
      </c>
      <c r="C723" s="58" t="s">
        <v>1732</v>
      </c>
      <c r="D723" s="58" t="s">
        <v>1878</v>
      </c>
      <c r="E723" s="68" t="s">
        <v>1879</v>
      </c>
      <c r="F723" s="68" t="s">
        <v>1782</v>
      </c>
      <c r="G723" s="75" t="s">
        <v>1869</v>
      </c>
      <c r="H723" s="75" t="s">
        <v>1831</v>
      </c>
      <c r="I723" s="69" t="s">
        <v>1880</v>
      </c>
      <c r="J723" s="76" t="s">
        <v>1881</v>
      </c>
      <c r="K723" s="76" t="s">
        <v>1882</v>
      </c>
      <c r="L723" s="76" t="s">
        <v>1845</v>
      </c>
    </row>
    <row r="724" spans="1:12" ht="14.25" customHeight="1" x14ac:dyDescent="0.35">
      <c r="A724" s="236"/>
      <c r="B724" s="58">
        <v>19</v>
      </c>
      <c r="C724" s="58" t="s">
        <v>1732</v>
      </c>
      <c r="D724" s="58" t="s">
        <v>1883</v>
      </c>
      <c r="E724" s="68" t="s">
        <v>1884</v>
      </c>
      <c r="F724" s="68" t="s">
        <v>1782</v>
      </c>
      <c r="G724" s="75" t="s">
        <v>1869</v>
      </c>
      <c r="H724" s="75" t="s">
        <v>1750</v>
      </c>
      <c r="I724" s="69" t="s">
        <v>1885</v>
      </c>
      <c r="J724" s="76" t="s">
        <v>1886</v>
      </c>
      <c r="K724" s="76" t="s">
        <v>1887</v>
      </c>
      <c r="L724" s="76" t="s">
        <v>1845</v>
      </c>
    </row>
    <row r="725" spans="1:12" ht="14.25" customHeight="1" x14ac:dyDescent="0.35">
      <c r="A725" s="236"/>
      <c r="B725" s="58">
        <v>19</v>
      </c>
      <c r="C725" s="58" t="s">
        <v>1732</v>
      </c>
      <c r="D725" s="58" t="s">
        <v>1888</v>
      </c>
      <c r="E725" s="68" t="s">
        <v>1889</v>
      </c>
      <c r="F725" s="68" t="s">
        <v>1782</v>
      </c>
      <c r="G725" s="75" t="s">
        <v>1749</v>
      </c>
      <c r="H725" s="75" t="s">
        <v>1757</v>
      </c>
      <c r="I725" s="69" t="s">
        <v>1890</v>
      </c>
      <c r="J725" s="76" t="s">
        <v>1891</v>
      </c>
      <c r="K725" s="76" t="s">
        <v>1892</v>
      </c>
      <c r="L725" s="76" t="s">
        <v>1845</v>
      </c>
    </row>
    <row r="726" spans="1:12" ht="14.25" customHeight="1" x14ac:dyDescent="0.35">
      <c r="A726" s="236"/>
      <c r="B726" s="58">
        <v>19</v>
      </c>
      <c r="C726" s="58" t="s">
        <v>1732</v>
      </c>
      <c r="D726" s="58" t="s">
        <v>1893</v>
      </c>
      <c r="E726" s="68" t="s">
        <v>1894</v>
      </c>
      <c r="F726" s="68" t="s">
        <v>1782</v>
      </c>
      <c r="G726" s="75" t="s">
        <v>1749</v>
      </c>
      <c r="H726" s="75" t="s">
        <v>1831</v>
      </c>
      <c r="I726" s="69" t="s">
        <v>1895</v>
      </c>
      <c r="J726" s="76" t="s">
        <v>1896</v>
      </c>
      <c r="K726" s="76" t="s">
        <v>1897</v>
      </c>
      <c r="L726" s="76" t="s">
        <v>1845</v>
      </c>
    </row>
    <row r="727" spans="1:12" ht="14.25" customHeight="1" x14ac:dyDescent="0.35">
      <c r="A727" s="236"/>
      <c r="B727" s="58">
        <v>19</v>
      </c>
      <c r="C727" s="58" t="s">
        <v>1732</v>
      </c>
      <c r="D727" s="58" t="s">
        <v>1898</v>
      </c>
      <c r="E727" s="68" t="s">
        <v>1899</v>
      </c>
      <c r="F727" s="68" t="s">
        <v>1782</v>
      </c>
      <c r="G727" s="75" t="s">
        <v>1749</v>
      </c>
      <c r="H727" s="75" t="s">
        <v>1831</v>
      </c>
      <c r="I727" s="69" t="s">
        <v>1900</v>
      </c>
      <c r="J727" s="76" t="s">
        <v>1901</v>
      </c>
      <c r="K727" s="76" t="s">
        <v>1902</v>
      </c>
      <c r="L727" s="76" t="s">
        <v>1845</v>
      </c>
    </row>
    <row r="728" spans="1:12" ht="14.25" customHeight="1" x14ac:dyDescent="0.35">
      <c r="A728" s="236"/>
      <c r="B728" s="58">
        <v>19</v>
      </c>
      <c r="C728" s="58" t="s">
        <v>1732</v>
      </c>
      <c r="D728" s="58" t="s">
        <v>1903</v>
      </c>
      <c r="E728" s="68" t="s">
        <v>1904</v>
      </c>
      <c r="F728" s="68" t="s">
        <v>1782</v>
      </c>
      <c r="G728" s="75" t="s">
        <v>1749</v>
      </c>
      <c r="H728" s="75" t="s">
        <v>1750</v>
      </c>
      <c r="I728" s="69" t="s">
        <v>1905</v>
      </c>
      <c r="J728" s="76" t="s">
        <v>1906</v>
      </c>
      <c r="K728" s="76" t="s">
        <v>1907</v>
      </c>
      <c r="L728" s="76" t="s">
        <v>1845</v>
      </c>
    </row>
    <row r="729" spans="1:12" ht="14.25" customHeight="1" x14ac:dyDescent="0.35">
      <c r="A729" s="236"/>
      <c r="B729" s="58">
        <v>19</v>
      </c>
      <c r="C729" s="58" t="s">
        <v>1732</v>
      </c>
      <c r="D729" s="58" t="s">
        <v>1908</v>
      </c>
      <c r="E729" s="68" t="s">
        <v>1909</v>
      </c>
      <c r="F729" s="68" t="s">
        <v>1782</v>
      </c>
      <c r="G729" s="75" t="s">
        <v>1749</v>
      </c>
      <c r="H729" s="75" t="s">
        <v>1750</v>
      </c>
      <c r="I729" s="69" t="s">
        <v>1910</v>
      </c>
      <c r="J729" s="76" t="s">
        <v>1911</v>
      </c>
      <c r="K729" s="76" t="s">
        <v>1912</v>
      </c>
      <c r="L729" s="76" t="s">
        <v>1845</v>
      </c>
    </row>
    <row r="730" spans="1:12" ht="14.25" customHeight="1" x14ac:dyDescent="0.35">
      <c r="A730" s="236"/>
      <c r="B730" s="58">
        <v>19</v>
      </c>
      <c r="C730" s="58" t="s">
        <v>1732</v>
      </c>
      <c r="D730" s="58" t="s">
        <v>1913</v>
      </c>
      <c r="E730" s="68" t="s">
        <v>1914</v>
      </c>
      <c r="F730" s="68" t="s">
        <v>1782</v>
      </c>
      <c r="G730" s="75" t="s">
        <v>1749</v>
      </c>
      <c r="H730" s="75" t="s">
        <v>1750</v>
      </c>
      <c r="I730" s="69" t="s">
        <v>1915</v>
      </c>
      <c r="J730" s="76" t="s">
        <v>1916</v>
      </c>
      <c r="K730" s="76" t="s">
        <v>1917</v>
      </c>
      <c r="L730" s="76" t="s">
        <v>1845</v>
      </c>
    </row>
    <row r="731" spans="1:12" ht="14.25" customHeight="1" x14ac:dyDescent="0.35">
      <c r="A731" s="236"/>
      <c r="B731" s="58">
        <v>19</v>
      </c>
      <c r="C731" s="58" t="s">
        <v>1732</v>
      </c>
      <c r="D731" s="58" t="s">
        <v>1918</v>
      </c>
      <c r="E731" s="68" t="s">
        <v>1919</v>
      </c>
      <c r="F731" s="68" t="s">
        <v>1782</v>
      </c>
      <c r="G731" s="75" t="s">
        <v>1749</v>
      </c>
      <c r="H731" s="75" t="s">
        <v>1750</v>
      </c>
      <c r="I731" s="69" t="s">
        <v>1920</v>
      </c>
      <c r="J731" s="76" t="s">
        <v>1921</v>
      </c>
      <c r="K731" s="76" t="s">
        <v>1922</v>
      </c>
      <c r="L731" s="76" t="s">
        <v>1845</v>
      </c>
    </row>
    <row r="732" spans="1:12" ht="14.25" customHeight="1" x14ac:dyDescent="0.35">
      <c r="A732" s="236"/>
      <c r="B732" s="58">
        <v>19</v>
      </c>
      <c r="C732" s="58" t="s">
        <v>1732</v>
      </c>
      <c r="D732" s="58" t="s">
        <v>1923</v>
      </c>
      <c r="E732" s="68" t="s">
        <v>1924</v>
      </c>
      <c r="F732" s="68" t="s">
        <v>1782</v>
      </c>
      <c r="G732" s="75" t="s">
        <v>1749</v>
      </c>
      <c r="H732" s="75" t="s">
        <v>1750</v>
      </c>
      <c r="I732" s="69" t="s">
        <v>1925</v>
      </c>
      <c r="J732" s="76" t="s">
        <v>1926</v>
      </c>
      <c r="K732" s="76" t="s">
        <v>1927</v>
      </c>
      <c r="L732" s="76" t="s">
        <v>1845</v>
      </c>
    </row>
    <row r="733" spans="1:12" ht="14.25" customHeight="1" x14ac:dyDescent="0.35">
      <c r="A733" s="236"/>
      <c r="B733" s="58">
        <v>19</v>
      </c>
      <c r="C733" s="58" t="s">
        <v>1732</v>
      </c>
      <c r="D733" s="58" t="s">
        <v>1928</v>
      </c>
      <c r="E733" s="68" t="s">
        <v>1929</v>
      </c>
      <c r="F733" s="68" t="s">
        <v>1782</v>
      </c>
      <c r="G733" s="75" t="s">
        <v>1749</v>
      </c>
      <c r="H733" s="75" t="s">
        <v>1750</v>
      </c>
      <c r="I733" s="69" t="s">
        <v>1930</v>
      </c>
      <c r="J733" s="76" t="s">
        <v>1931</v>
      </c>
      <c r="K733" s="76" t="s">
        <v>1932</v>
      </c>
      <c r="L733" s="76" t="s">
        <v>1845</v>
      </c>
    </row>
    <row r="734" spans="1:12" ht="14.25" customHeight="1" x14ac:dyDescent="0.35">
      <c r="A734" s="236"/>
      <c r="B734" s="58">
        <v>19</v>
      </c>
      <c r="C734" s="58" t="s">
        <v>1732</v>
      </c>
      <c r="D734" s="58" t="s">
        <v>1933</v>
      </c>
      <c r="E734" s="68" t="s">
        <v>1934</v>
      </c>
      <c r="F734" s="68" t="s">
        <v>1782</v>
      </c>
      <c r="G734" s="75" t="s">
        <v>1749</v>
      </c>
      <c r="H734" s="75" t="s">
        <v>1750</v>
      </c>
      <c r="I734" s="69" t="s">
        <v>1935</v>
      </c>
      <c r="J734" s="76" t="s">
        <v>1936</v>
      </c>
      <c r="K734" s="76" t="s">
        <v>1937</v>
      </c>
      <c r="L734" s="76" t="s">
        <v>1845</v>
      </c>
    </row>
    <row r="735" spans="1:12" ht="14.25" customHeight="1" x14ac:dyDescent="0.35">
      <c r="A735" s="236"/>
      <c r="B735" s="58">
        <v>19</v>
      </c>
      <c r="C735" s="58" t="s">
        <v>1732</v>
      </c>
      <c r="D735" s="58" t="s">
        <v>1938</v>
      </c>
      <c r="E735" s="68" t="s">
        <v>1939</v>
      </c>
      <c r="F735" s="68" t="s">
        <v>1782</v>
      </c>
      <c r="G735" s="75" t="s">
        <v>1749</v>
      </c>
      <c r="H735" s="75" t="s">
        <v>1750</v>
      </c>
      <c r="I735" s="69" t="s">
        <v>1940</v>
      </c>
      <c r="J735" s="76" t="s">
        <v>1941</v>
      </c>
      <c r="K735" s="76" t="s">
        <v>1942</v>
      </c>
      <c r="L735" s="76" t="s">
        <v>1845</v>
      </c>
    </row>
    <row r="736" spans="1:12" ht="14.25" customHeight="1" x14ac:dyDescent="0.35">
      <c r="A736" s="236"/>
      <c r="B736" s="58">
        <v>19</v>
      </c>
      <c r="C736" s="58" t="s">
        <v>1732</v>
      </c>
      <c r="D736" s="58" t="s">
        <v>1943</v>
      </c>
      <c r="E736" s="68" t="s">
        <v>1944</v>
      </c>
      <c r="F736" s="68" t="s">
        <v>1782</v>
      </c>
      <c r="G736" s="75" t="s">
        <v>1945</v>
      </c>
      <c r="H736" s="75" t="s">
        <v>1757</v>
      </c>
      <c r="I736" s="69" t="s">
        <v>1946</v>
      </c>
      <c r="J736" s="76" t="s">
        <v>1947</v>
      </c>
      <c r="K736" s="77" t="s">
        <v>1948</v>
      </c>
      <c r="L736" s="76" t="s">
        <v>1845</v>
      </c>
    </row>
    <row r="737" spans="1:12" ht="14.25" customHeight="1" x14ac:dyDescent="0.35">
      <c r="A737" s="236"/>
      <c r="B737" s="58">
        <v>19</v>
      </c>
      <c r="C737" s="58" t="s">
        <v>1732</v>
      </c>
      <c r="D737" s="58" t="s">
        <v>1949</v>
      </c>
      <c r="E737" s="68" t="s">
        <v>1950</v>
      </c>
      <c r="F737" s="68" t="s">
        <v>1782</v>
      </c>
      <c r="G737" s="75" t="s">
        <v>1945</v>
      </c>
      <c r="H737" s="75" t="s">
        <v>1831</v>
      </c>
      <c r="I737" s="69" t="s">
        <v>1951</v>
      </c>
      <c r="J737" s="76" t="s">
        <v>1952</v>
      </c>
      <c r="K737" s="77" t="s">
        <v>1953</v>
      </c>
      <c r="L737" s="76" t="s">
        <v>1845</v>
      </c>
    </row>
    <row r="738" spans="1:12" ht="14.25" customHeight="1" x14ac:dyDescent="0.35">
      <c r="A738" s="236"/>
      <c r="B738" s="58">
        <v>19</v>
      </c>
      <c r="C738" s="58" t="s">
        <v>1732</v>
      </c>
      <c r="D738" s="58" t="s">
        <v>1954</v>
      </c>
      <c r="E738" s="68" t="s">
        <v>1955</v>
      </c>
      <c r="F738" s="68" t="s">
        <v>1782</v>
      </c>
      <c r="G738" s="75" t="s">
        <v>1945</v>
      </c>
      <c r="H738" s="75" t="s">
        <v>1831</v>
      </c>
      <c r="I738" s="69" t="s">
        <v>1956</v>
      </c>
      <c r="J738" s="76" t="s">
        <v>1957</v>
      </c>
      <c r="K738" s="76" t="s">
        <v>1958</v>
      </c>
      <c r="L738" s="76" t="s">
        <v>1845</v>
      </c>
    </row>
    <row r="739" spans="1:12" ht="14.25" customHeight="1" x14ac:dyDescent="0.35">
      <c r="A739" s="236"/>
      <c r="B739" s="58">
        <v>19</v>
      </c>
      <c r="C739" s="58" t="s">
        <v>1732</v>
      </c>
      <c r="D739" s="58" t="s">
        <v>1959</v>
      </c>
      <c r="E739" s="68" t="s">
        <v>1960</v>
      </c>
      <c r="F739" s="68" t="s">
        <v>1782</v>
      </c>
      <c r="G739" s="75" t="s">
        <v>1945</v>
      </c>
      <c r="H739" s="75" t="s">
        <v>1750</v>
      </c>
      <c r="I739" s="69" t="s">
        <v>1961</v>
      </c>
      <c r="J739" s="76" t="s">
        <v>1962</v>
      </c>
      <c r="K739" s="76" t="s">
        <v>1963</v>
      </c>
      <c r="L739" s="76" t="s">
        <v>1845</v>
      </c>
    </row>
    <row r="740" spans="1:12" ht="14.25" customHeight="1" x14ac:dyDescent="0.35">
      <c r="A740" s="236"/>
      <c r="B740" s="58">
        <v>19</v>
      </c>
      <c r="C740" s="58" t="s">
        <v>1732</v>
      </c>
      <c r="D740" s="58" t="s">
        <v>1964</v>
      </c>
      <c r="E740" s="68" t="s">
        <v>1965</v>
      </c>
      <c r="F740" s="68" t="s">
        <v>1782</v>
      </c>
      <c r="G740" s="75" t="s">
        <v>1966</v>
      </c>
      <c r="H740" s="75" t="s">
        <v>1757</v>
      </c>
      <c r="I740" s="69" t="s">
        <v>1967</v>
      </c>
      <c r="J740" s="76" t="s">
        <v>1968</v>
      </c>
      <c r="K740" s="76" t="s">
        <v>1969</v>
      </c>
      <c r="L740" s="76" t="s">
        <v>1845</v>
      </c>
    </row>
    <row r="741" spans="1:12" ht="14.25" customHeight="1" x14ac:dyDescent="0.35">
      <c r="A741" s="236"/>
      <c r="B741" s="58">
        <v>19</v>
      </c>
      <c r="C741" s="58" t="s">
        <v>1732</v>
      </c>
      <c r="D741" s="58" t="s">
        <v>1970</v>
      </c>
      <c r="E741" s="68" t="s">
        <v>1971</v>
      </c>
      <c r="F741" s="68" t="s">
        <v>1782</v>
      </c>
      <c r="G741" s="75" t="s">
        <v>1966</v>
      </c>
      <c r="H741" s="75" t="s">
        <v>1757</v>
      </c>
      <c r="I741" s="69" t="s">
        <v>1972</v>
      </c>
      <c r="J741" s="76" t="s">
        <v>1973</v>
      </c>
      <c r="K741" s="76" t="s">
        <v>1974</v>
      </c>
      <c r="L741" s="76" t="s">
        <v>1845</v>
      </c>
    </row>
    <row r="742" spans="1:12" ht="14.25" customHeight="1" x14ac:dyDescent="0.35">
      <c r="A742" s="236"/>
      <c r="B742" s="58">
        <v>19</v>
      </c>
      <c r="C742" s="58" t="s">
        <v>1732</v>
      </c>
      <c r="D742" s="58" t="s">
        <v>1975</v>
      </c>
      <c r="E742" s="68" t="s">
        <v>1976</v>
      </c>
      <c r="F742" s="68" t="s">
        <v>1782</v>
      </c>
      <c r="G742" s="75" t="s">
        <v>1966</v>
      </c>
      <c r="H742" s="75" t="s">
        <v>1831</v>
      </c>
      <c r="I742" s="69" t="s">
        <v>1977</v>
      </c>
      <c r="J742" s="76" t="s">
        <v>1978</v>
      </c>
      <c r="K742" s="77" t="s">
        <v>1979</v>
      </c>
      <c r="L742" s="76" t="s">
        <v>1845</v>
      </c>
    </row>
    <row r="743" spans="1:12" ht="14.25" customHeight="1" x14ac:dyDescent="0.35">
      <c r="A743" s="236"/>
      <c r="B743" s="58">
        <v>19</v>
      </c>
      <c r="C743" s="58" t="s">
        <v>1732</v>
      </c>
      <c r="D743" s="58" t="s">
        <v>1980</v>
      </c>
      <c r="E743" s="68" t="s">
        <v>1981</v>
      </c>
      <c r="F743" s="68" t="s">
        <v>1782</v>
      </c>
      <c r="G743" s="75" t="s">
        <v>1966</v>
      </c>
      <c r="H743" s="75" t="s">
        <v>1831</v>
      </c>
      <c r="I743" s="69" t="s">
        <v>1982</v>
      </c>
      <c r="J743" s="76" t="s">
        <v>1983</v>
      </c>
      <c r="K743" s="76" t="s">
        <v>1984</v>
      </c>
      <c r="L743" s="76" t="s">
        <v>1845</v>
      </c>
    </row>
    <row r="744" spans="1:12" ht="14.25" customHeight="1" x14ac:dyDescent="0.35">
      <c r="A744" s="236"/>
      <c r="B744" s="58">
        <v>19</v>
      </c>
      <c r="C744" s="58" t="s">
        <v>1732</v>
      </c>
      <c r="D744" s="58" t="s">
        <v>1985</v>
      </c>
      <c r="E744" s="68" t="s">
        <v>1986</v>
      </c>
      <c r="F744" s="68" t="s">
        <v>1782</v>
      </c>
      <c r="G744" s="75" t="s">
        <v>1966</v>
      </c>
      <c r="H744" s="75" t="s">
        <v>1750</v>
      </c>
      <c r="I744" s="69" t="s">
        <v>1987</v>
      </c>
      <c r="J744" s="76" t="s">
        <v>1988</v>
      </c>
      <c r="K744" s="76" t="s">
        <v>1989</v>
      </c>
      <c r="L744" s="76" t="s">
        <v>1845</v>
      </c>
    </row>
    <row r="745" spans="1:12" ht="14.25" customHeight="1" x14ac:dyDescent="0.35">
      <c r="A745" s="236"/>
      <c r="B745" s="58">
        <v>19</v>
      </c>
      <c r="C745" s="58" t="s">
        <v>1732</v>
      </c>
      <c r="D745" s="58" t="s">
        <v>1990</v>
      </c>
      <c r="E745" s="68" t="s">
        <v>1991</v>
      </c>
      <c r="F745" s="68" t="s">
        <v>1782</v>
      </c>
      <c r="G745" s="69" t="s">
        <v>1992</v>
      </c>
      <c r="H745" s="75" t="s">
        <v>1757</v>
      </c>
      <c r="I745" s="69" t="s">
        <v>1993</v>
      </c>
      <c r="J745" s="76" t="s">
        <v>1994</v>
      </c>
      <c r="K745" s="76" t="s">
        <v>1995</v>
      </c>
      <c r="L745" s="76" t="s">
        <v>1996</v>
      </c>
    </row>
    <row r="746" spans="1:12" ht="14.25" customHeight="1" x14ac:dyDescent="0.35">
      <c r="A746" s="236"/>
      <c r="B746" s="58">
        <v>19</v>
      </c>
      <c r="C746" s="58" t="s">
        <v>1732</v>
      </c>
      <c r="D746" s="58" t="s">
        <v>1997</v>
      </c>
      <c r="E746" s="68" t="s">
        <v>1998</v>
      </c>
      <c r="F746" s="68" t="s">
        <v>1782</v>
      </c>
      <c r="G746" s="69" t="s">
        <v>1992</v>
      </c>
      <c r="H746" s="75" t="s">
        <v>1831</v>
      </c>
      <c r="I746" s="69" t="s">
        <v>1999</v>
      </c>
      <c r="J746" s="76" t="s">
        <v>2000</v>
      </c>
      <c r="K746" s="76" t="s">
        <v>2001</v>
      </c>
      <c r="L746" s="76" t="s">
        <v>2002</v>
      </c>
    </row>
    <row r="747" spans="1:12" ht="14.25" customHeight="1" x14ac:dyDescent="0.35">
      <c r="A747" s="236"/>
      <c r="B747" s="58">
        <v>19</v>
      </c>
      <c r="C747" s="58" t="s">
        <v>1732</v>
      </c>
      <c r="D747" s="58" t="s">
        <v>2003</v>
      </c>
      <c r="E747" s="68" t="s">
        <v>2004</v>
      </c>
      <c r="F747" s="68" t="s">
        <v>1782</v>
      </c>
      <c r="G747" s="69" t="s">
        <v>1992</v>
      </c>
      <c r="H747" s="75" t="s">
        <v>1831</v>
      </c>
      <c r="I747" s="69" t="s">
        <v>2005</v>
      </c>
      <c r="J747" s="76" t="s">
        <v>2006</v>
      </c>
      <c r="K747" s="76" t="s">
        <v>2007</v>
      </c>
      <c r="L747" s="76" t="s">
        <v>2002</v>
      </c>
    </row>
    <row r="748" spans="1:12" ht="14.25" customHeight="1" x14ac:dyDescent="0.35">
      <c r="A748" s="237"/>
      <c r="B748" s="59">
        <v>19</v>
      </c>
      <c r="C748" s="59" t="s">
        <v>1732</v>
      </c>
      <c r="D748" s="59" t="s">
        <v>2008</v>
      </c>
      <c r="E748" s="71" t="s">
        <v>2009</v>
      </c>
      <c r="F748" s="71" t="s">
        <v>1782</v>
      </c>
      <c r="G748" s="72" t="s">
        <v>1992</v>
      </c>
      <c r="H748" s="78" t="s">
        <v>1750</v>
      </c>
      <c r="I748" s="72" t="s">
        <v>2010</v>
      </c>
      <c r="J748" s="79" t="s">
        <v>2011</v>
      </c>
      <c r="K748" s="79" t="s">
        <v>2012</v>
      </c>
      <c r="L748" s="79" t="s">
        <v>2013</v>
      </c>
    </row>
    <row r="749" spans="1:12" ht="14.25" customHeight="1" x14ac:dyDescent="0.35">
      <c r="A749" s="235" t="s">
        <v>1733</v>
      </c>
      <c r="B749" s="57">
        <v>19</v>
      </c>
      <c r="C749" s="57" t="s">
        <v>1734</v>
      </c>
      <c r="D749" s="80">
        <v>22</v>
      </c>
      <c r="E749" s="64" t="s">
        <v>2014</v>
      </c>
      <c r="F749" s="64" t="s">
        <v>2015</v>
      </c>
      <c r="G749" s="65" t="s">
        <v>1749</v>
      </c>
      <c r="H749" s="65" t="s">
        <v>1750</v>
      </c>
      <c r="I749" s="65" t="s">
        <v>2016</v>
      </c>
      <c r="J749" s="66" t="s">
        <v>2017</v>
      </c>
      <c r="K749" s="66" t="s">
        <v>2018</v>
      </c>
      <c r="L749" s="66" t="s">
        <v>2019</v>
      </c>
    </row>
    <row r="750" spans="1:12" ht="14.25" customHeight="1" x14ac:dyDescent="0.35">
      <c r="A750" s="236"/>
      <c r="B750" s="58">
        <v>19</v>
      </c>
      <c r="C750" s="58" t="s">
        <v>1734</v>
      </c>
      <c r="D750" s="81">
        <v>23</v>
      </c>
      <c r="E750" s="68" t="s">
        <v>2020</v>
      </c>
      <c r="F750" s="68" t="s">
        <v>2015</v>
      </c>
      <c r="G750" s="69" t="s">
        <v>1749</v>
      </c>
      <c r="H750" s="69" t="s">
        <v>1750</v>
      </c>
      <c r="I750" s="69" t="s">
        <v>2021</v>
      </c>
      <c r="J750" s="70" t="s">
        <v>2022</v>
      </c>
      <c r="K750" s="70" t="s">
        <v>2023</v>
      </c>
      <c r="L750" s="70" t="s">
        <v>2019</v>
      </c>
    </row>
    <row r="751" spans="1:12" ht="14.25" customHeight="1" x14ac:dyDescent="0.35">
      <c r="A751" s="236"/>
      <c r="B751" s="58">
        <v>19</v>
      </c>
      <c r="C751" s="58" t="s">
        <v>1734</v>
      </c>
      <c r="D751" s="81">
        <v>24</v>
      </c>
      <c r="E751" s="68" t="s">
        <v>2024</v>
      </c>
      <c r="F751" s="68" t="s">
        <v>2015</v>
      </c>
      <c r="G751" s="69" t="s">
        <v>1749</v>
      </c>
      <c r="H751" s="69" t="s">
        <v>1750</v>
      </c>
      <c r="I751" s="69" t="s">
        <v>2025</v>
      </c>
      <c r="J751" s="70" t="s">
        <v>2026</v>
      </c>
      <c r="K751" s="70" t="s">
        <v>2027</v>
      </c>
      <c r="L751" s="70" t="s">
        <v>2019</v>
      </c>
    </row>
    <row r="752" spans="1:12" ht="14.25" customHeight="1" x14ac:dyDescent="0.35">
      <c r="A752" s="236"/>
      <c r="B752" s="58">
        <v>19</v>
      </c>
      <c r="C752" s="58" t="s">
        <v>1734</v>
      </c>
      <c r="D752" s="81">
        <v>25</v>
      </c>
      <c r="E752" s="68" t="s">
        <v>2028</v>
      </c>
      <c r="F752" s="68" t="s">
        <v>2015</v>
      </c>
      <c r="G752" s="69" t="s">
        <v>1749</v>
      </c>
      <c r="H752" s="69" t="s">
        <v>1750</v>
      </c>
      <c r="I752" s="69" t="s">
        <v>2029</v>
      </c>
      <c r="J752" s="70" t="s">
        <v>2030</v>
      </c>
      <c r="K752" s="70" t="s">
        <v>2031</v>
      </c>
      <c r="L752" s="70" t="s">
        <v>2032</v>
      </c>
    </row>
    <row r="753" spans="1:12" ht="14.25" customHeight="1" x14ac:dyDescent="0.35">
      <c r="A753" s="236"/>
      <c r="B753" s="58">
        <v>19</v>
      </c>
      <c r="C753" s="58" t="s">
        <v>1734</v>
      </c>
      <c r="D753" s="81">
        <v>26</v>
      </c>
      <c r="E753" s="68" t="s">
        <v>2033</v>
      </c>
      <c r="F753" s="68" t="s">
        <v>2015</v>
      </c>
      <c r="G753" s="69" t="s">
        <v>1749</v>
      </c>
      <c r="H753" s="69" t="s">
        <v>1750</v>
      </c>
      <c r="I753" s="69" t="s">
        <v>2034</v>
      </c>
      <c r="J753" s="70" t="s">
        <v>2035</v>
      </c>
      <c r="K753" s="70" t="s">
        <v>2036</v>
      </c>
      <c r="L753" s="70" t="s">
        <v>2037</v>
      </c>
    </row>
    <row r="754" spans="1:12" ht="14.25" customHeight="1" x14ac:dyDescent="0.35">
      <c r="A754" s="236"/>
      <c r="B754" s="58">
        <v>19</v>
      </c>
      <c r="C754" s="58" t="s">
        <v>1734</v>
      </c>
      <c r="D754" s="81">
        <v>27</v>
      </c>
      <c r="E754" s="68" t="s">
        <v>2038</v>
      </c>
      <c r="F754" s="68" t="s">
        <v>2015</v>
      </c>
      <c r="G754" s="69" t="s">
        <v>1756</v>
      </c>
      <c r="H754" s="69" t="s">
        <v>1757</v>
      </c>
      <c r="I754" s="69" t="s">
        <v>2039</v>
      </c>
      <c r="J754" s="70" t="s">
        <v>2040</v>
      </c>
      <c r="K754" s="70" t="s">
        <v>2041</v>
      </c>
      <c r="L754" s="70" t="s">
        <v>2042</v>
      </c>
    </row>
    <row r="755" spans="1:12" ht="14.25" customHeight="1" x14ac:dyDescent="0.35">
      <c r="A755" s="236"/>
      <c r="B755" s="58">
        <v>19</v>
      </c>
      <c r="C755" s="58" t="s">
        <v>1734</v>
      </c>
      <c r="D755" s="81">
        <v>28</v>
      </c>
      <c r="E755" s="68" t="s">
        <v>2043</v>
      </c>
      <c r="F755" s="68" t="s">
        <v>2015</v>
      </c>
      <c r="G755" s="69" t="s">
        <v>1749</v>
      </c>
      <c r="H755" s="69" t="s">
        <v>1750</v>
      </c>
      <c r="I755" s="69" t="s">
        <v>2044</v>
      </c>
      <c r="J755" s="70" t="s">
        <v>2045</v>
      </c>
      <c r="K755" s="70" t="s">
        <v>2046</v>
      </c>
      <c r="L755" s="70" t="s">
        <v>2047</v>
      </c>
    </row>
    <row r="756" spans="1:12" ht="14.25" customHeight="1" x14ac:dyDescent="0.35">
      <c r="A756" s="236"/>
      <c r="B756" s="58">
        <v>19</v>
      </c>
      <c r="C756" s="58" t="s">
        <v>1734</v>
      </c>
      <c r="D756" s="81">
        <v>29</v>
      </c>
      <c r="E756" s="68" t="s">
        <v>2048</v>
      </c>
      <c r="F756" s="68" t="s">
        <v>2015</v>
      </c>
      <c r="G756" s="69" t="s">
        <v>1749</v>
      </c>
      <c r="H756" s="69" t="s">
        <v>1750</v>
      </c>
      <c r="I756" s="69" t="s">
        <v>2049</v>
      </c>
      <c r="J756" s="70" t="s">
        <v>2050</v>
      </c>
      <c r="K756" s="70" t="s">
        <v>2051</v>
      </c>
      <c r="L756" s="70" t="s">
        <v>2047</v>
      </c>
    </row>
    <row r="757" spans="1:12" ht="14.25" customHeight="1" x14ac:dyDescent="0.35">
      <c r="A757" s="236"/>
      <c r="B757" s="58">
        <v>19</v>
      </c>
      <c r="C757" s="58" t="s">
        <v>1735</v>
      </c>
      <c r="D757" s="58" t="s">
        <v>2052</v>
      </c>
      <c r="E757" s="68" t="s">
        <v>2053</v>
      </c>
      <c r="F757" s="68" t="s">
        <v>2015</v>
      </c>
      <c r="G757" s="69" t="s">
        <v>1848</v>
      </c>
      <c r="H757" s="69" t="s">
        <v>1750</v>
      </c>
      <c r="I757" s="69" t="s">
        <v>2054</v>
      </c>
      <c r="J757" s="70" t="s">
        <v>2055</v>
      </c>
      <c r="K757" s="70" t="s">
        <v>2056</v>
      </c>
      <c r="L757" s="70" t="s">
        <v>2057</v>
      </c>
    </row>
    <row r="758" spans="1:12" ht="14.25" customHeight="1" x14ac:dyDescent="0.35">
      <c r="A758" s="237"/>
      <c r="B758" s="59">
        <v>19</v>
      </c>
      <c r="C758" s="59" t="s">
        <v>1735</v>
      </c>
      <c r="D758" s="59" t="s">
        <v>2058</v>
      </c>
      <c r="E758" s="71" t="s">
        <v>2059</v>
      </c>
      <c r="F758" s="71" t="s">
        <v>2015</v>
      </c>
      <c r="G758" s="72" t="s">
        <v>1848</v>
      </c>
      <c r="H758" s="72" t="s">
        <v>1750</v>
      </c>
      <c r="I758" s="72" t="s">
        <v>2060</v>
      </c>
      <c r="J758" s="73" t="s">
        <v>2061</v>
      </c>
      <c r="K758" s="73" t="s">
        <v>2062</v>
      </c>
      <c r="L758" s="73" t="s">
        <v>2057</v>
      </c>
    </row>
    <row r="759" spans="1:12" ht="14.25" customHeight="1" x14ac:dyDescent="0.35">
      <c r="A759" s="235" t="s">
        <v>1736</v>
      </c>
      <c r="B759" s="57">
        <v>19</v>
      </c>
      <c r="C759" s="57" t="s">
        <v>1737</v>
      </c>
      <c r="D759" s="57" t="s">
        <v>2063</v>
      </c>
      <c r="E759" s="64" t="s">
        <v>2064</v>
      </c>
      <c r="F759" s="64" t="s">
        <v>2065</v>
      </c>
      <c r="G759" s="65"/>
      <c r="H759" s="65"/>
      <c r="I759" s="65" t="s">
        <v>2066</v>
      </c>
      <c r="J759" s="66" t="s">
        <v>2067</v>
      </c>
      <c r="K759" s="66" t="s">
        <v>2068</v>
      </c>
      <c r="L759" s="66" t="s">
        <v>2069</v>
      </c>
    </row>
    <row r="760" spans="1:12" ht="14.25" customHeight="1" x14ac:dyDescent="0.35">
      <c r="A760" s="236"/>
      <c r="B760" s="58">
        <v>19</v>
      </c>
      <c r="C760" s="58" t="s">
        <v>1737</v>
      </c>
      <c r="D760" s="58" t="s">
        <v>2070</v>
      </c>
      <c r="E760" s="68" t="s">
        <v>2071</v>
      </c>
      <c r="F760" s="68" t="s">
        <v>2065</v>
      </c>
      <c r="G760" s="69" t="s">
        <v>1756</v>
      </c>
      <c r="H760" s="69" t="s">
        <v>1757</v>
      </c>
      <c r="I760" s="69" t="s">
        <v>2072</v>
      </c>
      <c r="J760" s="70" t="s">
        <v>2073</v>
      </c>
      <c r="K760" s="70" t="s">
        <v>2074</v>
      </c>
      <c r="L760" s="70" t="s">
        <v>2075</v>
      </c>
    </row>
    <row r="761" spans="1:12" ht="14.25" customHeight="1" x14ac:dyDescent="0.35">
      <c r="A761" s="236"/>
      <c r="B761" s="58">
        <v>19</v>
      </c>
      <c r="C761" s="58" t="s">
        <v>1737</v>
      </c>
      <c r="D761" s="58" t="s">
        <v>2076</v>
      </c>
      <c r="E761" s="68" t="s">
        <v>2077</v>
      </c>
      <c r="F761" s="68" t="s">
        <v>2065</v>
      </c>
      <c r="G761" s="69" t="s">
        <v>1756</v>
      </c>
      <c r="H761" s="69" t="s">
        <v>1757</v>
      </c>
      <c r="I761" s="69" t="s">
        <v>2078</v>
      </c>
      <c r="J761" s="70" t="s">
        <v>2079</v>
      </c>
      <c r="K761" s="70" t="s">
        <v>2080</v>
      </c>
      <c r="L761" s="70" t="s">
        <v>2075</v>
      </c>
    </row>
    <row r="762" spans="1:12" ht="14.25" customHeight="1" x14ac:dyDescent="0.35">
      <c r="A762" s="236"/>
      <c r="B762" s="58">
        <v>19</v>
      </c>
      <c r="C762" s="58" t="s">
        <v>1737</v>
      </c>
      <c r="D762" s="58" t="s">
        <v>2081</v>
      </c>
      <c r="E762" s="68" t="s">
        <v>2082</v>
      </c>
      <c r="F762" s="68" t="s">
        <v>2065</v>
      </c>
      <c r="G762" s="69" t="s">
        <v>1992</v>
      </c>
      <c r="H762" s="69" t="s">
        <v>1757</v>
      </c>
      <c r="I762" s="69" t="s">
        <v>2083</v>
      </c>
      <c r="J762" s="70" t="s">
        <v>2084</v>
      </c>
      <c r="K762" s="70" t="s">
        <v>2085</v>
      </c>
      <c r="L762" s="70" t="s">
        <v>2086</v>
      </c>
    </row>
    <row r="763" spans="1:12" ht="14.25" customHeight="1" x14ac:dyDescent="0.35">
      <c r="A763" s="236"/>
      <c r="B763" s="58">
        <v>19</v>
      </c>
      <c r="C763" s="58" t="s">
        <v>1737</v>
      </c>
      <c r="D763" s="58" t="s">
        <v>2087</v>
      </c>
      <c r="E763" s="68" t="s">
        <v>2088</v>
      </c>
      <c r="F763" s="68" t="s">
        <v>2065</v>
      </c>
      <c r="G763" s="75" t="s">
        <v>1848</v>
      </c>
      <c r="H763" s="75" t="s">
        <v>1750</v>
      </c>
      <c r="I763" s="69" t="s">
        <v>2089</v>
      </c>
      <c r="J763" s="76" t="s">
        <v>2090</v>
      </c>
      <c r="K763" s="76" t="s">
        <v>2091</v>
      </c>
      <c r="L763" s="76" t="s">
        <v>2092</v>
      </c>
    </row>
    <row r="764" spans="1:12" ht="14.25" customHeight="1" x14ac:dyDescent="0.35">
      <c r="A764" s="236"/>
      <c r="B764" s="58">
        <v>19</v>
      </c>
      <c r="C764" s="58" t="s">
        <v>1737</v>
      </c>
      <c r="D764" s="58" t="s">
        <v>2093</v>
      </c>
      <c r="E764" s="68" t="s">
        <v>2094</v>
      </c>
      <c r="F764" s="68" t="s">
        <v>2065</v>
      </c>
      <c r="G764" s="75" t="s">
        <v>1848</v>
      </c>
      <c r="H764" s="75" t="s">
        <v>1750</v>
      </c>
      <c r="I764" s="69" t="s">
        <v>2095</v>
      </c>
      <c r="J764" s="76" t="s">
        <v>2096</v>
      </c>
      <c r="K764" s="76" t="s">
        <v>2097</v>
      </c>
      <c r="L764" s="76" t="s">
        <v>2098</v>
      </c>
    </row>
    <row r="765" spans="1:12" ht="14.25" customHeight="1" x14ac:dyDescent="0.35">
      <c r="A765" s="236"/>
      <c r="B765" s="58">
        <v>19</v>
      </c>
      <c r="C765" s="58" t="s">
        <v>1737</v>
      </c>
      <c r="D765" s="58" t="s">
        <v>2099</v>
      </c>
      <c r="E765" s="68" t="s">
        <v>2100</v>
      </c>
      <c r="F765" s="68" t="s">
        <v>2065</v>
      </c>
      <c r="G765" s="75" t="s">
        <v>1848</v>
      </c>
      <c r="H765" s="75" t="s">
        <v>1750</v>
      </c>
      <c r="I765" s="69" t="s">
        <v>2101</v>
      </c>
      <c r="J765" s="76" t="s">
        <v>2102</v>
      </c>
      <c r="K765" s="76" t="s">
        <v>2103</v>
      </c>
      <c r="L765" s="76" t="s">
        <v>2104</v>
      </c>
    </row>
    <row r="766" spans="1:12" ht="14.25" customHeight="1" x14ac:dyDescent="0.35">
      <c r="A766" s="236"/>
      <c r="B766" s="58">
        <v>19</v>
      </c>
      <c r="C766" s="58" t="s">
        <v>1737</v>
      </c>
      <c r="D766" s="58" t="s">
        <v>2105</v>
      </c>
      <c r="E766" s="68" t="s">
        <v>2106</v>
      </c>
      <c r="F766" s="68" t="s">
        <v>2065</v>
      </c>
      <c r="G766" s="75" t="s">
        <v>1848</v>
      </c>
      <c r="H766" s="75" t="s">
        <v>1750</v>
      </c>
      <c r="I766" s="69" t="s">
        <v>2107</v>
      </c>
      <c r="J766" s="76" t="s">
        <v>2108</v>
      </c>
      <c r="K766" s="76" t="s">
        <v>2109</v>
      </c>
      <c r="L766" s="76" t="s">
        <v>2110</v>
      </c>
    </row>
    <row r="767" spans="1:12" ht="14.25" customHeight="1" x14ac:dyDescent="0.35">
      <c r="A767" s="236"/>
      <c r="B767" s="58">
        <v>19</v>
      </c>
      <c r="C767" s="58" t="s">
        <v>1737</v>
      </c>
      <c r="D767" s="58" t="s">
        <v>2111</v>
      </c>
      <c r="E767" s="68" t="s">
        <v>2112</v>
      </c>
      <c r="F767" s="68" t="s">
        <v>2065</v>
      </c>
      <c r="G767" s="75" t="s">
        <v>1848</v>
      </c>
      <c r="H767" s="75" t="s">
        <v>1750</v>
      </c>
      <c r="I767" s="69" t="s">
        <v>1619</v>
      </c>
      <c r="J767" s="76" t="s">
        <v>2113</v>
      </c>
      <c r="K767" s="76" t="s">
        <v>2114</v>
      </c>
      <c r="L767" s="76" t="s">
        <v>2115</v>
      </c>
    </row>
    <row r="768" spans="1:12" ht="14.25" customHeight="1" x14ac:dyDescent="0.35">
      <c r="A768" s="236"/>
      <c r="B768" s="58">
        <v>19</v>
      </c>
      <c r="C768" s="58" t="s">
        <v>1737</v>
      </c>
      <c r="D768" s="58" t="s">
        <v>2116</v>
      </c>
      <c r="E768" s="68" t="s">
        <v>2117</v>
      </c>
      <c r="F768" s="68" t="s">
        <v>2065</v>
      </c>
      <c r="G768" s="75" t="s">
        <v>1848</v>
      </c>
      <c r="H768" s="75" t="s">
        <v>1750</v>
      </c>
      <c r="I768" s="69" t="s">
        <v>2118</v>
      </c>
      <c r="J768" s="76" t="s">
        <v>2119</v>
      </c>
      <c r="K768" s="76" t="s">
        <v>2120</v>
      </c>
      <c r="L768" s="76" t="s">
        <v>2121</v>
      </c>
    </row>
    <row r="769" spans="1:12" ht="14.25" customHeight="1" x14ac:dyDescent="0.35">
      <c r="A769" s="236"/>
      <c r="B769" s="58">
        <v>19</v>
      </c>
      <c r="C769" s="58" t="s">
        <v>1737</v>
      </c>
      <c r="D769" s="58" t="s">
        <v>2122</v>
      </c>
      <c r="E769" s="68" t="s">
        <v>2123</v>
      </c>
      <c r="F769" s="68" t="s">
        <v>2065</v>
      </c>
      <c r="G769" s="75" t="s">
        <v>1848</v>
      </c>
      <c r="H769" s="75" t="s">
        <v>1750</v>
      </c>
      <c r="I769" s="69" t="s">
        <v>2124</v>
      </c>
      <c r="J769" s="76" t="s">
        <v>2125</v>
      </c>
      <c r="K769" s="76" t="s">
        <v>2126</v>
      </c>
      <c r="L769" s="76" t="s">
        <v>2121</v>
      </c>
    </row>
    <row r="770" spans="1:12" ht="14.25" customHeight="1" x14ac:dyDescent="0.35">
      <c r="A770" s="236"/>
      <c r="B770" s="58">
        <v>19</v>
      </c>
      <c r="C770" s="58" t="s">
        <v>1737</v>
      </c>
      <c r="D770" s="58" t="s">
        <v>2127</v>
      </c>
      <c r="E770" s="68" t="s">
        <v>2128</v>
      </c>
      <c r="F770" s="68" t="s">
        <v>2065</v>
      </c>
      <c r="G770" s="75" t="s">
        <v>1848</v>
      </c>
      <c r="H770" s="75" t="s">
        <v>1750</v>
      </c>
      <c r="I770" s="69" t="s">
        <v>2129</v>
      </c>
      <c r="J770" s="76" t="s">
        <v>2130</v>
      </c>
      <c r="K770" s="76" t="s">
        <v>2131</v>
      </c>
      <c r="L770" s="76" t="s">
        <v>2121</v>
      </c>
    </row>
    <row r="771" spans="1:12" ht="14.25" customHeight="1" x14ac:dyDescent="0.35">
      <c r="A771" s="236"/>
      <c r="B771" s="58">
        <v>19</v>
      </c>
      <c r="C771" s="58" t="s">
        <v>1737</v>
      </c>
      <c r="D771" s="58" t="s">
        <v>2132</v>
      </c>
      <c r="E771" s="68" t="s">
        <v>2133</v>
      </c>
      <c r="F771" s="68" t="s">
        <v>2065</v>
      </c>
      <c r="G771" s="75" t="s">
        <v>1848</v>
      </c>
      <c r="H771" s="75" t="s">
        <v>1750</v>
      </c>
      <c r="I771" s="69" t="s">
        <v>2134</v>
      </c>
      <c r="J771" s="76" t="s">
        <v>2135</v>
      </c>
      <c r="K771" s="76" t="s">
        <v>2136</v>
      </c>
      <c r="L771" s="76" t="s">
        <v>2137</v>
      </c>
    </row>
    <row r="772" spans="1:12" ht="14.25" customHeight="1" x14ac:dyDescent="0.35">
      <c r="A772" s="236"/>
      <c r="B772" s="58">
        <v>19</v>
      </c>
      <c r="C772" s="58" t="s">
        <v>1737</v>
      </c>
      <c r="D772" s="58" t="s">
        <v>2138</v>
      </c>
      <c r="E772" s="68" t="s">
        <v>2139</v>
      </c>
      <c r="F772" s="68" t="s">
        <v>2065</v>
      </c>
      <c r="G772" s="75" t="s">
        <v>1848</v>
      </c>
      <c r="H772" s="75" t="s">
        <v>1750</v>
      </c>
      <c r="I772" s="69" t="s">
        <v>2140</v>
      </c>
      <c r="J772" s="76" t="s">
        <v>2141</v>
      </c>
      <c r="K772" s="76" t="s">
        <v>2142</v>
      </c>
      <c r="L772" s="76" t="s">
        <v>2143</v>
      </c>
    </row>
    <row r="773" spans="1:12" ht="14.25" customHeight="1" x14ac:dyDescent="0.35">
      <c r="A773" s="236"/>
      <c r="B773" s="58">
        <v>19</v>
      </c>
      <c r="C773" s="58" t="s">
        <v>1737</v>
      </c>
      <c r="D773" s="58" t="s">
        <v>2144</v>
      </c>
      <c r="E773" s="68" t="s">
        <v>2145</v>
      </c>
      <c r="F773" s="68" t="s">
        <v>2065</v>
      </c>
      <c r="G773" s="75" t="s">
        <v>1848</v>
      </c>
      <c r="H773" s="75" t="s">
        <v>1750</v>
      </c>
      <c r="I773" s="69" t="s">
        <v>2146</v>
      </c>
      <c r="J773" s="76" t="s">
        <v>2147</v>
      </c>
      <c r="K773" s="76" t="s">
        <v>2148</v>
      </c>
      <c r="L773" s="76" t="s">
        <v>2149</v>
      </c>
    </row>
    <row r="774" spans="1:12" ht="14.25" customHeight="1" x14ac:dyDescent="0.35">
      <c r="A774" s="236"/>
      <c r="B774" s="58">
        <v>19</v>
      </c>
      <c r="C774" s="58" t="s">
        <v>1737</v>
      </c>
      <c r="D774" s="58" t="s">
        <v>2150</v>
      </c>
      <c r="E774" s="68" t="s">
        <v>2151</v>
      </c>
      <c r="F774" s="68" t="s">
        <v>2065</v>
      </c>
      <c r="G774" s="75" t="s">
        <v>1848</v>
      </c>
      <c r="H774" s="75" t="s">
        <v>1750</v>
      </c>
      <c r="I774" s="69" t="s">
        <v>2152</v>
      </c>
      <c r="J774" s="76" t="s">
        <v>2153</v>
      </c>
      <c r="K774" s="70" t="s">
        <v>2154</v>
      </c>
      <c r="L774" s="76" t="s">
        <v>2155</v>
      </c>
    </row>
    <row r="775" spans="1:12" ht="14.25" customHeight="1" x14ac:dyDescent="0.35">
      <c r="A775" s="236"/>
      <c r="B775" s="58">
        <v>19</v>
      </c>
      <c r="C775" s="58" t="s">
        <v>1737</v>
      </c>
      <c r="D775" s="58" t="s">
        <v>2156</v>
      </c>
      <c r="E775" s="68" t="s">
        <v>2157</v>
      </c>
      <c r="F775" s="68" t="s">
        <v>2065</v>
      </c>
      <c r="G775" s="75" t="s">
        <v>1848</v>
      </c>
      <c r="H775" s="75" t="s">
        <v>1750</v>
      </c>
      <c r="I775" s="69" t="s">
        <v>2158</v>
      </c>
      <c r="J775" s="76" t="s">
        <v>2159</v>
      </c>
      <c r="K775" s="70" t="s">
        <v>2160</v>
      </c>
      <c r="L775" s="76" t="s">
        <v>2161</v>
      </c>
    </row>
    <row r="776" spans="1:12" ht="14.25" customHeight="1" x14ac:dyDescent="0.35">
      <c r="A776" s="236"/>
      <c r="B776" s="58">
        <v>19</v>
      </c>
      <c r="C776" s="58" t="s">
        <v>1737</v>
      </c>
      <c r="D776" s="58" t="s">
        <v>2162</v>
      </c>
      <c r="E776" s="68" t="s">
        <v>2163</v>
      </c>
      <c r="F776" s="68" t="s">
        <v>2065</v>
      </c>
      <c r="G776" s="69" t="s">
        <v>1756</v>
      </c>
      <c r="H776" s="69" t="s">
        <v>1757</v>
      </c>
      <c r="I776" s="69" t="s">
        <v>2164</v>
      </c>
      <c r="J776" s="70" t="s">
        <v>2165</v>
      </c>
      <c r="K776" s="70" t="s">
        <v>2166</v>
      </c>
      <c r="L776" s="70" t="s">
        <v>2167</v>
      </c>
    </row>
    <row r="777" spans="1:12" ht="14.25" customHeight="1" x14ac:dyDescent="0.35">
      <c r="A777" s="236"/>
      <c r="B777" s="58">
        <v>19</v>
      </c>
      <c r="C777" s="58" t="s">
        <v>1737</v>
      </c>
      <c r="D777" s="58" t="s">
        <v>2168</v>
      </c>
      <c r="E777" s="68" t="s">
        <v>2169</v>
      </c>
      <c r="F777" s="68" t="s">
        <v>2065</v>
      </c>
      <c r="G777" s="69" t="s">
        <v>1756</v>
      </c>
      <c r="H777" s="69" t="s">
        <v>1757</v>
      </c>
      <c r="I777" s="69" t="s">
        <v>2170</v>
      </c>
      <c r="J777" s="70" t="s">
        <v>2171</v>
      </c>
      <c r="K777" s="70" t="s">
        <v>2172</v>
      </c>
      <c r="L777" s="70" t="s">
        <v>2173</v>
      </c>
    </row>
    <row r="778" spans="1:12" ht="14.25" customHeight="1" x14ac:dyDescent="0.35">
      <c r="A778" s="236"/>
      <c r="B778" s="58">
        <v>19</v>
      </c>
      <c r="C778" s="58" t="s">
        <v>1737</v>
      </c>
      <c r="D778" s="58" t="s">
        <v>2174</v>
      </c>
      <c r="E778" s="68" t="s">
        <v>2175</v>
      </c>
      <c r="F778" s="68" t="s">
        <v>2065</v>
      </c>
      <c r="G778" s="69" t="s">
        <v>1749</v>
      </c>
      <c r="H778" s="69" t="s">
        <v>1750</v>
      </c>
      <c r="I778" s="69" t="s">
        <v>2176</v>
      </c>
      <c r="J778" s="70" t="s">
        <v>2177</v>
      </c>
      <c r="K778" s="70" t="s">
        <v>2178</v>
      </c>
      <c r="L778" s="70" t="s">
        <v>2179</v>
      </c>
    </row>
    <row r="779" spans="1:12" ht="14.25" customHeight="1" x14ac:dyDescent="0.35">
      <c r="A779" s="236"/>
      <c r="B779" s="58">
        <v>19</v>
      </c>
      <c r="C779" s="58" t="s">
        <v>1737</v>
      </c>
      <c r="D779" s="58" t="s">
        <v>2180</v>
      </c>
      <c r="E779" s="68" t="s">
        <v>2181</v>
      </c>
      <c r="F779" s="68" t="s">
        <v>2065</v>
      </c>
      <c r="G779" s="69" t="s">
        <v>1756</v>
      </c>
      <c r="H779" s="69" t="s">
        <v>1757</v>
      </c>
      <c r="I779" s="69" t="s">
        <v>2182</v>
      </c>
      <c r="J779" s="70" t="s">
        <v>2183</v>
      </c>
      <c r="K779" s="70" t="s">
        <v>2184</v>
      </c>
      <c r="L779" s="70" t="s">
        <v>2185</v>
      </c>
    </row>
    <row r="780" spans="1:12" ht="14.25" customHeight="1" x14ac:dyDescent="0.35">
      <c r="A780" s="236"/>
      <c r="B780" s="58">
        <v>19</v>
      </c>
      <c r="C780" s="58" t="s">
        <v>1737</v>
      </c>
      <c r="D780" s="58" t="s">
        <v>2186</v>
      </c>
      <c r="E780" s="68" t="s">
        <v>2187</v>
      </c>
      <c r="F780" s="68" t="s">
        <v>2065</v>
      </c>
      <c r="G780" s="75" t="s">
        <v>1966</v>
      </c>
      <c r="H780" s="75" t="s">
        <v>1831</v>
      </c>
      <c r="I780" s="69" t="s">
        <v>2188</v>
      </c>
      <c r="J780" s="76" t="s">
        <v>2189</v>
      </c>
      <c r="K780" s="76" t="s">
        <v>2190</v>
      </c>
      <c r="L780" s="76" t="s">
        <v>2191</v>
      </c>
    </row>
    <row r="781" spans="1:12" ht="14.25" customHeight="1" x14ac:dyDescent="0.35">
      <c r="A781" s="236"/>
      <c r="B781" s="58">
        <v>19</v>
      </c>
      <c r="C781" s="58" t="s">
        <v>1737</v>
      </c>
      <c r="D781" s="58" t="s">
        <v>2192</v>
      </c>
      <c r="E781" s="68" t="s">
        <v>2193</v>
      </c>
      <c r="F781" s="68" t="s">
        <v>2065</v>
      </c>
      <c r="G781" s="69" t="s">
        <v>1966</v>
      </c>
      <c r="H781" s="69"/>
      <c r="I781" s="69" t="s">
        <v>2194</v>
      </c>
      <c r="J781" s="76" t="s">
        <v>2195</v>
      </c>
      <c r="K781" s="70" t="s">
        <v>2196</v>
      </c>
      <c r="L781" s="70" t="s">
        <v>2197</v>
      </c>
    </row>
    <row r="782" spans="1:12" ht="14.25" customHeight="1" x14ac:dyDescent="0.35">
      <c r="A782" s="236"/>
      <c r="B782" s="58">
        <v>19</v>
      </c>
      <c r="C782" s="58" t="s">
        <v>1737</v>
      </c>
      <c r="D782" s="58" t="s">
        <v>2198</v>
      </c>
      <c r="E782" s="68" t="s">
        <v>2199</v>
      </c>
      <c r="F782" s="68" t="s">
        <v>2065</v>
      </c>
      <c r="G782" s="69"/>
      <c r="H782" s="69"/>
      <c r="I782" s="69" t="s">
        <v>2200</v>
      </c>
      <c r="J782" s="70" t="s">
        <v>2201</v>
      </c>
      <c r="K782" s="70" t="s">
        <v>2202</v>
      </c>
      <c r="L782" s="70" t="s">
        <v>2203</v>
      </c>
    </row>
    <row r="783" spans="1:12" ht="14.25" customHeight="1" x14ac:dyDescent="0.35">
      <c r="A783" s="237"/>
      <c r="B783" s="59">
        <v>19</v>
      </c>
      <c r="C783" s="59" t="s">
        <v>1737</v>
      </c>
      <c r="D783" s="59" t="s">
        <v>2204</v>
      </c>
      <c r="E783" s="71" t="s">
        <v>2205</v>
      </c>
      <c r="F783" s="71" t="s">
        <v>2065</v>
      </c>
      <c r="G783" s="72"/>
      <c r="H783" s="72"/>
      <c r="I783" s="72" t="s">
        <v>2206</v>
      </c>
      <c r="J783" s="73" t="s">
        <v>2207</v>
      </c>
      <c r="K783" s="73" t="s">
        <v>2208</v>
      </c>
      <c r="L783" s="73" t="s">
        <v>2203</v>
      </c>
    </row>
    <row r="784" spans="1:12" ht="14.25" customHeight="1" x14ac:dyDescent="0.35">
      <c r="A784" s="46"/>
      <c r="B784" s="46"/>
      <c r="C784" s="46"/>
      <c r="D784" s="46"/>
    </row>
    <row r="785" spans="1:4" ht="14.25" customHeight="1" x14ac:dyDescent="0.35">
      <c r="A785" s="46"/>
      <c r="B785" s="46"/>
      <c r="C785" s="46"/>
      <c r="D785" s="46"/>
    </row>
    <row r="786" spans="1:4" ht="14.25" customHeight="1" x14ac:dyDescent="0.35">
      <c r="A786" s="46"/>
      <c r="B786" s="46"/>
      <c r="C786" s="46"/>
      <c r="D786" s="46"/>
    </row>
    <row r="787" spans="1:4" ht="14.25" customHeight="1" x14ac:dyDescent="0.35">
      <c r="A787" s="46"/>
      <c r="B787" s="46"/>
      <c r="C787" s="46"/>
      <c r="D787" s="46"/>
    </row>
    <row r="788" spans="1:4" ht="14.25" customHeight="1" x14ac:dyDescent="0.35">
      <c r="A788" s="46"/>
      <c r="B788" s="46"/>
      <c r="C788" s="46"/>
      <c r="D788" s="46"/>
    </row>
    <row r="789" spans="1:4" ht="14.25" customHeight="1" x14ac:dyDescent="0.35">
      <c r="A789" s="46"/>
      <c r="B789" s="46"/>
      <c r="C789" s="46"/>
      <c r="D789" s="46"/>
    </row>
    <row r="790" spans="1:4" ht="14.25" customHeight="1" x14ac:dyDescent="0.35">
      <c r="A790" s="46"/>
      <c r="B790" s="46"/>
      <c r="C790" s="46"/>
      <c r="D790" s="46"/>
    </row>
    <row r="791" spans="1:4" ht="14.25" customHeight="1" x14ac:dyDescent="0.35">
      <c r="A791" s="46"/>
      <c r="B791" s="46"/>
      <c r="C791" s="46"/>
      <c r="D791" s="46"/>
    </row>
    <row r="792" spans="1:4" ht="14.25" customHeight="1" x14ac:dyDescent="0.35">
      <c r="A792" s="46"/>
      <c r="B792" s="46"/>
      <c r="C792" s="46"/>
      <c r="D792" s="46"/>
    </row>
    <row r="793" spans="1:4" ht="14.25" customHeight="1" x14ac:dyDescent="0.35">
      <c r="A793" s="46"/>
      <c r="B793" s="46"/>
      <c r="C793" s="46"/>
      <c r="D793" s="46"/>
    </row>
    <row r="794" spans="1:4" ht="14.25" customHeight="1" x14ac:dyDescent="0.35">
      <c r="A794" s="46"/>
      <c r="B794" s="46"/>
      <c r="C794" s="46"/>
      <c r="D794" s="46"/>
    </row>
    <row r="795" spans="1:4" ht="14.25" customHeight="1" x14ac:dyDescent="0.35">
      <c r="A795" s="46"/>
      <c r="B795" s="46"/>
      <c r="C795" s="46"/>
      <c r="D795" s="46"/>
    </row>
    <row r="796" spans="1:4" ht="14.25" customHeight="1" x14ac:dyDescent="0.35">
      <c r="A796" s="46"/>
      <c r="B796" s="46"/>
      <c r="C796" s="46"/>
      <c r="D796" s="46"/>
    </row>
    <row r="797" spans="1:4" ht="14.25" customHeight="1" x14ac:dyDescent="0.35">
      <c r="A797" s="46"/>
      <c r="B797" s="46"/>
      <c r="C797" s="46"/>
      <c r="D797" s="46"/>
    </row>
    <row r="798" spans="1:4" ht="14.25" customHeight="1" x14ac:dyDescent="0.35">
      <c r="A798" s="46"/>
      <c r="B798" s="46"/>
      <c r="C798" s="46"/>
      <c r="D798" s="46"/>
    </row>
    <row r="799" spans="1:4" ht="14.25" customHeight="1" x14ac:dyDescent="0.35">
      <c r="A799" s="46"/>
      <c r="B799" s="46"/>
      <c r="C799" s="46"/>
      <c r="D799" s="46"/>
    </row>
    <row r="800" spans="1:4" ht="14.25" customHeight="1" x14ac:dyDescent="0.35">
      <c r="A800" s="46"/>
      <c r="B800" s="46"/>
      <c r="C800" s="46"/>
      <c r="D800" s="46"/>
    </row>
    <row r="801" spans="1:4" ht="14.25" customHeight="1" x14ac:dyDescent="0.35">
      <c r="A801" s="46"/>
      <c r="B801" s="46"/>
      <c r="C801" s="46"/>
      <c r="D801" s="46"/>
    </row>
    <row r="802" spans="1:4" ht="14.25" customHeight="1" x14ac:dyDescent="0.35">
      <c r="A802" s="46"/>
      <c r="B802" s="46"/>
      <c r="C802" s="46"/>
      <c r="D802" s="46"/>
    </row>
    <row r="803" spans="1:4" ht="14.25" customHeight="1" x14ac:dyDescent="0.35">
      <c r="A803" s="46"/>
      <c r="B803" s="46"/>
      <c r="C803" s="46"/>
      <c r="D803" s="46"/>
    </row>
    <row r="804" spans="1:4" ht="14.25" customHeight="1" x14ac:dyDescent="0.35">
      <c r="A804" s="46"/>
      <c r="B804" s="46"/>
      <c r="C804" s="46"/>
      <c r="D804" s="46"/>
    </row>
    <row r="805" spans="1:4" ht="14.25" customHeight="1" x14ac:dyDescent="0.35">
      <c r="A805" s="46"/>
      <c r="B805" s="46"/>
      <c r="C805" s="46"/>
      <c r="D805" s="46"/>
    </row>
    <row r="806" spans="1:4" ht="14.25" customHeight="1" x14ac:dyDescent="0.35">
      <c r="A806" s="46"/>
      <c r="B806" s="46"/>
      <c r="C806" s="46"/>
      <c r="D806" s="46"/>
    </row>
    <row r="807" spans="1:4" ht="14.25" customHeight="1" x14ac:dyDescent="0.35">
      <c r="A807" s="46"/>
      <c r="B807" s="46"/>
      <c r="C807" s="46"/>
      <c r="D807" s="46"/>
    </row>
    <row r="808" spans="1:4" ht="14.25" customHeight="1" x14ac:dyDescent="0.35">
      <c r="A808" s="46"/>
      <c r="B808" s="46"/>
      <c r="C808" s="46"/>
      <c r="D808" s="46"/>
    </row>
    <row r="809" spans="1:4" ht="14.25" customHeight="1" x14ac:dyDescent="0.35">
      <c r="A809" s="46"/>
      <c r="B809" s="46"/>
      <c r="C809" s="46"/>
      <c r="D809" s="46"/>
    </row>
    <row r="810" spans="1:4" ht="14.25" customHeight="1" x14ac:dyDescent="0.35">
      <c r="A810" s="46"/>
      <c r="B810" s="46"/>
      <c r="C810" s="46"/>
      <c r="D810" s="46"/>
    </row>
    <row r="811" spans="1:4" ht="14.25" customHeight="1" x14ac:dyDescent="0.35">
      <c r="A811" s="46"/>
      <c r="B811" s="46"/>
      <c r="C811" s="46"/>
      <c r="D811" s="46"/>
    </row>
    <row r="812" spans="1:4" ht="14.25" customHeight="1" x14ac:dyDescent="0.35">
      <c r="A812" s="46"/>
      <c r="B812" s="46"/>
      <c r="C812" s="46"/>
      <c r="D812" s="46"/>
    </row>
    <row r="813" spans="1:4" ht="14.25" customHeight="1" x14ac:dyDescent="0.35">
      <c r="A813" s="46"/>
      <c r="B813" s="46"/>
      <c r="C813" s="46"/>
      <c r="D813" s="46"/>
    </row>
    <row r="814" spans="1:4" ht="14.25" customHeight="1" x14ac:dyDescent="0.35">
      <c r="A814" s="46"/>
      <c r="B814" s="46"/>
      <c r="C814" s="46"/>
      <c r="D814" s="46"/>
    </row>
    <row r="815" spans="1:4" ht="14.25" customHeight="1" x14ac:dyDescent="0.35">
      <c r="A815" s="46"/>
      <c r="B815" s="46"/>
      <c r="C815" s="46"/>
      <c r="D815" s="46"/>
    </row>
    <row r="816" spans="1:4" ht="14.25" customHeight="1" x14ac:dyDescent="0.35">
      <c r="A816" s="46"/>
      <c r="B816" s="46"/>
      <c r="C816" s="46"/>
      <c r="D816" s="46"/>
    </row>
    <row r="817" spans="1:4" ht="14.25" customHeight="1" x14ac:dyDescent="0.35">
      <c r="A817" s="46"/>
      <c r="B817" s="46"/>
      <c r="C817" s="46"/>
      <c r="D817" s="46"/>
    </row>
    <row r="818" spans="1:4" ht="14.25" customHeight="1" x14ac:dyDescent="0.35">
      <c r="A818" s="46"/>
      <c r="B818" s="46"/>
      <c r="C818" s="46"/>
      <c r="D818" s="46"/>
    </row>
    <row r="819" spans="1:4" ht="14.25" customHeight="1" x14ac:dyDescent="0.35">
      <c r="A819" s="46"/>
      <c r="B819" s="46"/>
      <c r="C819" s="46"/>
      <c r="D819" s="46"/>
    </row>
    <row r="820" spans="1:4" ht="14.25" customHeight="1" x14ac:dyDescent="0.35">
      <c r="A820" s="46"/>
      <c r="B820" s="46"/>
      <c r="C820" s="46"/>
      <c r="D820" s="46"/>
    </row>
    <row r="821" spans="1:4" ht="14.25" customHeight="1" x14ac:dyDescent="0.35">
      <c r="A821" s="46"/>
      <c r="B821" s="46"/>
      <c r="C821" s="46"/>
      <c r="D821" s="46"/>
    </row>
    <row r="822" spans="1:4" ht="14.25" customHeight="1" x14ac:dyDescent="0.35">
      <c r="A822" s="46"/>
      <c r="B822" s="46"/>
      <c r="C822" s="46"/>
      <c r="D822" s="46"/>
    </row>
    <row r="823" spans="1:4" ht="14.25" customHeight="1" x14ac:dyDescent="0.35">
      <c r="A823" s="46"/>
      <c r="B823" s="46"/>
      <c r="C823" s="46"/>
      <c r="D823" s="46"/>
    </row>
    <row r="824" spans="1:4" ht="14.25" customHeight="1" x14ac:dyDescent="0.35">
      <c r="A824" s="46"/>
      <c r="B824" s="46"/>
      <c r="C824" s="46"/>
      <c r="D824" s="46"/>
    </row>
    <row r="825" spans="1:4" ht="14.25" customHeight="1" x14ac:dyDescent="0.35">
      <c r="A825" s="46"/>
      <c r="B825" s="46"/>
      <c r="C825" s="46"/>
      <c r="D825" s="46"/>
    </row>
    <row r="826" spans="1:4" ht="14.25" customHeight="1" x14ac:dyDescent="0.35">
      <c r="A826" s="46"/>
      <c r="B826" s="46"/>
      <c r="C826" s="46"/>
      <c r="D826" s="46"/>
    </row>
    <row r="827" spans="1:4" ht="14.25" customHeight="1" x14ac:dyDescent="0.35">
      <c r="A827" s="46"/>
      <c r="B827" s="46"/>
      <c r="C827" s="46"/>
      <c r="D827" s="46"/>
    </row>
    <row r="828" spans="1:4" ht="14.25" customHeight="1" x14ac:dyDescent="0.35">
      <c r="A828" s="46"/>
      <c r="B828" s="46"/>
      <c r="C828" s="46"/>
      <c r="D828" s="46"/>
    </row>
    <row r="829" spans="1:4" ht="14.25" customHeight="1" x14ac:dyDescent="0.35">
      <c r="A829" s="46"/>
      <c r="B829" s="46"/>
      <c r="C829" s="46"/>
      <c r="D829" s="46"/>
    </row>
    <row r="830" spans="1:4" ht="14.25" customHeight="1" x14ac:dyDescent="0.35">
      <c r="A830" s="46"/>
      <c r="B830" s="46"/>
      <c r="C830" s="46"/>
      <c r="D830" s="46"/>
    </row>
    <row r="831" spans="1:4" ht="14.25" customHeight="1" x14ac:dyDescent="0.35">
      <c r="A831" s="46"/>
      <c r="B831" s="46"/>
      <c r="C831" s="46"/>
      <c r="D831" s="46"/>
    </row>
    <row r="832" spans="1:4" ht="14.25" customHeight="1" x14ac:dyDescent="0.35">
      <c r="A832" s="46"/>
      <c r="B832" s="46"/>
      <c r="C832" s="46"/>
      <c r="D832" s="46"/>
    </row>
    <row r="833" spans="1:4" ht="14.25" customHeight="1" x14ac:dyDescent="0.35">
      <c r="A833" s="46"/>
      <c r="B833" s="46"/>
      <c r="C833" s="46"/>
      <c r="D833" s="46"/>
    </row>
    <row r="834" spans="1:4" ht="14.25" customHeight="1" x14ac:dyDescent="0.35">
      <c r="A834" s="46"/>
      <c r="B834" s="46"/>
      <c r="C834" s="46"/>
      <c r="D834" s="46"/>
    </row>
    <row r="835" spans="1:4" ht="14.25" customHeight="1" x14ac:dyDescent="0.35">
      <c r="A835" s="46"/>
      <c r="B835" s="46"/>
      <c r="C835" s="46"/>
      <c r="D835" s="46"/>
    </row>
    <row r="836" spans="1:4" ht="14.25" customHeight="1" x14ac:dyDescent="0.35">
      <c r="A836" s="46"/>
      <c r="B836" s="46"/>
      <c r="C836" s="46"/>
      <c r="D836" s="46"/>
    </row>
    <row r="837" spans="1:4" ht="14.25" customHeight="1" x14ac:dyDescent="0.35">
      <c r="A837" s="46"/>
      <c r="B837" s="46"/>
      <c r="C837" s="46"/>
      <c r="D837" s="46"/>
    </row>
    <row r="838" spans="1:4" ht="14.25" customHeight="1" x14ac:dyDescent="0.35">
      <c r="A838" s="46"/>
      <c r="B838" s="46"/>
      <c r="C838" s="46"/>
      <c r="D838" s="46"/>
    </row>
    <row r="839" spans="1:4" ht="14.25" customHeight="1" x14ac:dyDescent="0.35">
      <c r="A839" s="46"/>
      <c r="B839" s="46"/>
      <c r="C839" s="46"/>
      <c r="D839" s="46"/>
    </row>
    <row r="840" spans="1:4" ht="14.25" customHeight="1" x14ac:dyDescent="0.35">
      <c r="A840" s="46"/>
      <c r="B840" s="46"/>
      <c r="C840" s="46"/>
      <c r="D840" s="46"/>
    </row>
    <row r="841" spans="1:4" ht="14.25" customHeight="1" x14ac:dyDescent="0.35">
      <c r="A841" s="46"/>
      <c r="B841" s="46"/>
      <c r="C841" s="46"/>
      <c r="D841" s="46"/>
    </row>
    <row r="842" spans="1:4" ht="14.25" customHeight="1" x14ac:dyDescent="0.35">
      <c r="A842" s="46"/>
      <c r="B842" s="46"/>
      <c r="C842" s="46"/>
      <c r="D842" s="46"/>
    </row>
    <row r="843" spans="1:4" ht="14.25" customHeight="1" x14ac:dyDescent="0.35">
      <c r="A843" s="46"/>
      <c r="B843" s="46"/>
      <c r="C843" s="46"/>
      <c r="D843" s="46"/>
    </row>
    <row r="844" spans="1:4" ht="14.25" customHeight="1" x14ac:dyDescent="0.35">
      <c r="A844" s="46"/>
      <c r="B844" s="46"/>
      <c r="C844" s="46"/>
      <c r="D844" s="46"/>
    </row>
    <row r="845" spans="1:4" ht="14.25" customHeight="1" x14ac:dyDescent="0.35">
      <c r="A845" s="46"/>
      <c r="B845" s="46"/>
      <c r="C845" s="46"/>
      <c r="D845" s="46"/>
    </row>
    <row r="846" spans="1:4" ht="14.25" customHeight="1" x14ac:dyDescent="0.35">
      <c r="A846" s="46"/>
      <c r="B846" s="46"/>
      <c r="C846" s="46"/>
      <c r="D846" s="46"/>
    </row>
    <row r="847" spans="1:4" ht="14.25" customHeight="1" x14ac:dyDescent="0.35">
      <c r="A847" s="46"/>
      <c r="B847" s="46"/>
      <c r="C847" s="46"/>
      <c r="D847" s="46"/>
    </row>
    <row r="848" spans="1:4" ht="14.25" customHeight="1" x14ac:dyDescent="0.35">
      <c r="A848" s="46"/>
      <c r="B848" s="46"/>
      <c r="C848" s="46"/>
      <c r="D848" s="46"/>
    </row>
    <row r="849" spans="1:4" ht="14.25" customHeight="1" x14ac:dyDescent="0.35">
      <c r="A849" s="46"/>
      <c r="B849" s="46"/>
      <c r="C849" s="46"/>
      <c r="D849" s="46"/>
    </row>
    <row r="850" spans="1:4" ht="14.25" customHeight="1" x14ac:dyDescent="0.35">
      <c r="A850" s="46"/>
      <c r="B850" s="46"/>
      <c r="C850" s="46"/>
      <c r="D850" s="46"/>
    </row>
    <row r="851" spans="1:4" ht="14.25" customHeight="1" x14ac:dyDescent="0.35">
      <c r="A851" s="46"/>
      <c r="B851" s="46"/>
      <c r="C851" s="46"/>
      <c r="D851" s="46"/>
    </row>
    <row r="852" spans="1:4" ht="14.25" customHeight="1" x14ac:dyDescent="0.35">
      <c r="A852" s="46"/>
      <c r="B852" s="46"/>
      <c r="C852" s="46"/>
      <c r="D852" s="46"/>
    </row>
    <row r="853" spans="1:4" ht="14.25" customHeight="1" x14ac:dyDescent="0.35">
      <c r="A853" s="46"/>
      <c r="B853" s="46"/>
      <c r="C853" s="46"/>
      <c r="D853" s="46"/>
    </row>
    <row r="854" spans="1:4" ht="14.25" customHeight="1" x14ac:dyDescent="0.35">
      <c r="A854" s="46"/>
      <c r="B854" s="46"/>
      <c r="C854" s="46"/>
      <c r="D854" s="46"/>
    </row>
    <row r="855" spans="1:4" ht="14.25" customHeight="1" x14ac:dyDescent="0.35">
      <c r="A855" s="46"/>
      <c r="B855" s="46"/>
      <c r="C855" s="46"/>
      <c r="D855" s="46"/>
    </row>
    <row r="856" spans="1:4" ht="14.25" customHeight="1" x14ac:dyDescent="0.35">
      <c r="A856" s="46"/>
      <c r="B856" s="46"/>
      <c r="C856" s="46"/>
      <c r="D856" s="46"/>
    </row>
    <row r="857" spans="1:4" ht="14.25" customHeight="1" x14ac:dyDescent="0.35">
      <c r="A857" s="46"/>
      <c r="B857" s="46"/>
      <c r="C857" s="46"/>
      <c r="D857" s="46"/>
    </row>
    <row r="858" spans="1:4" ht="14.25" customHeight="1" x14ac:dyDescent="0.35">
      <c r="A858" s="46"/>
      <c r="B858" s="46"/>
      <c r="C858" s="46"/>
      <c r="D858" s="46"/>
    </row>
    <row r="859" spans="1:4" ht="14.25" customHeight="1" x14ac:dyDescent="0.35">
      <c r="A859" s="46"/>
      <c r="B859" s="46"/>
      <c r="C859" s="46"/>
      <c r="D859" s="46"/>
    </row>
    <row r="860" spans="1:4" ht="14.25" customHeight="1" x14ac:dyDescent="0.35">
      <c r="A860" s="46"/>
      <c r="B860" s="46"/>
      <c r="C860" s="46"/>
      <c r="D860" s="46"/>
    </row>
    <row r="861" spans="1:4" ht="14.25" customHeight="1" x14ac:dyDescent="0.35">
      <c r="A861" s="46"/>
      <c r="B861" s="46"/>
      <c r="C861" s="46"/>
      <c r="D861" s="46"/>
    </row>
    <row r="862" spans="1:4" ht="14.25" customHeight="1" x14ac:dyDescent="0.35">
      <c r="A862" s="46"/>
      <c r="B862" s="46"/>
      <c r="C862" s="46"/>
      <c r="D862" s="46"/>
    </row>
    <row r="863" spans="1:4" ht="14.25" customHeight="1" x14ac:dyDescent="0.35">
      <c r="A863" s="46"/>
      <c r="B863" s="46"/>
      <c r="C863" s="46"/>
      <c r="D863" s="46"/>
    </row>
    <row r="864" spans="1:4" ht="14.25" customHeight="1" x14ac:dyDescent="0.35">
      <c r="A864" s="46"/>
      <c r="B864" s="46"/>
      <c r="C864" s="46"/>
      <c r="D864" s="46"/>
    </row>
    <row r="865" spans="1:4" ht="14.25" customHeight="1" x14ac:dyDescent="0.35">
      <c r="A865" s="46"/>
      <c r="B865" s="46"/>
      <c r="C865" s="46"/>
      <c r="D865" s="46"/>
    </row>
    <row r="866" spans="1:4" ht="14.25" customHeight="1" x14ac:dyDescent="0.35">
      <c r="A866" s="46"/>
      <c r="B866" s="46"/>
      <c r="C866" s="46"/>
      <c r="D866" s="46"/>
    </row>
    <row r="867" spans="1:4" ht="14.25" customHeight="1" x14ac:dyDescent="0.35">
      <c r="A867" s="46"/>
      <c r="B867" s="46"/>
      <c r="C867" s="46"/>
      <c r="D867" s="46"/>
    </row>
    <row r="868" spans="1:4" ht="14.25" customHeight="1" x14ac:dyDescent="0.35">
      <c r="A868" s="46"/>
      <c r="B868" s="46"/>
      <c r="C868" s="46"/>
      <c r="D868" s="46"/>
    </row>
    <row r="869" spans="1:4" ht="14.25" customHeight="1" x14ac:dyDescent="0.35">
      <c r="A869" s="46"/>
      <c r="B869" s="46"/>
      <c r="C869" s="46"/>
      <c r="D869" s="46"/>
    </row>
    <row r="870" spans="1:4" ht="14.25" customHeight="1" x14ac:dyDescent="0.35">
      <c r="A870" s="46"/>
      <c r="B870" s="46"/>
      <c r="C870" s="46"/>
      <c r="D870" s="46"/>
    </row>
    <row r="871" spans="1:4" ht="14.25" customHeight="1" x14ac:dyDescent="0.35">
      <c r="A871" s="46"/>
      <c r="B871" s="46"/>
      <c r="C871" s="46"/>
      <c r="D871" s="46"/>
    </row>
    <row r="872" spans="1:4" ht="14.25" customHeight="1" x14ac:dyDescent="0.35">
      <c r="A872" s="46"/>
      <c r="B872" s="46"/>
      <c r="C872" s="46"/>
      <c r="D872" s="46"/>
    </row>
    <row r="873" spans="1:4" ht="14.25" customHeight="1" x14ac:dyDescent="0.35">
      <c r="A873" s="46"/>
      <c r="B873" s="46"/>
      <c r="C873" s="46"/>
      <c r="D873" s="46"/>
    </row>
    <row r="874" spans="1:4" ht="14.25" customHeight="1" x14ac:dyDescent="0.35">
      <c r="A874" s="46"/>
      <c r="B874" s="46"/>
      <c r="C874" s="46"/>
      <c r="D874" s="46"/>
    </row>
    <row r="875" spans="1:4" ht="14.25" customHeight="1" x14ac:dyDescent="0.35">
      <c r="A875" s="46"/>
      <c r="B875" s="46"/>
      <c r="C875" s="46"/>
      <c r="D875" s="46"/>
    </row>
    <row r="876" spans="1:4" ht="14.25" customHeight="1" x14ac:dyDescent="0.35">
      <c r="A876" s="46"/>
      <c r="B876" s="46"/>
      <c r="C876" s="46"/>
      <c r="D876" s="46"/>
    </row>
    <row r="877" spans="1:4" ht="14.25" customHeight="1" x14ac:dyDescent="0.35">
      <c r="A877" s="46"/>
      <c r="B877" s="46"/>
      <c r="C877" s="46"/>
      <c r="D877" s="46"/>
    </row>
    <row r="878" spans="1:4" ht="14.25" customHeight="1" x14ac:dyDescent="0.35">
      <c r="A878" s="46"/>
      <c r="B878" s="46"/>
      <c r="C878" s="46"/>
      <c r="D878" s="46"/>
    </row>
    <row r="879" spans="1:4" ht="14.25" customHeight="1" x14ac:dyDescent="0.35">
      <c r="A879" s="46"/>
      <c r="B879" s="46"/>
      <c r="C879" s="46"/>
      <c r="D879" s="46"/>
    </row>
    <row r="880" spans="1:4" ht="14.25" customHeight="1" x14ac:dyDescent="0.35">
      <c r="A880" s="46"/>
      <c r="B880" s="46"/>
      <c r="C880" s="46"/>
      <c r="D880" s="46"/>
    </row>
    <row r="881" spans="1:4" ht="14.25" customHeight="1" x14ac:dyDescent="0.35">
      <c r="A881" s="46"/>
      <c r="B881" s="46"/>
      <c r="C881" s="46"/>
      <c r="D881" s="46"/>
    </row>
    <row r="882" spans="1:4" ht="14.25" customHeight="1" x14ac:dyDescent="0.35">
      <c r="A882" s="46"/>
      <c r="B882" s="46"/>
      <c r="C882" s="46"/>
      <c r="D882" s="46"/>
    </row>
    <row r="883" spans="1:4" ht="14.25" customHeight="1" x14ac:dyDescent="0.35">
      <c r="A883" s="46"/>
      <c r="B883" s="46"/>
      <c r="C883" s="46"/>
      <c r="D883" s="46"/>
    </row>
    <row r="884" spans="1:4" ht="14.25" customHeight="1" x14ac:dyDescent="0.35">
      <c r="A884" s="46"/>
      <c r="B884" s="46"/>
      <c r="C884" s="46"/>
      <c r="D884" s="46"/>
    </row>
    <row r="885" spans="1:4" ht="14.25" customHeight="1" x14ac:dyDescent="0.35">
      <c r="A885" s="46"/>
      <c r="B885" s="46"/>
      <c r="C885" s="46"/>
      <c r="D885" s="46"/>
    </row>
    <row r="886" spans="1:4" ht="14.25" customHeight="1" x14ac:dyDescent="0.35">
      <c r="A886" s="46"/>
      <c r="B886" s="46"/>
      <c r="C886" s="46"/>
      <c r="D886" s="46"/>
    </row>
    <row r="887" spans="1:4" ht="14.25" customHeight="1" x14ac:dyDescent="0.35">
      <c r="A887" s="46"/>
      <c r="B887" s="46"/>
      <c r="C887" s="46"/>
      <c r="D887" s="46"/>
    </row>
    <row r="888" spans="1:4" ht="14.25" customHeight="1" x14ac:dyDescent="0.35">
      <c r="A888" s="46"/>
      <c r="B888" s="46"/>
      <c r="C888" s="46"/>
      <c r="D888" s="46"/>
    </row>
    <row r="889" spans="1:4" ht="14.25" customHeight="1" x14ac:dyDescent="0.35">
      <c r="A889" s="46"/>
      <c r="B889" s="46"/>
      <c r="C889" s="46"/>
      <c r="D889" s="46"/>
    </row>
    <row r="890" spans="1:4" ht="14.25" customHeight="1" x14ac:dyDescent="0.35">
      <c r="A890" s="46"/>
      <c r="B890" s="46"/>
      <c r="C890" s="46"/>
      <c r="D890" s="46"/>
    </row>
    <row r="891" spans="1:4" ht="14.25" customHeight="1" x14ac:dyDescent="0.35">
      <c r="A891" s="46"/>
      <c r="B891" s="46"/>
      <c r="C891" s="46"/>
      <c r="D891" s="46"/>
    </row>
    <row r="892" spans="1:4" ht="14.25" customHeight="1" x14ac:dyDescent="0.35">
      <c r="A892" s="46"/>
      <c r="B892" s="46"/>
      <c r="C892" s="46"/>
      <c r="D892" s="46"/>
    </row>
    <row r="893" spans="1:4" ht="14.25" customHeight="1" x14ac:dyDescent="0.35">
      <c r="A893" s="46"/>
      <c r="B893" s="46"/>
      <c r="C893" s="46"/>
      <c r="D893" s="46"/>
    </row>
    <row r="894" spans="1:4" ht="14.25" customHeight="1" x14ac:dyDescent="0.35">
      <c r="A894" s="46"/>
      <c r="B894" s="46"/>
      <c r="C894" s="46"/>
      <c r="D894" s="46"/>
    </row>
    <row r="895" spans="1:4" ht="14.25" customHeight="1" x14ac:dyDescent="0.35">
      <c r="A895" s="46"/>
      <c r="B895" s="46"/>
      <c r="C895" s="46"/>
      <c r="D895" s="46"/>
    </row>
    <row r="896" spans="1:4" ht="14.25" customHeight="1" x14ac:dyDescent="0.35">
      <c r="A896" s="46"/>
      <c r="B896" s="46"/>
      <c r="C896" s="46"/>
      <c r="D896" s="46"/>
    </row>
    <row r="897" spans="1:4" ht="14.25" customHeight="1" x14ac:dyDescent="0.35">
      <c r="A897" s="46"/>
      <c r="B897" s="46"/>
      <c r="C897" s="46"/>
      <c r="D897" s="46"/>
    </row>
    <row r="898" spans="1:4" ht="14.25" customHeight="1" x14ac:dyDescent="0.35">
      <c r="A898" s="46"/>
      <c r="B898" s="46"/>
      <c r="C898" s="46"/>
      <c r="D898" s="46"/>
    </row>
    <row r="899" spans="1:4" ht="14.25" customHeight="1" x14ac:dyDescent="0.35">
      <c r="A899" s="46"/>
      <c r="B899" s="46"/>
      <c r="C899" s="46"/>
      <c r="D899" s="46"/>
    </row>
    <row r="900" spans="1:4" ht="14.25" customHeight="1" x14ac:dyDescent="0.35">
      <c r="A900" s="46"/>
      <c r="B900" s="46"/>
      <c r="C900" s="46"/>
      <c r="D900" s="46"/>
    </row>
    <row r="901" spans="1:4" ht="14.25" customHeight="1" x14ac:dyDescent="0.35">
      <c r="A901" s="46"/>
      <c r="B901" s="46"/>
      <c r="C901" s="46"/>
      <c r="D901" s="46"/>
    </row>
    <row r="902" spans="1:4" ht="14.25" customHeight="1" x14ac:dyDescent="0.35">
      <c r="A902" s="46"/>
      <c r="B902" s="46"/>
      <c r="C902" s="46"/>
      <c r="D902" s="46"/>
    </row>
    <row r="903" spans="1:4" ht="14.25" customHeight="1" x14ac:dyDescent="0.35">
      <c r="A903" s="46"/>
      <c r="B903" s="46"/>
      <c r="C903" s="46"/>
      <c r="D903" s="46"/>
    </row>
    <row r="904" spans="1:4" ht="14.25" customHeight="1" x14ac:dyDescent="0.35">
      <c r="A904" s="46"/>
      <c r="B904" s="46"/>
      <c r="C904" s="46"/>
      <c r="D904" s="46"/>
    </row>
    <row r="905" spans="1:4" ht="14.25" customHeight="1" x14ac:dyDescent="0.35">
      <c r="A905" s="46"/>
      <c r="B905" s="46"/>
      <c r="C905" s="46"/>
      <c r="D905" s="46"/>
    </row>
    <row r="906" spans="1:4" ht="14.25" customHeight="1" x14ac:dyDescent="0.35">
      <c r="A906" s="46"/>
      <c r="B906" s="46"/>
      <c r="C906" s="46"/>
      <c r="D906" s="46"/>
    </row>
    <row r="907" spans="1:4" ht="14.25" customHeight="1" x14ac:dyDescent="0.35">
      <c r="A907" s="46"/>
      <c r="B907" s="46"/>
      <c r="C907" s="46"/>
      <c r="D907" s="46"/>
    </row>
    <row r="908" spans="1:4" ht="14.25" customHeight="1" x14ac:dyDescent="0.35">
      <c r="A908" s="46"/>
      <c r="B908" s="46"/>
      <c r="C908" s="46"/>
      <c r="D908" s="46"/>
    </row>
    <row r="909" spans="1:4" ht="14.25" customHeight="1" x14ac:dyDescent="0.35">
      <c r="A909" s="46"/>
      <c r="B909" s="46"/>
      <c r="C909" s="46"/>
      <c r="D909" s="46"/>
    </row>
    <row r="910" spans="1:4" ht="14.25" customHeight="1" x14ac:dyDescent="0.35">
      <c r="A910" s="46"/>
      <c r="B910" s="46"/>
      <c r="C910" s="46"/>
      <c r="D910" s="46"/>
    </row>
    <row r="911" spans="1:4" ht="14.25" customHeight="1" x14ac:dyDescent="0.35">
      <c r="A911" s="46"/>
      <c r="B911" s="46"/>
      <c r="C911" s="46"/>
      <c r="D911" s="46"/>
    </row>
    <row r="912" spans="1:4" ht="14.25" customHeight="1" x14ac:dyDescent="0.35">
      <c r="A912" s="46"/>
      <c r="B912" s="46"/>
      <c r="C912" s="46"/>
      <c r="D912" s="46"/>
    </row>
    <row r="913" spans="1:4" ht="14.25" customHeight="1" x14ac:dyDescent="0.35">
      <c r="A913" s="46"/>
      <c r="B913" s="46"/>
      <c r="C913" s="46"/>
      <c r="D913" s="46"/>
    </row>
    <row r="914" spans="1:4" ht="14.25" customHeight="1" x14ac:dyDescent="0.35">
      <c r="A914" s="46"/>
      <c r="B914" s="46"/>
      <c r="C914" s="46"/>
      <c r="D914" s="46"/>
    </row>
    <row r="915" spans="1:4" ht="14.25" customHeight="1" x14ac:dyDescent="0.35">
      <c r="A915" s="46"/>
      <c r="B915" s="46"/>
      <c r="C915" s="46"/>
      <c r="D915" s="46"/>
    </row>
    <row r="916" spans="1:4" ht="14.25" customHeight="1" x14ac:dyDescent="0.35">
      <c r="A916" s="46"/>
      <c r="B916" s="46"/>
      <c r="C916" s="46"/>
      <c r="D916" s="46"/>
    </row>
    <row r="917" spans="1:4" ht="14.25" customHeight="1" x14ac:dyDescent="0.35">
      <c r="A917" s="46"/>
      <c r="B917" s="46"/>
      <c r="C917" s="46"/>
      <c r="D917" s="46"/>
    </row>
    <row r="918" spans="1:4" ht="14.25" customHeight="1" x14ac:dyDescent="0.35">
      <c r="A918" s="46"/>
      <c r="B918" s="46"/>
      <c r="C918" s="46"/>
      <c r="D918" s="46"/>
    </row>
    <row r="919" spans="1:4" ht="14.25" customHeight="1" x14ac:dyDescent="0.35">
      <c r="A919" s="46"/>
      <c r="B919" s="46"/>
      <c r="C919" s="46"/>
      <c r="D919" s="46"/>
    </row>
    <row r="920" spans="1:4" ht="14.25" customHeight="1" x14ac:dyDescent="0.35">
      <c r="A920" s="46"/>
      <c r="B920" s="46"/>
      <c r="C920" s="46"/>
      <c r="D920" s="46"/>
    </row>
    <row r="921" spans="1:4" ht="14.25" customHeight="1" x14ac:dyDescent="0.35">
      <c r="A921" s="46"/>
      <c r="B921" s="46"/>
      <c r="C921" s="46"/>
      <c r="D921" s="46"/>
    </row>
    <row r="922" spans="1:4" ht="14.25" customHeight="1" x14ac:dyDescent="0.35">
      <c r="A922" s="46"/>
      <c r="B922" s="46"/>
      <c r="C922" s="46"/>
      <c r="D922" s="46"/>
    </row>
    <row r="923" spans="1:4" ht="14.25" customHeight="1" x14ac:dyDescent="0.35">
      <c r="A923" s="46"/>
      <c r="B923" s="46"/>
      <c r="C923" s="46"/>
      <c r="D923" s="46"/>
    </row>
    <row r="924" spans="1:4" ht="14.25" customHeight="1" x14ac:dyDescent="0.35">
      <c r="A924" s="46"/>
      <c r="B924" s="46"/>
      <c r="C924" s="46"/>
      <c r="D924" s="46"/>
    </row>
    <row r="925" spans="1:4" ht="14.25" customHeight="1" x14ac:dyDescent="0.35">
      <c r="A925" s="46"/>
      <c r="B925" s="46"/>
      <c r="C925" s="46"/>
      <c r="D925" s="46"/>
    </row>
    <row r="926" spans="1:4" ht="14.25" customHeight="1" x14ac:dyDescent="0.35">
      <c r="A926" s="46"/>
      <c r="B926" s="46"/>
      <c r="C926" s="46"/>
      <c r="D926" s="46"/>
    </row>
    <row r="927" spans="1:4" ht="14.25" customHeight="1" x14ac:dyDescent="0.35">
      <c r="A927" s="46"/>
      <c r="B927" s="46"/>
      <c r="C927" s="46"/>
      <c r="D927" s="46"/>
    </row>
    <row r="928" spans="1:4" ht="14.25" customHeight="1" x14ac:dyDescent="0.35">
      <c r="A928" s="46"/>
      <c r="B928" s="46"/>
      <c r="C928" s="46"/>
      <c r="D928" s="46"/>
    </row>
    <row r="929" spans="1:4" ht="14.25" customHeight="1" x14ac:dyDescent="0.35">
      <c r="A929" s="46"/>
      <c r="B929" s="46"/>
      <c r="C929" s="46"/>
      <c r="D929" s="46"/>
    </row>
    <row r="930" spans="1:4" ht="14.25" customHeight="1" x14ac:dyDescent="0.35">
      <c r="A930" s="46"/>
      <c r="B930" s="46"/>
      <c r="C930" s="46"/>
      <c r="D930" s="46"/>
    </row>
    <row r="931" spans="1:4" ht="14.25" customHeight="1" x14ac:dyDescent="0.35">
      <c r="A931" s="46"/>
      <c r="B931" s="46"/>
      <c r="C931" s="46"/>
      <c r="D931" s="46"/>
    </row>
    <row r="932" spans="1:4" ht="14.25" customHeight="1" x14ac:dyDescent="0.35">
      <c r="A932" s="46"/>
      <c r="B932" s="46"/>
      <c r="C932" s="46"/>
      <c r="D932" s="46"/>
    </row>
    <row r="933" spans="1:4" ht="14.25" customHeight="1" x14ac:dyDescent="0.35">
      <c r="A933" s="46"/>
      <c r="B933" s="46"/>
      <c r="C933" s="46"/>
      <c r="D933" s="46"/>
    </row>
    <row r="934" spans="1:4" ht="14.25" customHeight="1" x14ac:dyDescent="0.35">
      <c r="A934" s="46"/>
      <c r="B934" s="46"/>
      <c r="C934" s="46"/>
      <c r="D934" s="46"/>
    </row>
    <row r="935" spans="1:4" ht="14.25" customHeight="1" x14ac:dyDescent="0.35">
      <c r="A935" s="46"/>
      <c r="B935" s="46"/>
      <c r="C935" s="46"/>
      <c r="D935" s="46"/>
    </row>
    <row r="936" spans="1:4" ht="14.25" customHeight="1" x14ac:dyDescent="0.35">
      <c r="A936" s="46"/>
      <c r="B936" s="46"/>
      <c r="C936" s="46"/>
      <c r="D936" s="46"/>
    </row>
    <row r="937" spans="1:4" ht="14.25" customHeight="1" x14ac:dyDescent="0.35">
      <c r="A937" s="46"/>
      <c r="B937" s="46"/>
      <c r="C937" s="46"/>
      <c r="D937" s="46"/>
    </row>
    <row r="938" spans="1:4" ht="14.25" customHeight="1" x14ac:dyDescent="0.35">
      <c r="A938" s="46"/>
      <c r="B938" s="46"/>
      <c r="C938" s="46"/>
      <c r="D938" s="46"/>
    </row>
    <row r="939" spans="1:4" ht="14.25" customHeight="1" x14ac:dyDescent="0.35">
      <c r="A939" s="46"/>
      <c r="B939" s="46"/>
      <c r="C939" s="46"/>
      <c r="D939" s="46"/>
    </row>
    <row r="940" spans="1:4" ht="14.25" customHeight="1" x14ac:dyDescent="0.35">
      <c r="A940" s="46"/>
      <c r="B940" s="46"/>
      <c r="C940" s="46"/>
      <c r="D940" s="46"/>
    </row>
    <row r="941" spans="1:4" ht="14.25" customHeight="1" x14ac:dyDescent="0.35">
      <c r="A941" s="46"/>
      <c r="B941" s="46"/>
      <c r="C941" s="46"/>
      <c r="D941" s="46"/>
    </row>
    <row r="942" spans="1:4" ht="14.25" customHeight="1" x14ac:dyDescent="0.35">
      <c r="A942" s="46"/>
      <c r="B942" s="46"/>
      <c r="C942" s="46"/>
      <c r="D942" s="46"/>
    </row>
    <row r="943" spans="1:4" ht="14.25" customHeight="1" x14ac:dyDescent="0.35">
      <c r="A943" s="46"/>
      <c r="B943" s="46"/>
      <c r="C943" s="46"/>
      <c r="D943" s="46"/>
    </row>
    <row r="944" spans="1:4" ht="14.25" customHeight="1" x14ac:dyDescent="0.35">
      <c r="A944" s="46"/>
      <c r="B944" s="46"/>
      <c r="C944" s="46"/>
      <c r="D944" s="46"/>
    </row>
    <row r="945" spans="1:4" ht="14.25" customHeight="1" x14ac:dyDescent="0.35">
      <c r="A945" s="46"/>
      <c r="B945" s="46"/>
      <c r="C945" s="46"/>
      <c r="D945" s="46"/>
    </row>
    <row r="946" spans="1:4" ht="14.25" customHeight="1" x14ac:dyDescent="0.35">
      <c r="A946" s="46"/>
      <c r="B946" s="46"/>
      <c r="C946" s="46"/>
      <c r="D946" s="46"/>
    </row>
    <row r="947" spans="1:4" ht="14.25" customHeight="1" x14ac:dyDescent="0.35">
      <c r="A947" s="46"/>
      <c r="B947" s="46"/>
      <c r="C947" s="46"/>
      <c r="D947" s="46"/>
    </row>
    <row r="948" spans="1:4" ht="14.25" customHeight="1" x14ac:dyDescent="0.35">
      <c r="A948" s="46"/>
      <c r="B948" s="46"/>
      <c r="C948" s="46"/>
      <c r="D948" s="46"/>
    </row>
    <row r="949" spans="1:4" ht="14.25" customHeight="1" x14ac:dyDescent="0.35">
      <c r="A949" s="46"/>
      <c r="B949" s="46"/>
      <c r="C949" s="46"/>
      <c r="D949" s="46"/>
    </row>
    <row r="950" spans="1:4" ht="14.25" customHeight="1" x14ac:dyDescent="0.35">
      <c r="A950" s="46"/>
      <c r="B950" s="46"/>
      <c r="C950" s="46"/>
      <c r="D950" s="46"/>
    </row>
    <row r="951" spans="1:4" ht="14.25" customHeight="1" x14ac:dyDescent="0.35">
      <c r="A951" s="46"/>
      <c r="B951" s="46"/>
      <c r="C951" s="46"/>
      <c r="D951" s="46"/>
    </row>
    <row r="952" spans="1:4" ht="14.25" customHeight="1" x14ac:dyDescent="0.35">
      <c r="A952" s="46"/>
      <c r="B952" s="46"/>
      <c r="C952" s="46"/>
      <c r="D952" s="46"/>
    </row>
    <row r="953" spans="1:4" ht="14.25" customHeight="1" x14ac:dyDescent="0.35">
      <c r="A953" s="46"/>
      <c r="B953" s="46"/>
      <c r="C953" s="46"/>
      <c r="D953" s="46"/>
    </row>
    <row r="954" spans="1:4" ht="14.25" customHeight="1" x14ac:dyDescent="0.35">
      <c r="A954" s="46"/>
      <c r="B954" s="46"/>
      <c r="C954" s="46"/>
      <c r="D954" s="46"/>
    </row>
    <row r="955" spans="1:4" ht="14.25" customHeight="1" x14ac:dyDescent="0.35">
      <c r="A955" s="46"/>
      <c r="B955" s="46"/>
      <c r="C955" s="46"/>
      <c r="D955" s="46"/>
    </row>
    <row r="956" spans="1:4" ht="14.25" customHeight="1" x14ac:dyDescent="0.35">
      <c r="A956" s="46"/>
      <c r="B956" s="46"/>
      <c r="C956" s="46"/>
      <c r="D956" s="46"/>
    </row>
    <row r="957" spans="1:4" ht="14.25" customHeight="1" x14ac:dyDescent="0.35">
      <c r="A957" s="46"/>
      <c r="B957" s="46"/>
      <c r="C957" s="46"/>
      <c r="D957" s="46"/>
    </row>
    <row r="958" spans="1:4" ht="14.25" customHeight="1" x14ac:dyDescent="0.35">
      <c r="A958" s="46"/>
      <c r="B958" s="46"/>
      <c r="C958" s="46"/>
      <c r="D958" s="46"/>
    </row>
    <row r="959" spans="1:4" ht="14.25" customHeight="1" x14ac:dyDescent="0.35">
      <c r="A959" s="46"/>
      <c r="B959" s="46"/>
      <c r="C959" s="46"/>
      <c r="D959" s="46"/>
    </row>
    <row r="960" spans="1:4" ht="14.25" customHeight="1" x14ac:dyDescent="0.35">
      <c r="A960" s="46"/>
      <c r="B960" s="46"/>
      <c r="C960" s="46"/>
      <c r="D960" s="46"/>
    </row>
    <row r="961" spans="1:4" ht="14.25" customHeight="1" x14ac:dyDescent="0.35">
      <c r="A961" s="46"/>
      <c r="B961" s="46"/>
      <c r="C961" s="46"/>
      <c r="D961" s="46"/>
    </row>
    <row r="962" spans="1:4" ht="14.25" customHeight="1" x14ac:dyDescent="0.35">
      <c r="A962" s="46"/>
      <c r="B962" s="46"/>
      <c r="C962" s="46"/>
      <c r="D962" s="46"/>
    </row>
    <row r="963" spans="1:4" ht="14.25" customHeight="1" x14ac:dyDescent="0.35">
      <c r="A963" s="46"/>
      <c r="B963" s="46"/>
      <c r="C963" s="46"/>
      <c r="D963" s="46"/>
    </row>
    <row r="964" spans="1:4" ht="14.25" customHeight="1" x14ac:dyDescent="0.35">
      <c r="A964" s="46"/>
      <c r="B964" s="46"/>
      <c r="C964" s="46"/>
      <c r="D964" s="46"/>
    </row>
    <row r="965" spans="1:4" ht="14.25" customHeight="1" x14ac:dyDescent="0.35">
      <c r="A965" s="46"/>
      <c r="B965" s="46"/>
      <c r="C965" s="46"/>
      <c r="D965" s="46"/>
    </row>
    <row r="966" spans="1:4" ht="14.25" customHeight="1" x14ac:dyDescent="0.35">
      <c r="A966" s="46"/>
      <c r="B966" s="46"/>
      <c r="C966" s="46"/>
      <c r="D966" s="46"/>
    </row>
    <row r="967" spans="1:4" ht="14.25" customHeight="1" x14ac:dyDescent="0.35">
      <c r="A967" s="46"/>
      <c r="B967" s="46"/>
      <c r="C967" s="46"/>
      <c r="D967" s="46"/>
    </row>
    <row r="968" spans="1:4" ht="14.25" customHeight="1" x14ac:dyDescent="0.35">
      <c r="A968" s="46"/>
      <c r="B968" s="46"/>
      <c r="C968" s="46"/>
      <c r="D968" s="46"/>
    </row>
    <row r="969" spans="1:4" ht="14.25" customHeight="1" x14ac:dyDescent="0.35">
      <c r="A969" s="46"/>
      <c r="B969" s="46"/>
      <c r="C969" s="46"/>
      <c r="D969" s="46"/>
    </row>
    <row r="970" spans="1:4" ht="14.25" customHeight="1" x14ac:dyDescent="0.35">
      <c r="A970" s="46"/>
      <c r="B970" s="46"/>
      <c r="C970" s="46"/>
      <c r="D970" s="46"/>
    </row>
    <row r="971" spans="1:4" ht="14.25" customHeight="1" x14ac:dyDescent="0.35">
      <c r="A971" s="46"/>
      <c r="B971" s="46"/>
      <c r="C971" s="46"/>
      <c r="D971" s="46"/>
    </row>
    <row r="972" spans="1:4" ht="14.25" customHeight="1" x14ac:dyDescent="0.35">
      <c r="A972" s="46"/>
      <c r="B972" s="46"/>
      <c r="C972" s="46"/>
      <c r="D972" s="46"/>
    </row>
    <row r="973" spans="1:4" ht="14.25" customHeight="1" x14ac:dyDescent="0.35">
      <c r="A973" s="46"/>
      <c r="B973" s="46"/>
      <c r="C973" s="46"/>
      <c r="D973" s="46"/>
    </row>
    <row r="974" spans="1:4" ht="14.25" customHeight="1" x14ac:dyDescent="0.35">
      <c r="A974" s="46"/>
      <c r="B974" s="46"/>
      <c r="C974" s="46"/>
      <c r="D974" s="46"/>
    </row>
    <row r="975" spans="1:4" ht="14.25" customHeight="1" x14ac:dyDescent="0.35">
      <c r="A975" s="46"/>
      <c r="B975" s="46"/>
      <c r="C975" s="46"/>
      <c r="D975" s="46"/>
    </row>
    <row r="976" spans="1:4" ht="14.25" customHeight="1" x14ac:dyDescent="0.35">
      <c r="A976" s="46"/>
      <c r="B976" s="46"/>
      <c r="C976" s="46"/>
      <c r="D976" s="46"/>
    </row>
    <row r="977" spans="1:4" ht="14.25" customHeight="1" x14ac:dyDescent="0.35">
      <c r="A977" s="46"/>
      <c r="B977" s="46"/>
      <c r="C977" s="46"/>
      <c r="D977" s="46"/>
    </row>
    <row r="978" spans="1:4" ht="14.25" customHeight="1" x14ac:dyDescent="0.35">
      <c r="A978" s="46"/>
      <c r="B978" s="46"/>
      <c r="C978" s="46"/>
      <c r="D978" s="46"/>
    </row>
    <row r="979" spans="1:4" ht="14.25" customHeight="1" x14ac:dyDescent="0.35">
      <c r="A979" s="46"/>
      <c r="B979" s="46"/>
      <c r="C979" s="46"/>
      <c r="D979" s="46"/>
    </row>
    <row r="980" spans="1:4" ht="14.25" customHeight="1" x14ac:dyDescent="0.35">
      <c r="A980" s="46"/>
      <c r="B980" s="46"/>
      <c r="C980" s="46"/>
      <c r="D980" s="46"/>
    </row>
    <row r="981" spans="1:4" ht="14.25" customHeight="1" x14ac:dyDescent="0.35">
      <c r="A981" s="46"/>
      <c r="B981" s="46"/>
      <c r="C981" s="46"/>
      <c r="D981" s="46"/>
    </row>
    <row r="982" spans="1:4" ht="14.25" customHeight="1" x14ac:dyDescent="0.35">
      <c r="A982" s="46"/>
      <c r="B982" s="46"/>
      <c r="C982" s="46"/>
      <c r="D982" s="46"/>
    </row>
    <row r="983" spans="1:4" ht="14.25" customHeight="1" x14ac:dyDescent="0.35">
      <c r="A983" s="46"/>
      <c r="B983" s="46"/>
      <c r="C983" s="46"/>
      <c r="D983" s="46"/>
    </row>
    <row r="984" spans="1:4" ht="14.25" customHeight="1" x14ac:dyDescent="0.35">
      <c r="A984" s="46"/>
      <c r="B984" s="46"/>
      <c r="C984" s="46"/>
      <c r="D984" s="46"/>
    </row>
    <row r="985" spans="1:4" ht="14.25" customHeight="1" x14ac:dyDescent="0.35">
      <c r="A985" s="46"/>
      <c r="B985" s="46"/>
      <c r="C985" s="46"/>
      <c r="D985" s="46"/>
    </row>
    <row r="986" spans="1:4" ht="14.25" customHeight="1" x14ac:dyDescent="0.35">
      <c r="A986" s="46"/>
      <c r="B986" s="46"/>
      <c r="C986" s="46"/>
      <c r="D986" s="46"/>
    </row>
    <row r="987" spans="1:4" ht="14.25" customHeight="1" x14ac:dyDescent="0.35">
      <c r="A987" s="46"/>
      <c r="B987" s="46"/>
      <c r="C987" s="46"/>
      <c r="D987" s="46"/>
    </row>
    <row r="988" spans="1:4" ht="14.25" customHeight="1" x14ac:dyDescent="0.35">
      <c r="A988" s="46"/>
      <c r="B988" s="46"/>
      <c r="C988" s="46"/>
      <c r="D988" s="46"/>
    </row>
    <row r="989" spans="1:4" ht="14.25" customHeight="1" x14ac:dyDescent="0.35">
      <c r="A989" s="46"/>
      <c r="B989" s="46"/>
      <c r="C989" s="46"/>
      <c r="D989" s="46"/>
    </row>
    <row r="990" spans="1:4" ht="14.25" customHeight="1" x14ac:dyDescent="0.35">
      <c r="A990" s="46"/>
      <c r="B990" s="46"/>
      <c r="C990" s="46"/>
      <c r="D990" s="46"/>
    </row>
    <row r="991" spans="1:4" ht="14.25" customHeight="1" x14ac:dyDescent="0.35">
      <c r="A991" s="46"/>
      <c r="B991" s="46"/>
      <c r="C991" s="46"/>
      <c r="D991" s="46"/>
    </row>
    <row r="992" spans="1:4" ht="14.25" customHeight="1" x14ac:dyDescent="0.35">
      <c r="A992" s="46"/>
      <c r="B992" s="46"/>
      <c r="C992" s="46"/>
      <c r="D992" s="46"/>
    </row>
    <row r="993" spans="1:4" ht="14.25" customHeight="1" x14ac:dyDescent="0.35">
      <c r="A993" s="46"/>
      <c r="B993" s="46"/>
      <c r="C993" s="46"/>
      <c r="D993" s="46"/>
    </row>
    <row r="994" spans="1:4" ht="14.25" customHeight="1" x14ac:dyDescent="0.35">
      <c r="A994" s="46"/>
      <c r="B994" s="46"/>
      <c r="C994" s="46"/>
      <c r="D994" s="46"/>
    </row>
    <row r="995" spans="1:4" ht="14.25" customHeight="1" x14ac:dyDescent="0.35">
      <c r="A995" s="46"/>
      <c r="B995" s="46"/>
      <c r="C995" s="46"/>
      <c r="D995" s="46"/>
    </row>
    <row r="996" spans="1:4" ht="14.25" customHeight="1" x14ac:dyDescent="0.35">
      <c r="A996" s="46"/>
      <c r="B996" s="46"/>
      <c r="C996" s="46"/>
      <c r="D996" s="46"/>
    </row>
    <row r="997" spans="1:4" ht="14.25" customHeight="1" x14ac:dyDescent="0.35">
      <c r="A997" s="46"/>
      <c r="B997" s="46"/>
      <c r="C997" s="46"/>
      <c r="D997" s="46"/>
    </row>
    <row r="998" spans="1:4" ht="14.25" customHeight="1" x14ac:dyDescent="0.35">
      <c r="A998" s="46"/>
      <c r="B998" s="46"/>
      <c r="C998" s="46"/>
      <c r="D998" s="46"/>
    </row>
    <row r="999" spans="1:4" ht="14.25" customHeight="1" x14ac:dyDescent="0.35">
      <c r="A999" s="46"/>
      <c r="B999" s="46"/>
      <c r="C999" s="46"/>
      <c r="D999" s="46"/>
    </row>
    <row r="1000" spans="1:4" ht="14.25" customHeight="1" x14ac:dyDescent="0.35">
      <c r="A1000" s="46"/>
      <c r="B1000" s="46"/>
      <c r="C1000" s="46"/>
      <c r="D1000" s="46"/>
    </row>
  </sheetData>
  <mergeCells count="4">
    <mergeCell ref="A700:A704"/>
    <mergeCell ref="A705:A748"/>
    <mergeCell ref="A749:A758"/>
    <mergeCell ref="A759:A783"/>
  </mergeCells>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INSTRUCTIVO</vt:lpstr>
      <vt:lpstr>Resultado seguimiento</vt:lpstr>
      <vt:lpstr>PLAN DE ACCION EN SALUD</vt:lpstr>
      <vt:lpstr>TH</vt:lpstr>
      <vt:lpstr>DATOS EJEC</vt:lpstr>
      <vt:lpstr>EJEC x componente</vt:lpstr>
      <vt:lpstr>pendientes</vt:lpstr>
      <vt:lpstr>TD</vt:lpstr>
      <vt:lpstr>Graficos</vt:lpstr>
      <vt:lpstr>ResultadoValidacion</vt:lpstr>
      <vt:lpstr>Data</vt:lpstr>
      <vt:lpstr>ValoresListasDesplegables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Andres Daza Huerfano;Oscar Fonseca Corredor;Aley Bricelyn Montenegro Niño;Patricia Rozo Lesmes;Andrea Johanna Avella Tolosa</dc:creator>
  <cp:lastModifiedBy>Adriana Esther Castillo Bolaño</cp:lastModifiedBy>
  <dcterms:created xsi:type="dcterms:W3CDTF">2023-11-22T07:51:26Z</dcterms:created>
  <dcterms:modified xsi:type="dcterms:W3CDTF">2026-09-19T19:01:46Z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0x01010088F3FA1CA7EC1D4B9E8B6345A048ADF9</vt:lpwstr>
  </property>
</Properties>
</file>
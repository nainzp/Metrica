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i unidad\Jobs\IngNovaTics\Proyectos\2026\Cronograma_Salud\"/>
    </mc:Choice>
  </mc:AlternateContent>
  <xr:revisionPtr revIDLastSave="0" documentId="13_ncr:1_{7470A168-7885-47F0-8E9A-55B8FE528805}" xr6:coauthVersionLast="47" xr6:coauthVersionMax="47" xr10:uidLastSave="{00000000-0000-0000-0000-000000000000}"/>
  <bookViews>
    <workbookView xWindow="-108" yWindow="-108" windowWidth="23256" windowHeight="13896" firstSheet="2" activeTab="2" xr2:uid="{B912CACB-572A-4953-9CC3-C6CBB983D9B1}"/>
  </bookViews>
  <sheets>
    <sheet name="PLAN DE ACCION EN SALUD" sheetId="3" state="hidden" r:id="rId1"/>
    <sheet name="TH" sheetId="4" state="hidden" r:id="rId2"/>
    <sheet name="PLAN" sheetId="2" r:id="rId3"/>
  </sheets>
  <definedNames>
    <definedName name="_xlnm._FilterDatabase" localSheetId="2" hidden="1">PLAN!$A$1:$N$277</definedName>
    <definedName name="_xlnm._FilterDatabase" localSheetId="0" hidden="1">'PLAN DE ACCION EN SALUD'!$A$4:$BI$4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G281" i="3" l="1"/>
  <c r="AH281" i="3" s="1"/>
  <c r="AF281" i="3"/>
  <c r="AE281" i="3"/>
  <c r="AB281" i="3"/>
  <c r="Y281" i="3"/>
  <c r="V281" i="3"/>
  <c r="BA280" i="3"/>
  <c r="AZ280" i="3"/>
  <c r="BC280" i="3" s="1"/>
  <c r="AH280" i="3"/>
  <c r="AG280" i="3"/>
  <c r="AF280" i="3"/>
  <c r="AE280" i="3"/>
  <c r="AB280" i="3"/>
  <c r="Y280" i="3"/>
  <c r="V280" i="3"/>
  <c r="BA279" i="3"/>
  <c r="AZ279" i="3"/>
  <c r="BC279" i="3" s="1"/>
  <c r="AH279" i="3"/>
  <c r="AG279" i="3"/>
  <c r="AF279" i="3"/>
  <c r="AE279" i="3"/>
  <c r="AB279" i="3"/>
  <c r="Y279" i="3"/>
  <c r="V279" i="3"/>
  <c r="BB278" i="3"/>
  <c r="BA278" i="3"/>
  <c r="AZ278" i="3"/>
  <c r="BC278" i="3" s="1"/>
  <c r="AG278" i="3"/>
  <c r="AH278" i="3" s="1"/>
  <c r="AF278" i="3"/>
  <c r="AE278" i="3"/>
  <c r="AB278" i="3"/>
  <c r="Y278" i="3"/>
  <c r="V278" i="3"/>
  <c r="BA277" i="3"/>
  <c r="BB277" i="3" s="1"/>
  <c r="AZ277" i="3"/>
  <c r="AQ277" i="3"/>
  <c r="AH277" i="3"/>
  <c r="AG277" i="3"/>
  <c r="AF277" i="3"/>
  <c r="AE277" i="3"/>
  <c r="AB277" i="3"/>
  <c r="Y277" i="3"/>
  <c r="V277" i="3"/>
  <c r="BA276" i="3"/>
  <c r="BB276" i="3" s="1"/>
  <c r="AZ276" i="3"/>
  <c r="AQ276" i="3"/>
  <c r="AH276" i="3"/>
  <c r="AG276" i="3"/>
  <c r="AF276" i="3"/>
  <c r="AE276" i="3"/>
  <c r="AB276" i="3"/>
  <c r="Y276" i="3"/>
  <c r="V276" i="3"/>
  <c r="BA275" i="3"/>
  <c r="BB275" i="3" s="1"/>
  <c r="AZ275" i="3"/>
  <c r="AH275" i="3"/>
  <c r="AG275" i="3"/>
  <c r="AF275" i="3"/>
  <c r="AE275" i="3"/>
  <c r="AB275" i="3"/>
  <c r="Y275" i="3"/>
  <c r="V275" i="3"/>
  <c r="BE274" i="3"/>
  <c r="BA274" i="3"/>
  <c r="AZ274" i="3"/>
  <c r="BC274" i="3" s="1"/>
  <c r="BH274" i="3" s="1"/>
  <c r="AG274" i="3"/>
  <c r="AF274" i="3"/>
  <c r="AE274" i="3"/>
  <c r="AB274" i="3"/>
  <c r="Y274" i="3"/>
  <c r="V274" i="3"/>
  <c r="BE273" i="3"/>
  <c r="BC273" i="3"/>
  <c r="BA273" i="3"/>
  <c r="BB273" i="3" s="1"/>
  <c r="AZ273" i="3"/>
  <c r="AG273" i="3"/>
  <c r="AF273" i="3"/>
  <c r="AH273" i="3" s="1"/>
  <c r="AE273" i="3"/>
  <c r="AB273" i="3"/>
  <c r="Y273" i="3"/>
  <c r="V273" i="3"/>
  <c r="BA272" i="3"/>
  <c r="AZ272" i="3"/>
  <c r="BC272" i="3" s="1"/>
  <c r="AG272" i="3"/>
  <c r="AH272" i="3" s="1"/>
  <c r="AF272" i="3"/>
  <c r="AE272" i="3"/>
  <c r="AB272" i="3"/>
  <c r="Y272" i="3"/>
  <c r="V272" i="3"/>
  <c r="BC271" i="3"/>
  <c r="BA271" i="3"/>
  <c r="BB271" i="3" s="1"/>
  <c r="AZ271" i="3"/>
  <c r="AH271" i="3"/>
  <c r="AG271" i="3"/>
  <c r="AF271" i="3"/>
  <c r="AE271" i="3"/>
  <c r="AB271" i="3"/>
  <c r="Y271" i="3"/>
  <c r="V271" i="3"/>
  <c r="BA270" i="3"/>
  <c r="BB270" i="3" s="1"/>
  <c r="AZ270" i="3"/>
  <c r="AG270" i="3"/>
  <c r="AH270" i="3" s="1"/>
  <c r="AF270" i="3"/>
  <c r="AE270" i="3"/>
  <c r="AB270" i="3"/>
  <c r="Y270" i="3"/>
  <c r="V270" i="3"/>
  <c r="BA269" i="3"/>
  <c r="BB269" i="3" s="1"/>
  <c r="AZ269" i="3"/>
  <c r="AG269" i="3"/>
  <c r="AH269" i="3" s="1"/>
  <c r="AF269" i="3"/>
  <c r="AE269" i="3"/>
  <c r="AB269" i="3"/>
  <c r="Y269" i="3"/>
  <c r="V269" i="3"/>
  <c r="BE268" i="3"/>
  <c r="BC268" i="3"/>
  <c r="BH268" i="3" s="1"/>
  <c r="BB268" i="3"/>
  <c r="BA268" i="3"/>
  <c r="AZ268" i="3"/>
  <c r="AG268" i="3"/>
  <c r="AH268" i="3" s="1"/>
  <c r="AF268" i="3"/>
  <c r="AE268" i="3"/>
  <c r="AB268" i="3"/>
  <c r="Y268" i="3"/>
  <c r="V268" i="3"/>
  <c r="BC267" i="3"/>
  <c r="BA267" i="3"/>
  <c r="BB267" i="3" s="1"/>
  <c r="AZ267" i="3"/>
  <c r="AH267" i="3"/>
  <c r="AG267" i="3"/>
  <c r="AF267" i="3"/>
  <c r="AE267" i="3"/>
  <c r="AB267" i="3"/>
  <c r="Y267" i="3"/>
  <c r="V267" i="3"/>
  <c r="BA266" i="3"/>
  <c r="BB266" i="3" s="1"/>
  <c r="AZ266" i="3"/>
  <c r="BC266" i="3" s="1"/>
  <c r="AG266" i="3"/>
  <c r="AH266" i="3" s="1"/>
  <c r="AF266" i="3"/>
  <c r="AE266" i="3"/>
  <c r="AB266" i="3"/>
  <c r="Y266" i="3"/>
  <c r="V266" i="3"/>
  <c r="BA265" i="3"/>
  <c r="AZ265" i="3"/>
  <c r="BC265" i="3" s="1"/>
  <c r="AG265" i="3"/>
  <c r="AH265" i="3" s="1"/>
  <c r="AF265" i="3"/>
  <c r="AE265" i="3"/>
  <c r="AB265" i="3"/>
  <c r="Y265" i="3"/>
  <c r="V265" i="3"/>
  <c r="BA264" i="3"/>
  <c r="AZ264" i="3"/>
  <c r="BC264" i="3" s="1"/>
  <c r="AH264" i="3"/>
  <c r="AG264" i="3"/>
  <c r="AF264" i="3"/>
  <c r="AE264" i="3"/>
  <c r="AB264" i="3"/>
  <c r="Y264" i="3"/>
  <c r="V264" i="3"/>
  <c r="BC263" i="3"/>
  <c r="BA263" i="3"/>
  <c r="BB263" i="3" s="1"/>
  <c r="AZ263" i="3"/>
  <c r="AG263" i="3"/>
  <c r="AH263" i="3" s="1"/>
  <c r="AF263" i="3"/>
  <c r="AE263" i="3"/>
  <c r="AB263" i="3"/>
  <c r="Y263" i="3"/>
  <c r="V263" i="3"/>
  <c r="BA262" i="3"/>
  <c r="BB262" i="3" s="1"/>
  <c r="AZ262" i="3"/>
  <c r="AH262" i="3"/>
  <c r="AG262" i="3"/>
  <c r="AF262" i="3"/>
  <c r="AE262" i="3"/>
  <c r="AB262" i="3"/>
  <c r="Y262" i="3"/>
  <c r="V262" i="3"/>
  <c r="BA261" i="3"/>
  <c r="AZ261" i="3"/>
  <c r="BC261" i="3" s="1"/>
  <c r="AG261" i="3"/>
  <c r="AF261" i="3"/>
  <c r="AE261" i="3"/>
  <c r="AB261" i="3"/>
  <c r="Y261" i="3"/>
  <c r="V261" i="3"/>
  <c r="BA260" i="3"/>
  <c r="AZ260" i="3"/>
  <c r="AG260" i="3"/>
  <c r="AF260" i="3"/>
  <c r="AH260" i="3" s="1"/>
  <c r="AE260" i="3"/>
  <c r="AB260" i="3"/>
  <c r="Y260" i="3"/>
  <c r="V260" i="3"/>
  <c r="BG259" i="3"/>
  <c r="BF259" i="3"/>
  <c r="BC259" i="3"/>
  <c r="BH259" i="3" s="1"/>
  <c r="BA259" i="3"/>
  <c r="BB259" i="3" s="1"/>
  <c r="AZ259" i="3"/>
  <c r="AG259" i="3"/>
  <c r="AH259" i="3" s="1"/>
  <c r="AF259" i="3"/>
  <c r="AE259" i="3"/>
  <c r="AB259" i="3"/>
  <c r="Y259" i="3"/>
  <c r="V259" i="3"/>
  <c r="BG258" i="3"/>
  <c r="BF258" i="3"/>
  <c r="BC258" i="3"/>
  <c r="BH258" i="3" s="1"/>
  <c r="BB258" i="3"/>
  <c r="BA258" i="3"/>
  <c r="AZ258" i="3"/>
  <c r="AG258" i="3"/>
  <c r="AF258" i="3"/>
  <c r="AE258" i="3"/>
  <c r="AB258" i="3"/>
  <c r="Y258" i="3"/>
  <c r="V258" i="3"/>
  <c r="BF257" i="3"/>
  <c r="BC257" i="3"/>
  <c r="BA257" i="3"/>
  <c r="BB257" i="3" s="1"/>
  <c r="AZ257" i="3"/>
  <c r="AG257" i="3"/>
  <c r="AF257" i="3"/>
  <c r="AH257" i="3" s="1"/>
  <c r="AE257" i="3"/>
  <c r="AB257" i="3"/>
  <c r="Y257" i="3"/>
  <c r="V257" i="3"/>
  <c r="BC256" i="3"/>
  <c r="BA256" i="3"/>
  <c r="BB256" i="3" s="1"/>
  <c r="AZ256" i="3"/>
  <c r="AH256" i="3"/>
  <c r="AG256" i="3"/>
  <c r="AF256" i="3"/>
  <c r="AE256" i="3"/>
  <c r="AB256" i="3"/>
  <c r="Y256" i="3"/>
  <c r="V256" i="3"/>
  <c r="BA255" i="3"/>
  <c r="BB255" i="3" s="1"/>
  <c r="AZ255" i="3"/>
  <c r="BC255" i="3" s="1"/>
  <c r="AH255" i="3"/>
  <c r="AG255" i="3"/>
  <c r="AF255" i="3"/>
  <c r="AE255" i="3"/>
  <c r="AB255" i="3"/>
  <c r="Y255" i="3"/>
  <c r="V255" i="3"/>
  <c r="BA254" i="3"/>
  <c r="BB254" i="3" s="1"/>
  <c r="AZ254" i="3"/>
  <c r="AH254" i="3"/>
  <c r="AG254" i="3"/>
  <c r="AF254" i="3"/>
  <c r="AE254" i="3"/>
  <c r="AB254" i="3"/>
  <c r="Y254" i="3"/>
  <c r="V254" i="3"/>
  <c r="BA253" i="3"/>
  <c r="AZ253" i="3"/>
  <c r="BC253" i="3" s="1"/>
  <c r="AG253" i="3"/>
  <c r="AH253" i="3" s="1"/>
  <c r="AF253" i="3"/>
  <c r="AE253" i="3"/>
  <c r="AB253" i="3"/>
  <c r="Y253" i="3"/>
  <c r="V253" i="3"/>
  <c r="BB252" i="3"/>
  <c r="BA252" i="3"/>
  <c r="AZ252" i="3"/>
  <c r="BC252" i="3" s="1"/>
  <c r="AG252" i="3"/>
  <c r="AH252" i="3" s="1"/>
  <c r="AF252" i="3"/>
  <c r="AE252" i="3"/>
  <c r="AB252" i="3"/>
  <c r="Y252" i="3"/>
  <c r="V252" i="3"/>
  <c r="BA251" i="3"/>
  <c r="BB251" i="3" s="1"/>
  <c r="AZ251" i="3"/>
  <c r="BC251" i="3" s="1"/>
  <c r="AG251" i="3"/>
  <c r="AH251" i="3" s="1"/>
  <c r="AF251" i="3"/>
  <c r="AE251" i="3"/>
  <c r="AB251" i="3"/>
  <c r="Y251" i="3"/>
  <c r="V251" i="3"/>
  <c r="BF250" i="3"/>
  <c r="BC250" i="3"/>
  <c r="BH250" i="3" s="1"/>
  <c r="BB250" i="3"/>
  <c r="BA250" i="3"/>
  <c r="AZ250" i="3"/>
  <c r="AH250" i="3"/>
  <c r="AG250" i="3"/>
  <c r="AF250" i="3"/>
  <c r="AE250" i="3"/>
  <c r="AB250" i="3"/>
  <c r="Y250" i="3"/>
  <c r="V250" i="3"/>
  <c r="BA249" i="3"/>
  <c r="AZ249" i="3"/>
  <c r="BC249" i="3" s="1"/>
  <c r="AH249" i="3"/>
  <c r="AG249" i="3"/>
  <c r="AF249" i="3"/>
  <c r="AE249" i="3"/>
  <c r="AB249" i="3"/>
  <c r="Y249" i="3"/>
  <c r="V249" i="3"/>
  <c r="BC248" i="3"/>
  <c r="BA248" i="3"/>
  <c r="BB248" i="3" s="1"/>
  <c r="AZ248" i="3"/>
  <c r="AG248" i="3"/>
  <c r="AH248" i="3" s="1"/>
  <c r="AF248" i="3"/>
  <c r="AE248" i="3"/>
  <c r="AB248" i="3"/>
  <c r="Y248" i="3"/>
  <c r="V248" i="3"/>
  <c r="BA247" i="3"/>
  <c r="AZ247" i="3"/>
  <c r="BC247" i="3" s="1"/>
  <c r="AH247" i="3"/>
  <c r="AG247" i="3"/>
  <c r="AF247" i="3"/>
  <c r="AE247" i="3"/>
  <c r="AB247" i="3"/>
  <c r="Y247" i="3"/>
  <c r="V247" i="3"/>
  <c r="BA246" i="3"/>
  <c r="AZ246" i="3"/>
  <c r="BC246" i="3" s="1"/>
  <c r="AG246" i="3"/>
  <c r="AH246" i="3" s="1"/>
  <c r="AF246" i="3"/>
  <c r="AE246" i="3"/>
  <c r="AB246" i="3"/>
  <c r="Y246" i="3"/>
  <c r="V246" i="3"/>
  <c r="BA245" i="3"/>
  <c r="AZ245" i="3"/>
  <c r="BC245" i="3" s="1"/>
  <c r="AH245" i="3"/>
  <c r="AG245" i="3"/>
  <c r="AF245" i="3"/>
  <c r="AE245" i="3"/>
  <c r="AB245" i="3"/>
  <c r="Y245" i="3"/>
  <c r="V245" i="3"/>
  <c r="BA244" i="3"/>
  <c r="AZ244" i="3"/>
  <c r="AH244" i="3"/>
  <c r="AG244" i="3"/>
  <c r="AF244" i="3"/>
  <c r="AE244" i="3"/>
  <c r="AB244" i="3"/>
  <c r="Y244" i="3"/>
  <c r="V244" i="3"/>
  <c r="BC243" i="3"/>
  <c r="BA243" i="3"/>
  <c r="BB243" i="3" s="1"/>
  <c r="AZ243" i="3"/>
  <c r="AG243" i="3"/>
  <c r="AH243" i="3" s="1"/>
  <c r="AF243" i="3"/>
  <c r="AE243" i="3"/>
  <c r="AB243" i="3"/>
  <c r="Y243" i="3"/>
  <c r="V243" i="3"/>
  <c r="BC242" i="3"/>
  <c r="BB242" i="3"/>
  <c r="BA242" i="3"/>
  <c r="AZ242" i="3"/>
  <c r="AG242" i="3"/>
  <c r="AH242" i="3" s="1"/>
  <c r="AF242" i="3"/>
  <c r="AE242" i="3"/>
  <c r="AB242" i="3"/>
  <c r="Y242" i="3"/>
  <c r="V242" i="3"/>
  <c r="BA241" i="3"/>
  <c r="AZ241" i="3"/>
  <c r="AG241" i="3"/>
  <c r="AF241" i="3"/>
  <c r="AH241" i="3" s="1"/>
  <c r="AE241" i="3"/>
  <c r="AB241" i="3"/>
  <c r="Y241" i="3"/>
  <c r="V241" i="3"/>
  <c r="BB240" i="3"/>
  <c r="BA240" i="3"/>
  <c r="AZ240" i="3"/>
  <c r="BC240" i="3" s="1"/>
  <c r="AG240" i="3"/>
  <c r="AH240" i="3" s="1"/>
  <c r="AF240" i="3"/>
  <c r="AE240" i="3"/>
  <c r="AB240" i="3"/>
  <c r="Y240" i="3"/>
  <c r="V240" i="3"/>
  <c r="BA239" i="3"/>
  <c r="AZ239" i="3"/>
  <c r="AH239" i="3"/>
  <c r="AG239" i="3"/>
  <c r="AF239" i="3"/>
  <c r="AE239" i="3"/>
  <c r="AB239" i="3"/>
  <c r="Y239" i="3"/>
  <c r="V239" i="3"/>
  <c r="BF238" i="3"/>
  <c r="BC238" i="3"/>
  <c r="BH238" i="3" s="1"/>
  <c r="BB238" i="3"/>
  <c r="BA238" i="3"/>
  <c r="AZ238" i="3"/>
  <c r="AH238" i="3"/>
  <c r="AG238" i="3"/>
  <c r="AF238" i="3"/>
  <c r="AE238" i="3"/>
  <c r="AB238" i="3"/>
  <c r="Y238" i="3"/>
  <c r="V238" i="3"/>
  <c r="BB237" i="3"/>
  <c r="BA237" i="3"/>
  <c r="AZ237" i="3"/>
  <c r="BC237" i="3" s="1"/>
  <c r="AG237" i="3"/>
  <c r="AH237" i="3" s="1"/>
  <c r="AF237" i="3"/>
  <c r="AE237" i="3"/>
  <c r="AB237" i="3"/>
  <c r="Y237" i="3"/>
  <c r="V237" i="3"/>
  <c r="BA236" i="3"/>
  <c r="BC236" i="3" s="1"/>
  <c r="AZ236" i="3"/>
  <c r="AG236" i="3"/>
  <c r="AF236" i="3"/>
  <c r="AH236" i="3" s="1"/>
  <c r="AE236" i="3"/>
  <c r="AB236" i="3"/>
  <c r="Y236" i="3"/>
  <c r="V236" i="3"/>
  <c r="BA235" i="3"/>
  <c r="AZ235" i="3"/>
  <c r="BC235" i="3" s="1"/>
  <c r="AH235" i="3"/>
  <c r="AG235" i="3"/>
  <c r="AF235" i="3"/>
  <c r="AE235" i="3"/>
  <c r="AB235" i="3"/>
  <c r="Y235" i="3"/>
  <c r="V235" i="3"/>
  <c r="BG234" i="3"/>
  <c r="BF234" i="3"/>
  <c r="BC234" i="3"/>
  <c r="BA234" i="3"/>
  <c r="BB234" i="3" s="1"/>
  <c r="AZ234" i="3"/>
  <c r="AG234" i="3"/>
  <c r="AH234" i="3" s="1"/>
  <c r="AF234" i="3"/>
  <c r="AE234" i="3"/>
  <c r="AB234" i="3"/>
  <c r="Y234" i="3"/>
  <c r="V234" i="3"/>
  <c r="BA233" i="3"/>
  <c r="AZ233" i="3"/>
  <c r="AG233" i="3"/>
  <c r="AH233" i="3" s="1"/>
  <c r="AF233" i="3"/>
  <c r="AE233" i="3"/>
  <c r="AB233" i="3"/>
  <c r="Y233" i="3"/>
  <c r="V233" i="3"/>
  <c r="BA232" i="3"/>
  <c r="AZ232" i="3"/>
  <c r="BC232" i="3" s="1"/>
  <c r="AH232" i="3"/>
  <c r="AG232" i="3"/>
  <c r="AF232" i="3"/>
  <c r="AE232" i="3"/>
  <c r="AB232" i="3"/>
  <c r="Y232" i="3"/>
  <c r="V232" i="3"/>
  <c r="BA231" i="3"/>
  <c r="AZ231" i="3"/>
  <c r="AG231" i="3"/>
  <c r="AF231" i="3"/>
  <c r="AE231" i="3"/>
  <c r="AB231" i="3"/>
  <c r="Y231" i="3"/>
  <c r="V231" i="3"/>
  <c r="BA230" i="3"/>
  <c r="BB230" i="3" s="1"/>
  <c r="AZ230" i="3"/>
  <c r="BC230" i="3" s="1"/>
  <c r="AG230" i="3"/>
  <c r="AF230" i="3"/>
  <c r="AH230" i="3" s="1"/>
  <c r="AE230" i="3"/>
  <c r="AB230" i="3"/>
  <c r="Y230" i="3"/>
  <c r="V230" i="3"/>
  <c r="BA229" i="3"/>
  <c r="AZ229" i="3"/>
  <c r="BC229" i="3" s="1"/>
  <c r="AH229" i="3"/>
  <c r="AG229" i="3"/>
  <c r="AF229" i="3"/>
  <c r="AE229" i="3"/>
  <c r="AB229" i="3"/>
  <c r="Y229" i="3"/>
  <c r="V229" i="3"/>
  <c r="BG228" i="3"/>
  <c r="BF228" i="3"/>
  <c r="BE228" i="3"/>
  <c r="BB228" i="3"/>
  <c r="BA228" i="3"/>
  <c r="AZ228" i="3"/>
  <c r="BC228" i="3" s="1"/>
  <c r="BH228" i="3" s="1"/>
  <c r="AH228" i="3"/>
  <c r="AG228" i="3"/>
  <c r="AF228" i="3"/>
  <c r="AE228" i="3"/>
  <c r="AB228" i="3"/>
  <c r="Y228" i="3"/>
  <c r="V228" i="3"/>
  <c r="BA227" i="3"/>
  <c r="BB227" i="3" s="1"/>
  <c r="AZ227" i="3"/>
  <c r="AH227" i="3"/>
  <c r="AG227" i="3"/>
  <c r="AF227" i="3"/>
  <c r="AE227" i="3"/>
  <c r="AB227" i="3"/>
  <c r="Y227" i="3"/>
  <c r="V227" i="3"/>
  <c r="BA226" i="3"/>
  <c r="AZ226" i="3"/>
  <c r="BC226" i="3" s="1"/>
  <c r="AH226" i="3"/>
  <c r="AG226" i="3"/>
  <c r="AF226" i="3"/>
  <c r="AE226" i="3"/>
  <c r="AB226" i="3"/>
  <c r="Y226" i="3"/>
  <c r="V226" i="3"/>
  <c r="BA225" i="3"/>
  <c r="AZ225" i="3"/>
  <c r="AH225" i="3"/>
  <c r="AG225" i="3"/>
  <c r="AF225" i="3"/>
  <c r="AE225" i="3"/>
  <c r="AB225" i="3"/>
  <c r="Y225" i="3"/>
  <c r="V225" i="3"/>
  <c r="BA224" i="3"/>
  <c r="AZ224" i="3"/>
  <c r="BC224" i="3" s="1"/>
  <c r="AH224" i="3"/>
  <c r="AG224" i="3"/>
  <c r="AF224" i="3"/>
  <c r="AE224" i="3"/>
  <c r="AB224" i="3"/>
  <c r="Y224" i="3"/>
  <c r="V224" i="3"/>
  <c r="BB223" i="3"/>
  <c r="BA223" i="3"/>
  <c r="AZ223" i="3"/>
  <c r="BC223" i="3" s="1"/>
  <c r="AH223" i="3"/>
  <c r="AG223" i="3"/>
  <c r="AF223" i="3"/>
  <c r="AE223" i="3"/>
  <c r="AB223" i="3"/>
  <c r="Y223" i="3"/>
  <c r="V223" i="3"/>
  <c r="BA222" i="3"/>
  <c r="BB222" i="3" s="1"/>
  <c r="AZ222" i="3"/>
  <c r="AG222" i="3"/>
  <c r="AH222" i="3" s="1"/>
  <c r="AF222" i="3"/>
  <c r="AE222" i="3"/>
  <c r="AB222" i="3"/>
  <c r="Y222" i="3"/>
  <c r="V222" i="3"/>
  <c r="BA221" i="3"/>
  <c r="AZ221" i="3"/>
  <c r="AG221" i="3"/>
  <c r="AF221" i="3"/>
  <c r="AE221" i="3"/>
  <c r="AB221" i="3"/>
  <c r="Y221" i="3"/>
  <c r="V221" i="3"/>
  <c r="BC220" i="3"/>
  <c r="BH220" i="3" s="1"/>
  <c r="BB220" i="3"/>
  <c r="BA220" i="3"/>
  <c r="AZ220" i="3"/>
  <c r="AH220" i="3"/>
  <c r="AG220" i="3"/>
  <c r="AF220" i="3"/>
  <c r="AE220" i="3"/>
  <c r="AB220" i="3"/>
  <c r="Y220" i="3"/>
  <c r="V220" i="3"/>
  <c r="BB219" i="3"/>
  <c r="BA219" i="3"/>
  <c r="AZ219" i="3"/>
  <c r="BC219" i="3" s="1"/>
  <c r="AG219" i="3"/>
  <c r="AH219" i="3" s="1"/>
  <c r="AF219" i="3"/>
  <c r="AE219" i="3"/>
  <c r="AB219" i="3"/>
  <c r="Y219" i="3"/>
  <c r="V219" i="3"/>
  <c r="BA218" i="3"/>
  <c r="AZ218" i="3"/>
  <c r="BC218" i="3" s="1"/>
  <c r="AH218" i="3"/>
  <c r="AG218" i="3"/>
  <c r="AF218" i="3"/>
  <c r="AE218" i="3"/>
  <c r="AB218" i="3"/>
  <c r="Y218" i="3"/>
  <c r="V218" i="3"/>
  <c r="BF217" i="3"/>
  <c r="BC217" i="3"/>
  <c r="BA217" i="3"/>
  <c r="BB217" i="3" s="1"/>
  <c r="AZ217" i="3"/>
  <c r="AG217" i="3"/>
  <c r="AH217" i="3" s="1"/>
  <c r="AF217" i="3"/>
  <c r="AE217" i="3"/>
  <c r="AB217" i="3"/>
  <c r="Y217" i="3"/>
  <c r="V217" i="3"/>
  <c r="BA216" i="3"/>
  <c r="AZ216" i="3"/>
  <c r="BC216" i="3" s="1"/>
  <c r="AG216" i="3"/>
  <c r="AH216" i="3" s="1"/>
  <c r="AF216" i="3"/>
  <c r="AE216" i="3"/>
  <c r="AB216" i="3"/>
  <c r="Y216" i="3"/>
  <c r="V216" i="3"/>
  <c r="BA215" i="3"/>
  <c r="AZ215" i="3"/>
  <c r="BC215" i="3" s="1"/>
  <c r="AG215" i="3"/>
  <c r="AF215" i="3"/>
  <c r="AH215" i="3" s="1"/>
  <c r="AE215" i="3"/>
  <c r="AB215" i="3"/>
  <c r="Y215" i="3"/>
  <c r="V215" i="3"/>
  <c r="BA214" i="3"/>
  <c r="BB214" i="3" s="1"/>
  <c r="AZ214" i="3"/>
  <c r="AG214" i="3"/>
  <c r="AF214" i="3"/>
  <c r="AE214" i="3"/>
  <c r="AB214" i="3"/>
  <c r="Y214" i="3"/>
  <c r="V214" i="3"/>
  <c r="BA213" i="3"/>
  <c r="BB213" i="3" s="1"/>
  <c r="AZ213" i="3"/>
  <c r="AG213" i="3"/>
  <c r="AH213" i="3" s="1"/>
  <c r="AF213" i="3"/>
  <c r="AE213" i="3"/>
  <c r="AB213" i="3"/>
  <c r="Y213" i="3"/>
  <c r="V213" i="3"/>
  <c r="BG212" i="3"/>
  <c r="BA212" i="3"/>
  <c r="AZ212" i="3"/>
  <c r="BC212" i="3" s="1"/>
  <c r="BH212" i="3" s="1"/>
  <c r="AH212" i="3"/>
  <c r="AG212" i="3"/>
  <c r="AF212" i="3"/>
  <c r="AE212" i="3"/>
  <c r="AB212" i="3"/>
  <c r="Y212" i="3"/>
  <c r="V212" i="3"/>
  <c r="BA211" i="3"/>
  <c r="BB211" i="3" s="1"/>
  <c r="AZ211" i="3"/>
  <c r="AG211" i="3"/>
  <c r="AH211" i="3" s="1"/>
  <c r="AF211" i="3"/>
  <c r="AE211" i="3"/>
  <c r="AB211" i="3"/>
  <c r="Y211" i="3"/>
  <c r="V211" i="3"/>
  <c r="BG210" i="3"/>
  <c r="BF210" i="3"/>
  <c r="BE210" i="3"/>
  <c r="BC210" i="3"/>
  <c r="BH210" i="3" s="1"/>
  <c r="BB210" i="3"/>
  <c r="BA210" i="3"/>
  <c r="AZ210" i="3"/>
  <c r="AG210" i="3"/>
  <c r="AH210" i="3" s="1"/>
  <c r="AF210" i="3"/>
  <c r="AE210" i="3"/>
  <c r="AB210" i="3"/>
  <c r="Y210" i="3"/>
  <c r="V210" i="3"/>
  <c r="BE209" i="3"/>
  <c r="BC209" i="3"/>
  <c r="BB209" i="3"/>
  <c r="BA209" i="3"/>
  <c r="AZ209" i="3"/>
  <c r="AG209" i="3"/>
  <c r="AF209" i="3"/>
  <c r="AH209" i="3" s="1"/>
  <c r="AE209" i="3"/>
  <c r="AB209" i="3"/>
  <c r="Y209" i="3"/>
  <c r="V209" i="3"/>
  <c r="BC208" i="3"/>
  <c r="BA208" i="3"/>
  <c r="BB208" i="3" s="1"/>
  <c r="AZ208" i="3"/>
  <c r="AG208" i="3"/>
  <c r="AH208" i="3" s="1"/>
  <c r="AF208" i="3"/>
  <c r="AE208" i="3"/>
  <c r="AB208" i="3"/>
  <c r="Y208" i="3"/>
  <c r="V208" i="3"/>
  <c r="BE207" i="3"/>
  <c r="BA207" i="3"/>
  <c r="AZ207" i="3"/>
  <c r="BC207" i="3" s="1"/>
  <c r="AH207" i="3"/>
  <c r="AG207" i="3"/>
  <c r="AF207" i="3"/>
  <c r="AE207" i="3"/>
  <c r="AB207" i="3"/>
  <c r="Y207" i="3"/>
  <c r="V207" i="3"/>
  <c r="BC206" i="3"/>
  <c r="BA206" i="3"/>
  <c r="AZ206" i="3"/>
  <c r="AG206" i="3"/>
  <c r="AH206" i="3" s="1"/>
  <c r="AF206" i="3"/>
  <c r="AE206" i="3"/>
  <c r="AB206" i="3"/>
  <c r="Y206" i="3"/>
  <c r="V206" i="3"/>
  <c r="BB205" i="3"/>
  <c r="BA205" i="3"/>
  <c r="AZ205" i="3"/>
  <c r="BC205" i="3" s="1"/>
  <c r="AG205" i="3"/>
  <c r="AH205" i="3" s="1"/>
  <c r="AF205" i="3"/>
  <c r="AE205" i="3"/>
  <c r="AB205" i="3"/>
  <c r="Y205" i="3"/>
  <c r="V205" i="3"/>
  <c r="BA204" i="3"/>
  <c r="BB204" i="3" s="1"/>
  <c r="AZ204" i="3"/>
  <c r="BC204" i="3" s="1"/>
  <c r="AG204" i="3"/>
  <c r="AH204" i="3" s="1"/>
  <c r="AF204" i="3"/>
  <c r="AE204" i="3"/>
  <c r="AB204" i="3"/>
  <c r="Y204" i="3"/>
  <c r="V204" i="3"/>
  <c r="BA203" i="3"/>
  <c r="AZ203" i="3"/>
  <c r="AG203" i="3"/>
  <c r="AH203" i="3" s="1"/>
  <c r="AF203" i="3"/>
  <c r="AE203" i="3"/>
  <c r="AB203" i="3"/>
  <c r="Y203" i="3"/>
  <c r="V203" i="3"/>
  <c r="BA202" i="3"/>
  <c r="BB202" i="3" s="1"/>
  <c r="AZ202" i="3"/>
  <c r="BC202" i="3" s="1"/>
  <c r="AG202" i="3"/>
  <c r="AH202" i="3" s="1"/>
  <c r="AF202" i="3"/>
  <c r="AE202" i="3"/>
  <c r="AB202" i="3"/>
  <c r="Y202" i="3"/>
  <c r="V202" i="3"/>
  <c r="BF201" i="3"/>
  <c r="BA201" i="3"/>
  <c r="AZ201" i="3"/>
  <c r="BC201" i="3" s="1"/>
  <c r="AH201" i="3"/>
  <c r="AG201" i="3"/>
  <c r="AF201" i="3"/>
  <c r="AE201" i="3"/>
  <c r="AB201" i="3"/>
  <c r="Y201" i="3"/>
  <c r="V201" i="3"/>
  <c r="BG200" i="3"/>
  <c r="BE200" i="3"/>
  <c r="BC200" i="3"/>
  <c r="BB200" i="3"/>
  <c r="BA200" i="3"/>
  <c r="AZ200" i="3"/>
  <c r="AH200" i="3"/>
  <c r="AG200" i="3"/>
  <c r="AF200" i="3"/>
  <c r="AE200" i="3"/>
  <c r="AB200" i="3"/>
  <c r="Y200" i="3"/>
  <c r="V200" i="3"/>
  <c r="BA199" i="3"/>
  <c r="BC199" i="3" s="1"/>
  <c r="AZ199" i="3"/>
  <c r="AH199" i="3"/>
  <c r="AG199" i="3"/>
  <c r="AF199" i="3"/>
  <c r="AE199" i="3"/>
  <c r="AB199" i="3"/>
  <c r="Y199" i="3"/>
  <c r="V199" i="3"/>
  <c r="BA198" i="3"/>
  <c r="AZ198" i="3"/>
  <c r="BC198" i="3" s="1"/>
  <c r="AG198" i="3"/>
  <c r="AH198" i="3" s="1"/>
  <c r="AF198" i="3"/>
  <c r="AE198" i="3"/>
  <c r="AB198" i="3"/>
  <c r="Y198" i="3"/>
  <c r="V198" i="3"/>
  <c r="BA197" i="3"/>
  <c r="AZ197" i="3"/>
  <c r="BC197" i="3" s="1"/>
  <c r="AG197" i="3"/>
  <c r="AH197" i="3" s="1"/>
  <c r="AF197" i="3"/>
  <c r="AE197" i="3"/>
  <c r="AB197" i="3"/>
  <c r="Y197" i="3"/>
  <c r="V197" i="3"/>
  <c r="BA196" i="3"/>
  <c r="BB196" i="3" s="1"/>
  <c r="AZ196" i="3"/>
  <c r="AG196" i="3"/>
  <c r="AH196" i="3" s="1"/>
  <c r="AF196" i="3"/>
  <c r="AE196" i="3"/>
  <c r="AB196" i="3"/>
  <c r="Y196" i="3"/>
  <c r="V196" i="3"/>
  <c r="BH195" i="3"/>
  <c r="BC195" i="3"/>
  <c r="BE195" i="3" s="1"/>
  <c r="BA195" i="3"/>
  <c r="AZ195" i="3"/>
  <c r="AH195" i="3"/>
  <c r="AG195" i="3"/>
  <c r="AF195" i="3"/>
  <c r="AE195" i="3"/>
  <c r="AB195" i="3"/>
  <c r="Y195" i="3"/>
  <c r="V195" i="3"/>
  <c r="BA194" i="3"/>
  <c r="AZ194" i="3"/>
  <c r="BC194" i="3" s="1"/>
  <c r="AG194" i="3"/>
  <c r="AF194" i="3"/>
  <c r="AE194" i="3"/>
  <c r="AB194" i="3"/>
  <c r="Y194" i="3"/>
  <c r="V194" i="3"/>
  <c r="BA193" i="3"/>
  <c r="AZ193" i="3"/>
  <c r="AG193" i="3"/>
  <c r="AH193" i="3" s="1"/>
  <c r="AF193" i="3"/>
  <c r="AE193" i="3"/>
  <c r="AB193" i="3"/>
  <c r="Y193" i="3"/>
  <c r="V193" i="3"/>
  <c r="BA192" i="3"/>
  <c r="BB192" i="3" s="1"/>
  <c r="AZ192" i="3"/>
  <c r="AH192" i="3"/>
  <c r="AG192" i="3"/>
  <c r="AF192" i="3"/>
  <c r="AE192" i="3"/>
  <c r="AB192" i="3"/>
  <c r="Y192" i="3"/>
  <c r="V192" i="3"/>
  <c r="BA191" i="3"/>
  <c r="AZ191" i="3"/>
  <c r="BC191" i="3" s="1"/>
  <c r="AG191" i="3"/>
  <c r="AF191" i="3"/>
  <c r="AH191" i="3" s="1"/>
  <c r="AE191" i="3"/>
  <c r="AB191" i="3"/>
  <c r="Y191" i="3"/>
  <c r="V191" i="3"/>
  <c r="BA190" i="3"/>
  <c r="AZ190" i="3"/>
  <c r="BC190" i="3" s="1"/>
  <c r="AH190" i="3"/>
  <c r="AG190" i="3"/>
  <c r="AF190" i="3"/>
  <c r="AE190" i="3"/>
  <c r="AB190" i="3"/>
  <c r="Y190" i="3"/>
  <c r="V190" i="3"/>
  <c r="BF189" i="3"/>
  <c r="BA189" i="3"/>
  <c r="AZ189" i="3"/>
  <c r="BC189" i="3" s="1"/>
  <c r="AH189" i="3"/>
  <c r="AG189" i="3"/>
  <c r="AF189" i="3"/>
  <c r="AE189" i="3"/>
  <c r="AB189" i="3"/>
  <c r="Y189" i="3"/>
  <c r="V189" i="3"/>
  <c r="BA188" i="3"/>
  <c r="AZ188" i="3"/>
  <c r="AQ188" i="3"/>
  <c r="AH188" i="3"/>
  <c r="AG188" i="3"/>
  <c r="AF188" i="3"/>
  <c r="AE188" i="3"/>
  <c r="AB188" i="3"/>
  <c r="Y188" i="3"/>
  <c r="V188" i="3"/>
  <c r="BA187" i="3"/>
  <c r="BB187" i="3" s="1"/>
  <c r="AZ187" i="3"/>
  <c r="BC187" i="3" s="1"/>
  <c r="AH187" i="3"/>
  <c r="AG187" i="3"/>
  <c r="AF187" i="3"/>
  <c r="AE187" i="3"/>
  <c r="AB187" i="3"/>
  <c r="Y187" i="3"/>
  <c r="V187" i="3"/>
  <c r="BA186" i="3"/>
  <c r="BB186" i="3" s="1"/>
  <c r="AZ186" i="3"/>
  <c r="AH186" i="3"/>
  <c r="AG186" i="3"/>
  <c r="AF186" i="3"/>
  <c r="AE186" i="3"/>
  <c r="AB186" i="3"/>
  <c r="Y186" i="3"/>
  <c r="V186" i="3"/>
  <c r="BI185" i="3"/>
  <c r="BH185" i="3"/>
  <c r="BG185" i="3"/>
  <c r="BE185" i="3"/>
  <c r="BB185" i="3"/>
  <c r="BA185" i="3"/>
  <c r="AZ185" i="3"/>
  <c r="BC185" i="3" s="1"/>
  <c r="BF185" i="3" s="1"/>
  <c r="AH185" i="3"/>
  <c r="AG185" i="3"/>
  <c r="AF185" i="3"/>
  <c r="AE185" i="3"/>
  <c r="AB185" i="3"/>
  <c r="Y185" i="3"/>
  <c r="V185" i="3"/>
  <c r="BE184" i="3"/>
  <c r="BA184" i="3"/>
  <c r="AZ184" i="3"/>
  <c r="BC184" i="3" s="1"/>
  <c r="BF184" i="3" s="1"/>
  <c r="AH184" i="3"/>
  <c r="AG184" i="3"/>
  <c r="AF184" i="3"/>
  <c r="AE184" i="3"/>
  <c r="AB184" i="3"/>
  <c r="Y184" i="3"/>
  <c r="V184" i="3"/>
  <c r="BE183" i="3"/>
  <c r="BA183" i="3"/>
  <c r="BB183" i="3" s="1"/>
  <c r="AZ183" i="3"/>
  <c r="BC183" i="3" s="1"/>
  <c r="AH183" i="3"/>
  <c r="AG183" i="3"/>
  <c r="AF183" i="3"/>
  <c r="AE183" i="3"/>
  <c r="AB183" i="3"/>
  <c r="Y183" i="3"/>
  <c r="V183" i="3"/>
  <c r="BA182" i="3"/>
  <c r="AZ182" i="3"/>
  <c r="BC182" i="3" s="1"/>
  <c r="AH182" i="3"/>
  <c r="AG182" i="3"/>
  <c r="AF182" i="3"/>
  <c r="AE182" i="3"/>
  <c r="AB182" i="3"/>
  <c r="Y182" i="3"/>
  <c r="V182" i="3"/>
  <c r="BA181" i="3"/>
  <c r="BB181" i="3" s="1"/>
  <c r="AZ181" i="3"/>
  <c r="AQ181" i="3"/>
  <c r="AH181" i="3"/>
  <c r="AG181" i="3"/>
  <c r="AF181" i="3"/>
  <c r="AE181" i="3"/>
  <c r="AB181" i="3"/>
  <c r="Y181" i="3"/>
  <c r="V181" i="3"/>
  <c r="BC180" i="3"/>
  <c r="BA180" i="3"/>
  <c r="AZ180" i="3"/>
  <c r="AH180" i="3"/>
  <c r="AG180" i="3"/>
  <c r="AF180" i="3"/>
  <c r="AE180" i="3"/>
  <c r="AB180" i="3"/>
  <c r="Y180" i="3"/>
  <c r="V180" i="3"/>
  <c r="BA179" i="3"/>
  <c r="BB179" i="3" s="1"/>
  <c r="AZ179" i="3"/>
  <c r="AH179" i="3"/>
  <c r="AG179" i="3"/>
  <c r="AF179" i="3"/>
  <c r="AE179" i="3"/>
  <c r="AB179" i="3"/>
  <c r="Y179" i="3"/>
  <c r="V179" i="3"/>
  <c r="BB178" i="3"/>
  <c r="BA178" i="3"/>
  <c r="AZ178" i="3"/>
  <c r="BC178" i="3" s="1"/>
  <c r="AQ178" i="3"/>
  <c r="AH178" i="3"/>
  <c r="AG178" i="3"/>
  <c r="AF178" i="3"/>
  <c r="AE178" i="3"/>
  <c r="AB178" i="3"/>
  <c r="Y178" i="3"/>
  <c r="V178" i="3"/>
  <c r="BA177" i="3"/>
  <c r="AZ177" i="3"/>
  <c r="AH177" i="3"/>
  <c r="AG177" i="3"/>
  <c r="AF177" i="3"/>
  <c r="AE177" i="3"/>
  <c r="AB177" i="3"/>
  <c r="Y177" i="3"/>
  <c r="V177" i="3"/>
  <c r="BB176" i="3"/>
  <c r="BA176" i="3"/>
  <c r="AZ176" i="3"/>
  <c r="BC176" i="3" s="1"/>
  <c r="AH176" i="3"/>
  <c r="AG176" i="3"/>
  <c r="AF176" i="3"/>
  <c r="AE176" i="3"/>
  <c r="AB176" i="3"/>
  <c r="Y176" i="3"/>
  <c r="V176" i="3"/>
  <c r="BB175" i="3"/>
  <c r="BA175" i="3"/>
  <c r="AZ175" i="3"/>
  <c r="BC175" i="3" s="1"/>
  <c r="AG175" i="3"/>
  <c r="AF175" i="3"/>
  <c r="AE175" i="3"/>
  <c r="AB175" i="3"/>
  <c r="Y175" i="3"/>
  <c r="V175" i="3"/>
  <c r="BC174" i="3"/>
  <c r="BA174" i="3"/>
  <c r="BB174" i="3" s="1"/>
  <c r="AZ174" i="3"/>
  <c r="AH174" i="3"/>
  <c r="AG174" i="3"/>
  <c r="AF174" i="3"/>
  <c r="AE174" i="3"/>
  <c r="AB174" i="3"/>
  <c r="Y174" i="3"/>
  <c r="BA173" i="3"/>
  <c r="AZ173" i="3"/>
  <c r="BC173" i="3" s="1"/>
  <c r="AH173" i="3"/>
  <c r="AG173" i="3"/>
  <c r="AF173" i="3"/>
  <c r="AE173" i="3"/>
  <c r="AB173" i="3"/>
  <c r="Y173" i="3"/>
  <c r="BH172" i="3"/>
  <c r="BE172" i="3"/>
  <c r="BB172" i="3"/>
  <c r="BA172" i="3"/>
  <c r="AZ172" i="3"/>
  <c r="BC172" i="3" s="1"/>
  <c r="BF172" i="3" s="1"/>
  <c r="AH172" i="3"/>
  <c r="AG172" i="3"/>
  <c r="AF172" i="3"/>
  <c r="AE172" i="3"/>
  <c r="AB172" i="3"/>
  <c r="Y172" i="3"/>
  <c r="BH171" i="3"/>
  <c r="BC171" i="3"/>
  <c r="BA171" i="3"/>
  <c r="AZ171" i="3"/>
  <c r="AH171" i="3"/>
  <c r="AG171" i="3"/>
  <c r="AF171" i="3"/>
  <c r="AE171" i="3"/>
  <c r="AB171" i="3"/>
  <c r="Y171" i="3"/>
  <c r="BA170" i="3"/>
  <c r="AZ170" i="3"/>
  <c r="AH170" i="3"/>
  <c r="AG170" i="3"/>
  <c r="AF170" i="3"/>
  <c r="AE170" i="3"/>
  <c r="AB170" i="3"/>
  <c r="Y170" i="3"/>
  <c r="BA169" i="3"/>
  <c r="AZ169" i="3"/>
  <c r="AH169" i="3"/>
  <c r="AG169" i="3"/>
  <c r="AF169" i="3"/>
  <c r="AE169" i="3"/>
  <c r="AB169" i="3"/>
  <c r="Y169" i="3"/>
  <c r="BB168" i="3"/>
  <c r="BA168" i="3"/>
  <c r="AZ168" i="3"/>
  <c r="BC168" i="3" s="1"/>
  <c r="AH168" i="3"/>
  <c r="AG168" i="3"/>
  <c r="AF168" i="3"/>
  <c r="AE168" i="3"/>
  <c r="AB168" i="3"/>
  <c r="Y168" i="3"/>
  <c r="BE167" i="3"/>
  <c r="BC167" i="3"/>
  <c r="BB167" i="3"/>
  <c r="BA167" i="3"/>
  <c r="AZ167" i="3"/>
  <c r="AH167" i="3"/>
  <c r="AG167" i="3"/>
  <c r="AF167" i="3"/>
  <c r="AE167" i="3"/>
  <c r="AB167" i="3"/>
  <c r="Y167" i="3"/>
  <c r="V167" i="3"/>
  <c r="BA166" i="3"/>
  <c r="BC166" i="3" s="1"/>
  <c r="AZ166" i="3"/>
  <c r="AH166" i="3"/>
  <c r="AG166" i="3"/>
  <c r="AF166" i="3"/>
  <c r="AE166" i="3"/>
  <c r="AB166" i="3"/>
  <c r="Y166" i="3"/>
  <c r="V166" i="3"/>
  <c r="BA165" i="3"/>
  <c r="BC165" i="3" s="1"/>
  <c r="AZ165" i="3"/>
  <c r="AH165" i="3"/>
  <c r="AG165" i="3"/>
  <c r="AF165" i="3"/>
  <c r="AE165" i="3"/>
  <c r="AB165" i="3"/>
  <c r="Y165" i="3"/>
  <c r="BA164" i="3"/>
  <c r="BB164" i="3" s="1"/>
  <c r="AZ164" i="3"/>
  <c r="BC164" i="3" s="1"/>
  <c r="AH164" i="3"/>
  <c r="AG164" i="3"/>
  <c r="AF164" i="3"/>
  <c r="AE164" i="3"/>
  <c r="AB164" i="3"/>
  <c r="Y164" i="3"/>
  <c r="BH163" i="3"/>
  <c r="BE163" i="3"/>
  <c r="BB163" i="3"/>
  <c r="BA163" i="3"/>
  <c r="AZ163" i="3"/>
  <c r="BC163" i="3" s="1"/>
  <c r="AH163" i="3"/>
  <c r="AG163" i="3"/>
  <c r="AF163" i="3"/>
  <c r="AE163" i="3"/>
  <c r="AB163" i="3"/>
  <c r="Y163" i="3"/>
  <c r="V163" i="3"/>
  <c r="BA162" i="3"/>
  <c r="BB162" i="3" s="1"/>
  <c r="AZ162" i="3"/>
  <c r="AH162" i="3"/>
  <c r="AG162" i="3"/>
  <c r="AF162" i="3"/>
  <c r="AE162" i="3"/>
  <c r="AB162" i="3"/>
  <c r="Y162" i="3"/>
  <c r="V162" i="3"/>
  <c r="BA161" i="3"/>
  <c r="AZ161" i="3"/>
  <c r="BC161" i="3" s="1"/>
  <c r="AH161" i="3"/>
  <c r="AG161" i="3"/>
  <c r="AF161" i="3"/>
  <c r="AE161" i="3"/>
  <c r="AB161" i="3"/>
  <c r="Y161" i="3"/>
  <c r="V161" i="3"/>
  <c r="BE160" i="3"/>
  <c r="BA160" i="3"/>
  <c r="BB160" i="3" s="1"/>
  <c r="AZ160" i="3"/>
  <c r="BC160" i="3" s="1"/>
  <c r="AH160" i="3"/>
  <c r="AG160" i="3"/>
  <c r="AF160" i="3"/>
  <c r="AE160" i="3"/>
  <c r="AB160" i="3"/>
  <c r="Y160" i="3"/>
  <c r="V160" i="3"/>
  <c r="BA159" i="3"/>
  <c r="BB159" i="3" s="1"/>
  <c r="AZ159" i="3"/>
  <c r="BC159" i="3" s="1"/>
  <c r="AH159" i="3"/>
  <c r="AG159" i="3"/>
  <c r="AF159" i="3"/>
  <c r="AE159" i="3"/>
  <c r="AB159" i="3"/>
  <c r="Y159" i="3"/>
  <c r="V159" i="3"/>
  <c r="BA158" i="3"/>
  <c r="BB158" i="3" s="1"/>
  <c r="AZ158" i="3"/>
  <c r="AH158" i="3"/>
  <c r="AG158" i="3"/>
  <c r="AF158" i="3"/>
  <c r="AE158" i="3"/>
  <c r="AB158" i="3"/>
  <c r="Y158" i="3"/>
  <c r="BA157" i="3"/>
  <c r="BB157" i="3" s="1"/>
  <c r="AZ157" i="3"/>
  <c r="AH157" i="3"/>
  <c r="AG157" i="3"/>
  <c r="AF157" i="3"/>
  <c r="AE157" i="3"/>
  <c r="AB157" i="3"/>
  <c r="Y157" i="3"/>
  <c r="V157" i="3"/>
  <c r="BA156" i="3"/>
  <c r="AZ156" i="3"/>
  <c r="BC156" i="3" s="1"/>
  <c r="AH156" i="3"/>
  <c r="AG156" i="3"/>
  <c r="AF156" i="3"/>
  <c r="AE156" i="3"/>
  <c r="AB156" i="3"/>
  <c r="Y156" i="3"/>
  <c r="V156" i="3"/>
  <c r="BA155" i="3"/>
  <c r="AZ155" i="3"/>
  <c r="BC155" i="3" s="1"/>
  <c r="AH155" i="3"/>
  <c r="AG155" i="3"/>
  <c r="AF155" i="3"/>
  <c r="AE155" i="3"/>
  <c r="AB155" i="3"/>
  <c r="Y155" i="3"/>
  <c r="V155" i="3"/>
  <c r="BC154" i="3"/>
  <c r="BA154" i="3"/>
  <c r="AZ154" i="3"/>
  <c r="AH154" i="3"/>
  <c r="AG154" i="3"/>
  <c r="AF154" i="3"/>
  <c r="AE154" i="3"/>
  <c r="AB154" i="3"/>
  <c r="Y154" i="3"/>
  <c r="V154" i="3"/>
  <c r="BA153" i="3"/>
  <c r="BB153" i="3" s="1"/>
  <c r="AZ153" i="3"/>
  <c r="AH153" i="3"/>
  <c r="AG153" i="3"/>
  <c r="AF153" i="3"/>
  <c r="AE153" i="3"/>
  <c r="AB153" i="3"/>
  <c r="Y153" i="3"/>
  <c r="V153" i="3"/>
  <c r="BA152" i="3"/>
  <c r="AZ152" i="3"/>
  <c r="BC152" i="3" s="1"/>
  <c r="AH152" i="3"/>
  <c r="AG152" i="3"/>
  <c r="AF152" i="3"/>
  <c r="AE152" i="3"/>
  <c r="AB152" i="3"/>
  <c r="Y152" i="3"/>
  <c r="V152" i="3"/>
  <c r="BA151" i="3"/>
  <c r="AZ151" i="3"/>
  <c r="BC151" i="3" s="1"/>
  <c r="AH151" i="3"/>
  <c r="AG151" i="3"/>
  <c r="AF151" i="3"/>
  <c r="AE151" i="3"/>
  <c r="AB151" i="3"/>
  <c r="Y151" i="3"/>
  <c r="V151" i="3"/>
  <c r="BC150" i="3"/>
  <c r="BA150" i="3"/>
  <c r="AZ150" i="3"/>
  <c r="AH150" i="3"/>
  <c r="AG150" i="3"/>
  <c r="AF150" i="3"/>
  <c r="AE150" i="3"/>
  <c r="AB150" i="3"/>
  <c r="Y150" i="3"/>
  <c r="V150" i="3"/>
  <c r="BA149" i="3"/>
  <c r="BB149" i="3" s="1"/>
  <c r="AZ149" i="3"/>
  <c r="AH149" i="3"/>
  <c r="AG149" i="3"/>
  <c r="AF149" i="3"/>
  <c r="AE149" i="3"/>
  <c r="AB149" i="3"/>
  <c r="Y149" i="3"/>
  <c r="V149" i="3"/>
  <c r="BA148" i="3"/>
  <c r="BB148" i="3" s="1"/>
  <c r="AZ148" i="3"/>
  <c r="BC148" i="3" s="1"/>
  <c r="AH148" i="3"/>
  <c r="AG148" i="3"/>
  <c r="AF148" i="3"/>
  <c r="AE148" i="3"/>
  <c r="AB148" i="3"/>
  <c r="Y148" i="3"/>
  <c r="V148" i="3"/>
  <c r="BC147" i="3"/>
  <c r="BB147" i="3"/>
  <c r="BA147" i="3"/>
  <c r="AZ147" i="3"/>
  <c r="AH147" i="3"/>
  <c r="AG147" i="3"/>
  <c r="AF147" i="3"/>
  <c r="AE147" i="3"/>
  <c r="AB147" i="3"/>
  <c r="Y147" i="3"/>
  <c r="V147" i="3"/>
  <c r="BH146" i="3"/>
  <c r="BC146" i="3"/>
  <c r="BA146" i="3"/>
  <c r="BB146" i="3" s="1"/>
  <c r="AZ146" i="3"/>
  <c r="AH146" i="3"/>
  <c r="AG146" i="3"/>
  <c r="AF146" i="3"/>
  <c r="AE146" i="3"/>
  <c r="AB146" i="3"/>
  <c r="Y146" i="3"/>
  <c r="V146" i="3"/>
  <c r="BH145" i="3"/>
  <c r="BG145" i="3"/>
  <c r="BC145" i="3"/>
  <c r="BB145" i="3"/>
  <c r="BA145" i="3"/>
  <c r="AZ145" i="3"/>
  <c r="AH145" i="3"/>
  <c r="AG145" i="3"/>
  <c r="AF145" i="3"/>
  <c r="AE145" i="3"/>
  <c r="AB145" i="3"/>
  <c r="Y145" i="3"/>
  <c r="V145" i="3"/>
  <c r="BC144" i="3"/>
  <c r="BB144" i="3"/>
  <c r="BA144" i="3"/>
  <c r="AZ144" i="3"/>
  <c r="AH144" i="3"/>
  <c r="AG144" i="3"/>
  <c r="AF144" i="3"/>
  <c r="AE144" i="3"/>
  <c r="AB144" i="3"/>
  <c r="Y144" i="3"/>
  <c r="V144" i="3"/>
  <c r="BA143" i="3"/>
  <c r="AZ143" i="3"/>
  <c r="AH143" i="3"/>
  <c r="AG143" i="3"/>
  <c r="AF143" i="3"/>
  <c r="AE143" i="3"/>
  <c r="AB143" i="3"/>
  <c r="Y143" i="3"/>
  <c r="V143" i="3"/>
  <c r="BC142" i="3"/>
  <c r="BA142" i="3"/>
  <c r="BB142" i="3" s="1"/>
  <c r="AZ142" i="3"/>
  <c r="AH142" i="3"/>
  <c r="AG142" i="3"/>
  <c r="AF142" i="3"/>
  <c r="AE142" i="3"/>
  <c r="AB142" i="3"/>
  <c r="Y142" i="3"/>
  <c r="V142" i="3"/>
  <c r="BA141" i="3"/>
  <c r="BB141" i="3" s="1"/>
  <c r="AZ141" i="3"/>
  <c r="BC141" i="3" s="1"/>
  <c r="AH141" i="3"/>
  <c r="AG141" i="3"/>
  <c r="AF141" i="3"/>
  <c r="AE141" i="3"/>
  <c r="AB141" i="3"/>
  <c r="Y141" i="3"/>
  <c r="V141" i="3"/>
  <c r="BC140" i="3"/>
  <c r="BA140" i="3"/>
  <c r="BB140" i="3" s="1"/>
  <c r="AZ140" i="3"/>
  <c r="AH140" i="3"/>
  <c r="AG140" i="3"/>
  <c r="AF140" i="3"/>
  <c r="AE140" i="3"/>
  <c r="AB140" i="3"/>
  <c r="Y140" i="3"/>
  <c r="V140" i="3"/>
  <c r="BA139" i="3"/>
  <c r="AZ139" i="3"/>
  <c r="BC139" i="3" s="1"/>
  <c r="AH139" i="3"/>
  <c r="AG139" i="3"/>
  <c r="AF139" i="3"/>
  <c r="AE139" i="3"/>
  <c r="AB139" i="3"/>
  <c r="Y139" i="3"/>
  <c r="V139" i="3"/>
  <c r="BA138" i="3"/>
  <c r="AZ138" i="3"/>
  <c r="BC138" i="3" s="1"/>
  <c r="AQ138" i="3"/>
  <c r="AH138" i="3"/>
  <c r="AG138" i="3"/>
  <c r="AF138" i="3"/>
  <c r="AE138" i="3"/>
  <c r="AB138" i="3"/>
  <c r="Y138" i="3"/>
  <c r="BA137" i="3"/>
  <c r="BB137" i="3" s="1"/>
  <c r="AZ137" i="3"/>
  <c r="BC137" i="3" s="1"/>
  <c r="AH137" i="3"/>
  <c r="AG137" i="3"/>
  <c r="AF137" i="3"/>
  <c r="AE137" i="3"/>
  <c r="AB137" i="3"/>
  <c r="Y137" i="3"/>
  <c r="V137" i="3"/>
  <c r="BC136" i="3"/>
  <c r="BA136" i="3"/>
  <c r="BB136" i="3" s="1"/>
  <c r="AZ136" i="3"/>
  <c r="AH136" i="3"/>
  <c r="AG136" i="3"/>
  <c r="AF136" i="3"/>
  <c r="AE136" i="3"/>
  <c r="AB136" i="3"/>
  <c r="Y136" i="3"/>
  <c r="V136" i="3"/>
  <c r="BA135" i="3"/>
  <c r="BC135" i="3" s="1"/>
  <c r="AZ135" i="3"/>
  <c r="AH135" i="3"/>
  <c r="AG135" i="3"/>
  <c r="AF135" i="3"/>
  <c r="AE135" i="3"/>
  <c r="AB135" i="3"/>
  <c r="Y135" i="3"/>
  <c r="V135" i="3"/>
  <c r="V138" i="3" s="1"/>
  <c r="BA134" i="3"/>
  <c r="BC134" i="3" s="1"/>
  <c r="AZ134" i="3"/>
  <c r="AH134" i="3"/>
  <c r="AG134" i="3"/>
  <c r="AF134" i="3"/>
  <c r="AE134" i="3"/>
  <c r="AB134" i="3"/>
  <c r="Y134" i="3"/>
  <c r="V134" i="3"/>
  <c r="BC133" i="3"/>
  <c r="BH133" i="3" s="1"/>
  <c r="BA133" i="3"/>
  <c r="BB133" i="3" s="1"/>
  <c r="AZ133" i="3"/>
  <c r="AH133" i="3"/>
  <c r="AG133" i="3"/>
  <c r="AF133" i="3"/>
  <c r="AE133" i="3"/>
  <c r="AB133" i="3"/>
  <c r="Y133" i="3"/>
  <c r="BB132" i="3"/>
  <c r="BA132" i="3"/>
  <c r="BC132" i="3" s="1"/>
  <c r="AZ132" i="3"/>
  <c r="AH132" i="3"/>
  <c r="AG132" i="3"/>
  <c r="AF132" i="3"/>
  <c r="AE132" i="3"/>
  <c r="AB132" i="3"/>
  <c r="Y132" i="3"/>
  <c r="V132" i="3"/>
  <c r="BA131" i="3"/>
  <c r="AZ131" i="3"/>
  <c r="AH131" i="3"/>
  <c r="AG131" i="3"/>
  <c r="AF131" i="3"/>
  <c r="AE131" i="3"/>
  <c r="AB131" i="3"/>
  <c r="Y131" i="3"/>
  <c r="V131" i="3"/>
  <c r="BC130" i="3"/>
  <c r="BA130" i="3"/>
  <c r="BB130" i="3" s="1"/>
  <c r="AZ130" i="3"/>
  <c r="AH130" i="3"/>
  <c r="AG130" i="3"/>
  <c r="AF130" i="3"/>
  <c r="AE130" i="3"/>
  <c r="AB130" i="3"/>
  <c r="Y130" i="3"/>
  <c r="V130" i="3"/>
  <c r="BA129" i="3"/>
  <c r="AZ129" i="3"/>
  <c r="BC129" i="3" s="1"/>
  <c r="AH129" i="3"/>
  <c r="AG129" i="3"/>
  <c r="AF129" i="3"/>
  <c r="AE129" i="3"/>
  <c r="AB129" i="3"/>
  <c r="Y129" i="3"/>
  <c r="V129" i="3"/>
  <c r="BH128" i="3"/>
  <c r="BC128" i="3"/>
  <c r="BA128" i="3"/>
  <c r="BB128" i="3" s="1"/>
  <c r="AZ128" i="3"/>
  <c r="AH128" i="3"/>
  <c r="AG128" i="3"/>
  <c r="AF128" i="3"/>
  <c r="AE128" i="3"/>
  <c r="AB128" i="3"/>
  <c r="Y128" i="3"/>
  <c r="V128" i="3"/>
  <c r="BA127" i="3"/>
  <c r="AZ127" i="3"/>
  <c r="BC127" i="3" s="1"/>
  <c r="AH127" i="3"/>
  <c r="AG127" i="3"/>
  <c r="AF127" i="3"/>
  <c r="AE127" i="3"/>
  <c r="AB127" i="3"/>
  <c r="Y127" i="3"/>
  <c r="V127" i="3"/>
  <c r="BA126" i="3"/>
  <c r="BC126" i="3" s="1"/>
  <c r="AZ126" i="3"/>
  <c r="AH126" i="3"/>
  <c r="AG126" i="3"/>
  <c r="AF126" i="3"/>
  <c r="AE126" i="3"/>
  <c r="AB126" i="3"/>
  <c r="Y126" i="3"/>
  <c r="V126" i="3"/>
  <c r="BA125" i="3"/>
  <c r="BB125" i="3" s="1"/>
  <c r="AZ125" i="3"/>
  <c r="BC125" i="3" s="1"/>
  <c r="AH125" i="3"/>
  <c r="AG125" i="3"/>
  <c r="AF125" i="3"/>
  <c r="AE125" i="3"/>
  <c r="AB125" i="3"/>
  <c r="Y125" i="3"/>
  <c r="V125" i="3"/>
  <c r="BA124" i="3"/>
  <c r="AZ124" i="3"/>
  <c r="BC124" i="3" s="1"/>
  <c r="AH124" i="3"/>
  <c r="AG124" i="3"/>
  <c r="AF124" i="3"/>
  <c r="AE124" i="3"/>
  <c r="AB124" i="3"/>
  <c r="Y124" i="3"/>
  <c r="V124" i="3"/>
  <c r="BA123" i="3"/>
  <c r="AZ123" i="3"/>
  <c r="AH123" i="3"/>
  <c r="AG123" i="3"/>
  <c r="AF123" i="3"/>
  <c r="AE123" i="3"/>
  <c r="AB123" i="3"/>
  <c r="Y123" i="3"/>
  <c r="V123" i="3"/>
  <c r="BA122" i="3"/>
  <c r="BB122" i="3" s="1"/>
  <c r="AZ122" i="3"/>
  <c r="BC122" i="3" s="1"/>
  <c r="BF122" i="3" s="1"/>
  <c r="AH122" i="3"/>
  <c r="AG122" i="3"/>
  <c r="AF122" i="3"/>
  <c r="AE122" i="3"/>
  <c r="AB122" i="3"/>
  <c r="Y122" i="3"/>
  <c r="V122" i="3"/>
  <c r="BA121" i="3"/>
  <c r="BB121" i="3" s="1"/>
  <c r="AZ121" i="3"/>
  <c r="BC121" i="3" s="1"/>
  <c r="AH121" i="3"/>
  <c r="AG121" i="3"/>
  <c r="AF121" i="3"/>
  <c r="AE121" i="3"/>
  <c r="AB121" i="3"/>
  <c r="Y121" i="3"/>
  <c r="V121" i="3"/>
  <c r="BC120" i="3"/>
  <c r="BH120" i="3" s="1"/>
  <c r="BA120" i="3"/>
  <c r="BB120" i="3" s="1"/>
  <c r="AZ120" i="3"/>
  <c r="AH120" i="3"/>
  <c r="AG120" i="3"/>
  <c r="AF120" i="3"/>
  <c r="AE120" i="3"/>
  <c r="AB120" i="3"/>
  <c r="Y120" i="3"/>
  <c r="V120" i="3"/>
  <c r="BE119" i="3"/>
  <c r="BC119" i="3"/>
  <c r="BH119" i="3" s="1"/>
  <c r="BB119" i="3"/>
  <c r="BA119" i="3"/>
  <c r="AZ119" i="3"/>
  <c r="AH119" i="3"/>
  <c r="AG119" i="3"/>
  <c r="AF119" i="3"/>
  <c r="AE119" i="3"/>
  <c r="AB119" i="3"/>
  <c r="Y119" i="3"/>
  <c r="V119" i="3"/>
  <c r="BH118" i="3"/>
  <c r="BA118" i="3"/>
  <c r="BC118" i="3" s="1"/>
  <c r="AZ118" i="3"/>
  <c r="AH118" i="3"/>
  <c r="AG118" i="3"/>
  <c r="AF118" i="3"/>
  <c r="AE118" i="3"/>
  <c r="AB118" i="3"/>
  <c r="Y118" i="3"/>
  <c r="BF117" i="3"/>
  <c r="BA117" i="3"/>
  <c r="BB117" i="3" s="1"/>
  <c r="AZ117" i="3"/>
  <c r="BC117" i="3" s="1"/>
  <c r="AH117" i="3"/>
  <c r="AG117" i="3"/>
  <c r="AF117" i="3"/>
  <c r="AE117" i="3"/>
  <c r="AB117" i="3"/>
  <c r="Y117" i="3"/>
  <c r="V117" i="3"/>
  <c r="BA116" i="3"/>
  <c r="AZ116" i="3"/>
  <c r="BC116" i="3" s="1"/>
  <c r="AH116" i="3"/>
  <c r="AG116" i="3"/>
  <c r="AF116" i="3"/>
  <c r="AE116" i="3"/>
  <c r="AB116" i="3"/>
  <c r="Y116" i="3"/>
  <c r="V116" i="3"/>
  <c r="BC115" i="3"/>
  <c r="BA115" i="3"/>
  <c r="BB115" i="3" s="1"/>
  <c r="AZ115" i="3"/>
  <c r="AH115" i="3"/>
  <c r="AG115" i="3"/>
  <c r="AF115" i="3"/>
  <c r="AE115" i="3"/>
  <c r="AB115" i="3"/>
  <c r="Y115" i="3"/>
  <c r="V115" i="3"/>
  <c r="BG114" i="3"/>
  <c r="BF114" i="3"/>
  <c r="BE114" i="3"/>
  <c r="BI114" i="3" s="1"/>
  <c r="BC114" i="3"/>
  <c r="BH114" i="3" s="1"/>
  <c r="BB114" i="3"/>
  <c r="BA114" i="3"/>
  <c r="AZ114" i="3"/>
  <c r="AH114" i="3"/>
  <c r="AG114" i="3"/>
  <c r="AF114" i="3"/>
  <c r="AE114" i="3"/>
  <c r="AB114" i="3"/>
  <c r="Y114" i="3"/>
  <c r="V114" i="3"/>
  <c r="BA113" i="3"/>
  <c r="BB113" i="3" s="1"/>
  <c r="AZ113" i="3"/>
  <c r="AH113" i="3"/>
  <c r="AG113" i="3"/>
  <c r="AF113" i="3"/>
  <c r="AE113" i="3"/>
  <c r="AB113" i="3"/>
  <c r="Y113" i="3"/>
  <c r="V113" i="3"/>
  <c r="BA112" i="3"/>
  <c r="BB112" i="3" s="1"/>
  <c r="AZ112" i="3"/>
  <c r="AH112" i="3"/>
  <c r="AG112" i="3"/>
  <c r="AF112" i="3"/>
  <c r="AE112" i="3"/>
  <c r="AB112" i="3"/>
  <c r="Y112" i="3"/>
  <c r="V112" i="3"/>
  <c r="BA111" i="3"/>
  <c r="BB111" i="3" s="1"/>
  <c r="AZ111" i="3"/>
  <c r="AH111" i="3"/>
  <c r="AG111" i="3"/>
  <c r="AF111" i="3"/>
  <c r="AE111" i="3"/>
  <c r="AB111" i="3"/>
  <c r="Y111" i="3"/>
  <c r="V111" i="3"/>
  <c r="BA110" i="3"/>
  <c r="BB110" i="3" s="1"/>
  <c r="AZ110" i="3"/>
  <c r="AH110" i="3"/>
  <c r="AG110" i="3"/>
  <c r="AF110" i="3"/>
  <c r="AE110" i="3"/>
  <c r="AB110" i="3"/>
  <c r="Y110" i="3"/>
  <c r="V110" i="3"/>
  <c r="BA109" i="3"/>
  <c r="BB109" i="3" s="1"/>
  <c r="AZ109" i="3"/>
  <c r="AH109" i="3"/>
  <c r="AG109" i="3"/>
  <c r="AF109" i="3"/>
  <c r="AE109" i="3"/>
  <c r="AB109" i="3"/>
  <c r="Y109" i="3"/>
  <c r="V109" i="3"/>
  <c r="BC108" i="3"/>
  <c r="BG108" i="3" s="1"/>
  <c r="BA108" i="3"/>
  <c r="BB108" i="3" s="1"/>
  <c r="AZ108" i="3"/>
  <c r="AH108" i="3"/>
  <c r="AG108" i="3"/>
  <c r="AF108" i="3"/>
  <c r="AE108" i="3"/>
  <c r="AB108" i="3"/>
  <c r="Y108" i="3"/>
  <c r="V108" i="3"/>
  <c r="BA107" i="3"/>
  <c r="BB107" i="3" s="1"/>
  <c r="AZ107" i="3"/>
  <c r="AH107" i="3"/>
  <c r="AG107" i="3"/>
  <c r="AF107" i="3"/>
  <c r="AE107" i="3"/>
  <c r="AB107" i="3"/>
  <c r="Y107" i="3"/>
  <c r="V107" i="3"/>
  <c r="BC106" i="3"/>
  <c r="BG106" i="3" s="1"/>
  <c r="BA106" i="3"/>
  <c r="BB106" i="3" s="1"/>
  <c r="AZ106" i="3"/>
  <c r="AH106" i="3"/>
  <c r="AG106" i="3"/>
  <c r="AF106" i="3"/>
  <c r="AE106" i="3"/>
  <c r="AB106" i="3"/>
  <c r="Y106" i="3"/>
  <c r="V106" i="3"/>
  <c r="BA105" i="3"/>
  <c r="BB105" i="3" s="1"/>
  <c r="AZ105" i="3"/>
  <c r="AH105" i="3"/>
  <c r="AG105" i="3"/>
  <c r="AF105" i="3"/>
  <c r="AE105" i="3"/>
  <c r="AB105" i="3"/>
  <c r="Y105" i="3"/>
  <c r="V105" i="3"/>
  <c r="BC104" i="3"/>
  <c r="BG104" i="3" s="1"/>
  <c r="BA104" i="3"/>
  <c r="BB104" i="3" s="1"/>
  <c r="AZ104" i="3"/>
  <c r="AH104" i="3"/>
  <c r="AG104" i="3"/>
  <c r="AF104" i="3"/>
  <c r="AE104" i="3"/>
  <c r="AB104" i="3"/>
  <c r="Y104" i="3"/>
  <c r="V104" i="3"/>
  <c r="BE103" i="3"/>
  <c r="BC103" i="3"/>
  <c r="BG103" i="3" s="1"/>
  <c r="BA103" i="3"/>
  <c r="BB103" i="3" s="1"/>
  <c r="AZ103" i="3"/>
  <c r="AH103" i="3"/>
  <c r="AG103" i="3"/>
  <c r="AF103" i="3"/>
  <c r="AE103" i="3"/>
  <c r="AB103" i="3"/>
  <c r="Y103" i="3"/>
  <c r="V103" i="3"/>
  <c r="BA102" i="3"/>
  <c r="BB102" i="3" s="1"/>
  <c r="AZ102" i="3"/>
  <c r="AQ102" i="3"/>
  <c r="AH102" i="3"/>
  <c r="AG102" i="3"/>
  <c r="AF102" i="3"/>
  <c r="AE102" i="3"/>
  <c r="AB102" i="3"/>
  <c r="Y102" i="3"/>
  <c r="V102" i="3"/>
  <c r="BG101" i="3"/>
  <c r="BF101" i="3"/>
  <c r="BB101" i="3"/>
  <c r="BA101" i="3"/>
  <c r="AZ101" i="3"/>
  <c r="BC101" i="3" s="1"/>
  <c r="BH101" i="3" s="1"/>
  <c r="AH101" i="3"/>
  <c r="AG101" i="3"/>
  <c r="AF101" i="3"/>
  <c r="AE101" i="3"/>
  <c r="AB101" i="3"/>
  <c r="Y101" i="3"/>
  <c r="V101" i="3"/>
  <c r="BG100" i="3"/>
  <c r="BF100" i="3"/>
  <c r="BE100" i="3"/>
  <c r="BI100" i="3" s="1"/>
  <c r="BB100" i="3"/>
  <c r="BA100" i="3"/>
  <c r="AZ100" i="3"/>
  <c r="BC100" i="3" s="1"/>
  <c r="BH100" i="3" s="1"/>
  <c r="AH100" i="3"/>
  <c r="AG100" i="3"/>
  <c r="AF100" i="3"/>
  <c r="AE100" i="3"/>
  <c r="AB100" i="3"/>
  <c r="Y100" i="3"/>
  <c r="V100" i="3"/>
  <c r="BA99" i="3"/>
  <c r="AZ99" i="3"/>
  <c r="BC99" i="3" s="1"/>
  <c r="BH99" i="3" s="1"/>
  <c r="AQ99" i="3"/>
  <c r="AH99" i="3"/>
  <c r="AG99" i="3"/>
  <c r="AF99" i="3"/>
  <c r="AE99" i="3"/>
  <c r="AB99" i="3"/>
  <c r="Y99" i="3"/>
  <c r="V99" i="3"/>
  <c r="BA98" i="3"/>
  <c r="BB98" i="3" s="1"/>
  <c r="AZ98" i="3"/>
  <c r="AH98" i="3"/>
  <c r="AG98" i="3"/>
  <c r="AF98" i="3"/>
  <c r="AE98" i="3"/>
  <c r="AB98" i="3"/>
  <c r="Y98" i="3"/>
  <c r="V98" i="3"/>
  <c r="BC97" i="3"/>
  <c r="BE97" i="3" s="1"/>
  <c r="BA97" i="3"/>
  <c r="BB97" i="3" s="1"/>
  <c r="AZ97" i="3"/>
  <c r="AH97" i="3"/>
  <c r="AG97" i="3"/>
  <c r="AF97" i="3"/>
  <c r="AE97" i="3"/>
  <c r="AB97" i="3"/>
  <c r="Y97" i="3"/>
  <c r="V97" i="3"/>
  <c r="BF96" i="3"/>
  <c r="BC96" i="3"/>
  <c r="BE96" i="3" s="1"/>
  <c r="BA96" i="3"/>
  <c r="BB96" i="3" s="1"/>
  <c r="AZ96" i="3"/>
  <c r="AH96" i="3"/>
  <c r="AG96" i="3"/>
  <c r="AF96" i="3"/>
  <c r="AE96" i="3"/>
  <c r="AB96" i="3"/>
  <c r="Y96" i="3"/>
  <c r="V96" i="3"/>
  <c r="BA95" i="3"/>
  <c r="BB95" i="3" s="1"/>
  <c r="AZ95" i="3"/>
  <c r="AH95" i="3"/>
  <c r="AG95" i="3"/>
  <c r="AF95" i="3"/>
  <c r="AE95" i="3"/>
  <c r="AB95" i="3"/>
  <c r="Y95" i="3"/>
  <c r="V95" i="3"/>
  <c r="BF94" i="3"/>
  <c r="BC94" i="3"/>
  <c r="BE94" i="3" s="1"/>
  <c r="BA94" i="3"/>
  <c r="BB94" i="3" s="1"/>
  <c r="AZ94" i="3"/>
  <c r="AH94" i="3"/>
  <c r="AG94" i="3"/>
  <c r="AF94" i="3"/>
  <c r="AE94" i="3"/>
  <c r="AB94" i="3"/>
  <c r="Y94" i="3"/>
  <c r="V94" i="3"/>
  <c r="BF93" i="3"/>
  <c r="BC93" i="3"/>
  <c r="BE93" i="3" s="1"/>
  <c r="BA93" i="3"/>
  <c r="BB93" i="3" s="1"/>
  <c r="AZ93" i="3"/>
  <c r="AH93" i="3"/>
  <c r="AG93" i="3"/>
  <c r="AF93" i="3"/>
  <c r="AE93" i="3"/>
  <c r="AB93" i="3"/>
  <c r="Y93" i="3"/>
  <c r="V93" i="3"/>
  <c r="BA92" i="3"/>
  <c r="BB92" i="3" s="1"/>
  <c r="AZ92" i="3"/>
  <c r="AH92" i="3"/>
  <c r="AG92" i="3"/>
  <c r="AF92" i="3"/>
  <c r="AE92" i="3"/>
  <c r="AB92" i="3"/>
  <c r="Y92" i="3"/>
  <c r="V92" i="3"/>
  <c r="BA91" i="3"/>
  <c r="BB91" i="3" s="1"/>
  <c r="AZ91" i="3"/>
  <c r="AH91" i="3"/>
  <c r="AG91" i="3"/>
  <c r="AF91" i="3"/>
  <c r="AE91" i="3"/>
  <c r="AB91" i="3"/>
  <c r="Y91" i="3"/>
  <c r="V91" i="3"/>
  <c r="BA90" i="3"/>
  <c r="BB90" i="3" s="1"/>
  <c r="AZ90" i="3"/>
  <c r="AH90" i="3"/>
  <c r="AG90" i="3"/>
  <c r="AF90" i="3"/>
  <c r="AE90" i="3"/>
  <c r="AB90" i="3"/>
  <c r="Y90" i="3"/>
  <c r="V90" i="3"/>
  <c r="BA89" i="3"/>
  <c r="BB89" i="3" s="1"/>
  <c r="AZ89" i="3"/>
  <c r="AH89" i="3"/>
  <c r="AG89" i="3"/>
  <c r="AF89" i="3"/>
  <c r="AE89" i="3"/>
  <c r="AB89" i="3"/>
  <c r="Y89" i="3"/>
  <c r="V89" i="3"/>
  <c r="BA88" i="3"/>
  <c r="BB88" i="3" s="1"/>
  <c r="AZ88" i="3"/>
  <c r="AH88" i="3"/>
  <c r="AG88" i="3"/>
  <c r="AF88" i="3"/>
  <c r="AE88" i="3"/>
  <c r="AB88" i="3"/>
  <c r="Y88" i="3"/>
  <c r="V88" i="3"/>
  <c r="BA87" i="3"/>
  <c r="BB87" i="3" s="1"/>
  <c r="AZ87" i="3"/>
  <c r="AH87" i="3"/>
  <c r="AG87" i="3"/>
  <c r="AF87" i="3"/>
  <c r="AE87" i="3"/>
  <c r="AB87" i="3"/>
  <c r="Y87" i="3"/>
  <c r="V87" i="3"/>
  <c r="BA86" i="3"/>
  <c r="BB86" i="3" s="1"/>
  <c r="AZ86" i="3"/>
  <c r="AH86" i="3"/>
  <c r="AG86" i="3"/>
  <c r="AF86" i="3"/>
  <c r="AE86" i="3"/>
  <c r="AB86" i="3"/>
  <c r="Y86" i="3"/>
  <c r="V86" i="3"/>
  <c r="BC85" i="3"/>
  <c r="BE85" i="3" s="1"/>
  <c r="BA85" i="3"/>
  <c r="BB85" i="3" s="1"/>
  <c r="AZ85" i="3"/>
  <c r="AH85" i="3"/>
  <c r="AG85" i="3"/>
  <c r="AF85" i="3"/>
  <c r="AE85" i="3"/>
  <c r="AB85" i="3"/>
  <c r="Y85" i="3"/>
  <c r="V85" i="3"/>
  <c r="BA84" i="3"/>
  <c r="BB84" i="3" s="1"/>
  <c r="AZ84" i="3"/>
  <c r="AH84" i="3"/>
  <c r="AG84" i="3"/>
  <c r="AF84" i="3"/>
  <c r="AE84" i="3"/>
  <c r="AB84" i="3"/>
  <c r="Y84" i="3"/>
  <c r="V84" i="3"/>
  <c r="BC83" i="3"/>
  <c r="BE83" i="3" s="1"/>
  <c r="BA83" i="3"/>
  <c r="BB83" i="3" s="1"/>
  <c r="AZ83" i="3"/>
  <c r="AH83" i="3"/>
  <c r="AG83" i="3"/>
  <c r="AF83" i="3"/>
  <c r="AE83" i="3"/>
  <c r="AB83" i="3"/>
  <c r="Y83" i="3"/>
  <c r="V83" i="3"/>
  <c r="BC82" i="3"/>
  <c r="BE82" i="3" s="1"/>
  <c r="BA82" i="3"/>
  <c r="BB82" i="3" s="1"/>
  <c r="AZ82" i="3"/>
  <c r="AH82" i="3"/>
  <c r="AG82" i="3"/>
  <c r="AF82" i="3"/>
  <c r="AE82" i="3"/>
  <c r="AB82" i="3"/>
  <c r="Y82" i="3"/>
  <c r="V82" i="3"/>
  <c r="BC81" i="3"/>
  <c r="BE81" i="3" s="1"/>
  <c r="BA81" i="3"/>
  <c r="BB81" i="3" s="1"/>
  <c r="AZ81" i="3"/>
  <c r="AQ81" i="3"/>
  <c r="AH81" i="3"/>
  <c r="AG81" i="3"/>
  <c r="AF81" i="3"/>
  <c r="AE81" i="3"/>
  <c r="AB81" i="3"/>
  <c r="Y81" i="3"/>
  <c r="V81" i="3"/>
  <c r="BH80" i="3"/>
  <c r="BA80" i="3"/>
  <c r="AZ80" i="3"/>
  <c r="BC80" i="3" s="1"/>
  <c r="BF80" i="3" s="1"/>
  <c r="AQ80" i="3"/>
  <c r="AH80" i="3"/>
  <c r="AG80" i="3"/>
  <c r="AF80" i="3"/>
  <c r="AE80" i="3"/>
  <c r="AB80" i="3"/>
  <c r="Y80" i="3"/>
  <c r="V80" i="3"/>
  <c r="BF79" i="3"/>
  <c r="BC79" i="3"/>
  <c r="BA79" i="3"/>
  <c r="BB79" i="3" s="1"/>
  <c r="AZ79" i="3"/>
  <c r="AH79" i="3"/>
  <c r="AG79" i="3"/>
  <c r="AF79" i="3"/>
  <c r="AE79" i="3"/>
  <c r="AB79" i="3"/>
  <c r="Y79" i="3"/>
  <c r="V79" i="3"/>
  <c r="BA78" i="3"/>
  <c r="BB78" i="3" s="1"/>
  <c r="AZ78" i="3"/>
  <c r="AH78" i="3"/>
  <c r="AG78" i="3"/>
  <c r="AF78" i="3"/>
  <c r="AE78" i="3"/>
  <c r="AB78" i="3"/>
  <c r="Y78" i="3"/>
  <c r="V78" i="3"/>
  <c r="BF77" i="3"/>
  <c r="BC77" i="3"/>
  <c r="BA77" i="3"/>
  <c r="BB77" i="3" s="1"/>
  <c r="AZ77" i="3"/>
  <c r="AH77" i="3"/>
  <c r="AG77" i="3"/>
  <c r="AF77" i="3"/>
  <c r="AE77" i="3"/>
  <c r="AB77" i="3"/>
  <c r="Y77" i="3"/>
  <c r="V77" i="3"/>
  <c r="BF76" i="3"/>
  <c r="BC76" i="3"/>
  <c r="BA76" i="3"/>
  <c r="BB76" i="3" s="1"/>
  <c r="AZ76" i="3"/>
  <c r="AH76" i="3"/>
  <c r="AG76" i="3"/>
  <c r="AF76" i="3"/>
  <c r="AE76" i="3"/>
  <c r="AB76" i="3"/>
  <c r="Y76" i="3"/>
  <c r="V76" i="3"/>
  <c r="BA75" i="3"/>
  <c r="BB75" i="3" s="1"/>
  <c r="AZ75" i="3"/>
  <c r="AH75" i="3"/>
  <c r="AG75" i="3"/>
  <c r="AF75" i="3"/>
  <c r="AE75" i="3"/>
  <c r="AB75" i="3"/>
  <c r="Y75" i="3"/>
  <c r="V75" i="3"/>
  <c r="BA74" i="3"/>
  <c r="BB74" i="3" s="1"/>
  <c r="AZ74" i="3"/>
  <c r="AH74" i="3"/>
  <c r="AG74" i="3"/>
  <c r="AF74" i="3"/>
  <c r="AE74" i="3"/>
  <c r="AB74" i="3"/>
  <c r="Y74" i="3"/>
  <c r="V74" i="3"/>
  <c r="BA73" i="3"/>
  <c r="BB73" i="3" s="1"/>
  <c r="AZ73" i="3"/>
  <c r="AH73" i="3"/>
  <c r="AG73" i="3"/>
  <c r="AF73" i="3"/>
  <c r="AE73" i="3"/>
  <c r="AB73" i="3"/>
  <c r="Y73" i="3"/>
  <c r="V73" i="3"/>
  <c r="BA72" i="3"/>
  <c r="BB72" i="3" s="1"/>
  <c r="AZ72" i="3"/>
  <c r="AH72" i="3"/>
  <c r="AG72" i="3"/>
  <c r="AF72" i="3"/>
  <c r="AE72" i="3"/>
  <c r="AB72" i="3"/>
  <c r="Y72" i="3"/>
  <c r="V72" i="3"/>
  <c r="BA71" i="3"/>
  <c r="BB71" i="3" s="1"/>
  <c r="AZ71" i="3"/>
  <c r="AH71" i="3"/>
  <c r="AG71" i="3"/>
  <c r="AF71" i="3"/>
  <c r="AE71" i="3"/>
  <c r="AB71" i="3"/>
  <c r="Y71" i="3"/>
  <c r="V71" i="3"/>
  <c r="BA70" i="3"/>
  <c r="BB70" i="3" s="1"/>
  <c r="AZ70" i="3"/>
  <c r="AH70" i="3"/>
  <c r="AG70" i="3"/>
  <c r="AF70" i="3"/>
  <c r="AE70" i="3"/>
  <c r="AB70" i="3"/>
  <c r="Y70" i="3"/>
  <c r="V70" i="3"/>
  <c r="BA69" i="3"/>
  <c r="BB69" i="3" s="1"/>
  <c r="AZ69" i="3"/>
  <c r="AH69" i="3"/>
  <c r="AG69" i="3"/>
  <c r="AF69" i="3"/>
  <c r="AE69" i="3"/>
  <c r="AB69" i="3"/>
  <c r="Y69" i="3"/>
  <c r="V69" i="3"/>
  <c r="BC68" i="3"/>
  <c r="BA68" i="3"/>
  <c r="BB68" i="3" s="1"/>
  <c r="AZ68" i="3"/>
  <c r="AH68" i="3"/>
  <c r="AG68" i="3"/>
  <c r="AF68" i="3"/>
  <c r="AE68" i="3"/>
  <c r="AB68" i="3"/>
  <c r="Y68" i="3"/>
  <c r="BH67" i="3"/>
  <c r="BG67" i="3"/>
  <c r="BA67" i="3"/>
  <c r="AZ67" i="3"/>
  <c r="BC67" i="3" s="1"/>
  <c r="BF67" i="3" s="1"/>
  <c r="AH67" i="3"/>
  <c r="AG67" i="3"/>
  <c r="AF67" i="3"/>
  <c r="AE67" i="3"/>
  <c r="AB67" i="3"/>
  <c r="Y67" i="3"/>
  <c r="BA66" i="3"/>
  <c r="BB66" i="3" s="1"/>
  <c r="AZ66" i="3"/>
  <c r="AH66" i="3"/>
  <c r="AG66" i="3"/>
  <c r="AF66" i="3"/>
  <c r="AE66" i="3"/>
  <c r="AB66" i="3"/>
  <c r="Y66" i="3"/>
  <c r="V66" i="3"/>
  <c r="BA65" i="3"/>
  <c r="BB65" i="3" s="1"/>
  <c r="AZ65" i="3"/>
  <c r="AH65" i="3"/>
  <c r="AG65" i="3"/>
  <c r="AF65" i="3"/>
  <c r="AE65" i="3"/>
  <c r="AB65" i="3"/>
  <c r="Y65" i="3"/>
  <c r="V65" i="3"/>
  <c r="BA64" i="3"/>
  <c r="BB64" i="3" s="1"/>
  <c r="AZ64" i="3"/>
  <c r="AH64" i="3"/>
  <c r="AG64" i="3"/>
  <c r="AF64" i="3"/>
  <c r="AE64" i="3"/>
  <c r="AB64" i="3"/>
  <c r="Y64" i="3"/>
  <c r="V64" i="3"/>
  <c r="BC63" i="3"/>
  <c r="BE63" i="3" s="1"/>
  <c r="BA63" i="3"/>
  <c r="BB63" i="3" s="1"/>
  <c r="AZ63" i="3"/>
  <c r="AH63" i="3"/>
  <c r="AG63" i="3"/>
  <c r="AF63" i="3"/>
  <c r="AE63" i="3"/>
  <c r="AB63" i="3"/>
  <c r="Y63" i="3"/>
  <c r="V63" i="3"/>
  <c r="BA62" i="3"/>
  <c r="BB62" i="3" s="1"/>
  <c r="AZ62" i="3"/>
  <c r="AH62" i="3"/>
  <c r="AG62" i="3"/>
  <c r="AF62" i="3"/>
  <c r="AE62" i="3"/>
  <c r="AB62" i="3"/>
  <c r="Y62" i="3"/>
  <c r="V62" i="3"/>
  <c r="BC61" i="3"/>
  <c r="BE61" i="3" s="1"/>
  <c r="BA61" i="3"/>
  <c r="BB61" i="3" s="1"/>
  <c r="AZ61" i="3"/>
  <c r="AQ61" i="3"/>
  <c r="AH61" i="3"/>
  <c r="AG61" i="3"/>
  <c r="AF61" i="3"/>
  <c r="AE61" i="3"/>
  <c r="AB61" i="3"/>
  <c r="Y61" i="3"/>
  <c r="V61" i="3"/>
  <c r="BA60" i="3"/>
  <c r="AZ60" i="3"/>
  <c r="BC60" i="3" s="1"/>
  <c r="BF60" i="3" s="1"/>
  <c r="AH60" i="3"/>
  <c r="AG60" i="3"/>
  <c r="AF60" i="3"/>
  <c r="AE60" i="3"/>
  <c r="AB60" i="3"/>
  <c r="Y60" i="3"/>
  <c r="V60" i="3"/>
  <c r="BA59" i="3"/>
  <c r="AZ59" i="3"/>
  <c r="BC59" i="3" s="1"/>
  <c r="BF59" i="3" s="1"/>
  <c r="AH59" i="3"/>
  <c r="AG59" i="3"/>
  <c r="AF59" i="3"/>
  <c r="AE59" i="3"/>
  <c r="AB59" i="3"/>
  <c r="Y59" i="3"/>
  <c r="V59" i="3"/>
  <c r="BA58" i="3"/>
  <c r="AZ58" i="3"/>
  <c r="BC58" i="3" s="1"/>
  <c r="BF58" i="3" s="1"/>
  <c r="AH58" i="3"/>
  <c r="AG58" i="3"/>
  <c r="AF58" i="3"/>
  <c r="AE58" i="3"/>
  <c r="AB58" i="3"/>
  <c r="Y58" i="3"/>
  <c r="V58" i="3"/>
  <c r="BH57" i="3"/>
  <c r="BA57" i="3"/>
  <c r="AZ57" i="3"/>
  <c r="BC57" i="3" s="1"/>
  <c r="BF57" i="3" s="1"/>
  <c r="AQ57" i="3"/>
  <c r="AH57" i="3"/>
  <c r="AG57" i="3"/>
  <c r="AF57" i="3"/>
  <c r="AE57" i="3"/>
  <c r="AB57" i="3"/>
  <c r="Y57" i="3"/>
  <c r="V57" i="3"/>
  <c r="BF56" i="3"/>
  <c r="BC56" i="3"/>
  <c r="BA56" i="3"/>
  <c r="BB56" i="3" s="1"/>
  <c r="AZ56" i="3"/>
  <c r="AH56" i="3"/>
  <c r="AG56" i="3"/>
  <c r="AF56" i="3"/>
  <c r="AE56" i="3"/>
  <c r="AB56" i="3"/>
  <c r="Y56" i="3"/>
  <c r="V56" i="3"/>
  <c r="BA55" i="3"/>
  <c r="BB55" i="3" s="1"/>
  <c r="AZ55" i="3"/>
  <c r="AQ55" i="3"/>
  <c r="AH55" i="3"/>
  <c r="AG55" i="3"/>
  <c r="AF55" i="3"/>
  <c r="AE55" i="3"/>
  <c r="AB55" i="3"/>
  <c r="Y55" i="3"/>
  <c r="V55" i="3"/>
  <c r="BG54" i="3"/>
  <c r="BE54" i="3"/>
  <c r="BA54" i="3"/>
  <c r="AZ54" i="3"/>
  <c r="BC54" i="3" s="1"/>
  <c r="AH54" i="3"/>
  <c r="AG54" i="3"/>
  <c r="AF54" i="3"/>
  <c r="AE54" i="3"/>
  <c r="AB54" i="3"/>
  <c r="Y54" i="3"/>
  <c r="V54" i="3"/>
  <c r="BG53" i="3"/>
  <c r="BF53" i="3"/>
  <c r="BE53" i="3"/>
  <c r="BI53" i="3" s="1"/>
  <c r="BB53" i="3"/>
  <c r="BA53" i="3"/>
  <c r="AZ53" i="3"/>
  <c r="BC53" i="3" s="1"/>
  <c r="BH53" i="3" s="1"/>
  <c r="AH53" i="3"/>
  <c r="AG53" i="3"/>
  <c r="AF53" i="3"/>
  <c r="AE53" i="3"/>
  <c r="AB53" i="3"/>
  <c r="Y53" i="3"/>
  <c r="BA52" i="3"/>
  <c r="BB52" i="3" s="1"/>
  <c r="AZ52" i="3"/>
  <c r="AH52" i="3"/>
  <c r="AG52" i="3"/>
  <c r="AF52" i="3"/>
  <c r="AE52" i="3"/>
  <c r="AB52" i="3"/>
  <c r="Y52" i="3"/>
  <c r="V52" i="3"/>
  <c r="BA51" i="3"/>
  <c r="BB51" i="3" s="1"/>
  <c r="AZ51" i="3"/>
  <c r="AH51" i="3"/>
  <c r="AG51" i="3"/>
  <c r="AF51" i="3"/>
  <c r="AE51" i="3"/>
  <c r="AB51" i="3"/>
  <c r="Y51" i="3"/>
  <c r="BA50" i="3"/>
  <c r="AZ50" i="3"/>
  <c r="BB50" i="3" s="1"/>
  <c r="AH50" i="3"/>
  <c r="AG50" i="3"/>
  <c r="AF50" i="3"/>
  <c r="AE50" i="3"/>
  <c r="AB50" i="3"/>
  <c r="Y50" i="3"/>
  <c r="BE49" i="3"/>
  <c r="BC49" i="3"/>
  <c r="BH49" i="3" s="1"/>
  <c r="BA49" i="3"/>
  <c r="BB49" i="3" s="1"/>
  <c r="AZ49" i="3"/>
  <c r="AH49" i="3"/>
  <c r="AG49" i="3"/>
  <c r="AF49" i="3"/>
  <c r="AE49" i="3"/>
  <c r="AB49" i="3"/>
  <c r="Y49" i="3"/>
  <c r="BB48" i="3"/>
  <c r="BA48" i="3"/>
  <c r="BC48" i="3" s="1"/>
  <c r="AZ48" i="3"/>
  <c r="AH48" i="3"/>
  <c r="AG48" i="3"/>
  <c r="AF48" i="3"/>
  <c r="AE48" i="3"/>
  <c r="AB48" i="3"/>
  <c r="Y48" i="3"/>
  <c r="BA47" i="3"/>
  <c r="BB47" i="3" s="1"/>
  <c r="AZ47" i="3"/>
  <c r="BC47" i="3" s="1"/>
  <c r="AH47" i="3"/>
  <c r="AG47" i="3"/>
  <c r="AF47" i="3"/>
  <c r="AE47" i="3"/>
  <c r="AB47" i="3"/>
  <c r="Y47" i="3"/>
  <c r="BE46" i="3"/>
  <c r="BC46" i="3"/>
  <c r="BF46" i="3" s="1"/>
  <c r="BA46" i="3"/>
  <c r="BB46" i="3" s="1"/>
  <c r="AZ46" i="3"/>
  <c r="AH46" i="3"/>
  <c r="AG46" i="3"/>
  <c r="AF46" i="3"/>
  <c r="AE46" i="3"/>
  <c r="AB46" i="3"/>
  <c r="Y46" i="3"/>
  <c r="BA45" i="3"/>
  <c r="BB45" i="3" s="1"/>
  <c r="AZ45" i="3"/>
  <c r="BC45" i="3" s="1"/>
  <c r="AH45" i="3"/>
  <c r="AG45" i="3"/>
  <c r="AF45" i="3"/>
  <c r="AE45" i="3"/>
  <c r="AB45" i="3"/>
  <c r="Y45" i="3"/>
  <c r="BA44" i="3"/>
  <c r="BB44" i="3" s="1"/>
  <c r="AZ44" i="3"/>
  <c r="BC44" i="3" s="1"/>
  <c r="BH44" i="3" s="1"/>
  <c r="AH44" i="3"/>
  <c r="AG44" i="3"/>
  <c r="AF44" i="3"/>
  <c r="AE44" i="3"/>
  <c r="AB44" i="3"/>
  <c r="Y44" i="3"/>
  <c r="V44" i="3"/>
  <c r="BA43" i="3"/>
  <c r="AZ43" i="3"/>
  <c r="BC43" i="3" s="1"/>
  <c r="BH43" i="3" s="1"/>
  <c r="AH43" i="3"/>
  <c r="AG43" i="3"/>
  <c r="AF43" i="3"/>
  <c r="AE43" i="3"/>
  <c r="AB43" i="3"/>
  <c r="Y43" i="3"/>
  <c r="V43" i="3"/>
  <c r="BA42" i="3"/>
  <c r="BB42" i="3" s="1"/>
  <c r="AZ42" i="3"/>
  <c r="BC42" i="3" s="1"/>
  <c r="BH42" i="3" s="1"/>
  <c r="AH42" i="3"/>
  <c r="AG42" i="3"/>
  <c r="AF42" i="3"/>
  <c r="AE42" i="3"/>
  <c r="AB42" i="3"/>
  <c r="Y42" i="3"/>
  <c r="V42" i="3"/>
  <c r="BB41" i="3"/>
  <c r="BA41" i="3"/>
  <c r="AZ41" i="3"/>
  <c r="AH41" i="3"/>
  <c r="AG41" i="3"/>
  <c r="AF41" i="3"/>
  <c r="AE41" i="3"/>
  <c r="AB41" i="3"/>
  <c r="Y41" i="3"/>
  <c r="V41" i="3"/>
  <c r="BG40" i="3"/>
  <c r="BA40" i="3"/>
  <c r="BB40" i="3" s="1"/>
  <c r="AZ40" i="3"/>
  <c r="BC40" i="3" s="1"/>
  <c r="BH40" i="3" s="1"/>
  <c r="AQ40" i="3"/>
  <c r="AH40" i="3"/>
  <c r="AG40" i="3"/>
  <c r="AF40" i="3"/>
  <c r="AE40" i="3"/>
  <c r="AB40" i="3"/>
  <c r="Y40" i="3"/>
  <c r="V40" i="3"/>
  <c r="BA39" i="3"/>
  <c r="BB39" i="3" s="1"/>
  <c r="AZ39" i="3"/>
  <c r="BC39" i="3" s="1"/>
  <c r="AH39" i="3"/>
  <c r="AG39" i="3"/>
  <c r="AF39" i="3"/>
  <c r="AE39" i="3"/>
  <c r="AB39" i="3"/>
  <c r="Y39" i="3"/>
  <c r="V39" i="3"/>
  <c r="BC38" i="3"/>
  <c r="BE38" i="3" s="1"/>
  <c r="BB38" i="3"/>
  <c r="BA38" i="3"/>
  <c r="AZ38" i="3"/>
  <c r="AH38" i="3"/>
  <c r="AG38" i="3"/>
  <c r="AF38" i="3"/>
  <c r="AE38" i="3"/>
  <c r="AB38" i="3"/>
  <c r="Y38" i="3"/>
  <c r="BA37" i="3"/>
  <c r="BB37" i="3" s="1"/>
  <c r="AZ37" i="3"/>
  <c r="BC37" i="3" s="1"/>
  <c r="BH37" i="3" s="1"/>
  <c r="AH37" i="3"/>
  <c r="AG37" i="3"/>
  <c r="AF37" i="3"/>
  <c r="AE37" i="3"/>
  <c r="AB37" i="3"/>
  <c r="Y37" i="3"/>
  <c r="V37" i="3"/>
  <c r="BA36" i="3"/>
  <c r="BB36" i="3" s="1"/>
  <c r="AZ36" i="3"/>
  <c r="BC36" i="3" s="1"/>
  <c r="BH36" i="3" s="1"/>
  <c r="AH36" i="3"/>
  <c r="AG36" i="3"/>
  <c r="AF36" i="3"/>
  <c r="AE36" i="3"/>
  <c r="AB36" i="3"/>
  <c r="Y36" i="3"/>
  <c r="V36" i="3"/>
  <c r="BA35" i="3"/>
  <c r="AZ35" i="3"/>
  <c r="BC35" i="3" s="1"/>
  <c r="BH35" i="3" s="1"/>
  <c r="AH35" i="3"/>
  <c r="AG35" i="3"/>
  <c r="AF35" i="3"/>
  <c r="AE35" i="3"/>
  <c r="AB35" i="3"/>
  <c r="Y35" i="3"/>
  <c r="V35" i="3"/>
  <c r="BA34" i="3"/>
  <c r="BB34" i="3" s="1"/>
  <c r="AZ34" i="3"/>
  <c r="BC34" i="3" s="1"/>
  <c r="BH34" i="3" s="1"/>
  <c r="AQ34" i="3"/>
  <c r="AG34" i="3"/>
  <c r="AH34" i="3" s="1"/>
  <c r="AF34" i="3"/>
  <c r="AE34" i="3"/>
  <c r="AB34" i="3"/>
  <c r="Y34" i="3"/>
  <c r="V34" i="3"/>
  <c r="BC33" i="3"/>
  <c r="BE33" i="3" s="1"/>
  <c r="BB33" i="3"/>
  <c r="BA33" i="3"/>
  <c r="AZ33" i="3"/>
  <c r="AH33" i="3"/>
  <c r="AG33" i="3"/>
  <c r="AF33" i="3"/>
  <c r="AE33" i="3"/>
  <c r="AB33" i="3"/>
  <c r="Y33" i="3"/>
  <c r="V33" i="3"/>
  <c r="BB32" i="3"/>
  <c r="BA32" i="3"/>
  <c r="BC32" i="3" s="1"/>
  <c r="AZ32" i="3"/>
  <c r="AH32" i="3"/>
  <c r="AG32" i="3"/>
  <c r="AF32" i="3"/>
  <c r="AE32" i="3"/>
  <c r="AB32" i="3"/>
  <c r="Y32" i="3"/>
  <c r="V32" i="3"/>
  <c r="BA31" i="3"/>
  <c r="BB31" i="3" s="1"/>
  <c r="AZ31" i="3"/>
  <c r="BC31" i="3" s="1"/>
  <c r="AH31" i="3"/>
  <c r="AG31" i="3"/>
  <c r="AF31" i="3"/>
  <c r="AE31" i="3"/>
  <c r="AB31" i="3"/>
  <c r="Y31" i="3"/>
  <c r="V31" i="3"/>
  <c r="BA30" i="3"/>
  <c r="BB30" i="3" s="1"/>
  <c r="AZ30" i="3"/>
  <c r="BC30" i="3" s="1"/>
  <c r="AH30" i="3"/>
  <c r="AG30" i="3"/>
  <c r="AF30" i="3"/>
  <c r="AE30" i="3"/>
  <c r="AB30" i="3"/>
  <c r="Y30" i="3"/>
  <c r="V30" i="3"/>
  <c r="BA29" i="3"/>
  <c r="BB29" i="3" s="1"/>
  <c r="AZ29" i="3"/>
  <c r="BC29" i="3" s="1"/>
  <c r="AH29" i="3"/>
  <c r="AG29" i="3"/>
  <c r="AF29" i="3"/>
  <c r="AE29" i="3"/>
  <c r="AB29" i="3"/>
  <c r="Y29" i="3"/>
  <c r="V29" i="3"/>
  <c r="BE28" i="3"/>
  <c r="BC28" i="3"/>
  <c r="BG28" i="3" s="1"/>
  <c r="BA28" i="3"/>
  <c r="BB28" i="3" s="1"/>
  <c r="AZ28" i="3"/>
  <c r="AH28" i="3"/>
  <c r="AG28" i="3"/>
  <c r="AF28" i="3"/>
  <c r="AE28" i="3"/>
  <c r="AB28" i="3"/>
  <c r="Y28" i="3"/>
  <c r="V28" i="3"/>
  <c r="BE27" i="3"/>
  <c r="BC27" i="3"/>
  <c r="BG27" i="3" s="1"/>
  <c r="BA27" i="3"/>
  <c r="BB27" i="3" s="1"/>
  <c r="AZ27" i="3"/>
  <c r="AH27" i="3"/>
  <c r="AG27" i="3"/>
  <c r="AF27" i="3"/>
  <c r="AE27" i="3"/>
  <c r="AB27" i="3"/>
  <c r="Y27" i="3"/>
  <c r="V27" i="3"/>
  <c r="BE26" i="3"/>
  <c r="BC26" i="3"/>
  <c r="BH26" i="3" s="1"/>
  <c r="BA26" i="3"/>
  <c r="BB26" i="3" s="1"/>
  <c r="AZ26" i="3"/>
  <c r="AH26" i="3"/>
  <c r="AG26" i="3"/>
  <c r="AF26" i="3"/>
  <c r="AE26" i="3"/>
  <c r="AB26" i="3"/>
  <c r="Y26" i="3"/>
  <c r="V26" i="3"/>
  <c r="BE25" i="3"/>
  <c r="BC25" i="3"/>
  <c r="BH25" i="3" s="1"/>
  <c r="BA25" i="3"/>
  <c r="BB25" i="3" s="1"/>
  <c r="AZ25" i="3"/>
  <c r="AH25" i="3"/>
  <c r="AG25" i="3"/>
  <c r="AF25" i="3"/>
  <c r="AE25" i="3"/>
  <c r="AB25" i="3"/>
  <c r="Y25" i="3"/>
  <c r="BC24" i="3"/>
  <c r="BH24" i="3" s="1"/>
  <c r="BB24" i="3"/>
  <c r="BA24" i="3"/>
  <c r="AZ24" i="3"/>
  <c r="AH24" i="3"/>
  <c r="AG24" i="3"/>
  <c r="AF24" i="3"/>
  <c r="AE24" i="3"/>
  <c r="AB24" i="3"/>
  <c r="Y24" i="3"/>
  <c r="V24" i="3"/>
  <c r="BC23" i="3"/>
  <c r="BG23" i="3" s="1"/>
  <c r="BB23" i="3"/>
  <c r="BA23" i="3"/>
  <c r="AZ23" i="3"/>
  <c r="AH23" i="3"/>
  <c r="AG23" i="3"/>
  <c r="AF23" i="3"/>
  <c r="AE23" i="3"/>
  <c r="AB23" i="3"/>
  <c r="Y23" i="3"/>
  <c r="V23" i="3"/>
  <c r="BC22" i="3"/>
  <c r="BF22" i="3" s="1"/>
  <c r="BB22" i="3"/>
  <c r="BA22" i="3"/>
  <c r="AZ22" i="3"/>
  <c r="AH22" i="3"/>
  <c r="AG22" i="3"/>
  <c r="AF22" i="3"/>
  <c r="AE22" i="3"/>
  <c r="AB22" i="3"/>
  <c r="Y22" i="3"/>
  <c r="V22" i="3"/>
  <c r="BC21" i="3"/>
  <c r="BH21" i="3" s="1"/>
  <c r="BB21" i="3"/>
  <c r="BA21" i="3"/>
  <c r="AZ21" i="3"/>
  <c r="AQ21" i="3"/>
  <c r="AG21" i="3"/>
  <c r="AH21" i="3" s="1"/>
  <c r="AF21" i="3"/>
  <c r="AE21" i="3"/>
  <c r="Y21" i="3"/>
  <c r="V21" i="3"/>
  <c r="BC20" i="3"/>
  <c r="BH20" i="3" s="1"/>
  <c r="BB20" i="3"/>
  <c r="BA20" i="3"/>
  <c r="AZ20" i="3"/>
  <c r="AH20" i="3"/>
  <c r="AG20" i="3"/>
  <c r="AF20" i="3"/>
  <c r="AE20" i="3"/>
  <c r="AB20" i="3"/>
  <c r="Y20" i="3"/>
  <c r="V20" i="3"/>
  <c r="BC19" i="3"/>
  <c r="BE19" i="3" s="1"/>
  <c r="BB19" i="3"/>
  <c r="BA19" i="3"/>
  <c r="AZ19" i="3"/>
  <c r="AH19" i="3"/>
  <c r="AG19" i="3"/>
  <c r="AF19" i="3"/>
  <c r="AE19" i="3"/>
  <c r="AB19" i="3"/>
  <c r="Y19" i="3"/>
  <c r="V19" i="3"/>
  <c r="BC18" i="3"/>
  <c r="BH18" i="3" s="1"/>
  <c r="BB18" i="3"/>
  <c r="BA18" i="3"/>
  <c r="AZ18" i="3"/>
  <c r="AG18" i="3"/>
  <c r="AH18" i="3" s="1"/>
  <c r="AF18" i="3"/>
  <c r="AE18" i="3"/>
  <c r="AB18" i="3"/>
  <c r="Y18" i="3"/>
  <c r="V18" i="3"/>
  <c r="BC17" i="3"/>
  <c r="BF17" i="3" s="1"/>
  <c r="BB17" i="3"/>
  <c r="BA17" i="3"/>
  <c r="AZ17" i="3"/>
  <c r="AH17" i="3"/>
  <c r="AG17" i="3"/>
  <c r="AF17" i="3"/>
  <c r="AE17" i="3"/>
  <c r="AB17" i="3"/>
  <c r="Y17" i="3"/>
  <c r="V17" i="3"/>
  <c r="BC16" i="3"/>
  <c r="BH16" i="3" s="1"/>
  <c r="BB16" i="3"/>
  <c r="BA16" i="3"/>
  <c r="AZ16" i="3"/>
  <c r="AH16" i="3"/>
  <c r="AG16" i="3"/>
  <c r="AF16" i="3"/>
  <c r="AE16" i="3"/>
  <c r="AB16" i="3"/>
  <c r="Y16" i="3"/>
  <c r="V16" i="3"/>
  <c r="BC15" i="3"/>
  <c r="BH15" i="3" s="1"/>
  <c r="BB15" i="3"/>
  <c r="BA15" i="3"/>
  <c r="AZ15" i="3"/>
  <c r="AH15" i="3"/>
  <c r="AG15" i="3"/>
  <c r="AF15" i="3"/>
  <c r="AE15" i="3"/>
  <c r="AB15" i="3"/>
  <c r="Y15" i="3"/>
  <c r="V15" i="3"/>
  <c r="BC14" i="3"/>
  <c r="BF14" i="3" s="1"/>
  <c r="BB14" i="3"/>
  <c r="BA14" i="3"/>
  <c r="AZ14" i="3"/>
  <c r="AH14" i="3"/>
  <c r="AG14" i="3"/>
  <c r="AF14" i="3"/>
  <c r="AE14" i="3"/>
  <c r="AB14" i="3"/>
  <c r="Y14" i="3"/>
  <c r="V14" i="3"/>
  <c r="BC13" i="3"/>
  <c r="BG13" i="3" s="1"/>
  <c r="BB13" i="3"/>
  <c r="BA13" i="3"/>
  <c r="AZ13" i="3"/>
  <c r="AQ13" i="3"/>
  <c r="AH13" i="3"/>
  <c r="AG13" i="3"/>
  <c r="AF13" i="3"/>
  <c r="AE13" i="3"/>
  <c r="AB13" i="3"/>
  <c r="Y13" i="3"/>
  <c r="V13" i="3"/>
  <c r="BE12" i="3"/>
  <c r="BC12" i="3"/>
  <c r="BF12" i="3" s="1"/>
  <c r="BA12" i="3"/>
  <c r="BB12" i="3" s="1"/>
  <c r="AZ12" i="3"/>
  <c r="AH12" i="3"/>
  <c r="AG12" i="3"/>
  <c r="AF12" i="3"/>
  <c r="AE12" i="3"/>
  <c r="AB12" i="3"/>
  <c r="Y12" i="3"/>
  <c r="V12" i="3"/>
  <c r="BE11" i="3"/>
  <c r="BC11" i="3"/>
  <c r="BH11" i="3" s="1"/>
  <c r="BA11" i="3"/>
  <c r="BB11" i="3" s="1"/>
  <c r="AZ11" i="3"/>
  <c r="AH11" i="3"/>
  <c r="AG11" i="3"/>
  <c r="AF11" i="3"/>
  <c r="AE11" i="3"/>
  <c r="AB11" i="3"/>
  <c r="Y11" i="3"/>
  <c r="V11" i="3"/>
  <c r="BE10" i="3"/>
  <c r="BC10" i="3"/>
  <c r="BG10" i="3" s="1"/>
  <c r="BA10" i="3"/>
  <c r="BB10" i="3" s="1"/>
  <c r="AZ10" i="3"/>
  <c r="AH10" i="3"/>
  <c r="AG10" i="3"/>
  <c r="AF10" i="3"/>
  <c r="AE10" i="3"/>
  <c r="AB10" i="3"/>
  <c r="Y10" i="3"/>
  <c r="V10" i="3"/>
  <c r="BE9" i="3"/>
  <c r="BC9" i="3"/>
  <c r="BF9" i="3" s="1"/>
  <c r="BA9" i="3"/>
  <c r="BB9" i="3" s="1"/>
  <c r="AZ9" i="3"/>
  <c r="AQ9" i="3"/>
  <c r="AH9" i="3"/>
  <c r="AG9" i="3"/>
  <c r="AF9" i="3"/>
  <c r="AE9" i="3"/>
  <c r="AB9" i="3"/>
  <c r="Y9" i="3"/>
  <c r="V9" i="3"/>
  <c r="BA8" i="3"/>
  <c r="BB8" i="3" s="1"/>
  <c r="AZ8" i="3"/>
  <c r="BC8" i="3" s="1"/>
  <c r="AQ8" i="3"/>
  <c r="AH8" i="3"/>
  <c r="AG8" i="3"/>
  <c r="AF8" i="3"/>
  <c r="AE8" i="3"/>
  <c r="AB8" i="3"/>
  <c r="Y8" i="3"/>
  <c r="V8" i="3"/>
  <c r="BA7" i="3"/>
  <c r="BB7" i="3" s="1"/>
  <c r="AZ7" i="3"/>
  <c r="BC7" i="3" s="1"/>
  <c r="AQ7" i="3"/>
  <c r="AG7" i="3"/>
  <c r="AH7" i="3" s="1"/>
  <c r="AF7" i="3"/>
  <c r="AE7" i="3"/>
  <c r="AB7" i="3"/>
  <c r="Y7" i="3"/>
  <c r="V7" i="3"/>
  <c r="BA6" i="3"/>
  <c r="BB6" i="3" s="1"/>
  <c r="AZ6" i="3"/>
  <c r="BC6" i="3" s="1"/>
  <c r="AH6" i="3"/>
  <c r="AG6" i="3"/>
  <c r="AF6" i="3"/>
  <c r="AE6" i="3"/>
  <c r="AB6" i="3"/>
  <c r="Y6" i="3"/>
  <c r="V6" i="3"/>
  <c r="BA5" i="3"/>
  <c r="AZ5" i="3"/>
  <c r="AG5" i="3"/>
  <c r="AF5" i="3"/>
  <c r="AE5" i="3"/>
  <c r="AB5" i="3"/>
  <c r="Y5" i="3"/>
  <c r="V5" i="3"/>
  <c r="BI3" i="3"/>
  <c r="BH29" i="3" l="1"/>
  <c r="BF29" i="3"/>
  <c r="BG29" i="3"/>
  <c r="BE29" i="3"/>
  <c r="BI29" i="3" s="1"/>
  <c r="BH48" i="3"/>
  <c r="BG48" i="3"/>
  <c r="BF48" i="3"/>
  <c r="BE48" i="3"/>
  <c r="BI48" i="3" s="1"/>
  <c r="BF127" i="3"/>
  <c r="BE127" i="3"/>
  <c r="BH127" i="3"/>
  <c r="BG127" i="3"/>
  <c r="BF132" i="3"/>
  <c r="BE132" i="3"/>
  <c r="BH132" i="3"/>
  <c r="BG132" i="3"/>
  <c r="BF139" i="3"/>
  <c r="BE139" i="3"/>
  <c r="BH139" i="3"/>
  <c r="BG139" i="3"/>
  <c r="BE45" i="3"/>
  <c r="BG45" i="3"/>
  <c r="BH45" i="3"/>
  <c r="BF45" i="3"/>
  <c r="BG47" i="3"/>
  <c r="BE47" i="3"/>
  <c r="BI47" i="3" s="1"/>
  <c r="BH47" i="3"/>
  <c r="BF47" i="3"/>
  <c r="BF31" i="3"/>
  <c r="BE31" i="3"/>
  <c r="BH31" i="3"/>
  <c r="BG31" i="3"/>
  <c r="BE30" i="3"/>
  <c r="BG30" i="3"/>
  <c r="BH30" i="3"/>
  <c r="BF30" i="3"/>
  <c r="BE6" i="3"/>
  <c r="BG6" i="3"/>
  <c r="BH6" i="3"/>
  <c r="BF6" i="3"/>
  <c r="BH126" i="3"/>
  <c r="BG126" i="3"/>
  <c r="BF126" i="3"/>
  <c r="BE126" i="3"/>
  <c r="BE7" i="3"/>
  <c r="BG7" i="3"/>
  <c r="BH7" i="3"/>
  <c r="BF7" i="3"/>
  <c r="BH8" i="3"/>
  <c r="BG8" i="3"/>
  <c r="BF8" i="3"/>
  <c r="BE8" i="3"/>
  <c r="BI8" i="3" s="1"/>
  <c r="BG32" i="3"/>
  <c r="BF32" i="3"/>
  <c r="BE32" i="3"/>
  <c r="BI32" i="3" s="1"/>
  <c r="BH32" i="3"/>
  <c r="BE39" i="3"/>
  <c r="BG39" i="3"/>
  <c r="BH39" i="3"/>
  <c r="BF39" i="3"/>
  <c r="BE77" i="3"/>
  <c r="BG77" i="3"/>
  <c r="BF128" i="3"/>
  <c r="BE128" i="3"/>
  <c r="BG128" i="3"/>
  <c r="BF144" i="3"/>
  <c r="BE144" i="3"/>
  <c r="BH144" i="3"/>
  <c r="BG144" i="3"/>
  <c r="BF152" i="3"/>
  <c r="BE152" i="3"/>
  <c r="BH152" i="3"/>
  <c r="BG152" i="3"/>
  <c r="BH164" i="3"/>
  <c r="BG164" i="3"/>
  <c r="BE164" i="3"/>
  <c r="BF164" i="3"/>
  <c r="BE14" i="3"/>
  <c r="BF25" i="3"/>
  <c r="BF28" i="3"/>
  <c r="BF38" i="3"/>
  <c r="BG46" i="3"/>
  <c r="BI46" i="3" s="1"/>
  <c r="BB60" i="3"/>
  <c r="BF61" i="3"/>
  <c r="BC66" i="3"/>
  <c r="BC71" i="3"/>
  <c r="BH77" i="3"/>
  <c r="BF83" i="3"/>
  <c r="BC88" i="3"/>
  <c r="BG94" i="3"/>
  <c r="BB99" i="3"/>
  <c r="BE106" i="3"/>
  <c r="BC111" i="3"/>
  <c r="BH116" i="3"/>
  <c r="BF116" i="3"/>
  <c r="BB138" i="3"/>
  <c r="BH166" i="3"/>
  <c r="BF166" i="3"/>
  <c r="BG166" i="3"/>
  <c r="BE166" i="3"/>
  <c r="BH198" i="3"/>
  <c r="BF198" i="3"/>
  <c r="BG198" i="3"/>
  <c r="BE198" i="3"/>
  <c r="BE17" i="3"/>
  <c r="BF16" i="3"/>
  <c r="BE60" i="3"/>
  <c r="BG61" i="3"/>
  <c r="BE76" i="3"/>
  <c r="BG76" i="3"/>
  <c r="BG83" i="3"/>
  <c r="BH94" i="3"/>
  <c r="BI94" i="3" s="1"/>
  <c r="BE99" i="3"/>
  <c r="BI99" i="3" s="1"/>
  <c r="BF106" i="3"/>
  <c r="BH224" i="3"/>
  <c r="BG224" i="3"/>
  <c r="BF224" i="3"/>
  <c r="BE224" i="3"/>
  <c r="BE24" i="3"/>
  <c r="BC98" i="3"/>
  <c r="BF99" i="3"/>
  <c r="BC105" i="3"/>
  <c r="BH106" i="3"/>
  <c r="BE116" i="3"/>
  <c r="BH124" i="3"/>
  <c r="BG124" i="3"/>
  <c r="BF124" i="3"/>
  <c r="BE124" i="3"/>
  <c r="BI124" i="3" s="1"/>
  <c r="BB127" i="3"/>
  <c r="BC143" i="3"/>
  <c r="BB143" i="3"/>
  <c r="BF154" i="3"/>
  <c r="BE154" i="3"/>
  <c r="BH154" i="3"/>
  <c r="BG154" i="3"/>
  <c r="BH122" i="3"/>
  <c r="BG122" i="3"/>
  <c r="BE122" i="3"/>
  <c r="BF27" i="3"/>
  <c r="BI27" i="3" s="1"/>
  <c r="BF23" i="3"/>
  <c r="BG99" i="3"/>
  <c r="BC110" i="3"/>
  <c r="BG116" i="3"/>
  <c r="BB124" i="3"/>
  <c r="BF156" i="3"/>
  <c r="BE156" i="3"/>
  <c r="BH156" i="3"/>
  <c r="BG156" i="3"/>
  <c r="BG168" i="3"/>
  <c r="BH168" i="3"/>
  <c r="BF168" i="3"/>
  <c r="BH175" i="3"/>
  <c r="BF175" i="3"/>
  <c r="BG175" i="3"/>
  <c r="BE191" i="3"/>
  <c r="BH191" i="3"/>
  <c r="BF191" i="3"/>
  <c r="BG191" i="3"/>
  <c r="BE13" i="3"/>
  <c r="BE20" i="3"/>
  <c r="BF13" i="3"/>
  <c r="BF20" i="3"/>
  <c r="BH9" i="3"/>
  <c r="BG14" i="3"/>
  <c r="BG16" i="3"/>
  <c r="BG21" i="3"/>
  <c r="BG24" i="3"/>
  <c r="BH28" i="3"/>
  <c r="BE37" i="3"/>
  <c r="BC52" i="3"/>
  <c r="BH14" i="3"/>
  <c r="BC70" i="3"/>
  <c r="BH76" i="3"/>
  <c r="BC87" i="3"/>
  <c r="BG93" i="3"/>
  <c r="BI93" i="3" s="1"/>
  <c r="BE36" i="3"/>
  <c r="BI36" i="3" s="1"/>
  <c r="BG37" i="3"/>
  <c r="BE44" i="3"/>
  <c r="BI44" i="3" s="1"/>
  <c r="BC51" i="3"/>
  <c r="BB58" i="3"/>
  <c r="BG59" i="3"/>
  <c r="BC75" i="3"/>
  <c r="BG82" i="3"/>
  <c r="BC92" i="3"/>
  <c r="BH93" i="3"/>
  <c r="BG135" i="3"/>
  <c r="BF135" i="3"/>
  <c r="BH135" i="3"/>
  <c r="BE135" i="3"/>
  <c r="BI135" i="3" s="1"/>
  <c r="BC233" i="3"/>
  <c r="BB233" i="3"/>
  <c r="BF10" i="3"/>
  <c r="BI10" i="3" s="1"/>
  <c r="BG9" i="3"/>
  <c r="BI9" i="3" s="1"/>
  <c r="BH17" i="3"/>
  <c r="BH82" i="3"/>
  <c r="BH115" i="3"/>
  <c r="BE115" i="3"/>
  <c r="BF151" i="3"/>
  <c r="BE151" i="3"/>
  <c r="BI151" i="3" s="1"/>
  <c r="BH151" i="3"/>
  <c r="BG151" i="3"/>
  <c r="BG133" i="3"/>
  <c r="BF133" i="3"/>
  <c r="BE133" i="3"/>
  <c r="BE16" i="3"/>
  <c r="BI16" i="3" s="1"/>
  <c r="BE23" i="3"/>
  <c r="BI23" i="3" s="1"/>
  <c r="BF19" i="3"/>
  <c r="BI19" i="3" s="1"/>
  <c r="BF24" i="3"/>
  <c r="BH46" i="3"/>
  <c r="BH12" i="3"/>
  <c r="BG20" i="3"/>
  <c r="BH27" i="3"/>
  <c r="BG60" i="3"/>
  <c r="BH22" i="3"/>
  <c r="BF36" i="3"/>
  <c r="BF44" i="3"/>
  <c r="BH59" i="3"/>
  <c r="BE35" i="3"/>
  <c r="BG36" i="3"/>
  <c r="BE43" i="3"/>
  <c r="BG44" i="3"/>
  <c r="BC50" i="3"/>
  <c r="BB57" i="3"/>
  <c r="BG58" i="3"/>
  <c r="BC64" i="3"/>
  <c r="BC69" i="3"/>
  <c r="BB80" i="3"/>
  <c r="BF81" i="3"/>
  <c r="BC86" i="3"/>
  <c r="BF97" i="3"/>
  <c r="BI97" i="3" s="1"/>
  <c r="BE104" i="3"/>
  <c r="BI104" i="3" s="1"/>
  <c r="BC109" i="3"/>
  <c r="BF115" i="3"/>
  <c r="BH121" i="3"/>
  <c r="BG121" i="3"/>
  <c r="BF121" i="3"/>
  <c r="BE121" i="3"/>
  <c r="BI121" i="3" s="1"/>
  <c r="BG137" i="3"/>
  <c r="BF137" i="3"/>
  <c r="BH137" i="3"/>
  <c r="BE137" i="3"/>
  <c r="BI137" i="3" s="1"/>
  <c r="BF140" i="3"/>
  <c r="BE140" i="3"/>
  <c r="BG140" i="3"/>
  <c r="BE168" i="3"/>
  <c r="BI168" i="3" s="1"/>
  <c r="BE175" i="3"/>
  <c r="BI175" i="3" s="1"/>
  <c r="BF141" i="3"/>
  <c r="BE141" i="3"/>
  <c r="BH141" i="3"/>
  <c r="BG141" i="3"/>
  <c r="BF11" i="3"/>
  <c r="BI11" i="3" s="1"/>
  <c r="BG12" i="3"/>
  <c r="BI12" i="3" s="1"/>
  <c r="BF18" i="3"/>
  <c r="BG26" i="3"/>
  <c r="BH10" i="3"/>
  <c r="BG19" i="3"/>
  <c r="BH38" i="3"/>
  <c r="BI38" i="3" s="1"/>
  <c r="BH13" i="3"/>
  <c r="BH19" i="3"/>
  <c r="BH23" i="3"/>
  <c r="BF37" i="3"/>
  <c r="BC65" i="3"/>
  <c r="BB35" i="3"/>
  <c r="BB43" i="3"/>
  <c r="BE58" i="3"/>
  <c r="BF35" i="3"/>
  <c r="BC41" i="3"/>
  <c r="BF43" i="3"/>
  <c r="BE57" i="3"/>
  <c r="BH58" i="3"/>
  <c r="BC74" i="3"/>
  <c r="BE80" i="3"/>
  <c r="BG81" i="3"/>
  <c r="BI81" i="3" s="1"/>
  <c r="BC91" i="3"/>
  <c r="BG97" i="3"/>
  <c r="BF104" i="3"/>
  <c r="BG115" i="3"/>
  <c r="BG118" i="3"/>
  <c r="BF118" i="3"/>
  <c r="BE118" i="3"/>
  <c r="BB126" i="3"/>
  <c r="BF129" i="3"/>
  <c r="BE129" i="3"/>
  <c r="BH129" i="3"/>
  <c r="BG129" i="3"/>
  <c r="BH140" i="3"/>
  <c r="BH165" i="3"/>
  <c r="BF165" i="3"/>
  <c r="BG165" i="3"/>
  <c r="BE165" i="3"/>
  <c r="BH216" i="3"/>
  <c r="BF216" i="3"/>
  <c r="BG216" i="3"/>
  <c r="BE216" i="3"/>
  <c r="BI216" i="3" s="1"/>
  <c r="BE34" i="3"/>
  <c r="BG35" i="3"/>
  <c r="BE42" i="3"/>
  <c r="BG43" i="3"/>
  <c r="BE56" i="3"/>
  <c r="BG56" i="3"/>
  <c r="BG57" i="3"/>
  <c r="BE79" i="3"/>
  <c r="BI79" i="3" s="1"/>
  <c r="BG79" i="3"/>
  <c r="BG80" i="3"/>
  <c r="BH81" i="3"/>
  <c r="BH97" i="3"/>
  <c r="BH104" i="3"/>
  <c r="BF138" i="3"/>
  <c r="BE138" i="3"/>
  <c r="BI138" i="3" s="1"/>
  <c r="BH138" i="3"/>
  <c r="BG138" i="3"/>
  <c r="BE18" i="3"/>
  <c r="BG11" i="3"/>
  <c r="BG15" i="3"/>
  <c r="BH83" i="3"/>
  <c r="BI83" i="3" s="1"/>
  <c r="BF42" i="3"/>
  <c r="BI49" i="3"/>
  <c r="BE68" i="3"/>
  <c r="BG68" i="3"/>
  <c r="BC123" i="3"/>
  <c r="BB123" i="3"/>
  <c r="BF148" i="3"/>
  <c r="BE148" i="3"/>
  <c r="BH148" i="3"/>
  <c r="BG148" i="3"/>
  <c r="BI28" i="3"/>
  <c r="BF26" i="3"/>
  <c r="BI26" i="3" s="1"/>
  <c r="BG25" i="3"/>
  <c r="BI25" i="3" s="1"/>
  <c r="BG22" i="3"/>
  <c r="BF33" i="3"/>
  <c r="BI33" i="3" s="1"/>
  <c r="BG42" i="3"/>
  <c r="BF49" i="3"/>
  <c r="BH56" i="3"/>
  <c r="BF63" i="3"/>
  <c r="BF68" i="3"/>
  <c r="BC73" i="3"/>
  <c r="BH79" i="3"/>
  <c r="BF85" i="3"/>
  <c r="BI85" i="3" s="1"/>
  <c r="BC90" i="3"/>
  <c r="BG96" i="3"/>
  <c r="BI96" i="3" s="1"/>
  <c r="BF103" i="3"/>
  <c r="BI103" i="3" s="1"/>
  <c r="BE108" i="3"/>
  <c r="BC113" i="3"/>
  <c r="BC131" i="3"/>
  <c r="BB131" i="3"/>
  <c r="BG134" i="3"/>
  <c r="BF134" i="3"/>
  <c r="BE134" i="3"/>
  <c r="BB139" i="3"/>
  <c r="BF155" i="3"/>
  <c r="BE155" i="3"/>
  <c r="BH155" i="3"/>
  <c r="BG155" i="3"/>
  <c r="BF182" i="3"/>
  <c r="BH182" i="3"/>
  <c r="BG182" i="3"/>
  <c r="BE182" i="3"/>
  <c r="BH199" i="3"/>
  <c r="BG199" i="3"/>
  <c r="BE199" i="3"/>
  <c r="BI199" i="3" s="1"/>
  <c r="BF199" i="3"/>
  <c r="BF82" i="3"/>
  <c r="BI82" i="3" s="1"/>
  <c r="BF34" i="3"/>
  <c r="BA282" i="3"/>
  <c r="BG49" i="3"/>
  <c r="BF54" i="3"/>
  <c r="BI54" i="3" s="1"/>
  <c r="BH54" i="3"/>
  <c r="BC55" i="3"/>
  <c r="BG63" i="3"/>
  <c r="BH68" i="3"/>
  <c r="BC78" i="3"/>
  <c r="BG85" i="3"/>
  <c r="BC95" i="3"/>
  <c r="BH96" i="3"/>
  <c r="BC102" i="3"/>
  <c r="BH103" i="3"/>
  <c r="BF108" i="3"/>
  <c r="BH125" i="3"/>
  <c r="BG125" i="3"/>
  <c r="BF125" i="3"/>
  <c r="BE125" i="3"/>
  <c r="BH134" i="3"/>
  <c r="BE190" i="3"/>
  <c r="BG190" i="3"/>
  <c r="BF190" i="3"/>
  <c r="BH190" i="3"/>
  <c r="BH206" i="3"/>
  <c r="BG206" i="3"/>
  <c r="BF206" i="3"/>
  <c r="BE206" i="3"/>
  <c r="BI206" i="3" s="1"/>
  <c r="BE15" i="3"/>
  <c r="BE22" i="3"/>
  <c r="BF15" i="3"/>
  <c r="BF21" i="3"/>
  <c r="BG17" i="3"/>
  <c r="BB59" i="3"/>
  <c r="AG282" i="3"/>
  <c r="AH282" i="3" s="1"/>
  <c r="AH5" i="3"/>
  <c r="BG34" i="3"/>
  <c r="BB5" i="3"/>
  <c r="BH33" i="3"/>
  <c r="BE40" i="3"/>
  <c r="BI40" i="3" s="1"/>
  <c r="BC62" i="3"/>
  <c r="BH63" i="3"/>
  <c r="BI63" i="3" s="1"/>
  <c r="BB67" i="3"/>
  <c r="BC84" i="3"/>
  <c r="BH85" i="3"/>
  <c r="BC107" i="3"/>
  <c r="BH108" i="3"/>
  <c r="BH117" i="3"/>
  <c r="BE117" i="3"/>
  <c r="BG117" i="3"/>
  <c r="BH232" i="3"/>
  <c r="BG232" i="3"/>
  <c r="BF232" i="3"/>
  <c r="BE232" i="3"/>
  <c r="BE21" i="3"/>
  <c r="BI21" i="3" s="1"/>
  <c r="BG38" i="3"/>
  <c r="BG18" i="3"/>
  <c r="BH61" i="3"/>
  <c r="BI61" i="3" s="1"/>
  <c r="BE59" i="3"/>
  <c r="BI59" i="3" s="1"/>
  <c r="BH60" i="3"/>
  <c r="AZ282" i="3"/>
  <c r="BC282" i="3" s="1"/>
  <c r="BG33" i="3"/>
  <c r="BC5" i="3"/>
  <c r="BF40" i="3"/>
  <c r="BB54" i="3"/>
  <c r="BE67" i="3"/>
  <c r="BI67" i="3" s="1"/>
  <c r="BC72" i="3"/>
  <c r="BC89" i="3"/>
  <c r="BE101" i="3"/>
  <c r="BI101" i="3" s="1"/>
  <c r="BC112" i="3"/>
  <c r="BF150" i="3"/>
  <c r="BE150" i="3"/>
  <c r="BH150" i="3"/>
  <c r="BG150" i="3"/>
  <c r="BF145" i="3"/>
  <c r="BE145" i="3"/>
  <c r="BC162" i="3"/>
  <c r="BB182" i="3"/>
  <c r="BE189" i="3"/>
  <c r="BH189" i="3"/>
  <c r="BG189" i="3"/>
  <c r="BB198" i="3"/>
  <c r="AH214" i="3"/>
  <c r="BH217" i="3"/>
  <c r="BG217" i="3"/>
  <c r="BE217" i="3"/>
  <c r="BI217" i="3" s="1"/>
  <c r="BC222" i="3"/>
  <c r="BC239" i="3"/>
  <c r="BB239" i="3"/>
  <c r="BH249" i="3"/>
  <c r="BG249" i="3"/>
  <c r="BE249" i="3"/>
  <c r="BF249" i="3"/>
  <c r="BC254" i="3"/>
  <c r="BG178" i="3"/>
  <c r="BE178" i="3"/>
  <c r="BF178" i="3"/>
  <c r="BH201" i="3"/>
  <c r="BG201" i="3"/>
  <c r="BE201" i="3"/>
  <c r="BI228" i="3"/>
  <c r="BH236" i="3"/>
  <c r="BF236" i="3"/>
  <c r="BE236" i="3"/>
  <c r="BI236" i="3" s="1"/>
  <c r="BH167" i="3"/>
  <c r="BF167" i="3"/>
  <c r="BI167" i="3" s="1"/>
  <c r="BE171" i="3"/>
  <c r="BG171" i="3"/>
  <c r="BF171" i="3"/>
  <c r="BC192" i="3"/>
  <c r="BC203" i="3"/>
  <c r="BB203" i="3"/>
  <c r="BG236" i="3"/>
  <c r="BC241" i="3"/>
  <c r="BB241" i="3"/>
  <c r="BH264" i="3"/>
  <c r="BG264" i="3"/>
  <c r="BF264" i="3"/>
  <c r="BE264" i="3"/>
  <c r="BH266" i="3"/>
  <c r="BG266" i="3"/>
  <c r="BF266" i="3"/>
  <c r="BE266" i="3"/>
  <c r="BC149" i="3"/>
  <c r="BC153" i="3"/>
  <c r="BC157" i="3"/>
  <c r="BG161" i="3"/>
  <c r="BF161" i="3"/>
  <c r="BH174" i="3"/>
  <c r="BF174" i="3"/>
  <c r="BE174" i="3"/>
  <c r="BH205" i="3"/>
  <c r="BG205" i="3"/>
  <c r="BF205" i="3"/>
  <c r="BE205" i="3"/>
  <c r="BI205" i="3" s="1"/>
  <c r="BH208" i="3"/>
  <c r="BF208" i="3"/>
  <c r="BE208" i="3"/>
  <c r="BI208" i="3" s="1"/>
  <c r="BH219" i="3"/>
  <c r="BG219" i="3"/>
  <c r="BF219" i="3"/>
  <c r="BE219" i="3"/>
  <c r="BB166" i="3"/>
  <c r="BG167" i="3"/>
  <c r="BC170" i="3"/>
  <c r="BB170" i="3"/>
  <c r="BG174" i="3"/>
  <c r="BH178" i="3"/>
  <c r="BG208" i="3"/>
  <c r="BB224" i="3"/>
  <c r="BC227" i="3"/>
  <c r="BH246" i="3"/>
  <c r="BF246" i="3"/>
  <c r="BE246" i="3"/>
  <c r="BI246" i="3" s="1"/>
  <c r="BG246" i="3"/>
  <c r="BH251" i="3"/>
  <c r="BG251" i="3"/>
  <c r="BF251" i="3"/>
  <c r="BE251" i="3"/>
  <c r="BB161" i="3"/>
  <c r="BG173" i="3"/>
  <c r="BE173" i="3"/>
  <c r="BF173" i="3"/>
  <c r="BB216" i="3"/>
  <c r="BH256" i="3"/>
  <c r="BG256" i="3"/>
  <c r="BF256" i="3"/>
  <c r="BE256" i="3"/>
  <c r="BB152" i="3"/>
  <c r="BB156" i="3"/>
  <c r="BG160" i="3"/>
  <c r="BF160" i="3"/>
  <c r="BI160" i="3" s="1"/>
  <c r="BE161" i="3"/>
  <c r="BC177" i="3"/>
  <c r="BB177" i="3"/>
  <c r="BB191" i="3"/>
  <c r="BI195" i="3"/>
  <c r="BH197" i="3"/>
  <c r="BE197" i="3"/>
  <c r="BG197" i="3"/>
  <c r="BF197" i="3"/>
  <c r="BH235" i="3"/>
  <c r="BE235" i="3"/>
  <c r="BI235" i="3" s="1"/>
  <c r="BG235" i="3"/>
  <c r="AH261" i="3"/>
  <c r="BH161" i="3"/>
  <c r="BB165" i="3"/>
  <c r="BB173" i="3"/>
  <c r="AH194" i="3"/>
  <c r="BH207" i="3"/>
  <c r="BG207" i="3"/>
  <c r="BF207" i="3"/>
  <c r="BI207" i="3" s="1"/>
  <c r="AH221" i="3"/>
  <c r="BH226" i="3"/>
  <c r="BG226" i="3"/>
  <c r="BE226" i="3"/>
  <c r="BI226" i="3" s="1"/>
  <c r="BB232" i="3"/>
  <c r="BH243" i="3"/>
  <c r="BG243" i="3"/>
  <c r="BH248" i="3"/>
  <c r="BG248" i="3"/>
  <c r="BF248" i="3"/>
  <c r="BH253" i="3"/>
  <c r="BG253" i="3"/>
  <c r="BF253" i="3"/>
  <c r="BE253" i="3"/>
  <c r="BH173" i="3"/>
  <c r="BH176" i="3"/>
  <c r="BF176" i="3"/>
  <c r="BB180" i="3"/>
  <c r="BB184" i="3"/>
  <c r="BB188" i="3"/>
  <c r="BC188" i="3"/>
  <c r="BE194" i="3"/>
  <c r="BI194" i="3" s="1"/>
  <c r="BG194" i="3"/>
  <c r="BI200" i="3"/>
  <c r="BB207" i="3"/>
  <c r="BC221" i="3"/>
  <c r="BB221" i="3"/>
  <c r="BF235" i="3"/>
  <c r="BH240" i="3"/>
  <c r="BG240" i="3"/>
  <c r="BF240" i="3"/>
  <c r="BE240" i="3"/>
  <c r="BE243" i="3"/>
  <c r="BE248" i="3"/>
  <c r="BB253" i="3"/>
  <c r="BF130" i="3"/>
  <c r="BE130" i="3"/>
  <c r="BI130" i="3" s="1"/>
  <c r="BG136" i="3"/>
  <c r="BF136" i="3"/>
  <c r="BF142" i="3"/>
  <c r="BE142" i="3"/>
  <c r="BG159" i="3"/>
  <c r="BF159" i="3"/>
  <c r="BB169" i="3"/>
  <c r="BC169" i="3"/>
  <c r="BG180" i="3"/>
  <c r="BE180" i="3"/>
  <c r="BH180" i="3"/>
  <c r="BH223" i="3"/>
  <c r="BG223" i="3"/>
  <c r="BF223" i="3"/>
  <c r="BE223" i="3"/>
  <c r="BB226" i="3"/>
  <c r="BH237" i="3"/>
  <c r="BG237" i="3"/>
  <c r="BF237" i="3"/>
  <c r="BE237" i="3"/>
  <c r="BF243" i="3"/>
  <c r="BH255" i="3"/>
  <c r="BG255" i="3"/>
  <c r="BF255" i="3"/>
  <c r="BE255" i="3"/>
  <c r="AF282" i="3"/>
  <c r="BB118" i="3"/>
  <c r="BE120" i="3"/>
  <c r="BI120" i="3" s="1"/>
  <c r="BG130" i="3"/>
  <c r="BB135" i="3"/>
  <c r="BE136" i="3"/>
  <c r="BG142" i="3"/>
  <c r="BF147" i="3"/>
  <c r="BE147" i="3"/>
  <c r="BB151" i="3"/>
  <c r="BB155" i="3"/>
  <c r="BH160" i="3"/>
  <c r="AH175" i="3"/>
  <c r="BF180" i="3"/>
  <c r="BF183" i="3"/>
  <c r="BG183" i="3"/>
  <c r="BG184" i="3"/>
  <c r="BI184" i="3" s="1"/>
  <c r="BF194" i="3"/>
  <c r="BH202" i="3"/>
  <c r="BG202" i="3"/>
  <c r="BF202" i="3"/>
  <c r="BE202" i="3"/>
  <c r="BH204" i="3"/>
  <c r="BG204" i="3"/>
  <c r="BF204" i="3"/>
  <c r="BE204" i="3"/>
  <c r="BI204" i="3" s="1"/>
  <c r="BH215" i="3"/>
  <c r="BG215" i="3"/>
  <c r="BE215" i="3"/>
  <c r="BH218" i="3"/>
  <c r="BE218" i="3"/>
  <c r="BG218" i="3"/>
  <c r="BF226" i="3"/>
  <c r="BH263" i="3"/>
  <c r="BG263" i="3"/>
  <c r="BF263" i="3"/>
  <c r="BE263" i="3"/>
  <c r="BI263" i="3" s="1"/>
  <c r="BH265" i="3"/>
  <c r="BG265" i="3"/>
  <c r="BF265" i="3"/>
  <c r="BE265" i="3"/>
  <c r="BF120" i="3"/>
  <c r="BB129" i="3"/>
  <c r="BH130" i="3"/>
  <c r="BH136" i="3"/>
  <c r="BH142" i="3"/>
  <c r="BG147" i="3"/>
  <c r="BE176" i="3"/>
  <c r="BH184" i="3"/>
  <c r="BH194" i="3"/>
  <c r="BB199" i="3"/>
  <c r="BI210" i="3"/>
  <c r="BB215" i="3"/>
  <c r="BH229" i="3"/>
  <c r="BE229" i="3"/>
  <c r="BG229" i="3"/>
  <c r="BF119" i="3"/>
  <c r="BI119" i="3" s="1"/>
  <c r="BG120" i="3"/>
  <c r="BB134" i="3"/>
  <c r="BH147" i="3"/>
  <c r="BC158" i="3"/>
  <c r="BE159" i="3"/>
  <c r="BG176" i="3"/>
  <c r="BC179" i="3"/>
  <c r="BF187" i="3"/>
  <c r="BH187" i="3"/>
  <c r="BG187" i="3"/>
  <c r="BE187" i="3"/>
  <c r="BI187" i="3" s="1"/>
  <c r="BF215" i="3"/>
  <c r="BF218" i="3"/>
  <c r="AH231" i="3"/>
  <c r="BH234" i="3"/>
  <c r="BE234" i="3"/>
  <c r="BI234" i="3" s="1"/>
  <c r="BH272" i="3"/>
  <c r="BF272" i="3"/>
  <c r="BG272" i="3"/>
  <c r="BE272" i="3"/>
  <c r="BI272" i="3" s="1"/>
  <c r="BB116" i="3"/>
  <c r="BG119" i="3"/>
  <c r="BF146" i="3"/>
  <c r="BE146" i="3"/>
  <c r="BI146" i="3" s="1"/>
  <c r="BH159" i="3"/>
  <c r="BG163" i="3"/>
  <c r="BF163" i="3"/>
  <c r="BI163" i="3" s="1"/>
  <c r="BI183" i="3"/>
  <c r="BB193" i="3"/>
  <c r="BC193" i="3"/>
  <c r="BF229" i="3"/>
  <c r="BC231" i="3"/>
  <c r="BB231" i="3"/>
  <c r="BH242" i="3"/>
  <c r="BF242" i="3"/>
  <c r="BE242" i="3"/>
  <c r="BH247" i="3"/>
  <c r="BG247" i="3"/>
  <c r="BF247" i="3"/>
  <c r="BE247" i="3"/>
  <c r="BI247" i="3" s="1"/>
  <c r="BH252" i="3"/>
  <c r="BG252" i="3"/>
  <c r="BF252" i="3"/>
  <c r="BE252" i="3"/>
  <c r="BI252" i="3" s="1"/>
  <c r="BH267" i="3"/>
  <c r="BG267" i="3"/>
  <c r="BF267" i="3"/>
  <c r="BE267" i="3"/>
  <c r="BG146" i="3"/>
  <c r="BB150" i="3"/>
  <c r="BB154" i="3"/>
  <c r="BH183" i="3"/>
  <c r="BB206" i="3"/>
  <c r="BH209" i="3"/>
  <c r="BG209" i="3"/>
  <c r="BF209" i="3"/>
  <c r="BI209" i="3" s="1"/>
  <c r="BC225" i="3"/>
  <c r="BB225" i="3"/>
  <c r="BG242" i="3"/>
  <c r="BB247" i="3"/>
  <c r="BH257" i="3"/>
  <c r="BG257" i="3"/>
  <c r="BE257" i="3"/>
  <c r="BI257" i="3" s="1"/>
  <c r="BH200" i="3"/>
  <c r="BF200" i="3"/>
  <c r="BE258" i="3"/>
  <c r="BI258" i="3" s="1"/>
  <c r="BC269" i="3"/>
  <c r="BF278" i="3"/>
  <c r="BG278" i="3"/>
  <c r="BE278" i="3"/>
  <c r="BC262" i="3"/>
  <c r="BF274" i="3"/>
  <c r="BG274" i="3"/>
  <c r="BI274" i="3" s="1"/>
  <c r="BF268" i="3"/>
  <c r="BI268" i="3" s="1"/>
  <c r="BH278" i="3"/>
  <c r="BC181" i="3"/>
  <c r="BB190" i="3"/>
  <c r="BC214" i="3"/>
  <c r="BG268" i="3"/>
  <c r="BH273" i="3"/>
  <c r="BG273" i="3"/>
  <c r="BH261" i="3"/>
  <c r="BE261" i="3"/>
  <c r="BI261" i="3" s="1"/>
  <c r="BB189" i="3"/>
  <c r="BB197" i="3"/>
  <c r="BB261" i="3"/>
  <c r="BF273" i="3"/>
  <c r="BI273" i="3" s="1"/>
  <c r="BF280" i="3"/>
  <c r="BG280" i="3"/>
  <c r="BE280" i="3"/>
  <c r="BH280" i="3"/>
  <c r="BB246" i="3"/>
  <c r="BF261" i="3"/>
  <c r="BB265" i="3"/>
  <c r="BB272" i="3"/>
  <c r="BB280" i="3"/>
  <c r="BH230" i="3"/>
  <c r="BF230" i="3"/>
  <c r="BC260" i="3"/>
  <c r="BB260" i="3"/>
  <c r="BG261" i="3"/>
  <c r="BC196" i="3"/>
  <c r="BC213" i="3"/>
  <c r="BH245" i="3"/>
  <c r="BE245" i="3"/>
  <c r="BB171" i="3"/>
  <c r="BG172" i="3"/>
  <c r="BI172" i="3" s="1"/>
  <c r="BC186" i="3"/>
  <c r="BB195" i="3"/>
  <c r="BE220" i="3"/>
  <c r="BI220" i="3" s="1"/>
  <c r="BB236" i="3"/>
  <c r="BE238" i="3"/>
  <c r="BB245" i="3"/>
  <c r="BE250" i="3"/>
  <c r="AH258" i="3"/>
  <c r="BC270" i="3"/>
  <c r="BB201" i="3"/>
  <c r="BB212" i="3"/>
  <c r="BB218" i="3"/>
  <c r="BF220" i="3"/>
  <c r="BE230" i="3"/>
  <c r="BI230" i="3" s="1"/>
  <c r="BB235" i="3"/>
  <c r="BF245" i="3"/>
  <c r="BB249" i="3"/>
  <c r="BB264" i="3"/>
  <c r="BH271" i="3"/>
  <c r="BE271" i="3"/>
  <c r="BB194" i="3"/>
  <c r="BF195" i="3"/>
  <c r="BE212" i="3"/>
  <c r="BG220" i="3"/>
  <c r="BB229" i="3"/>
  <c r="BG230" i="3"/>
  <c r="BG238" i="3"/>
  <c r="BC244" i="3"/>
  <c r="BB244" i="3"/>
  <c r="BG245" i="3"/>
  <c r="BG250" i="3"/>
  <c r="BF271" i="3"/>
  <c r="BF279" i="3"/>
  <c r="BE279" i="3"/>
  <c r="BH279" i="3"/>
  <c r="BG279" i="3"/>
  <c r="BG195" i="3"/>
  <c r="BC211" i="3"/>
  <c r="BF212" i="3"/>
  <c r="BE259" i="3"/>
  <c r="BI259" i="3" s="1"/>
  <c r="BG271" i="3"/>
  <c r="AH274" i="3"/>
  <c r="BB279" i="3"/>
  <c r="BB274" i="3"/>
  <c r="BC275" i="3"/>
  <c r="BC276" i="3"/>
  <c r="BC277" i="3"/>
  <c r="BF153" i="3" l="1"/>
  <c r="BE153" i="3"/>
  <c r="BH153" i="3"/>
  <c r="BG153" i="3"/>
  <c r="BG162" i="3"/>
  <c r="BF162" i="3"/>
  <c r="BH162" i="3"/>
  <c r="BE162" i="3"/>
  <c r="BI279" i="3"/>
  <c r="BE193" i="3"/>
  <c r="BF193" i="3"/>
  <c r="BH193" i="3"/>
  <c r="BG193" i="3"/>
  <c r="BI265" i="3"/>
  <c r="BI147" i="3"/>
  <c r="BI142" i="3"/>
  <c r="BH221" i="3"/>
  <c r="BG221" i="3"/>
  <c r="BF221" i="3"/>
  <c r="BE221" i="3"/>
  <c r="BI221" i="3" s="1"/>
  <c r="BF149" i="3"/>
  <c r="BE149" i="3"/>
  <c r="BH149" i="3"/>
  <c r="BG149" i="3"/>
  <c r="BI249" i="3"/>
  <c r="BI145" i="3"/>
  <c r="BI22" i="3"/>
  <c r="BI68" i="3"/>
  <c r="BI80" i="3"/>
  <c r="BG51" i="3"/>
  <c r="BH51" i="3"/>
  <c r="BE51" i="3"/>
  <c r="BI51" i="3" s="1"/>
  <c r="BF51" i="3"/>
  <c r="BI166" i="3"/>
  <c r="BI132" i="3"/>
  <c r="BF186" i="3"/>
  <c r="BE186" i="3"/>
  <c r="BH186" i="3"/>
  <c r="BG186" i="3"/>
  <c r="BF181" i="3"/>
  <c r="BE181" i="3"/>
  <c r="BH181" i="3"/>
  <c r="BG181" i="3"/>
  <c r="BI229" i="3"/>
  <c r="BI266" i="3"/>
  <c r="BI171" i="3"/>
  <c r="BE84" i="3"/>
  <c r="BF84" i="3"/>
  <c r="BH84" i="3"/>
  <c r="BG84" i="3"/>
  <c r="BI15" i="3"/>
  <c r="BE74" i="3"/>
  <c r="BG74" i="3"/>
  <c r="BH74" i="3"/>
  <c r="BF74" i="3"/>
  <c r="BI156" i="3"/>
  <c r="BF143" i="3"/>
  <c r="BE143" i="3"/>
  <c r="BH143" i="3"/>
  <c r="BG143" i="3"/>
  <c r="BI144" i="3"/>
  <c r="BF131" i="3"/>
  <c r="BE131" i="3"/>
  <c r="BH131" i="3"/>
  <c r="BG131" i="3"/>
  <c r="BH50" i="3"/>
  <c r="BG50" i="3"/>
  <c r="BF50" i="3"/>
  <c r="BE50" i="3"/>
  <c r="BF277" i="3"/>
  <c r="BE277" i="3"/>
  <c r="BH277" i="3"/>
  <c r="BG277" i="3"/>
  <c r="BI280" i="3"/>
  <c r="BI202" i="3"/>
  <c r="BI136" i="3"/>
  <c r="BI223" i="3"/>
  <c r="BI256" i="3"/>
  <c r="BG102" i="3"/>
  <c r="BF102" i="3"/>
  <c r="BE102" i="3"/>
  <c r="BH102" i="3"/>
  <c r="BH113" i="3"/>
  <c r="BG113" i="3"/>
  <c r="BF113" i="3"/>
  <c r="BE113" i="3"/>
  <c r="BI113" i="3" s="1"/>
  <c r="BI57" i="3"/>
  <c r="BI20" i="3"/>
  <c r="BE66" i="3"/>
  <c r="BG66" i="3"/>
  <c r="BH66" i="3"/>
  <c r="BF66" i="3"/>
  <c r="BG276" i="3"/>
  <c r="BE276" i="3"/>
  <c r="BH276" i="3"/>
  <c r="BF276" i="3"/>
  <c r="BI245" i="3"/>
  <c r="BH227" i="3"/>
  <c r="BG227" i="3"/>
  <c r="BF227" i="3"/>
  <c r="BE227" i="3"/>
  <c r="BH239" i="3"/>
  <c r="BG239" i="3"/>
  <c r="BF239" i="3"/>
  <c r="BE239" i="3"/>
  <c r="BI239" i="3" s="1"/>
  <c r="BI150" i="3"/>
  <c r="BE62" i="3"/>
  <c r="BF62" i="3"/>
  <c r="BH62" i="3"/>
  <c r="BG62" i="3"/>
  <c r="BI108" i="3"/>
  <c r="BI43" i="3"/>
  <c r="BI13" i="3"/>
  <c r="BI128" i="3"/>
  <c r="BI6" i="3"/>
  <c r="BI127" i="3"/>
  <c r="BH275" i="3"/>
  <c r="BE275" i="3"/>
  <c r="BI275" i="3" s="1"/>
  <c r="BG275" i="3"/>
  <c r="BF275" i="3"/>
  <c r="BH225" i="3"/>
  <c r="BG225" i="3"/>
  <c r="BF225" i="3"/>
  <c r="BE225" i="3"/>
  <c r="BI225" i="3" s="1"/>
  <c r="BE188" i="3"/>
  <c r="BH188" i="3"/>
  <c r="BG188" i="3"/>
  <c r="BF188" i="3"/>
  <c r="BI264" i="3"/>
  <c r="BH222" i="3"/>
  <c r="BG222" i="3"/>
  <c r="BF222" i="3"/>
  <c r="BE222" i="3"/>
  <c r="BE95" i="3"/>
  <c r="BG95" i="3"/>
  <c r="BF95" i="3"/>
  <c r="BH95" i="3"/>
  <c r="BI182" i="3"/>
  <c r="BI56" i="3"/>
  <c r="BI129" i="3"/>
  <c r="BH41" i="3"/>
  <c r="BF41" i="3"/>
  <c r="BG41" i="3"/>
  <c r="BE41" i="3"/>
  <c r="BI41" i="3" s="1"/>
  <c r="BI133" i="3"/>
  <c r="BH233" i="3"/>
  <c r="BG233" i="3"/>
  <c r="BF233" i="3"/>
  <c r="BE233" i="3"/>
  <c r="BE87" i="3"/>
  <c r="BG87" i="3"/>
  <c r="BH87" i="3"/>
  <c r="BF87" i="3"/>
  <c r="BG110" i="3"/>
  <c r="BH110" i="3"/>
  <c r="BF110" i="3"/>
  <c r="BE110" i="3"/>
  <c r="BI110" i="3" s="1"/>
  <c r="BH244" i="3"/>
  <c r="BF244" i="3"/>
  <c r="BE244" i="3"/>
  <c r="BI244" i="3" s="1"/>
  <c r="BG244" i="3"/>
  <c r="BH213" i="3"/>
  <c r="BE213" i="3"/>
  <c r="BG213" i="3"/>
  <c r="BF213" i="3"/>
  <c r="BH262" i="3"/>
  <c r="BF262" i="3"/>
  <c r="BE262" i="3"/>
  <c r="BG262" i="3"/>
  <c r="BG112" i="3"/>
  <c r="BF112" i="3"/>
  <c r="BH112" i="3"/>
  <c r="BE112" i="3"/>
  <c r="BI112" i="3" s="1"/>
  <c r="BI35" i="3"/>
  <c r="BI14" i="3"/>
  <c r="BH214" i="3"/>
  <c r="BF214" i="3"/>
  <c r="BG214" i="3"/>
  <c r="BE214" i="3"/>
  <c r="BG107" i="3"/>
  <c r="BE107" i="3"/>
  <c r="BH107" i="3"/>
  <c r="BF107" i="3"/>
  <c r="BE196" i="3"/>
  <c r="BH196" i="3"/>
  <c r="BG196" i="3"/>
  <c r="BF196" i="3"/>
  <c r="BI278" i="3"/>
  <c r="BI232" i="3"/>
  <c r="BE78" i="3"/>
  <c r="BG78" i="3"/>
  <c r="BH78" i="3"/>
  <c r="BF78" i="3"/>
  <c r="BE90" i="3"/>
  <c r="BH90" i="3"/>
  <c r="BG90" i="3"/>
  <c r="BF90" i="3"/>
  <c r="BI18" i="3"/>
  <c r="BI42" i="3"/>
  <c r="BI58" i="3"/>
  <c r="BE70" i="3"/>
  <c r="BG70" i="3"/>
  <c r="BH70" i="3"/>
  <c r="BF70" i="3"/>
  <c r="BI116" i="3"/>
  <c r="BI76" i="3"/>
  <c r="BG111" i="3"/>
  <c r="BH111" i="3"/>
  <c r="BF111" i="3"/>
  <c r="BE111" i="3"/>
  <c r="BI45" i="3"/>
  <c r="BG179" i="3"/>
  <c r="BE179" i="3"/>
  <c r="BH179" i="3"/>
  <c r="BF179" i="3"/>
  <c r="BI176" i="3"/>
  <c r="BI248" i="3"/>
  <c r="BI197" i="3"/>
  <c r="BI174" i="3"/>
  <c r="BI201" i="3"/>
  <c r="BE89" i="3"/>
  <c r="BG89" i="3"/>
  <c r="BH89" i="3"/>
  <c r="BF89" i="3"/>
  <c r="BI118" i="3"/>
  <c r="BI141" i="3"/>
  <c r="BG109" i="3"/>
  <c r="BH109" i="3"/>
  <c r="BF109" i="3"/>
  <c r="BE109" i="3"/>
  <c r="BI109" i="3" s="1"/>
  <c r="BI191" i="3"/>
  <c r="BI106" i="3"/>
  <c r="BI164" i="3"/>
  <c r="BI77" i="3"/>
  <c r="BI30" i="3"/>
  <c r="BH270" i="3"/>
  <c r="BE270" i="3"/>
  <c r="BG270" i="3"/>
  <c r="BF270" i="3"/>
  <c r="BI255" i="3"/>
  <c r="BI243" i="3"/>
  <c r="BI173" i="3"/>
  <c r="BE72" i="3"/>
  <c r="BG72" i="3"/>
  <c r="BH72" i="3"/>
  <c r="BF72" i="3"/>
  <c r="BI148" i="3"/>
  <c r="BI34" i="3"/>
  <c r="BG52" i="3"/>
  <c r="BE52" i="3"/>
  <c r="BH52" i="3"/>
  <c r="BF52" i="3"/>
  <c r="BI122" i="3"/>
  <c r="BG105" i="3"/>
  <c r="BH105" i="3"/>
  <c r="BF105" i="3"/>
  <c r="BE105" i="3"/>
  <c r="BI60" i="3"/>
  <c r="BH260" i="3"/>
  <c r="BG260" i="3"/>
  <c r="BF260" i="3"/>
  <c r="BE260" i="3"/>
  <c r="BI260" i="3" s="1"/>
  <c r="BI242" i="3"/>
  <c r="BI159" i="3"/>
  <c r="BI218" i="3"/>
  <c r="BI180" i="3"/>
  <c r="BI240" i="3"/>
  <c r="BF170" i="3"/>
  <c r="BH170" i="3"/>
  <c r="BG170" i="3"/>
  <c r="BE170" i="3"/>
  <c r="BH241" i="3"/>
  <c r="BG241" i="3"/>
  <c r="BF241" i="3"/>
  <c r="BE241" i="3"/>
  <c r="BE55" i="3"/>
  <c r="BG55" i="3"/>
  <c r="BH55" i="3"/>
  <c r="BF55" i="3"/>
  <c r="BE73" i="3"/>
  <c r="BG73" i="3"/>
  <c r="BH73" i="3"/>
  <c r="BF73" i="3"/>
  <c r="BE65" i="3"/>
  <c r="BG65" i="3"/>
  <c r="BH65" i="3"/>
  <c r="BF65" i="3"/>
  <c r="BI37" i="3"/>
  <c r="BI7" i="3"/>
  <c r="BI212" i="3"/>
  <c r="BI250" i="3"/>
  <c r="BH269" i="3"/>
  <c r="BF269" i="3"/>
  <c r="BG269" i="3"/>
  <c r="BE269" i="3"/>
  <c r="BG158" i="3"/>
  <c r="BF158" i="3"/>
  <c r="BH158" i="3"/>
  <c r="BE158" i="3"/>
  <c r="BI158" i="3" s="1"/>
  <c r="BI190" i="3"/>
  <c r="BI155" i="3"/>
  <c r="BE86" i="3"/>
  <c r="BH86" i="3"/>
  <c r="BG86" i="3"/>
  <c r="BF86" i="3"/>
  <c r="BE92" i="3"/>
  <c r="BH92" i="3"/>
  <c r="BG92" i="3"/>
  <c r="BF92" i="3"/>
  <c r="BE98" i="3"/>
  <c r="BH98" i="3"/>
  <c r="BG98" i="3"/>
  <c r="BF98" i="3"/>
  <c r="BI17" i="3"/>
  <c r="BE88" i="3"/>
  <c r="BG88" i="3"/>
  <c r="BH88" i="3"/>
  <c r="BF88" i="3"/>
  <c r="BI31" i="3"/>
  <c r="BE64" i="3"/>
  <c r="BI64" i="3" s="1"/>
  <c r="BH64" i="3"/>
  <c r="BG64" i="3"/>
  <c r="BF64" i="3"/>
  <c r="BH211" i="3"/>
  <c r="BF211" i="3"/>
  <c r="BG211" i="3"/>
  <c r="BE211" i="3"/>
  <c r="BI215" i="3"/>
  <c r="BH169" i="3"/>
  <c r="BG169" i="3"/>
  <c r="BF169" i="3"/>
  <c r="BE169" i="3"/>
  <c r="BI169" i="3" s="1"/>
  <c r="BI251" i="3"/>
  <c r="BI178" i="3"/>
  <c r="BI117" i="3"/>
  <c r="BH123" i="3"/>
  <c r="BG123" i="3"/>
  <c r="BF123" i="3"/>
  <c r="BE123" i="3"/>
  <c r="BI115" i="3"/>
  <c r="BI24" i="3"/>
  <c r="BI198" i="3"/>
  <c r="BI39" i="3"/>
  <c r="BI139" i="3"/>
  <c r="BG282" i="3"/>
  <c r="BF282" i="3"/>
  <c r="BE282" i="3"/>
  <c r="BH282" i="3"/>
  <c r="BI238" i="3"/>
  <c r="BI253" i="3"/>
  <c r="BH177" i="3"/>
  <c r="BF177" i="3"/>
  <c r="BG177" i="3"/>
  <c r="BE177" i="3"/>
  <c r="BI219" i="3"/>
  <c r="BH203" i="3"/>
  <c r="BG203" i="3"/>
  <c r="BF203" i="3"/>
  <c r="BE203" i="3"/>
  <c r="BI189" i="3"/>
  <c r="BE5" i="3"/>
  <c r="BG5" i="3"/>
  <c r="BH5" i="3"/>
  <c r="BF5" i="3"/>
  <c r="BI125" i="3"/>
  <c r="BI140" i="3"/>
  <c r="BE75" i="3"/>
  <c r="BG75" i="3"/>
  <c r="BF75" i="3"/>
  <c r="BH75" i="3"/>
  <c r="BI224" i="3"/>
  <c r="BI152" i="3"/>
  <c r="BI126" i="3"/>
  <c r="BI271" i="3"/>
  <c r="BI267" i="3"/>
  <c r="BH231" i="3"/>
  <c r="BG231" i="3"/>
  <c r="BE231" i="3"/>
  <c r="BF231" i="3"/>
  <c r="BI237" i="3"/>
  <c r="BI161" i="3"/>
  <c r="BF157" i="3"/>
  <c r="BE157" i="3"/>
  <c r="BH157" i="3"/>
  <c r="BG157" i="3"/>
  <c r="BE192" i="3"/>
  <c r="BH192" i="3"/>
  <c r="BG192" i="3"/>
  <c r="BF192" i="3"/>
  <c r="BH254" i="3"/>
  <c r="BG254" i="3"/>
  <c r="BF254" i="3"/>
  <c r="BE254" i="3"/>
  <c r="BI254" i="3" s="1"/>
  <c r="BB282" i="3"/>
  <c r="BI134" i="3"/>
  <c r="BI165" i="3"/>
  <c r="BE91" i="3"/>
  <c r="BH91" i="3"/>
  <c r="BG91" i="3"/>
  <c r="BF91" i="3"/>
  <c r="BE69" i="3"/>
  <c r="BG69" i="3"/>
  <c r="BH69" i="3"/>
  <c r="BF69" i="3"/>
  <c r="BI154" i="3"/>
  <c r="BE71" i="3"/>
  <c r="BG71" i="3"/>
  <c r="BH71" i="3"/>
  <c r="BF71" i="3"/>
  <c r="BI157" i="3" l="1"/>
  <c r="BI75" i="3"/>
  <c r="BI170" i="3"/>
  <c r="BI131" i="3"/>
  <c r="BI84" i="3"/>
  <c r="BI86" i="3"/>
  <c r="BI78" i="3"/>
  <c r="BI276" i="3"/>
  <c r="BI91" i="3"/>
  <c r="BI270" i="3"/>
  <c r="BI89" i="3"/>
  <c r="BI188" i="3"/>
  <c r="BI65" i="3"/>
  <c r="BI282" i="3"/>
  <c r="BI88" i="3"/>
  <c r="BI62" i="3"/>
  <c r="BI231" i="3"/>
  <c r="BI52" i="3"/>
  <c r="BI143" i="3"/>
  <c r="BI193" i="3"/>
  <c r="BI5" i="3"/>
  <c r="BI70" i="3"/>
  <c r="BI66" i="3"/>
  <c r="BI181" i="3"/>
  <c r="BI73" i="3"/>
  <c r="BI196" i="3"/>
  <c r="BI262" i="3"/>
  <c r="BI162" i="3"/>
  <c r="BI203" i="3"/>
  <c r="BI211" i="3"/>
  <c r="BI269" i="3"/>
  <c r="BI277" i="3"/>
  <c r="BI71" i="3"/>
  <c r="BI98" i="3"/>
  <c r="BI87" i="3"/>
  <c r="BI95" i="3"/>
  <c r="BI149" i="3"/>
  <c r="BI179" i="3"/>
  <c r="BI107" i="3"/>
  <c r="BI233" i="3"/>
  <c r="BI222" i="3"/>
  <c r="BI227" i="3"/>
  <c r="BI50" i="3"/>
  <c r="BI186" i="3"/>
  <c r="BI55" i="3"/>
  <c r="BI74" i="3"/>
  <c r="BI241" i="3"/>
  <c r="BI72" i="3"/>
  <c r="BI214" i="3"/>
  <c r="BI213" i="3"/>
  <c r="BI123" i="3"/>
  <c r="BI192" i="3"/>
  <c r="BI177" i="3"/>
  <c r="BI92" i="3"/>
  <c r="BI111" i="3"/>
  <c r="BI90" i="3"/>
  <c r="BI153" i="3"/>
  <c r="BI69" i="3"/>
  <c r="BI105" i="3"/>
  <c r="BI10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Adriana Esther Castillo Bolaño</author>
  </authors>
  <commentList>
    <comment ref="AX4" authorId="0" shapeId="0" xr:uid="{11DA8C7D-CB9F-4E9B-894A-01140A58617B}">
      <text>
        <r>
          <rPr>
            <b/>
            <sz val="9"/>
            <color indexed="81"/>
            <rFont val="Tahoma"/>
          </rPr>
          <t>Adriana Esther Castillo Bolaño:</t>
        </r>
        <r>
          <rPr>
            <sz val="9"/>
            <color indexed="81"/>
            <rFont val="Tahoma"/>
          </rPr>
          <t xml:space="preserve">
NOMBRE COMPLETO</t>
        </r>
      </text>
    </comment>
    <comment ref="AY4" authorId="0" shapeId="0" xr:uid="{B39B920F-330E-4191-9049-6ADC0E93C5B0}">
      <text>
        <r>
          <rPr>
            <b/>
            <sz val="9"/>
            <color indexed="81"/>
            <rFont val="Tahoma"/>
          </rPr>
          <t>Adriana Esther Castillo Bolaño:</t>
        </r>
        <r>
          <rPr>
            <sz val="9"/>
            <color indexed="81"/>
            <rFont val="Tahoma"/>
          </rPr>
          <t xml:space="preserve">
PLANTA / CONTRATISTA</t>
        </r>
      </text>
    </comment>
    <comment ref="P248" authorId="0" shapeId="0" xr:uid="{33D72F9F-CADF-421E-98C9-C4D683E79400}">
      <text>
        <r>
          <rPr>
            <b/>
            <sz val="9"/>
            <color indexed="81"/>
            <rFont val="Tahoma"/>
            <family val="2"/>
          </rPr>
          <t>Adriana Esther Castillo Bolaño:</t>
        </r>
        <r>
          <rPr>
            <sz val="9"/>
            <color indexed="81"/>
            <rFont val="Tahoma"/>
            <family val="2"/>
          </rPr>
          <t xml:space="preserve">
QUEDO A ACARGO DE MARCO DONADO Y JUAN SIERRA </t>
        </r>
      </text>
    </comment>
  </commentList>
</comments>
</file>

<file path=xl/sharedStrings.xml><?xml version="1.0" encoding="utf-8"?>
<sst xmlns="http://schemas.openxmlformats.org/spreadsheetml/2006/main" count="8836" uniqueCount="899">
  <si>
    <t xml:space="preserve">AÑO DE EJECUCIÓN: </t>
  </si>
  <si>
    <t xml:space="preserve">TRIMESTRE DE EJECUCIÓN: </t>
  </si>
  <si>
    <t xml:space="preserve">PLAN TERRITORIAL DE SALUD - PLAN DE ACCION EN SALUD </t>
  </si>
  <si>
    <t>17. Actividades seguimiento</t>
  </si>
  <si>
    <t>18. Cronograma</t>
  </si>
  <si>
    <t>19.  Recursos</t>
  </si>
  <si>
    <t>REVISION PLAN DE CHOQUE</t>
  </si>
  <si>
    <t>0.Id Actividad</t>
  </si>
  <si>
    <t>1. Núcleo de Inequidad Socio-Sanitaria</t>
  </si>
  <si>
    <t>2. Eje estrátegico PDSP 2022-2031</t>
  </si>
  <si>
    <t>3. Pilares del Modelo de salud preventivo, predictivo y resolutivo</t>
  </si>
  <si>
    <t>4. Resultado esperado por Eje PDSP 2022-2031</t>
  </si>
  <si>
    <t>5. Estrategia del Plan Territorial de Salud</t>
  </si>
  <si>
    <t>6. Meta estratégica del PDSP 2022-2031</t>
  </si>
  <si>
    <t>6.1 Meta estratégica del PTS adaptada al territorio</t>
  </si>
  <si>
    <t>7. Meta de resultado en salud del PDSP 2022-2031</t>
  </si>
  <si>
    <t>7.1 Meta de resultado en salud del PTS adaptada al territorio</t>
  </si>
  <si>
    <t xml:space="preserve">8. Programa </t>
  </si>
  <si>
    <t>9. Subprograma</t>
  </si>
  <si>
    <t>10. Proyecto BPI</t>
  </si>
  <si>
    <t>11. Meta de Producto</t>
  </si>
  <si>
    <t>12. Línea Operativa PDSP 2022-2031</t>
  </si>
  <si>
    <t>13. Gestion territorial integral para la salud pública</t>
  </si>
  <si>
    <t>14. Actividad</t>
  </si>
  <si>
    <t>15. Cantidad</t>
  </si>
  <si>
    <t>16. Unidad de medida</t>
  </si>
  <si>
    <t>Programado I</t>
  </si>
  <si>
    <t>Ejecutado I</t>
  </si>
  <si>
    <t>% Cumplimiento 
I Trimestre</t>
  </si>
  <si>
    <t>Programado II</t>
  </si>
  <si>
    <t>Ejecutado II</t>
  </si>
  <si>
    <t>% cumplimiento 
II Trimestre</t>
  </si>
  <si>
    <t>Programado III</t>
  </si>
  <si>
    <t>Ejecutado III</t>
  </si>
  <si>
    <t>% Cumplimiento 
III Trimestre</t>
  </si>
  <si>
    <t>Programado IV</t>
  </si>
  <si>
    <t>Ejecutado IV</t>
  </si>
  <si>
    <t>% Cumplimiento 
IV Trimestre</t>
  </si>
  <si>
    <t>Programado TOTAL</t>
  </si>
  <si>
    <t>Ejecutado TOTAL</t>
  </si>
  <si>
    <t>% Cumplimiento
Acumulado</t>
  </si>
  <si>
    <t>Fecha de inicio de la actividad (digite mes/dia/año numerico)</t>
  </si>
  <si>
    <t>Fecha de terminación de la actividad (digite mes/dia/año numerico)</t>
  </si>
  <si>
    <t>Rubro Presupuestal</t>
  </si>
  <si>
    <t>Fuente de Financiación</t>
  </si>
  <si>
    <t>Codigo de Fuente</t>
  </si>
  <si>
    <t xml:space="preserve">Apropiación </t>
  </si>
  <si>
    <t>Compromiso</t>
  </si>
  <si>
    <t>Obligaciones</t>
  </si>
  <si>
    <t>Pagado</t>
  </si>
  <si>
    <t>20. Población sujeto</t>
  </si>
  <si>
    <r>
      <rPr>
        <b/>
        <sz val="10"/>
        <color theme="1"/>
        <rFont val="Arial"/>
        <family val="2"/>
      </rPr>
      <t>21. Concepto de gasto</t>
    </r>
    <r>
      <rPr>
        <b/>
        <sz val="8"/>
        <color theme="1"/>
        <rFont val="Arial"/>
        <family val="2"/>
      </rPr>
      <t xml:space="preserve"> </t>
    </r>
    <r>
      <rPr>
        <b/>
        <sz val="8"/>
        <color theme="4"/>
        <rFont val="Arial"/>
        <family val="2"/>
      </rPr>
      <t>(Antes de registrar verifique en la hoja “valores listas desplegables” a que componente corresponde el gasto y registre el valor asignado en la Fila 699 Columna J “Concepto 2”)</t>
    </r>
  </si>
  <si>
    <t xml:space="preserve">22. Responsables del cumplimiento </t>
  </si>
  <si>
    <t>23. Avance Cualitativo</t>
  </si>
  <si>
    <t>META 2026</t>
  </si>
  <si>
    <t>EJEC ENE-JUN</t>
  </si>
  <si>
    <t>% CUMP ACUM</t>
  </si>
  <si>
    <t>PENDIENTE</t>
  </si>
  <si>
    <t>SEP</t>
  </si>
  <si>
    <t>OCT</t>
  </si>
  <si>
    <t>NOV</t>
  </si>
  <si>
    <t>DIC</t>
  </si>
  <si>
    <t>ESPERADO</t>
  </si>
  <si>
    <t>Inadecuada e insuficiente infraestructura hospitalaria y débil institucionalidad para la prestación del servicio de salud que se evidencian en el incumplimiento de la aplicación de las guías clínicas de atención, la inoportunidad del servicio y baja imple</t>
  </si>
  <si>
    <t>Atención Primaria en Salud</t>
  </si>
  <si>
    <t>ii) Redes Integrales e Integradas Territoriales de Salud - RIITS</t>
  </si>
  <si>
    <t>Agentes del sistema de salud que garantizan el acceso de la población con criterios de longitudinalidad, continuidad, puerta de entrada, enfoques familiar y comunitario con acciones, universales, sistemáticas, permanentes y participativas bajo un enfoque familiar y comunitario fundamentado en la Atención Primaria en Salud - APS.</t>
  </si>
  <si>
    <t>Fortalecimiento de capacidades a las comunidades para el desarrollo de la APS con
  acciones territorializadas, universales, sistemáticas, permanentes y participativas bajo un enfoque
  familiar y comunitario.</t>
  </si>
  <si>
    <t>a 2031 el 100% de las entidades territoriales del orden departamental, distrital y municipal han desarrollado procesos de ajuste institucional para el fortalecimiento de las capacidades de la autoridad sanitaria y la apropiacion territorial del modelo de salud basado en APS</t>
  </si>
  <si>
    <t>a 2027 el 100% de las entidades territoriales del orden departamental, han desarrollado procesos de ajuste institucional para el fortalecimiento de las capacidades de la autoridad sanitaria y la apropiacion territorial del modelo de salud basado en APS</t>
  </si>
  <si>
    <t>98-Actividad trasversal a Resultados</t>
  </si>
  <si>
    <t>A 2027 el 100% de las entidades territoriales del orden departamental y municipal desarrollan mecanismos para el fortalecimiento de la rectoría en salud en su territorio, conforme a las competencias establecidas</t>
  </si>
  <si>
    <t>Salud Pública</t>
  </si>
  <si>
    <t>Médico en tu casa</t>
  </si>
  <si>
    <t>Fortalecimiento de Estrategias para la Promoción de la Salud y Prevención de Enfermedades en Comunidades, mediante acciones Integrales, Participativas y Sostenibles en el Departamento del Magdalena.</t>
  </si>
  <si>
    <t>Desarrollar acrividades de promoción y mantenimiento de la salud y prevención de la enfermedad en la poblacion diferencial, en los 29 municipios del departamento</t>
  </si>
  <si>
    <t>Cuidado de la salud en el territorio</t>
  </si>
  <si>
    <t>Implementar el plan de cuidado e intervencion de las personas y familias por microterritorio en el entorno hogar de acuerdo al curso de vida, garantizando la canalizacion oportuna a los servicios de salud y el seguimiento de manera permanente hasta lograr su recuperacion o estabilidad de su enfermedad</t>
  </si>
  <si>
    <t>PIC(Anexo técnico)</t>
  </si>
  <si>
    <t>Número</t>
  </si>
  <si>
    <t>N/A</t>
  </si>
  <si>
    <t>SGP-SALUD-SALUD PUBLICA (1.2.4.2.02)</t>
  </si>
  <si>
    <t>1.2.4.2.02</t>
  </si>
  <si>
    <t>Familias, colectivos y comunidades</t>
  </si>
  <si>
    <t>Laura Viveros Paez</t>
  </si>
  <si>
    <t>Deficiencias en la infraestructura sanitaria que se ve reflejada en bajas coberturas de alcantarillado y prestación del servicio de aseo así como la mala calidad del agua que condiciona la incidencia de</t>
  </si>
  <si>
    <t>Gobernabilidad y gobernanza de la salud pública</t>
  </si>
  <si>
    <t>i). Gobernabilidad, Gobernanza y Territorialización</t>
  </si>
  <si>
    <t>Entidades Territoriales Departamentales, Distritales y Municipales con mecanismos fortalecidos para el ejercicio de la Rectoría en Salud.</t>
  </si>
  <si>
    <t>Alineación y armonización al ordenamiento jurídico en materia de salud publica de cada entidad territorial de acuerdo con cada categoria administrativa y fiscal en el marco de las competencias fijadas por la ley</t>
  </si>
  <si>
    <t>A 2031 el 100% de las entidades territoriales del orden departamental y municipal desarrollan mecanismos para el fortalecimiento de la rectoría en salud en su territorio, conforme a las competencias establecidas</t>
  </si>
  <si>
    <t>A 2027 el 100% de las entidades territoriales del orden municipal desarrollan mecanismos para el fortalecimiento de la rectoría en salud en su territorio, conforme a las competencias establecidas</t>
  </si>
  <si>
    <t>68-A 2031, el 80% de los municipios contará con la Certificación Sanitaria expedida mediante el Sistema de Información de la Vigilancia de la Calidad del Agua para Consumo Humano-SIVICAP</t>
  </si>
  <si>
    <t>Al 2027, el 80% de los municipios contará con la Certificación Sanitaria expedida mediante el Sistema de Información de la Vigilancia de la Calidad del Agua para Consumo Humano-SIVICAP</t>
  </si>
  <si>
    <t>Ejecutar el plan de IVC sanitario dando alcance a la resolución 1229 de 2013</t>
  </si>
  <si>
    <t>Desarrollo institucional y sectorial para el ejercicio de la autoridad sanitaria</t>
  </si>
  <si>
    <t>Realizar 397 toma de muestra de agua en la red de distribución del departamento, de acuerdo con los articulos 24 y 26 de la resolución 2115 de 2007.</t>
  </si>
  <si>
    <t>Procesos transversales de la Gestion de la Salud Pública</t>
  </si>
  <si>
    <t>Personal de Salud</t>
  </si>
  <si>
    <t>Rafael Tapias</t>
  </si>
  <si>
    <t>Aumento de la Tasa de Incidencia de las enfermedades transmitidas por vectores como el dengue;</t>
  </si>
  <si>
    <t>Conocimiento en salud pública y Soberanía Sanitaria</t>
  </si>
  <si>
    <t>Capacidades fortalecidas para la gestión del conocimiento en salud pública</t>
  </si>
  <si>
    <t>Fortlecimiento de capacidades tecnicas para el ejercicio en la rectoria en salud.</t>
  </si>
  <si>
    <t>A 2031 se fortalecerá en el 100% de los territorios la apropiación social del conocimiento en salud pública y el desarrollo de investigaciones que den respuesta a las necesidades en salud de cada territorio</t>
  </si>
  <si>
    <t>A 2027 se fortalecerá en el 100% de los territorios la apropiación social del conocimiento en salud pública y el desarrollo de investigaciones que den respuesta a las necesidades en salud de cada territorio</t>
  </si>
  <si>
    <t>A 2031, el 100% las DTS departamentales, distritales y municipios habrán implementado las estrategias de Entornos Saludables</t>
  </si>
  <si>
    <t>A 2027, el 100% las DTS departamentales, distritales y municipios habrán implementado las estrategias de Entornos Saludables</t>
  </si>
  <si>
    <t>Desarrollar capacidades a los entes territoriales en gestion de riesgo quimico</t>
  </si>
  <si>
    <t>Desarrollar duarnte la vigencia una jornada de formación de 3 dias a las alcaldias municipales en la implementacion del modelo de seguridad quimica para el desarrollo de capacidades municipales.</t>
  </si>
  <si>
    <t>Políticas en salud pública para contribuir a la mitigación y adaptación al cambio climático.</t>
  </si>
  <si>
    <t>Fortalecimiento de las capacidades del personal de salud en todo lo relacionado con los posibles efectos de la variabilidad del cambio climático</t>
  </si>
  <si>
    <t>A 2031 se incorporará en el 100% de los departamentos y distritos, el plan de gestión en sistemas de alerta temprana para la identificación del riesgos por el cambio climático y la posible vulnerabilidad de la población desde un enfoque territorial</t>
  </si>
  <si>
    <t>Al 2027 se incorporará en el 100% de los municipios, el plan de gestión en sistemas de alerta temprana para la identificación del riesgos por el cambio climático y la posible vulnerabilidad de la población desde un enfoque territorial</t>
  </si>
  <si>
    <t>Al 2031, se formularán acciones de adaptación en promoción de la salud y prevención de la enfermedad que aporten a reducir los casos de enfermedades sensibles al clima en el 100% de las Entidades Territoriales en el sector salud, del nivel departamental, distrital y estarán implementadas en un 40% de éstas.</t>
  </si>
  <si>
    <t>A 2027, se formularán acciones de adaptación en promoción de la salud y prevención de la enfermedad que aporten a reducir los casos de enfermedades sensibles al clima en el 100% de las Entidades Territoriales en el sector salud, del nivel departamental, distrital y estarán implementadas en un 40% de éstas.</t>
  </si>
  <si>
    <t>Implementar el PACCSA</t>
  </si>
  <si>
    <t>Desarrollar durante la vigencia una jornada de formación de 3 dias a las alcaldias municipales en medidas de adaptacion al cambio climatico para el desarrollo de capacidades municipales</t>
  </si>
  <si>
    <t xml:space="preserve">Deficiencias en la infraestructura sanitaria que se ve reflejada en bajas coberturas de alcantarillado y prestación del servicio de aseo así como la mala calidad del agua que condiciona la incidencia de </t>
  </si>
  <si>
    <t>Entoros laborales saludables que promueven la salud, mejoran las condiciones de trabajo y disminuyen los riesgos laborales</t>
  </si>
  <si>
    <t>A 2027 se incorporará en el 100% de los municipios, el plan de gestión en sistemas de alerta temprana para la identificación del riesgos por el cambio climático y la posible vulnerabilidad de la población desde un enfoque territorial</t>
  </si>
  <si>
    <t>69-A 2031, el 100% las DTS departamentales, distritales y municipios habrán implementado las estrategias de Entornos Saludables</t>
  </si>
  <si>
    <t>Desarrollar una jornada de capacitación de 3 dias a las alcaldias municipales en el modelo de IVC y fomento de conciencia sanitaria para el desarrollo de capacidades municipales</t>
  </si>
  <si>
    <t>Entidades Territoriales Departamentales, Distritales y Municipales fortalecidas como autoridad sanitaria local para la Gobernanza en Salud Pública.</t>
  </si>
  <si>
    <t>Desarrollo y fortalecimiento de capacidade para la planeación integral en salud y la gestión territorial en el marco del modelo de salud preventivo, predictivo y resolutivo basado en APS</t>
  </si>
  <si>
    <t>formular e Implementar el  plan de fortalecimiento de capacidades de gestion en salud ambiental a partir del diagnostico realizado con base en la informacion de la vigencia 2025  (GETSA)</t>
  </si>
  <si>
    <t>Porcentaje</t>
  </si>
  <si>
    <t xml:space="preserve">Personal de Salud
</t>
  </si>
  <si>
    <t>Fortalecimiento de capacidades a nivel nacional y territorial para la vigilancia en Salud publica, el fortaleciiento de los laboratorios de salud publica, la inspección, vigilancia y control sanitarios, la garantía de insumos de interes en salud publica reconociendo los avances y logros de los pueblos y comunidaes</t>
  </si>
  <si>
    <t>A 2027 el 100% de las entidades territoriales del orden  municipal desarrollan mecanismos para el fortalecimiento de la rectoría en salud en su territorio, conforme a las competencias establecidas</t>
  </si>
  <si>
    <t>Tomar muestras de agua en 30 puntos definidos para monitorear Cristosporidium , entregar resultados e informe</t>
  </si>
  <si>
    <t>Ejecutar al 100% el plan de adquisisiones de insumos parea la vigilancia sanitaria de la calidad del agua y alimentos</t>
  </si>
  <si>
    <t>A 2031 el 100% de los Departamentos, Distritos y Municipios del País integran en su Planes de Desarrollo Territoriales estrategias para afectar de manera positiva los determinantes sociales de la salud en sus territorios.</t>
  </si>
  <si>
    <t>A 2027 el 100% de Municipios del País integran en su Planes de Desarrollo Territoriales estrategias para afectar de manera positiva los determinantes sociales de la salud en sus territorios.</t>
  </si>
  <si>
    <t xml:space="preserve">Desarrollo de capacidades a los facilitadores de la red com (capacitadores), en coordinacion con el area de VSP </t>
  </si>
  <si>
    <t>Ejecutar al 100% el plan de IVC formulado para la vigencia para dar respuesta a lo dispuesto en al Resolucion 1229 de 2013</t>
  </si>
  <si>
    <t>Apoyar la ejecucion del plan de IVC con servicio de transporte disponiendo de 2 vehiculos 24x7</t>
  </si>
  <si>
    <t>Abogacía e incidencia técnica y política en la agenda de otros sectores, a fin de generar accioens intersectoriales y transecvtoriales definiendo temas transcversales y objetivos comunes</t>
  </si>
  <si>
    <t>Realizar Gestión transectorial a través de 32 reuniones del COTSA y las mesas de calidad de agua, Comité de residuos, comité de cárceles, comité de entornos saludables y movilidad segura, comité de plaguicidas, comité de sanidad portuaria, comité seccional de zoonosis</t>
  </si>
  <si>
    <t>Ejecutar al 100% los planes de accion de las mesas y comites asociados al COTSA</t>
  </si>
  <si>
    <t>Desarrollo de estrategias de comunicación, educación, para el cambio de comportamiento y de acción colectiva que favorezcan la transformación de la cultura de seguridad social en salud y promover los entornos saludables y protectores</t>
  </si>
  <si>
    <t>9-A 2031, reducir en 50% la tasa de mortalidad por EDA en menores de 5 años</t>
  </si>
  <si>
    <t>Implementar la estrategia de prevencion de ETA mediante la educacion a 88160 famlias sobre manual basico de manipulaciond e alimentos</t>
  </si>
  <si>
    <t>Capacitar a 30000 familias del departamento en las 10 normas basicas de manipulacion de alimentos en el marco de las visitas familiares.</t>
  </si>
  <si>
    <t>Fortalecimiento de las capacidades institucionales y sociales para la gestión territorial de la salud pública, en el marco de la Estrategia Nacional de Formación Territorial, Intercultural de Atención Primaria en Salud, Salud Pública y Salud Colectiva</t>
  </si>
  <si>
    <t>A 2031 el 100% de las entidades territoriales sociales del orden departamental y municipal desarrollan mecanismos para el fortalecimiento de la rectoría en salud en su territorio, conforme a las competencias establecidas</t>
  </si>
  <si>
    <t>A 2027 el 100% de las entidades territoriales sociales del orden departamental y municipal desarrollan mecanismos para el fortalecimiento de la rectoría en salud en su territorio, conforme a las competencias establecidas</t>
  </si>
  <si>
    <t>Desarrollar de capacidades los equipos municipales y departamental en prevencion y manejo de ETAS</t>
  </si>
  <si>
    <t>Desarrollo e implementación de otras estrategias para la generación de conocimiento acerca de las condiciones en salud de la población y sus DSS a nivel territorial tales como observatorios, ASIS, unidades de análisis, seminarios, evaluaciones de riesgo ambientales de la salud, entre otros</t>
  </si>
  <si>
    <t>Realizar la reunion departamental de salud ambiental de dos dias de duracion, con el tema central de entorno educativo saludable</t>
  </si>
  <si>
    <t>Las agresiones por animales potencialmente transmisores de la rabia</t>
  </si>
  <si>
    <t>Salud Publica</t>
  </si>
  <si>
    <t xml:space="preserve">Desarrollo de capacidades a los miembros del comite SAN en practicas de inocuidad de alimentos </t>
  </si>
  <si>
    <t>Espacios e instancias intersectoriales que incluyen en sus planes de acción la transversalización de los enfoques de pueblos y comunidades, género y diferencial e integran los sistemas de conocimiento propio de los pueblos y comunidades étnicas y campesinas</t>
  </si>
  <si>
    <t>A 2031 el 100% de las Entidades Territoriales del orden departamental, distrital y municipal desarrollan mecanismos para el fortalecimiento de la rectoría en salud en su territorio, conforme a las competencias establecidas.</t>
  </si>
  <si>
    <t>A 2027 el 100% de las Entidades Territoriales del orden municipal desarrollan mecanismos para el fortalecimiento de la rectoría en salud en su territorio, conforme a las competencias establecidas.</t>
  </si>
  <si>
    <t>90-A 2031, 50% de departamentos y distritos logran condiciones de eliminación de la rabia transmitida por perros.</t>
  </si>
  <si>
    <t>Garantizar coberturas utiles de vacunación antirrabica, aplicando un total de 958363 dosis de vacunas</t>
  </si>
  <si>
    <t>Desarrollar jornada de vacunación antirrábica canina y felina masiva casa a casa (entorno hogar), en los 29 municipios del departamento del Magdalena en zona urbana, rural y rural disperso, garantizando cobertura del 90% en animales mayores de tres meses, Con una duración máxima de 45 días</t>
  </si>
  <si>
    <t>familias, colectivos y comunidades</t>
  </si>
  <si>
    <t>Realizar mantenimiento a  la vacunación antirrábica de perros y gatos durante los meses que no se esté realizando la masiva, mediante la busqueda de animales que no se pudieron vacunar en la masiva, animales nuevos que ingresen o nazcan en el periodo, vacunación en las zonas de foco y perifoco de los brotes de rabia que se presenten en su municipio y puntos fijos de vacunación. Cobertura mínima del 1%.</t>
  </si>
  <si>
    <t>Fortalecimiento de capacidades a nivel nacional y territorial para la vigilancia en Salud publica, el fortaleciiento de los laboratorios de salud publica, la inspección, vigilancia y control sanitarios, la garantía de insumos de interes en salud publica reconociendo los avances y logros de los pueblos y comunidades</t>
  </si>
  <si>
    <t>Fortalecimiento de la red de frio para la vacunacion antirrábica canina y felina</t>
  </si>
  <si>
    <t>Pueblos y comunidades étnicas y campesinas, mujeres, sectores LGBTIQ+ y otras poblaciones por condición y/o situación</t>
  </si>
  <si>
    <t>i) Gobernabilidad, Gobernanza y Territorialización.</t>
  </si>
  <si>
    <t>Implementación de acciones dirigidas a mejorar la
 relación salud-ambiente-territorio para promover
 acciones dirigidas a mejorar las condiciones de vida.</t>
  </si>
  <si>
    <t xml:space="preserve">Desarrollar la vacunacion de perros y gatos en municipios con poblacion indigena Cienaga, Fundación, Aracataca y San Angel) y actividades de información, educación y  comuncicación de riesgo  de la rabia en IED indígena o mixta </t>
  </si>
  <si>
    <t>Realizar monitoreo de cobertura en en 100% de  los municipios que se prioricen.</t>
  </si>
  <si>
    <t>Carlos Escobar</t>
  </si>
  <si>
    <t>Suministrar insumos para la vacunación antirrábica de perros y gatos y control de rabia de acuerdo al plan de adquisiciones</t>
  </si>
  <si>
    <t>Gestión territorial para el cuidado de la salud basado
 en la atención primaria en salud.</t>
  </si>
  <si>
    <t>A 2027 el 100% de los Municipios integran en su Planes de Desarrollo Territoriales estrategias para afectar de manera positiva los determinantes sociales de la salud en sus territorios.</t>
  </si>
  <si>
    <t xml:space="preserve"> Desarrollar un programa radial sobre la prevención de la rabia y otras zoonosis (accidente Ofídico, leptospira, toxoplasmosis) en cada uno de los 29 municipios </t>
  </si>
  <si>
    <t xml:space="preserve">Agentes del sistema de salud que garantizan el acceso de la población con criterios de longitudinalidad, continuidad, puerta de entrada, enfoques familiar y comunitario con acciones, universales, sistemáticas, permanentes y participativas bajo un enfoque familiar y comunitario fundamentado en la Atención Primaria en Salud - APS.  </t>
  </si>
  <si>
    <t xml:space="preserve">Conmemorar el dia mundial contra la rabia realizando actividad de información educación y comunicación de riesgo de la rabia en (1) una institución educativa   de cada uno de los 29 municipios </t>
  </si>
  <si>
    <t>Indigenas</t>
  </si>
  <si>
    <t xml:space="preserve">Desarrollar actividad de información educación y comunicación de riesgo sobre la TENENCIA RESPONSABLE DE MASCOTAS, en una institución educativa de cada uno de los 29 municipios </t>
  </si>
  <si>
    <t>Seguimiento al 50% de los casos de exposicion leve y grave a rabia</t>
  </si>
  <si>
    <t>88-A 2031, el 100% de las DTS departamentales, distritales y municipios categorías especial, 1, 2 y 3 a riesgo, implementan los planes estratégicos para la vigilancia y control de zoonosis (brucelosis bovina, toxoplasmosis congénita y gestacional, accidente ofídico).</t>
  </si>
  <si>
    <t>Realizar monitoreo al 100% de la red publica y privada que cuente con servicio de urgencias en la disponibilidad de sueros antiofidicos</t>
  </si>
  <si>
    <t>Decisiones en salud pública basadas en información, investigación y el máximo desarrollo del conocimiento científico lo que incluye reconocer la cosmovisión y los saberes propios los pueblos y comunidades.</t>
  </si>
  <si>
    <t>desarrollar capacidades al recurso humano en salud para la atencion integral de accidente ofidico y APTR para medicos de area rural y EBS</t>
  </si>
  <si>
    <t>desarrollar capacidades institucionales con el fin de mejorar las habilidades individuales en la prevención y control de de zoonosis al nivel municipal</t>
  </si>
  <si>
    <t xml:space="preserve">Los malos hábitos alimenticios, los estilos de vida y el entorno laboral contribuyen a la alta prevalencia de HTA y diabetes y ERC. El sedentarismo se ha convertido en un flagelo del siglo XXI ; el 4 % de los asistentes a las mesas lo reconoció como un problema de salud. Bajas frecuencias en el suministro de agua, incide en la alta incidencia de ETAs, EDA e Hep A. La baja oferta laboral obliga a la población a buscar fuentes de supervivencia a través de prácticas agrícolas no tecnificadas que conllevan el uso y manejo inadecuado de plaguicidas que condicionan la presencia de intoxicaciones por estas sustancias. </t>
  </si>
  <si>
    <t>Entidades Territoriales Departamentales, Distritales que organizan la prestación de servicios de salud en redes integrales e integradas territoriales bajo un modelo de salud predictivo, preventivo y resolutivo fundamentado en la Atención Primaria en Salud – APS con criterios de subsidiaridad y complementariedad.</t>
  </si>
  <si>
    <t>Conformación de las Redes Integrales e Integradas
 Territoriales de Salud con base en la aplicación de
 criterios determinantes incluyendo el reconocimiento
 de las condiciones de vida y salud de personas,
 familias y comunidades bajo el liderazgo de las
 Entidades Territoriales Departamentales y
 Distritales,</t>
  </si>
  <si>
    <t>61-A 2031, la prevalencia de caries se reduce al menos en 10 puntos porcentuales en primera infancia, en infancia y en adolescencia.</t>
  </si>
  <si>
    <t>Implementar en el 100% de los municipios del Departamento la estrategia CERSS</t>
  </si>
  <si>
    <t>Promover la adopcion de habitos saludables relacionados con higiene visual, cuidado auditivo y autocuidado oral en niños, niñas y adolescentes, mediante estrategias ludicas y educativas que fomenten el aprendizaje práctico y participativo en los ambitos urbano o rural del departamento, en los cursos de vida de primera infancia, infancia y adolescencia del entorno educativo.</t>
  </si>
  <si>
    <t>Merly Bonett - Mary Luz Cabrera - Linda Acosta-Rossana Cormane</t>
  </si>
  <si>
    <t>40-A 2031, se garantiza que entre la sospecha médica y la confirmación diagnóstica de cáncer de cuello uterino transcurran en promedio 30 días o menos</t>
  </si>
  <si>
    <t>Jornadas de salud que permitan identificar el riesgo haciendo promocion de la salud bucal, auditiva, comunicatva, tamizaje de riesgo cardiovascular, tamizaje para CCU, autoexamen de seno, aplicacion de barniz de fluor, de acuerdo al curso de vida en el entorno comunitario en los microcroterritorios definidos.</t>
  </si>
  <si>
    <t>54-A 2031, reducir la mortalidad prematura por ENT en un 25% en la población de 30 a 70 años.</t>
  </si>
  <si>
    <t>Conmemorar la semana de hábitos y estilos de vida saludables a través de actividades educativas, recreativas y de sensibilización enfocadas en la alimentación balanceada, la actividad física, el bienestar emocional y la prevención de enfermedades, fortaleciendo la cultura del autocuidado, en los diferentes cursos de vida, en el entorno comunitario y educativo del ambito urbano y rural de los territorios priorizados.</t>
  </si>
  <si>
    <t>Implementación de mecanismos para la
 coordinación y gestión de la operación de las redes
 integrales e integradas territoriales de salud en el
 marco de un modelo preventivo,</t>
  </si>
  <si>
    <t>62-A 2031, las personas sin pérdida dental (dentición permanente) por enfermedad bucodental prevenible, se incrementa en 5 puntos porcentuales (mínimo) en las edades de 20-34 años; 35-44 años; 45-64 años y 65-79 y más años</t>
  </si>
  <si>
    <t>Alianzas transectoriales, que busquen fortalecer la promoción de la salud bucal mediante el desarrollo de actividades y estrategias de prevención, educación, detección temprana, atención integral y oportuna.</t>
  </si>
  <si>
    <t>Merly Bonett - Mary Luz Cabrera - Linda Acosta</t>
  </si>
  <si>
    <t>DESARROLLO Y FORTALECIMIENTO DE CAPACIDADES PARA LA PLANEACION INTEGRAL EN SALUD Y LA GESTION TERRITTORIAL EN EL MARCO DEL MODELO DE SALUD PTREVENTIVO, PREDICTIVO Y RESOLUTIVO BASADO EN APS</t>
  </si>
  <si>
    <t>Alcanzar una cobertura del 20% con esquema completo de aplicación de barniz de flúor en la población entre 1 y 17 años para avanzar en la mejora de las condiciones de salud bucal.</t>
  </si>
  <si>
    <t>Brindar asistencia Tecnica a todos los actores del sistema en todos los componentes de Promocion Y prevencion de las enfermedades crónicas no transmisibles mediante levantamiento de linea base de total de personas que padecen HTA . DM y ERC  ( incidencia ) como de estrategias para deteccion temprana y seguimiento de personas con dicho riesgos.</t>
  </si>
  <si>
    <t>primera infancia, infancia y adolescencia.</t>
  </si>
  <si>
    <t>50-A 2031, se reducirá la tasa ajustada de mortalidad por cáncer infantil a menos de 4,00 x 100000 niños, niñas y adolescentes</t>
  </si>
  <si>
    <t>Consolidar los planes de choque en Cancer de mama, cáncer cervicouterino y cáncer infantil de los 29 municipios y EAPB del departamento del Magdalena</t>
  </si>
  <si>
    <t>Realizar 4 sesiones del Consejo Departamental Asesor en Cancer Infantil de la mano de los actores definidos en la resolucion 1101 del 15 de noviembre de 2012 y el reglamento interno del CODACAI</t>
  </si>
  <si>
    <t>Realizar promocion activa de CERSS - fase de ejecucion, monitoreo y evaluacion (Herramientas: Implementacion de CERSS, monitoreo y evaluacion en los 29 municipios. Realizacion de taller para la implementacion, monitoreo y evaluacion de la estrategias CERSS en los 29 municipios del departamento del Magdalena.</t>
  </si>
  <si>
    <t>Desarrollo de capacidades en enfermedades cronicas dirigido a medicos y enfermeros jefes de las entidades prestadoras de servicios en el departamento del Magdalena.</t>
  </si>
  <si>
    <t>La pérdida de valores, falta de involucramiento parental, mitos y creencias que naturalizan el maltrato se relaciona con el deterioro de la salud mental</t>
  </si>
  <si>
    <t>Gestión territorial para el cuidado de la salud basado en la atención primaria en salud.</t>
  </si>
  <si>
    <t>A 2031 el 80% de las necesidades en salud de la población Colombiana se resuelven en el nivel primario de atención en salud.</t>
  </si>
  <si>
    <t>A 2027 el 80% de las necesidades en salud de la población Colombiana se resuelven en el nivel primario de atención en salud.</t>
  </si>
  <si>
    <t>95-A 2031, mantener la tasa de mortalidad de suicidio por debajo de 5</t>
  </si>
  <si>
    <t>Implementar la estrategia nacional para la prevencion de la conducta suicida en las 33 ESE públicas del departamento</t>
  </si>
  <si>
    <t>Implementar las Zonas de Orientación y/o Centros de Escucha en el entorno educativo en cada uno de los 29 municipios, fortaleciendo la promoción y atención primaria de la salud mental, la prevención del consumo de SPA, la conducta suicida y las violencias sexuales y de género; el cuidado de pacientes con discapacidad mental, trastornos de la conducta alimentaria, involucramiento parental y convivencia pacífica y la canalización a las rutas integrales de atención.</t>
  </si>
  <si>
    <t>Talento Humano en salud</t>
  </si>
  <si>
    <t>Luz Mary García Agudelo</t>
  </si>
  <si>
    <t>Promover la educación e información en salud en el entorno familiar y educativo orientado hacia la promocion de la salud mental, prevencion del consumo de spa, prevencion de la conducta suicida, prevencion de la violencia en el entorno escolar en los 29 Municipios del departamento del Magdalena.</t>
  </si>
  <si>
    <t xml:space="preserve">Realizar la conmemoración de: Día Mundial de la Salud Mental, Dia Internacional y semana  de la Prevención de la conducta suicida, Dia Internacional de la Eliminación de la violencia contra la mujer,  semana de la prevención del consumo de sustancias psicoactivas y reducción de riesgos y daños, siguiendo los lineamientos técnicos del Ministerio de Salud y Protección Social, que promueva la salud mental y reducción del estigma. 
</t>
  </si>
  <si>
    <t xml:space="preserve">La pérdida de valores, falta de involucramiento parental, mitos y creencias que naturalizan el maltrato se relaciona con el deterioro de la salud mental, </t>
  </si>
  <si>
    <t>Fortalecimiento de las capacidades del Talento Humano en la implementación de estrategias para la generación de conocimiento de las condiciones de salud de la población y sus determinantes tales como observatorios, ASIS, unidades de análisis, seminarios, entre otras.</t>
  </si>
  <si>
    <t>A 2031 el 100% las entidades territoriales Departamentales, Distritales han implementado las medidas de atención para la atención a las mujeres víctimas de violencia de género.</t>
  </si>
  <si>
    <t>A 2027 el 100% las entidades territoriales han implementado las medidas de atención para la atención a las mujeres víctimas de violencia de género.</t>
  </si>
  <si>
    <t>97-A 2031, disminuir la tasa de violencia interpersonal a 230 por 100.000 habitantes</t>
  </si>
  <si>
    <t>Mantener por debajo de 161.9 por 100.000 habitantes la tasa de violencia intrafamiliar.</t>
  </si>
  <si>
    <t>Desarrollar capacidades del Talento Humano en salud de las EAPB y ESE mediante talleres en Salud mental comunitaria e intervención temprana, atención en salud para las mujeres víctimas de violencias de genero e intrafamiliar, ruta de atención integral en salud mental, y socialización del del sistema de responsabilidad penal para adolescentes en los 29 municipios del departamento del Magdalena incluyendo IPS Indígena.</t>
  </si>
  <si>
    <t>Fortalecimiento de las capacidades del Talento Humano en la irnplementación de estrategias para la generación de conocimiento de las condiciones de salud de la población y sus determinantes tales como bservatorios, ASIS, unidades de análisis, seminarios, entre otras.</t>
  </si>
  <si>
    <t>A 2031, mantener la tasa de mortalidad de suicidio</t>
  </si>
  <si>
    <t>A 2027, mantener la tasa de mortalidad de suicidio</t>
  </si>
  <si>
    <t>Mantener por debajo de 2,7 por 100.000 habitantes la tasa de suicidio</t>
  </si>
  <si>
    <t>Desarrollo de capacidades a través de un taller por subregión, referente a primeros auxilios psicológicos, dirigido a los equipos de profesionales de las ESE, equipos básicos en atención primaria en salud y docentes orientadores de los 29 municipios que conforman el departamento del Magdalena; que permita brindar atención oportun frente a los eventos de salud mental.</t>
  </si>
  <si>
    <t xml:space="preserve">Familias, colectivos y comunidades;  Población materno perinatal; 
Primera infancia; Infancia;  Adolescencia;  Juventud; Adultez; 
Persona mayor, Personas con discapacidad, Victimas del conflicto armado, Población migrante
Población campesina, Mujeres, Población LGBTIQ+, Indígenas, Negros, afrocolombianos, raizales y palenqueros-NARP, Pueblo rrom- gitano
</t>
  </si>
  <si>
    <t xml:space="preserve">Desarrollo y fortalecimiento de capacidades a través de un taller por subregión, referente  a Promover la salud integral e integrada y prevenir el consumo de SPA,  rutas de atención para garantizar el acceso a la detección, tratamiento y atención de los problemas por consumo de sustancias psicoactivas, de acuerdo a resoluciones vigentes y la nueva Política Nacional De Drogas. </t>
  </si>
  <si>
    <t>Desarrollo y fortalecimiento de capacidades a través de un taller referente a reducir la conducta suicida en el departamento, con estrategias locales y en contexto, diferenciadas por curso de vida y entornos de desarrollo. Fortalecer las rutas de promoción de la salud mental, identificación del riesgo y atención integral a la conducta suicida, de acuerdo al Decreto 0729 de 2025 y normativas vigentes.</t>
  </si>
  <si>
    <t>A 2031, disminuir la tasa de violencia interpersonal a 230 por 100.000 habitantes</t>
  </si>
  <si>
    <t>A 2027, disminuir la tasa de violencia interpersonal a 230 por 100.000 habitantes</t>
  </si>
  <si>
    <t>Realizar encuentro departamental de referentes de convivencia social y salud mental de los 29 municipios del departamento</t>
  </si>
  <si>
    <t>Desarrollo y fortalecimiento de capacidades para la implmentación integral en salud y la gestion territorial en el marco del modelo de salud preventivo y predictivo y resolución basado en APS.</t>
  </si>
  <si>
    <t xml:space="preserve">Realizar 2 sesiones de Comités de Departamental de Drogas; 2 de Consejo Seccional de Estupefacientes; 2 de consejos de departamental de salud mental.  2 mesas de articulación para la atención integral de las violencias basadas en genero. </t>
  </si>
  <si>
    <t>Inadecuada e insuficiente infraestructura hospitalaria y débil institucionalidad para la prestación del servicio de salud que se evidencian en el incumplimiento de la aplicación de las guías clínicas de atención, la inoportunidad del servicio y baja implementación de la Rutas Integrales de Atención, que inciden en el aumento de la mortalidad materna evitable (RMM), la mortalidad evitable en menores de 5 años</t>
  </si>
  <si>
    <t>Desarrollo de estrategias para la organización y acompañamiento de la participación ciudadana dirigida a la identificación de problemáticas, análisis, comprensión y definición de decisiones que impacten de manera positiva la salud</t>
  </si>
  <si>
    <t>A 2031 el 100% de los Departamentos, Distritos y Municipios del País integran en su Planes de Desarrollo Territoriales estrategias para afectar de manera positiva los determinantes sociales de la salud en sus territorios</t>
  </si>
  <si>
    <t>A 2027 el 100% de los Municipios  integran en su Planes de Desarrollo Territoriales estrategias para afectar de manera positiva los determinantes sociales de la salud en sus territorios</t>
  </si>
  <si>
    <t>15-A 2031, reducir en un 20% la prevalencia de anemia en los niños, niñas menores de 5 años</t>
  </si>
  <si>
    <t xml:space="preserve"> Implementar la ruta de atencion a la desnutricion en menores de 5 años en los municpios e IPS publicas</t>
  </si>
  <si>
    <t>Cuidado de la Salud en el Territorio.</t>
  </si>
  <si>
    <t xml:space="preserve"> implementación de huertas en megacolegios con continuidad, capacitación en las nuevas GABAS con enfoque diferencial dirigido a docentes y rectores de colegios la promoción de loncheras saludables con articulación intersectorial </t>
  </si>
  <si>
    <t xml:space="preserve">Miriam Eusse </t>
  </si>
  <si>
    <t xml:space="preserve">Pueblos y comunidades étnicas y campesinas, mujeres, sectores LGBTIQ+ y otras poblaciones por condición y/o situación que participan e inciden de manera efectiva en la formulación, implementación, monitoreo y evaluación de políticas, planes, programas y estrategias para la garantía del derecho fundamental a la salud.  </t>
  </si>
  <si>
    <t xml:space="preserve">"A  2031 el 100% de entidades territoriales  Departamentales, Distritales y Municipales  que tienen en su tenitorio pueblos y  comunidades indígenas, comunidades negras, afrocolombianas, raizales y  palenqueras y pueblo Rrom han 
establecido acuerdos para la garantía del derecho fundamental a la salud y la 
respuesta a las necesidades de la salud 
propia e intercultural. </t>
  </si>
  <si>
    <t xml:space="preserve">A  2027 el 100% de entidades territoriales Municipales que tienen en su tenitorio pueblos y comunidades indígenas, comunidades negras, afrocolombianas, raizales y  palenqueras y pueblo Rrom han 
establecido acuerdos para la garantía del derecho fundamental a la salud y la 
respuesta a las necesidades de la salud 
propia e intercultural. </t>
  </si>
  <si>
    <t>14-A 2031, disminuir 20% la prevalencia por retraso en talla en menores de 5 años.</t>
  </si>
  <si>
    <t xml:space="preserve">Realizar Busqueda activa comunitaria mensual de niños(as) menores de cinco años; en el  entorno hogar, en los territorios y microterritorios de los 4 municipios a cada familia se le debe educar en el código internacional de Sucedáneos, implementacion de plato saludable   </t>
  </si>
  <si>
    <t>A 2031 el 100% de las Entidades Territoriales del orden departamental, distrital y municipal han desarrollado procesos de ajuste institucional para el fortalecimiento de las capacidades de la autoridad sanitaria y la apropiación territorial del modelo de salud basado en la Atención Primaria en Salud</t>
  </si>
  <si>
    <t xml:space="preserve">Gestión territorial para el cuidado de la salud basado en la atención primaria en salud. </t>
  </si>
  <si>
    <t>10-A 2031, reducir a 5 por cada 100.000 menores de 5 años la tasa de mortalidad asociada a desnutrición aguda.</t>
  </si>
  <si>
    <t>Implementar  y operativizar  el Plan de Seguridad Alimentaria y Nutricional  en  los 29 municipios del  Departamento.</t>
  </si>
  <si>
    <t xml:space="preserve">Cuidado de la salud en el territorio  </t>
  </si>
  <si>
    <t xml:space="preserve">Realizar Busqueda activa comunitaria bimensual de niños(as) menores de cinco años en riesgo de desnutricion aguda en el entorno hogar, agrupados , IED y Programas de ICBF en los territorios y microterritorios totales en los 29 municpios a cada familia se le debe educar en el código internacional de Sucedáneos, implementacion de plato saludable   </t>
  </si>
  <si>
    <t xml:space="preserve">Entidades Territoriales Departamentales, Distritales y Municipales fortalecidas como autoridad sanitaria local para la Gobernanza en Salud Pública.  </t>
  </si>
  <si>
    <t>" A 2031 el 100% de las Entidades Territoriales del orden departamental, distrital y municipal desarrollan mecanismos para el fortalecimiento de la rectoría en salud en su territorio, conforme a las competencias establecidas"</t>
  </si>
  <si>
    <t>A 2031, el 40% de los niños menores de 6 meses tienen lactancia materna exclusiva</t>
  </si>
  <si>
    <t>A 2027, el 40% de los niños menores de 6 meses tienen lactancia materna exclusiva</t>
  </si>
  <si>
    <t xml:space="preserve">Desarrollo institucional y sectorial para el ejercicio de la autoridad sanitaria  </t>
  </si>
  <si>
    <t xml:space="preserve">Capacitar al talento humano de las EPS, IPS, EBS  y PIC de los 29 municipios del departamento del Magdalena sobre lactancia y relactancia materna y Código Internacional de Comercialización de Sucedáneos de la Leche materna (CICSLM) </t>
  </si>
  <si>
    <t>12-A 2031, el 40% de los niños menores de 6 meses tienen lactancia materna exclusiva</t>
  </si>
  <si>
    <t>Conmemorar la semana mundial de la LM realizar por sub-región en articulación del comité SAN municipal, líderes, líderesas y gestores comunitarios acciones de movilización y sensibilización a mujeres gestantes y lactantes y sus familias a cerca de la importancia de la protección, promoción y apoyo a la Lactancia Materna LM exclusiva y la importancia de la Donación de Leche Humana siguiendo los lineamientos del Ministerio de Salud.</t>
  </si>
  <si>
    <t xml:space="preserve">Primera infancia;
 Infancia; Adolescencia; Juventud;  Adultez; 
</t>
  </si>
  <si>
    <t>Desarrollo de capacidades teorico practico de dos dias para la construcción de Planes de SAN Municipales en los 29 municipios del departamento del Magdalena.</t>
  </si>
  <si>
    <t xml:space="preserve">Desarrollo y fortalecimiento de capacidades para la 
planeación integral en salud y la gestión territorial en el marco 
del Modelo de Salud preventivo, predictivo y resolutivo basado 
en Atención Primaria en Salud - APS. </t>
  </si>
  <si>
    <t>A 2027 el 100% de las Entidades Territoriales del orden municipal desarrollan mecanismos para el fortalecimiento de la rectoría en salud en su territorio, conforme a las competencias establecidas"</t>
  </si>
  <si>
    <t>Realizar el acompañamiento técnico a las EAPB priorizadas la implementación de la Resolución 3280 de 2018  énfasis en las atenciones que promuevan la lactancia materna y adecuada alimentación complementaria, el seguimiento y monitoreo a la consulta particular de consejería sobre LM y GABAS para el menor de dos años, la entrega de micronutrientes y seguimiento a niños con bajo peso al nacer hasta su adecuado peso.</t>
  </si>
  <si>
    <t>Primera infancia;
 Infancia</t>
  </si>
  <si>
    <t xml:space="preserve">MIRIAM eusse - claudia Chi </t>
  </si>
  <si>
    <t xml:space="preserve">Sesionar 4 Mesas de trabajo durante el año con el comité departamental SAN para evaluar y ajustar la ejecución de la politica departamental mediante plan de acción con Matriz de monitoreo para el cumplimiento del derecho humano a la alimentacion Adecuada y Sostenible (DHAAS), con la revision del documento, esta debe ser realizada por experto en el tema de politica publicas con el objetivo de definir la situacion actual de la politica departamental (DHAAS). </t>
  </si>
  <si>
    <t>Desarrollar Capacidades técnicas, científicas y operativas al RH de la DTS, IPS, EAPB en la Resolución 2465 /2016 y resolucion 2350/2020, con la revison de los planes de la desaceleracion de la desnutricon en los 29 municipios.</t>
  </si>
  <si>
    <t>Familias, colectivos y comunidades
Población materno perinatal; 
Primera infancia;</t>
  </si>
  <si>
    <t xml:space="preserve">Desarrollo de capacidades teórico práctico al talento humano de las Secretarías de Salud, Profesionales de la Salud de IPS, EPS, EBS, Madres FAMI, ICBF, rectores y docentes de colegios y Alcaldias de los 29 municipios sobre las nuevas GABA con enfoque diferencial, étnico y Afro, GABA para el menor de dos años y la creación de huertas caseras y la implementación de loncheras saludables .
</t>
  </si>
  <si>
    <t>Desarrollo de capacidades teorico practico, certificado sobre la estrategia Instituciones Amiga de la Mujer y la Infacia- IAMII, Salas Amigas de Extracción Manual de la leche materna, código internacional de sucedáneos de la leche materna, RIAS 3280, RIAS Materno Perinatal y Banco de Leche Humana dirigido  al talento humano de la salud, médicos, pediatras, nutricionistas, enfermeras, auxiliares de las IPS, EPS, y hospitales de los 29 municipios del departamento del Magdalena.</t>
  </si>
  <si>
    <t xml:space="preserve">Claudia Chi </t>
  </si>
  <si>
    <t>Desarrollo de capacidades en Resolucion 3280 dirigido al TH de las ESE, IPS; DTS de los 29 municipios</t>
  </si>
  <si>
    <t>4-A 2031, mantener en &lt; 9% la proporción de Bajo Peso al Nacer</t>
  </si>
  <si>
    <t>3-A 2031, reducir a 6 por cada 1.000 nacidos vivos la tasa de mortalidad neonatal</t>
  </si>
  <si>
    <t>Realizar comité trimestral del  plan  desaceleracion de muerte por desnutricion haciendo seguimientos mensuales a las EAPB Y MUNICIPIOS sobre la busquedad activa de niños reportados en la base sivigila ,según la resolucion 2350 y 2465  y realizar asistencias tecnicas a las EAPB y municipios del departamento en resolucion 2350 ,2465 y 3280</t>
  </si>
  <si>
    <t xml:space="preserve"> María Fernanda Larios - Margareth Pinto</t>
  </si>
  <si>
    <t xml:space="preserve">Entidades Territoriales Departamentales, Distritales y Municipales que conforman territorios de salud de acuerdo con las particularidades geográficas, socioculturales, político administrativas y ambientales donde se produce el proceso de salud.  </t>
  </si>
  <si>
    <t xml:space="preserve">Gestión territorial para el cuidado de la salud basado en la atención primaria en salud.  </t>
  </si>
  <si>
    <t xml:space="preserve">A 2031 el 100 % de las Entidades Territoriales del orden departamental, distrital y municipal han desarrollado procesos de ajuste institucional para el fortalecimiento de las capacidades de la autoridad sanitaria y la apropiación territorial del modelo de salud basado en la atención primaria.  </t>
  </si>
  <si>
    <t>20-A 2031, disminuir la tasa especifica de fecundidad adolescente de 15 a 19 años a menos de 40 nacimientos por cada 1000 mujeres adolescentes de 15 a 19 años.</t>
  </si>
  <si>
    <t>Realizar estrategias de educación en salud sexual y reproductiva en 58 IED priorizadas en el departamento</t>
  </si>
  <si>
    <t xml:space="preserve">Educacion en salud en el componente de prevencion de embarazo en adolescentes, prevencion de las violencias, planificacion familiar, prevencion de las enfermedades de transmisión sexual ETS (VIH/SIDA)) en el entorno escolar jovenes y adolescentes (6 a 11 de bachillerato) de las Instituciones educativas de los territorios proiorizados con enfoque preventivo </t>
  </si>
  <si>
    <t>Regionalización y tenitohalización del sistema de salud por áreas para la gestión en salud / territorios en salud con base en la estrategia atención primaria en salud, salud familiar y comunitaria, cuidado de la salud, gestión integral del riesgo en salud, y el enfoque diferencial poblacional y territorial.</t>
  </si>
  <si>
    <t>Educacion en salud a padres de familia, maestros, lideres comunitarios y otros actores, en la promoción de la salud sexual y reproductiva;  fomentando un entorno de apoyo, comprensión promover relaciones respetuosas, igualitarias y libres de violencia; con el fin aumentar la gobernanza de salud y toma de decisiones para el logro de bienestar colectivo de los territorios proiorizados con enfoque preventivo en el ambito urbano de los 29 municipios</t>
  </si>
  <si>
    <t xml:space="preserve">A 2027 el 100 % de las Entidades Territoriales del orden municipal han desarrollado procesos de ajuste institucional para el fortalecimiento de las capacidades de la autoridad sanitaria y la apropiación territorial del modelo de salud basado en la atención primaria.  </t>
  </si>
  <si>
    <t>1-A 2031, reducir a 32 por 100.000 nacidos vivos la razón de mortalidad materna</t>
  </si>
  <si>
    <t>Fortalecer la implementación de la ruta materno perinatal, en los 29 municipios del magdalena, desarrollando cacidades sociales e individuales en las 33 ESE públicas que atienden gestantes</t>
  </si>
  <si>
    <t xml:space="preserve">Realizar educación en salud materna y neonatal, a mujeres en edad fertil, parteras y jefes del hogar en las comunidades priorizadas, sobre factores de riesgo y desarmonías, reporte oportuno y atención en salud para evitar complicaciones en la madre y en su hijo </t>
  </si>
  <si>
    <t>Educacion en salud para la promocion y prevencion de la salud materno perinatal dirigida a mamos, medicos, parteras y lideres con el fin de fortalecer el manejo de la guia materno perinatal</t>
  </si>
  <si>
    <t>María Fernanda Larios - Margaret Pinto</t>
  </si>
  <si>
    <t>Desarrollo de capacidades bajo escenario de simulacion presencial teorico practicos al talento humano en salud de las ESE e IPS del Departamento del Magdalena,  sobre Ruta Materno Perinatal,  emergencias obstetricas, Planificacion Familiar dirigido a medicos generales, ginecologos y enfermeras, que ejerce funciones en consultas de control prenatal y sala de maternidad.</t>
  </si>
  <si>
    <t>Adolesencia y Juventud</t>
  </si>
  <si>
    <t>rina Marquez-Doraine Guerrero-Paola Gale</t>
  </si>
  <si>
    <t>Desarrollar capacidades  del Talento Humano  en salud  de las EAPB y ESE mediante taller en atencion en salud para las mujeres victimas de violencias de genero e intrafamiliar, ruta de atención integral de los 29 municipios del departamento del Magdalena incluyendo IPS Indígena.</t>
  </si>
  <si>
    <t xml:space="preserve"> Familias, colectivos y comunidades</t>
  </si>
  <si>
    <t>Asistencia Tecnica Seguimiento y monitoreo a la operativizacion de la ruta de atención en salud para víctimas de violencias sexuales y violencias de genero al entorno institucional, en el marco del Modelo Atención Integral de Salud en los 29 Municipios del Departamento.</t>
  </si>
  <si>
    <t xml:space="preserve">Realizar la conmemoracion de la semana andina de prevencion de embarazo en adolescentes y niñas en los 29 municipios del  departamento de magdalena </t>
  </si>
  <si>
    <t>19-A 2031, disminuir la tasa especifica de fecundidad adolescente de 10 a 14 años a cero nacimientos por cada 1.000 niñas de 10 a 14 años.</t>
  </si>
  <si>
    <t xml:space="preserve">Educación En Salud Sexual y Reproductiva con Enfoque Diferencial (Lgbtiq+) y de Género en las IED de cada microterritorio dirigida a los grados 10 y 11 </t>
  </si>
  <si>
    <t>5-A 2031, reducir a 15,3 por mil nacidos vivos la tasa de mortalidad infantil</t>
  </si>
  <si>
    <t>Desarrollo de capacidades del Departamento del Magdalena, sobre la estrategia ETMIPLUS</t>
  </si>
  <si>
    <t>A 2027 se incorporará en el 100% de los municipios el plan de gestión en sistemas de alerta temprana para la identificación del riesgos por el cambio climático y la posible vulnerabilidad de la población desde un enfoque territorial</t>
  </si>
  <si>
    <t>74-A 2031, se reducirá la letalidad acumulada (2022-2031) por dengue a menos del 0,1%.</t>
  </si>
  <si>
    <t>Desarrollar la estrategia de gestión integral de ETV, en las 29 ET del departamento</t>
  </si>
  <si>
    <t>Adquisicion de suministro insumo criticos para el control integral de vectores (sujeto a auotorizacion del ministerio)</t>
  </si>
  <si>
    <t>Jairo Gamarra</t>
  </si>
  <si>
    <t>Desarrollo y fortalecimiento de capacidades para la planeación integral en salud y la gestión territorial en el marco del modelo de salud preventivo, predictivo y resolutivo basado en APS</t>
  </si>
  <si>
    <t>A 2031 el 100% de las Entidades Territoriales del orden departamental, desarrollan mecanismos para el fortalecimiento de la rectoría en salud en su territorio, conforme a las competencias establecidas.</t>
  </si>
  <si>
    <t>A 2027 el 100% de las Entidades Territoriales desarrollan mecanismos para el fortalecimiento de la rectoría en salud en su territorio, conforme a las competencias establecidas.</t>
  </si>
  <si>
    <t>84-A 2031, se reduce en 40% las muertes por malaria en el periodo 2022- 2031.</t>
  </si>
  <si>
    <t>Garantizar el acceso y disponibilidad a medicamentos para el tratamiento de Malaria, Leishmaniasis y Enfermedad de Chagas.</t>
  </si>
  <si>
    <t>jairo Gamarra</t>
  </si>
  <si>
    <t>Abogacia e incidencia tecnica y politica en la agenda de otros sectores , a fin de generar acciones intersectoriales y transectoriales definiendo temas transversales y objetivos comunes</t>
  </si>
  <si>
    <t>Fortalecer la articulación intersectorial mediante reuniones de la mesa sectorial de ETV .</t>
  </si>
  <si>
    <t>Fortalecimiento de capacidades tecnicas para el ejercicio de la rectoria en salud</t>
  </si>
  <si>
    <t>Realizar mantenimiento preventivo y correctivo las maquinas del programa que lo requieran según diagnostico</t>
  </si>
  <si>
    <t>Realizar mantenimiento preventivo y correctivo de dos (2) vehiculos al servicio del programa según terminos de referencia, compra de SOAT y seguros</t>
  </si>
  <si>
    <t>Fortalecimiento de las capacidades institucionales y sociales para la gestión territorial de la salud pública, en el marco de la Estrategia Nacional de Formación Territorial, Intercultural de Atención Primaria en Salud, Salud Pública y Salud Colectiva.</t>
  </si>
  <si>
    <t>A 2031 el 100% de las Entidades Territoriales del orden departamental, han desarrollado procesos de ajuste institucional para el fortalecimiento de lad capacidades de la autoridad sanitaria y la apropiación territorial del modelo de salud basado en APS</t>
  </si>
  <si>
    <t>A 2027 el 100% de las Entidades Territoriales han desarrollado procesos de ajuste institucional para el fortalecimiento de lad capacidades de la autoridad sanitaria y la apropiación territorial del modelo de salud basado en APS</t>
  </si>
  <si>
    <t xml:space="preserve">Taller teórico-práctico de 5 días para ingenieros ambientales y técnicos de E.S.E. y hospitales, enfocado en la identificación y control de criaderos, captura entomológica de arbovirosis y uso de la plataforma Epicollect para la recolección y visualización de datos georreferenciados, realizado por tres (3) profesionales con experiencia y experticia en el tema. </t>
  </si>
  <si>
    <t>Desarrollo de capacidades de ocho (8) horas sobre la socialización de la estrategia de Manejo Integrado de Vectores, dirigido a funcionarios de las alcaldías municipales y E.S.E. Hospitales públicos del departamento (una persona por entidad). La actividad se orienta al fortalecimiento de conocimientos y competencias técnicas en vigilancia, prevención y control de vectores. El cual debe ser desarrollado por un profesional de la Salud que cuente con experiencia en el tema.</t>
  </si>
  <si>
    <t>A 2031 el 100% de las Entidades Territoriales del distrital y orden departamental, municipal desarrollan mecanismos para el fortalecimiento de la rectoría en salud en su territorio, conforme a las competencias establecidas</t>
  </si>
  <si>
    <t>Asistencia ténica al talento humano por parte del medico del área de prestación de servicios (presencial o virtual) para la adherencia a guías de atención integral de casos (Dengue / Chikunguña / Zika), Fiebre amarilla, Leishmaniasis, Malaria y Chagas en el 100% de las IPS publicas</t>
  </si>
  <si>
    <t>A 2031 el 100% de los espacios e instancias intersectoriales inlcuyen en sus planes de accion la transversalizacion de los enfoques de puebos y comunidades . Genero y diferencial e integran los sistemas de conocimiento propio d elos pueblos y comunidades etnicas</t>
  </si>
  <si>
    <t>A 2027 el 100% de los espacios e instancias intersectoriales inlcuyen en sus planes de accion la transversalizacion de los enfoques de puebos y comunidades Genero y diferencial e integran los sistemas de conocimiento propio d elos pueblos y comunidades etnicas</t>
  </si>
  <si>
    <t>Abogacia con las comunidades etnicas para la implementacion de acciones de promocion y prevencion de las ETV</t>
  </si>
  <si>
    <t>a 2031 el 100% de las entidades territoriales del orden departaental, distrital y municipal han desarrollado procesos de ajuste inatitucional para el fortalecimiento de las capacidades de la autoridad sanitaria y la apropiacion territorial del modelo de salud basado en APS</t>
  </si>
  <si>
    <t>A 2027 el 100% de las entidades territoriales del orden municipal han desarrollado procesos de ajuste inatitucional para el fortalecimiento de las capacidades de la autoridad sanitaria y la apropiacion territorial del modelo de salud basado en APS</t>
  </si>
  <si>
    <t>Prevenir la transmisión de ETV mediante uso de control químico en municipios en brote según analisis de la informacion epidemiologica (a demanda)</t>
  </si>
  <si>
    <t>Realizar levantamiento de indices aédicos, control larvario, destruccion de criadros y captura entomologica de larvas y adultos en el entorno hogar beneficiando a las familias en 29 municipios según programacion de los tecnicos de ETV y en los cementerios .</t>
  </si>
  <si>
    <t>Levantar indices aedicos, destruccion de criaderos, control larvario y captura entomologica de larvas y adultos y educacion en signos y sintomas de alarma en el entorno educativo</t>
  </si>
  <si>
    <t>Instalación de cuatro (4) larvitrampas, captura de larvas y seguimiento de las mismas según lineamiento ubicados en terminales de transporte fluviales, aereos, y terrestres en los 29 municipios del departamento del Magdalena</t>
  </si>
  <si>
    <t>Desarrollo de estrategias de comunicación para la difusión y el uso adecuado de la información en salud pública</t>
  </si>
  <si>
    <t>A 2027 el 100% de las Entidades Territoriales del orden  municipal desarrollan mecanismos para el fortalecimiento de la rectoría en salud en su territorio, conforme a las competencias establecidas</t>
  </si>
  <si>
    <t>Realizar un (1) programa radial en los 29 municipios del departamento del Magdalena sobre las ETV, dando a conocer el ciclo vectorial, habito de los vectores transmisores de arbovirosis, malaria, chagas y leishmania</t>
  </si>
  <si>
    <t>Desarrollo de macanismos para el fortalecimiento d ela conduccion y articulación sectorial e intersectorial, la conformación y operación de redes integrales e integradas territoriales de servicios de salud y la rendicion de cuentas conforme a las competencias establecidas</t>
  </si>
  <si>
    <t>75-A 2031, se reduce 20% la letalidad acumulada (2022-2031) por enfermedad de Chagas agudo.</t>
  </si>
  <si>
    <t>Abogacia con las EAPB para el tamizaje de chagas para maternas e hijos de maternas positivas en el marco de la estrategia MPLUS y seguimiento nominal de los casos</t>
  </si>
  <si>
    <t>Eliecer Peñaranda</t>
  </si>
  <si>
    <t>A 2027 el 100% de las Entidades Territoriales del orden municipal desarrollan mecanismos para el fortalecimiento de la rectoría en salud en su territorio, conforme a las competencias establecidas</t>
  </si>
  <si>
    <t>Desarrollar capacidades al talento humano (profesionales de apoyo) en capacitación en identificación taxonomica de Culicidos y montaje de especimenes para la colección de referencia entomologica.</t>
  </si>
  <si>
    <t>Fortalecimiento de capacidades institucionales y comunitarias para el desarrollo de la APS con acciones territorializadas, universales, sistemáticas, permanentes y participativas bajo un enfoque familiar y comunitario.</t>
  </si>
  <si>
    <t>16-A 2031, Colombia logrará coberturas útiles de vacunación (95% -biológicos trazadores).</t>
  </si>
  <si>
    <t>Desarrollar actividades de promoción y mantenimiento de la salud y prevención de la enfermedad en la poblacion diferencial, en los 29 municipios del departamento</t>
  </si>
  <si>
    <t>Desarrollar Un (1) encuentro lúdico de saberes con todas las Madres ICBF, padres de familia, los docentes y las madres lideres de Mas familias en acción cuyo énfasis sean estrategias asertivas en vacunación para la identificación de niños y niñas menores de 6 años con esquemas de vacunación incompletos para la edad profesional idóneo. En el entorno educativo y Comunitario en los ámbitos urbano.</t>
  </si>
  <si>
    <t>Gissell Zamora</t>
  </si>
  <si>
    <t>17-Al 2031, Colombia mantendrá la implementación de los planes orientados a la erradicación de poliomielitis, eliminación de Sarampión y Rubeola, control y eliminación de eventos inmunoprevenibles, Síndrome de Rubeola Congénita, Tétanos Neonatal, Fiebre Amarilla, Difteria, Tuberculosis Meníngea, Hepatitis A, B y C, Neumococo, Haemophilus influenzae tipo B, Meningococo, diarreas por Rotavirus, Tos ferina, Parotiditis e Influenza, eliminación de la transmisión materno infantil de la hepatitis B.</t>
  </si>
  <si>
    <t xml:space="preserve">Programa comunicacional mensual en los 29 municipios donde se informe: esquema de vacunacion, jornadas, vacunacion segura, entre otros los 12 meses del año pueden usar medio radial de cobertura municipal o perifoneo demostrado en todo el municipio </t>
  </si>
  <si>
    <t xml:space="preserve">Familias, colectivos y comunidades 
</t>
  </si>
  <si>
    <t>Establecimiento de mecanismos institucionales, sectoriales, intersectoriales y comunitarios que garanticen la participación de las diferentes formas y expresiones organizativas de los pueblos y comunidades en la planeación y la respuesta en salud</t>
  </si>
  <si>
    <t>A 2031 el 100% de entidades territoriales Departamentales, Distritales y Municipales que tienen en su territorio pueblos y comunidades indígenas, comunidades negras, afrocolombianas, raizales y palenqueras y pueblo Rrom integran en sus planes territoriales de salud los acuerdos resultantes para la garantía del derecho fundamental a la salud y la respuesta a las necesidades de la salud propia e intercultural.</t>
  </si>
  <si>
    <t>A 2027 el 100% de entidades territoriales  Municipales que tienen en su territorio pueblos y comunidades indígenas, comunidades negras, afrocolombianas, raizales y palenqueras y pueblo Rrom integran en sus planes territoriales de salud los acuerdos resultantes para la garantía del derecho fundamental a la salud y la respuesta a las necesidades de la salud propia e intercultural.</t>
  </si>
  <si>
    <t>Desarrollar un (1) encuentro didactico de saberes con comunidad indígena de los municipios de Ciénaga, Fundación, Aracataca y Sabana de San Ángel, con énfasis en estrategias asertivas de vacunación para la identificación de niños y niñas menores de seis (6) años, con la participación de un profesional idóneo con experiencia PAI. La actividad se realizará en los entornos educativos y comunitarios, tanto en áreas urbanas como rurales.</t>
  </si>
  <si>
    <t>Nivel primario de atención con equipos de salud territoriales y centros de atención primaria en salud fortalecidos en su infraestructura, insumos, dotación y personal de salud como puerta de entrada y primer contacto con el Sistema de Salud, para dar respuesta a las necesidades en salud de la población de su territorio.</t>
  </si>
  <si>
    <t>Implementación de mecanismos para la coordinación y gestión de la operación de las redes integrales e integradas territoriales de salud en el marco de un modelo preventivo, predictivo y resolutivo basado en la APS.</t>
  </si>
  <si>
    <t>A 2031 el 100 % de las Entidades Territoriales del orden departamental, distrital y municipal han desarrollado procesos de ajuste institucional para el fortalecimiento de las capacidades de la autoridad sanitaria y la apropiación territorial del modelo de salud basado en la atención primaria.</t>
  </si>
  <si>
    <t>A 2027 el 100 % de las Entidades Territoriales del orden municipal han desarrollado procesos de ajuste institucional para el fortalecimiento de las capacidades de la autoridad sanitaria y la apropiación territorial del modelo de salud basado en la atención primaria.</t>
  </si>
  <si>
    <t>18-A 2031, Colombia aumentará a un 90%, la cobertura de vacunación de VPH en niños y niñas de 9 años de edad</t>
  </si>
  <si>
    <t>Garantizar el inicio, continuidad y finalizacion de los esquemas de vacunación según la edad, mediante jornadas dirigidas al 100% de las familias intervenidas por la estrategia de Atención Primaria en Salud que cuenten con miembros objeto del PAI, a través del trabajo de un vacunador y un anotador, con una meta de productividad mensual de 40 personas.</t>
  </si>
  <si>
    <t>Educacion en Salud sobre Vacunacion segura y esquema gratuito, Realizar búsqueda activa de la poblacion objetivo del programa y la puesta al día de coberturas de vacunación en los 29 Municipios y de esta manera gestionar el cumplimiento de las metas programáticas</t>
  </si>
  <si>
    <t>0,25</t>
  </si>
  <si>
    <t>Desarrollo y fortalecimiento de capacidades para la planeación integral en salud y la gestión territorial en el marco del Modelo de Salud preventivo, predictivo y resolutivo basado en Atención Primaria en Salud - APS.</t>
  </si>
  <si>
    <t>Desarrollar capacidades en los diferentes componentes del programa dirigido al talento humano Vacunadores de los equipos y unidades vacunadoras de 29 municipios incluida IPS Indigena</t>
  </si>
  <si>
    <t>11-A 2031, reducir a 10,3 por mil nacidos vivos la tasa de mortalidad en menores de 5 años</t>
  </si>
  <si>
    <t>Desarrollar capacidades en los diferentes componentes del programa dirigido al talento humano coordinadores de los equipos y unidades vacunadoras de 29 municipios incluida IPS Indigena</t>
  </si>
  <si>
    <t>Fortalecimiento de las capacidades del Talento Humano para la generación de conocimiento con enfoques diferenciales, de género y diversidad y para pueblos y 
  comunidades étnicas.</t>
  </si>
  <si>
    <t>Articulacion con el SENA para garantizar la certificacion en las 2 competencias laborales (Adminstracion de Inmunobiologicos y Atencion al usuario) a los tecnicos (auxiliares) y profesionales (enfermeras) de las IPS de los 29 municipios, incluida la IPS Indigena .</t>
  </si>
  <si>
    <t>Fortalecimiento de capacidades a nivel nacional y territorial
  para la vigilancia en salud pública, el fortalecimiento de los
  laboratorios de salud pública, la inspección, vigilancia y control
  sanitarios y la garantía de insumos de interés en salud pública
  reconociendo los avances y logros de los pueblos y</t>
  </si>
  <si>
    <t>A 2031 el 100% de las entidades terriitoriales de orden departamental, distrital y municipal desarrollaran mecanismos para el fortalecimiento de la rectoria en salud en su territorio, conforme a las competencias establecidas</t>
  </si>
  <si>
    <t>A 2027 el 100% de las entidades terriitoriales de orden municipal desarrollaran mecanismos para el fortalecimiento de la rectoria en salud en su territorio, conforme a las competencias establecidas</t>
  </si>
  <si>
    <t>Realizar la gestión de los insumos críticos del programa de la red de frio</t>
  </si>
  <si>
    <t>Gestion de insumos de interes en salud publica para garantizar la implementacion de la estrategia de vacunacion sin barreras a los 29 Municipios</t>
  </si>
  <si>
    <t>Realizar Mantenimiento preventivo y correctivo a la red de frio departamental</t>
  </si>
  <si>
    <t>Garantizar el traslado de insumos y biologicos del esquema regular y contra covid19 los 12 meses del año 2025 a los 29 muicipios conservando su red de frio</t>
  </si>
  <si>
    <t>Garantizar la proteccion y vida util de los biologicos e insumos criticos para el programa ampliado de inmunizaciones PAI a traves de una poliza de seguros todo riesgo</t>
  </si>
  <si>
    <t>Abogacía e incidencia técnica y política en la agenda de otros sectores, a fin de generar acciones intersectoriales y transectoñales definiendo temas transversales y objetivos
  comunes.</t>
  </si>
  <si>
    <t>99-No relación</t>
  </si>
  <si>
    <t>Realizar cuatro (4) Comites del Programa Ampliado de Inmunizaciones PAI según lineamientos del MSPS, que garantice la participación de los actores del sector salud y otros sectores con el objetivo de lograr la meta de cobertura propuesta.</t>
  </si>
  <si>
    <t>Posicionamiento del sistema único de información en salud parametrizado y estandarizado acorde con la normatividad
  vigente, que tenga la capacidad de articular los sistemas propios de información en salud de los pueblos y comunidades existentes.</t>
  </si>
  <si>
    <t>Realizar seguimiento y elaborar informe de un monitoreo rápido de coberturas realizados por los 29 municipios, conforme a lo establecido en los lineamientos del MSPS.</t>
  </si>
  <si>
    <t>Realizar asistencias tècnicas y seguimientos, para la implementación y fortalecimiento deI Programa Ampliado de Inmunizaciones en todos sus componentes en las IPS/ESE ,IPS de atención al recien nacidos y EAPB de los 29 municipios.</t>
  </si>
  <si>
    <t>Desarrollo de mecanismos para el fortalecimiento de la conducción y articulación sectorial e intersectorial, la regulación, la conformación y operación de redes integrales e integradas territoriales de servicios de salud y la rendición de cuentas conforme a las competencias establecidas.</t>
  </si>
  <si>
    <t>Articular las acciones con el equipo de vigilancia en salud pública, así como participar en las salas de análisis de riesgo, comités de vigilancia epidemiológica, equipos de respuesta inmediata, sala situacional, unidad de analisis ESAVI, comite de expertos de EAPV, entre otras.</t>
  </si>
  <si>
    <t>Diseño e implementación de estrategias para la transversafización de los enfoques diferencial, de género y diversidad, curso de vida, salud familiar y comunitaria y
  psicosocial para pueblos y comunidades.</t>
  </si>
  <si>
    <t>Programar y gerenciar las estrategias del programa ampliado de inmunizaciones PAI del Departamento (Informes ejecutivos del programa, jornadas de vacunación ESQUEMA REGULAR a las que haya lugar grarantizando el control de los bilógicos e insumos, sistema de información, formulación planes de acción, desarrollo de capacidades y seguimientos en entorno educativa ,entre otros)</t>
  </si>
  <si>
    <t>Fortalecimiento de capacidades institucionales y comunitarias para el desarrollo de la APS con acciones territoizalizadas universales sistematica participativas bajo un enfoque territorial y comunitario.</t>
  </si>
  <si>
    <t>93-A 2031, se logra el 90% de tratamiento exitoso en pacientes con tuberculosis</t>
  </si>
  <si>
    <t>Medico en tu casa</t>
  </si>
  <si>
    <t>Realizar Seguimiento al cumplimiento del plan estrategico fin de la tuberculosis Colombia, en los 29 municipios del departamento</t>
  </si>
  <si>
    <t>Educacion en salud a los pacientes privados de la libertad (carceles y estacion de policia) sobre Identificación de signos y síntomas de tuberculosis.Realizar busqueda activa de sintomaticos respiratorios y su canalizacion respectiva para diagnostico oportuno</t>
  </si>
  <si>
    <t>Marly Sierra/ Jacqueline Garcìa M.</t>
  </si>
  <si>
    <t>Análisis de la información que permita la comprensión de las situaciones de salud de la poblacion y sus determinantes sociales a nivel territorial</t>
  </si>
  <si>
    <t>A 2031 el 100% de las entidades territoriales del orden departamental , distrital y municipal han desarrollado procesos de ajuste institucional para el fortalecimiento de las capacidades de las autoridades sanitarias y apropiacion territorial del modelo de salud basado en la APS</t>
  </si>
  <si>
    <t>A 2027 el 100% de las entidades territoriales del orden municipal han desarrollado procesos de ajuste institucional para el fortalecimiento de las capacidades de las autoridades sanitarias y apropiacion territorial del modelo de salud basado en la APS</t>
  </si>
  <si>
    <t>Mèdico en tu casa</t>
  </si>
  <si>
    <t>Desarrollo de capacidades al Talento Humano del SGSSS en tuberculosis en los temas de gestión, diagnostico, sistema de información, análisis y seguimiento de indicadores y prevención y manejo de la coinfeccion TB/VIH y manejo programático de TB-MDR y socializacion del plan estrategico a los actores del sistema</t>
  </si>
  <si>
    <t>A 2031 el 100% de las entidades territoriales del orden departamental , distrital y municipal  han  desarrollado procesos de ajuste institucional para el fortalecimiento de las capacidades de las autoridades sanitarias y apropiacion territorial del modelo de salud basado en la APS</t>
  </si>
  <si>
    <t xml:space="preserve">cuidado de la salud en el territorio  </t>
  </si>
  <si>
    <t>Educación en salud de TB para la promoción y la gestión del riesgo y la transformación positiva de los diferentes entornos (hogar, comunitario) de los pacientes, ex-pacientes, sus familias</t>
  </si>
  <si>
    <t>Personal de salud</t>
  </si>
  <si>
    <t>iii) Trabajo digno y decente para el talento humano en salud y otros trabajadores del sector</t>
  </si>
  <si>
    <t>Desarrollo e implementación de otras estrategias para la generación de conocimiento acerca de las condiciones de salud de la población y sus determinantes sociales a nivel territorial tales como observatorios, ASIS, unidades de análisis, seminarios, evaluaciones de riesgo ambientales de la salud, entre otras.</t>
  </si>
  <si>
    <t>94-A 2031, se logra reducir el 50% la tasa de mortalidad por 100mil habitantes, causada por la tuberculosis en Colombia.</t>
  </si>
  <si>
    <t>Realizar un plan de asistencia tecnica a los diferentes actores del sistema de los 29 Municipios en el programa de tuberculosis y Apoyar la adopcion del Plan Estrategico post 2015 facia el fin el la Tuberculosis. PLAN ESTRATEGICO 2025</t>
  </si>
  <si>
    <t>Realizar investigacion operativa de acuerdo a lineamiento de la red de investigacion nacional en tuberculosis resolucion 227 de 2020.</t>
  </si>
  <si>
    <t>Fomentar la inversión en investigación, desarrollo innovaciòn y produccion local de TES</t>
  </si>
  <si>
    <t>A 2027 el 100% de las entidades territoriales del orden departamental, municipal  han  desarrollado procesos de ajuste institucional para el fortalecimiento de las capacidades de las autoridades sanitarias y apropiacion territorial del modelo de salud basado en la APS</t>
  </si>
  <si>
    <t xml:space="preserve">Adquisicion de insumos de laboratorios para apoyo de la red </t>
  </si>
  <si>
    <t>Fortalecer acciones de protección en infancia: rastreo de contactos en niños expuestos a casos de TB bacilífera para asegurar profilaxis según lineamiento nacional, educación a familias de los niños intervenidos en ESE municipales – EPS</t>
  </si>
  <si>
    <t>A 2027 el 100% de los Municipios integran en su Planes de Desarrollo Territoriales estrategias para afectar de manera positiva los determinantes sociales de la salud en sus territorios</t>
  </si>
  <si>
    <t>Realizar seguimiento a la implementación del programa nacional de prevención, manejo y control de IRA en las 33 ESE del departamento</t>
  </si>
  <si>
    <t>Desarrollar un proceso de fortalecimiento de capacidades dirigido a líderes comunitarios, representantes de instituciones educativas, madres y líderes de hogares del ICBF de los ámbitos urbano y rural de los municipios. Este proceso se llevará a cabo en las unidades comunitarias UROC-UAIRAC (Unidades de Rehidratación Oral Comunitaria y Unidades de Atención Integral a las Infecciones Respiratorias Agudas), e incluirá las 18 prácticas clave del AIEPI Comunitario, con el fin de facilitar su implementación, funcionamiento y los procesos de referencia y contrarreferencia en el entorno comunitario.</t>
  </si>
  <si>
    <t>Evelyn Gutierrez</t>
  </si>
  <si>
    <t>A 2031 el 100% de las Entidades Territoriales del orden departamental, dlstrltal y municipal desarrollan mecanismos para el fortalecimiento de la rectoría en salud en su territorio, conforme a las competencias establecidas</t>
  </si>
  <si>
    <t>77-A 2031 departamentos y distritos con población en riesgo, logran alcanzar y mantener las coberturas anuales de desparasitación antihelmíntica iguales o superiores al 75%, en niños elegibles en edad preescolar y escolar.</t>
  </si>
  <si>
    <t>Realizar jornadas de desparasitación antihelmíntica, acompañadas de actividades de educación en salud en los entornos comunitario y escolar, dirigidas a niñas, niños y adolescentes de 1 a 14 años. Estas acciones estarán enfocadas en sensibilizar sobre la importancia de la desparasitación antihelmíntica en los 29 municipios del Departamento del Magdalena.</t>
  </si>
  <si>
    <t>Gestión territorial para el cuidado de la salud basado
en la atención primaria en salud.</t>
  </si>
  <si>
    <t>Realizar jornadas de desparasitación antihelmíntica, acompañado de Educacion en salud en la población etnica (indígena) en todos los entornos, a niños(as) y adolescentes de 1 a 14 años, sobre la importancia de la desparasitación antihelmíntica en los municipios de Aracataca, Ciénaga, Fundación y Sabanas de San Angel.</t>
  </si>
  <si>
    <t>Fortalecimiento de capacidades a nivel nacional y territorial
para la vigilancia en salud pública, el fortalecimiento de los
laboratorios de salud pública, la inspección, vigilancia y control
sanitarios y la garantía de insumos de interés en salud pública
reconociendo los avances y logros de los pueblos y
comunidades.</t>
  </si>
  <si>
    <t>A 2031 el 100% de las Entidades Territoriales del orden departamental, distrital y municipal desarrollan mecanismos para el fortalecimiento de la rectoría en salud en su territorio, conforme a las competencias establecidas</t>
  </si>
  <si>
    <t>Desarrollar un fortalecimiento de capacidades certificado para la adecuada aplicación de la Escala Abreviada de Desarrollo-3 (EAD-3), cuestionarios e instrumentos de la Ruta para la Promocion y Mantenimiento de la salud mediante una actividad de entrenamiento, dirigido al Talento Humano en Salud de las ESE e IPS de los 29 municipios del Departamento del Magdalena.</t>
  </si>
  <si>
    <t xml:space="preserve">Primera infancia, Infancia </t>
  </si>
  <si>
    <t>Implementación de mecanismos para la</t>
  </si>
  <si>
    <t>Desarrollo de un taller teórico práctico en AIEPI clinico, dirigido al Talento Humano en Salud de las ESE e IPS de los 29 municipios del Departamento del Magdalena.</t>
  </si>
  <si>
    <t>Familias, colectivos y comunidades;</t>
  </si>
  <si>
    <t>coordinación y gestión de la operación de las redes integrales e integradas territoriales de salud en el marco de un modelo preventivo, predictivo y resolutivo basado en la APS.</t>
  </si>
  <si>
    <t>Realizar asistencia tecnica en la estrategia de desparasitacion antihelmintica (Lineamientos desparasitacion antihelmintica quimioterapia preventiva), en los 29 Municipios</t>
  </si>
  <si>
    <t>Primera infancia, Infancia y adolescencia</t>
  </si>
  <si>
    <t xml:space="preserve">Capacidades fortalecidas para la gestión del conocimiento en salud pública  </t>
  </si>
  <si>
    <t xml:space="preserve">coordinación y gestión de la operación de las redes integrales e integradas territoriales de salud en el marco de un modelo preventivo, predictivo y resolutivo basado en la APS. </t>
  </si>
  <si>
    <t>2-A 2031, reducir a 13,5 por cada 1.000 nacidos vivos la tasa de mortalidad perinatal</t>
  </si>
  <si>
    <t xml:space="preserve">Desarrollar actividades de promoción y mantenimiento de la salud y prevención de la enfermedad en la poblacion diferencial, en los 29 municipios del departamento </t>
  </si>
  <si>
    <t xml:space="preserve">Desarrollo institucional y sectorial para el ejercicio de la autoridad sanitaria </t>
  </si>
  <si>
    <t>Desarrollo de capacidades teórico práctico al Talento Humano en Salud de las ESE e IPS de los 29 mumicipios del Departamento del Magdalena en Reanimación Neonatal Básica-Programa de Resucitación Neonatal (PRN).</t>
  </si>
  <si>
    <t>Evelyn Gutierrez, Jairo Santos</t>
  </si>
  <si>
    <t>99- No relación</t>
  </si>
  <si>
    <t>Educacion en salud a familias en el uso adecuado de antimicrobianos y el correcto lavado de manos</t>
  </si>
  <si>
    <t>82-A 2031, se logra disminuir en un 50% la tasa de discapacidad grado severo en las personas con diagnóstico nuevo de lepra.</t>
  </si>
  <si>
    <t>Realizar Busqueda activa permanente mediante la Revisión Clinica de los convivientes de pacientes y expacientes de hansen, para la detecciön temprana, canalizacion a la IPS para diagnostico precoz, notificacion , registro y seguimiento, en el ambito urbano y rural de los 29 Municipios del magdalena.</t>
  </si>
  <si>
    <t>Apoyar el encuentro municipal de pacientes y expacientes de Enfermedad de Hansen para actividades eduactivas, de prevención y rehabilitacion basada en comunidad en los 29 municipios del departamento del Magdalena. (En los municipios donde no hay pacientes ni expacientes realizar actividad en poblacion del entorno comunitario)</t>
  </si>
  <si>
    <t>Desarrollar capacidades en el entorno institucional al talento humano de la DTS en temas como: gestión, Dx, sistema de información, analisis y seguimiento de indicadores en la prevencion y control de la enfermedad de hansen</t>
  </si>
  <si>
    <t>Yamina Yañez, Mayra Cantillo</t>
  </si>
  <si>
    <t xml:space="preserve">Desarrollo e implementación de otras estrategias para la generación de conocimiento acerca de las condiciones de salud de la población y sus determinantes sociales a nivel territorial tales como observatorios, ASIS, unidades de análisis, seminarios, evaluaciones de riesgo ambientales de la salud, entre otras.  </t>
  </si>
  <si>
    <t xml:space="preserve">A 2031 el 100% de las Entidades Territoriales del orden departamental, distrital y municipal desarrollan mecanismos para el fortalecimiento de la rectoría en salud en su territorio, conforme a las competencias establecidas.  </t>
  </si>
  <si>
    <t xml:space="preserve">A 2027 el 100% de las Entidades Territoriales del orden municipal desarrollan mecanismos para el fortalecimiento de la rectoría en salud en su territorio, conforme a las competencias establecidas.  </t>
  </si>
  <si>
    <t>Evitar que la tasa de la de incidencia de la enfermedad de hansen este por encima del 1,39%.</t>
  </si>
  <si>
    <t>Realizar un plan de  asistencia tecnica a los diferentes actores del entorno institucional de los 29 Municipios en el programa de lepra y Apoyar la formulacion del plan Magdalena libre de Hansen</t>
  </si>
  <si>
    <t>Gestio territorial para el cuidado de la salud basado en la atencion primaria en salud.</t>
  </si>
  <si>
    <t>Evitar que la tasa de incidencia de la enfermedad de hansen este por encima del 1,39%.</t>
  </si>
  <si>
    <t>educacion en salud en el entorno educativo de los ambitos rural y urbano de los territorios priorizados dirigido a jovener de 9,10 y 11 en deteccion y prevencion de la enfermedad, prevencion del estigma y discriminacion de hansen de los 29 municipios del departamento del magdalena.</t>
  </si>
  <si>
    <t>Prácticas, saberes y conocimientos para la salud pública reconocidos y fortalecidos para Pueblos y comunidades étnicas, mujeres, población campesina, LBGTIQ+ y otras poblaciones por condición y/o situación</t>
  </si>
  <si>
    <t>Garantizar los mecanismos para salvaguardar el conocimiento relacionado con las formas, experiencias, prácticas y acciones en salud de las personas y colectivos, con el fin de fortalecer la transmisión intergeneracional.</t>
  </si>
  <si>
    <t>A 2031 el 100% de las Entidades Territoriales del orden departamental, distrital y municipal desarrollan mecanismos para el fortalecimiento de la rectoría en salud en su territorio, conforme a las competencias establecidas"</t>
  </si>
  <si>
    <t xml:space="preserve">Desarrollar acrividades de promoción y mantenimiento de la salud y prevención de la enfermedad en la poblacion diferencial, en los 29 municipios del departamento </t>
  </si>
  <si>
    <t>Acuerdos sociales y comunitarios para la transformación de las inequidades en salud y la incidencia sobre los DSS en el territorio </t>
  </si>
  <si>
    <t xml:space="preserve">realizar seguimiento del plan de acción de la RED de RBC para la implementación de la estrategia RBC (rehabilitación basada en comunidad), como un proceso de desarrollo local inclusivo de caracter intersectorial de las personas con discapacidad y sus cuidadores en los entornos institucional y comunitario en el area urbana y/o rural de los microterritorios priorizados de los 29 municicipios </t>
  </si>
  <si>
    <t>Promoción de capacidades y mecanismos para la gobernanza en salud pública y la incidencia sobre los determinantes sociales de la salud desde las diferentes instancias intersectoriales del orden nacional y territorial.</t>
  </si>
  <si>
    <t>Certificar a 4.600 personas con discapacidad en el departamento</t>
  </si>
  <si>
    <t>Desarrollo institucional y sectorial para el ejercicio de la autoridad sanitaria  </t>
  </si>
  <si>
    <t xml:space="preserve">Desarrollo de capacidades para preescripción de ayudas tecnicas para bancos municipales (SSM) de las personas con discapacidad en el departamento del Magdalena </t>
  </si>
  <si>
    <t>Desarrollo y fortalecimiento de capacidades para la
planeación integral en salud y la gestión territorial en el marco
del Modelo de Salud preventivo, predictivo y resolutivo basado
en Atención Primaria en Salud - APS</t>
  </si>
  <si>
    <t xml:space="preserve">Desarrollar acrividades de promoción y mantenimiento de la salud y prevención de la enfermedad en la  poblacion diferencial, en los 29 municipios del departamento </t>
  </si>
  <si>
    <t xml:space="preserve">Mesa de articulación intersectorial para la prestación de servicios en salud de la población con discapacidad y trastornos mentales </t>
  </si>
  <si>
    <t xml:space="preserve">Establecimiento de mecanismos de participación basada en
atención primaria en salud — APS para la gobernanza propia
en salud de los pueblos y comunidades. </t>
  </si>
  <si>
    <t>Certificar a 2.200 personas con discapacidad en el departamento</t>
  </si>
  <si>
    <t xml:space="preserve">Desarrollo de capacidad en valoraciones de apoyo -certificado (SSM, personeria, comesaria de familia) y fortalecimiento de la atención diferencial en salud ((SSM, personeria, comesaria de familia, IPS y EPS)para las personas con discapacidad </t>
  </si>
  <si>
    <t xml:space="preserve"> 2031 el 100% de las Entidades Territoriales del orden departamental, distrital y municipal desarrollan mecanismos para el fortalecimiento de la rectoría en salud en su territorio, conforme a las competencias establecidas"</t>
  </si>
  <si>
    <t xml:space="preserve"> 2027 el 100% de las Entidades Territoriales del orden municipal desarrollan mecanismos para el fortalecimiento de la rectoría en salud en su territorio, conforme a las competencias establecidas"</t>
  </si>
  <si>
    <t>Certificar a  2.200 personas con discapacidad en el departamento</t>
  </si>
  <si>
    <t>Desarrollo institucional y sectorial para el ejercicio de la autoridad sanitaria </t>
  </si>
  <si>
    <t xml:space="preserve">Asistencia tecnica y acompañamiento sobre el componente de discapacidad  (Rehabilitación basada en la comunidad (RBC) - certificación de discapacidad y RLCPD  </t>
  </si>
  <si>
    <t>Personas con discapacidad</t>
  </si>
  <si>
    <t>RUBY PONCE BALDOVINO</t>
  </si>
  <si>
    <t>2031 el 100% de las Entidades Territoriales del orden departamental, distrital y municipal desarrollan mecanismos para el fortalecimiento de la rectoría en salud en su territorio, conforme a las competencias establecidas"</t>
  </si>
  <si>
    <t>Asistencia tecnica para la implementación del modelo de infancia a los actores que hacen parte del sistema de salud en los 29 municipios del departamento</t>
  </si>
  <si>
    <t>promoción de capacidades y mecanismos para la gobernanza en salud pública y la incidencia sobre los determinantes sociales de la salud desde las diferentes instancias intersectoriales del orden nacional y territorial.</t>
  </si>
  <si>
    <t>Asistencia tecnica y articulación intersectorial con los diferentes actores para la prevención del trabajo infantil en los 29 municipios del departamento</t>
  </si>
  <si>
    <t>promoción de capacidades y mecanismos para la gobernanza en salud pública y la incidencia sobre los determinantes sociales de la salud desde las diferentes instancias intersectoriales del orden nacional y territorial</t>
  </si>
  <si>
    <t>Mesa  Departamental  de  Salud  y Nutricion para el desarrollo Integral de Niños, Niñas y Adolescentes</t>
  </si>
  <si>
    <t>Desarrollo y fortalecimiento de capacidades para la planeación integral en salud y la gestión territorial en el marco del Modelo de Salud preventivo, predictivo y resolutivo basado en Atención Primaria en Salud - APS</t>
  </si>
  <si>
    <t>31 el 100% de las Entidades Territoriales del orden departamental, distrital y municipal desarrollan mecanismos para el fortalecimiento de la rectoría en salud en su territorio, conforme a las competencias establecidas"</t>
  </si>
  <si>
    <t>Desarrollar acrividades de promoción y mantenimiento de la salud y prevención de la enfermedad en la poblacion diferencial, en los 29 municipios del departament</t>
  </si>
  <si>
    <t>Asistencia tecnica y seguimiento para la implementación del modelo de envejecimiento activo en los 29 municipios del departamento</t>
  </si>
  <si>
    <t>Generación y adecuación de estrategias que promuevan capacidades institucionales para la garantía del derecho a la</t>
  </si>
  <si>
    <t>Visita de seguimiento semestral para verificación de condiciones mínimas que dignifiquen la estadía de los adultos mayores en los centros de protección, centros de día e instituciones</t>
  </si>
  <si>
    <t>Articular acciones con los diferentes ejes estratégicos para el seguimiento de casos de interes en salud publica de los adultos mayores</t>
  </si>
  <si>
    <t>Asistencia tecnica sobre politica publica de envejecimiento y vejez 2022- 2031 en los 29 municipios del departamento</t>
  </si>
  <si>
    <t>Desarrollo de capacidades cognitiva dirigida a los adultos mayores de los 4 centros de bienestar del adulto mayor, en los municipios de banco, guamal, santa barbara de pinto y Sabanas de san Angel</t>
  </si>
  <si>
    <t>Desarrollo de capacidades para atención integral del adulto mayor con entidades territoriales, IPS, EAPB por subregiones</t>
  </si>
  <si>
    <t>Reconocimiento y legitimación de los espacios e instancias de diálogo y concertación para para la construcción colectiva de sistemas propios, a través de saberes, prácticas y conocimientos de y con las personas y colectivos.</t>
  </si>
  <si>
    <t>31 el 100% de las Entidades Territoriales del orden departamental, distrital y municipal desarrollan mecanismos para el fortalecimiento de la rectoría en salud en su territorio, conforme a las competencias establecidas</t>
  </si>
  <si>
    <t>Actividad ludico - recreatico para adultos mayores, familiares y cuidadores para loa Promocion del Envejecimiento Activo y Saludable y Prevencion del Maltrato a los Adultos Mayores y habitancia en calle en el entorno comunitario , hogar centro de vida y centros de bienestar donde aplique en el area urbana y/o rural de los microterritorios priorizados en los 29 munipios del Depar4tamento del Magdalena</t>
  </si>
  <si>
    <t>Fortalecimiento de capacidades técnicas para el ejercicio de la rectoría en salud.</t>
  </si>
  <si>
    <t>Desarrollar actividades de promoción y mantenimiento de la salud y prevención de la enfermedad en la población diferencial, en los 29 municipios del departamento</t>
  </si>
  <si>
    <t>Asistencia técnica y seguimiento de las acciones de la política pública para habitantes de calle, fenómeno de habitanza en calle, las características y necesidades de la población habitante de la calle, en las entidades territoriales</t>
  </si>
  <si>
    <t>Asistencia técnica con el fin de sensibilizar sobre prestación de servicios hacia la población habitante de calle para reducir el estigma y discriminación, dirigida a las entidades e instituciones a cargo de los servicios sociales y de salud</t>
  </si>
  <si>
    <t>Persona mayor</t>
  </si>
  <si>
    <t>Abogacía e incidencia técnica y política en la agenda de otros sectores, a fin de generar acciones intersectoriales y transectoñales definiendo temas transversales y objetivos comunes.</t>
  </si>
  <si>
    <t>Realizar 2 mesa para el desarrollo de rutas sectoriales de atención integral para Personas Habitantes de la Calle</t>
  </si>
  <si>
    <t>Prácticas, saberes Y conocimientos para la salud pública reconocidos y fortalecidos para Pueblos y comunidades étnicas, mujeres, población campesina, LBGTIQ+ y otras poblaciones por condición y/o situación.</t>
  </si>
  <si>
    <t>Posicionamiento de los procesos participativos de rendición de cuentas incluyendo la evaluación del reconocimiento y respeto por los sistemas de conocimiento propio y los saberes de los pueblos y comunidades étnicas y campesinas, mujeres, sectores LGBTIQ+ y otras poblaciones por condición y/o situación en planes, programas y estrategias desarrolladas en 
 el marco del Plan Territorial de Salud.</t>
  </si>
  <si>
    <t>A 2031 el 100%de entidades territoriales, Deoparatamentales, Distritales y Municipales han implementado la estrategia de transversalización del enfoque de género en la planeacion integral en salud</t>
  </si>
  <si>
    <t>A 2027 el 100% de entidades territoriales Municipales han implementado la estrategia de transversalización del enfoque de género en la planeacion integral en salud</t>
  </si>
  <si>
    <t>Taller educativo para generar sensibilización en el entorno comunitario sobre factores de riesgo asociados a la habitanza en calle, características de la población habitante de calle y su estilo de vida, así como la orientación hacia rutas y servicios sociales y de salud con el fin de reducir el estigma y la discriminación.</t>
  </si>
  <si>
    <t>Realizar asistencia tecnica sobre acciones para la prevencion de trata de personas violencias basadas en género y diversidad en los 29 Municipios del departamento</t>
  </si>
  <si>
    <t>Realizar asistencia tecnica sobre humanizacion para la atencion sin discriminación y trato digno en los servicios en salud a población OSIG diversa y/o LGBTIQ+</t>
  </si>
  <si>
    <t>Implementacion de estatregia "Ruta Segura" simulacro de atencion en casos de trata de personas y violencias basadas en género. como actuar ante sospecha, situación y canalizacion de casos, con capacidad instalada en la creacion e implementacion de rutas de atención</t>
  </si>
  <si>
    <t>A 2027 el 100%de entidades territoriales,  Municipales han implementado la estrategia de transversalización del enfoque de género en la planeacion integral en salud</t>
  </si>
  <si>
    <t>Desarrollar un programa radial sobre el ejercicio ciudadano de la participación social para cogestionar la garantía del derecho a la salud y desarrollar acciones para la prevención de no discriminación o estigmatización por causa o condición y  prevencion de violencia de cualquier tipo  y promocion de los entornos seguros en cada uno de los 29 municipios</t>
  </si>
  <si>
    <t>Habitante de Calle</t>
  </si>
  <si>
    <t>Políticas, planes, programas y estrategias en salud con transversalización de los enfoques de pueblos y comunidades, género y diferencial e integración de los sistemas de conocimiento propio y saberes de los pueblos y comunidades étnicas y campesinas</t>
  </si>
  <si>
    <t>Establecimiento de los mecanismos institucionales, sectoriales, intersectoriales y comunitarios que garanticen la participación de las diferentes formas y expresiones organizativas de los pueblos y comunidades en la planeación y la respuesta en salud.</t>
  </si>
  <si>
    <t>A 2031 el 100% de las entidades territoriales del orden departamental, distrital y municipal desarrollan mecanismos para el fortalecimiento de la rectoría en salud en su territorio, conforme a las competencias establecidas.</t>
  </si>
  <si>
    <t>A 2027 el 100% de las entidades territoriales del orden municipal desarrollan mecanismos para el fortalecimiento de la rectoría en salud en su territorio, conforme a las competencias establecidas.</t>
  </si>
  <si>
    <t>Construccion de protocolo de atencion diferencial a la poblacion negra-afrodesciente- raizal y palanquero</t>
  </si>
  <si>
    <t>Realizar Busqueda activa comunitaria mensual de niños(as) menores de cinco años; en el  entorno hogar, en los territorios y microterritorios con su respectivo tamizaje, a cada familia se le debe educar en el código internacional de Sucedáneos</t>
  </si>
  <si>
    <t>4 mesas para la implemetacion piloto de atencion entre la salud ancestral y salud occidental</t>
  </si>
  <si>
    <t xml:space="preserve">A  2027 el 100% de entidades territoriales  Municipales que tienen en su tenitorio pueblos y comunidades indígenas, comunidades negras, afrocolombianas, raizales y  palenqueras y pueblo Rrom han 
establecido acuerdos para la garantía del derecho fundamental a la salud y la 
respuesta a las necesidades de la salud 
propia e intercultural. </t>
  </si>
  <si>
    <t>Realizar jornadas educativas de socialización para promover hábitos de alimentación saludable, destacando la variedad de alimentos y su aporte nutricional en cada microterritorio en el entorno hogar utulizando el plato saludable</t>
  </si>
  <si>
    <t>Realizar educación en salud materna y neonatal, a mujeres en edad fertil, parteras y jefes del hogar en las comunidades priorizadas, sobre factores de riesgo de la gestante, reporte oportuno y atención en salud para evitar complicaciones en la madre y en su hijo</t>
  </si>
  <si>
    <t xml:space="preserve">Realizar jornadas de desparasitación antihelmíntica, acompañado de Educacion en salud en la población en el entorno escolar a niños(as) y adolescentes de 1 a 14 años, sobre la importancia de la desparasitación antihelmíntica en los municipios  priorizados </t>
  </si>
  <si>
    <t>Negros, Afrocolombianos, raizal y palanques</t>
  </si>
  <si>
    <t>Realizar fortalecimiento en salud de las Unidades de atención integral comunitaria (UAIC) a población Negros- afrocolombianos-raizales-palenqueros para difundir los tres mensajes claves del programa de prevención, manejo y control de la IRA/EDA y la identificacion de signos de alarma de la Enfermedad diarreica aguda y enfermedad respiratoria aguda</t>
  </si>
  <si>
    <t>Coordinar sectorial e inetrsectorialmente acciones que incentiven la demanda  de las atenciones defenidas en la resolucion 3280 de 2018 del Ministerio de Salud y Proteccion Socialm relacionadascon la primera infancia o la norma que la modifique , adicdion o sustituya</t>
  </si>
  <si>
    <t xml:space="preserve">Realizar caracterizacion del territorio y poblacion negros, afrocolombianos, raizales y palenqueros asentada en el departamento con reconocimiento de la etnia en diferentes entornos en el area urbana y/o rural para la comunidad negros, afrocolombianos, raizales y palenqueros  en los microterritorios priorizados </t>
  </si>
  <si>
    <t>Pueblos y comunidades étnicas y campesinas, mujeres, sectores LGBTIQ+ y otras poblaciones por condición y/o situación que participan e inciden de manera efectiva en la formulación, implementación, monitoreo y evaluación de políticas, planes, programas y estrategias para la garantía del derecho fundamental a la salud.</t>
  </si>
  <si>
    <t>Fortalecimiento de capacidades técnicas para el ejercicio de la rectoría en salud</t>
  </si>
  <si>
    <t>Fortalecer las capacidades en los actores del sector salud y sector social en las entidades territoriales de los 29 munipicipios  del Departamento del Magdalena para gestionar de manera adecuada la atención de la población migrante y favorecer la convivencia social.</t>
  </si>
  <si>
    <t>Mesas de trabajo con cooperantes para la atención en salud de la población migrante en el departamento</t>
  </si>
  <si>
    <t xml:space="preserve">Fortalecimiento del desarrollo de capacidades en el talento humano en salud para la identificación, diagnóstico y prevención de los riesgos relacionados con la ocupación.
</t>
  </si>
  <si>
    <t xml:space="preserve">Desarrollar acrividades de promoción y mantenimiento de la salud y prevención de la enfermedad en la  poblacion diferencial, en los 29 municipios del departamento 
</t>
  </si>
  <si>
    <t>Primer foro de salud intercultural de los pueblos y comunidades indígenas del Magdalena: kogui, wiwa, arhuacos, chimila (SSM, IPS, EPS, Defensoría del Pueblo, promotores de salud, gremios en salud y académia)</t>
  </si>
  <si>
    <t>A 2031 el 100% de las Entidades
 Territoriales del orden departamental,
 distrital y municipal desarrollan
 mecanismos para el fortalecimiento de la
 rectoría en salud en su territorio, conforme
 a las competencias establecidas</t>
  </si>
  <si>
    <t>A 2027 el 100% de las Entidades
 Territoriales del orden municipal desarrollan mecanismos para el fortalecimiento de la rectoría en salud en su territorio, conforme a las competencias establecidas</t>
  </si>
  <si>
    <t>Relizar 4 mesas tematicas en territorio con la población etnica del departamento para fortalecer los procesos y practicas de salud de las comunidades y pueblos indigenas.</t>
  </si>
  <si>
    <t>A 2027 el 100% de las Entidades
 Territoriales del orden municipal desarrollan  ecanismos para el fortalecimiento de la rectoría en salud en su territorio, conforme a las competencias establecidas</t>
  </si>
  <si>
    <t>Conformar, priorizar y desarrollar actividades educativas en GOTIS y UTIS en los 29 municipios del departamento</t>
  </si>
  <si>
    <t>Taller con las entidades de salud, los trabajadores informales, UTI y GOTIS para promover prácticas para el mejoramiento de las condiciones de salud de esta población identificación y gestión de sus riesgos a la salud asociados a los determinantes ambientales, sanitarios, ocupacionales de la salud.</t>
  </si>
  <si>
    <t>Intevenidos determinantes sociales individuales que mitigan morbilidad y mortalidad  prematuras por enfermdades no trasmisibles</t>
  </si>
  <si>
    <t xml:space="preserve">Reaizar Pruebas SRQ para la detección temprana de trastornos mentales en adultos en la poblacion infomal de los 29 munipios 
</t>
  </si>
  <si>
    <t>gestion territorial para el cuidado de la salud basado en la atención primaria en salud</t>
  </si>
  <si>
    <t>A 2031 el 100% de las entidades territoriales del orden departamental, distrital y municipal han desarrollado procesos de ajuste institucional para el fortalecimiento de las capacidades de la autoridad sanitaria y la apropiación territorial del modelo de salud basado en la atención primaria en salud</t>
  </si>
  <si>
    <t>A 2027 el 100% de las entidades territoriales del orden municipal han desarrollado procesos de ajuste institucional para el fortalecimiento de las capacidades de la autoridad sanitaria y la apropiación territorial del modelo de salud basado en la atención primaria en salud</t>
  </si>
  <si>
    <t>Realizar fortalecimiento en salud de las unidades de atención integral comunitaria (UAIC) a población etnica indígena en los 4 municipios (Aracataca, Ciénaga, Fundación y Sabanas de San Angel) para difudinr los tres mensajes claves del programa de prevención, manejo y control de la IRA/EDA y la identificación de signos de alarma de la enfermedad diarreica aguda y enfermedad respiratoria aguda, donde se le entregara al promotor de la comunidad</t>
  </si>
  <si>
    <t>Actividades de Promoción, Prevención, Educación y Saneamiento tradicional (salud tradicional - salud intercultural - salud occidental)</t>
  </si>
  <si>
    <t>Realizar educación integral en salud materna y neonatal a Mujeres en edad fertil, gestantes en periodo de lactancia, sus familias, parteras, jefes del hogar, promotores de salud sobre la  lactancia materna y la adecuada alimentación complementaria en los microterritorios priorizados.</t>
  </si>
  <si>
    <t xml:space="preserve"> Garantizar una atención integral, intercultural y continua a la población, a través de un equipo multidisciplinario que intervenga de manera articulada en la promoción, prevención, diagnóstico y tratamiento en salud, desde la implementación del Plan de Cuidado, adaptado a la cosmovisión territorial de las comunidades indígenas, este plan se pondrá en marcha en los cuatro municipios del Departamento con reconocimiento de las etnias en diferentes entornos en el área urbana y/o rural. </t>
  </si>
  <si>
    <t>Poblacion Trabajadora Inforrmal</t>
  </si>
  <si>
    <t>Educación en salud a los pacientes, familias, comunidades y organizaciones indígenas sobre identificación de signos de alarma y síntomas de tuberculosis, realizar busquedas activas de sintomáticos respiratorios en comunidades indígenas de los municipios de Aracataca, Ciénaga, Fundación y San Angel y canalización a su IPS para su diagnóstico oportuno.</t>
  </si>
  <si>
    <t xml:space="preserve">Desarrollo de capacidades al TH Indigena manejo de la DNT aguda </t>
  </si>
  <si>
    <t>Fortalecimiento de las capacidades del Talento Humano en
 la irnplementación de estrategias para la generación de
 conocimiento de las condiciones de salud de la población
 y sus determinantes tales como observatorios, ASIS,
 unidades de análisis, seminarios, entre otras.</t>
  </si>
  <si>
    <t>A 2031, mantener la tasa de mortalidad de suicidio por debajo de 5</t>
  </si>
  <si>
    <t>A 2027, mantener la tasa de mortalidad de suicidio por debajo de 5</t>
  </si>
  <si>
    <t>Garantizar la atención a 1.992 personas victimas de vilencia de género intrafamiliar, intentos de suicidio, entre otros trastornos relacionados con la salud mental, a traves de la línea telefónica de atención de emergencias en salud mental</t>
  </si>
  <si>
    <t>Desarrollo de capacidades a través de un taller para los actores del sistema de salud en atención integral en salud y psicosocial, para las victimas del conflicto armado (SSM, IPS, EAPB) - Normatividad - protocolo/ implementación - retos y avances.</t>
  </si>
  <si>
    <t>99-no relación</t>
  </si>
  <si>
    <t>desarrollar capacidades en la vigilancia sobre el uso, conservacion y aplicacion de los medicamentos dentro de los servicios farmaceuticos dependientes e independientes para minimizar errores en recpcion y dispensacion, a traves de 4 talleres</t>
  </si>
  <si>
    <t xml:space="preserve">Articulacion Intersectorial para debatir politicas sobre el uso y conservacion de los medicamentos dentro de los servicios farmaceuticos dependientes e independientes para minimizar errores en recpcion y dispensacion, a traves de 5 reuniones </t>
  </si>
  <si>
    <t xml:space="preserve">Realizar una compra al Fondo Nacional de Estupefacientes ,para adquirir los medicamentos monopolio del estado, para garantizar la disponibilidad a la póblación, de conforidad con el plan de adquisiciones </t>
  </si>
  <si>
    <t>Adquirir 1000 recetarios oficiales para la prescripcion de medicamentos monopolio del Fondo Rotatorio de Estupefacientes</t>
  </si>
  <si>
    <t>Fortalecer el sistema de informacion institucional, para garantizar respuestas oportunas, completas y trazables a los requerimientos de los entes de control atraves de la actualizacion del Sistema Integrado de Vigilancia Sanitaria. Que permitan cantralizar, organizar y hacer seguimiento a cada solicitud desde su recepcion hasta su cierre.</t>
  </si>
  <si>
    <t>Fortalecimiento de capacidades a nivel nacional y territorial para la vigilancia en salud pública, el fortalecimiento de los laboratorios de salud pública, la inspección, vigilancia y control sanitarios y la garantía de insumos de interés en salud pública reconociendo los avances y logros de los pueblos y comunidades.</t>
  </si>
  <si>
    <t xml:space="preserve">A 2031 el 100% de los Departamentos, Distritos y Municipios del País integran en su Planes de Desarrollo Territoriales estrategias para afectar de manera positiva los determinantes sociales de la salud en sus territorios.    </t>
  </si>
  <si>
    <t>Garantizar la vigilancia epidemiologica al los eventos de Interes en Salud Publica, en los 29 municipios del departamento</t>
  </si>
  <si>
    <t>Generar espacios de encuentro y coordinación intersectorial con actores del sistema de vigilancia en salud pública una vez por mes (cove), reuniones de estadisticas vitales y reuniones bimensuales para fortalecer la respuesta, control y seguimiento a los EISP del departamento con otros actores.</t>
  </si>
  <si>
    <t>Leydy Constanza Cuellar 
 Coordinadora VSP</t>
  </si>
  <si>
    <t>Realizar la gestión de los insumos necesarios para dar respuesta de manera oportuna y eficiente a los EISP y EISPII del departamento</t>
  </si>
  <si>
    <t>RECURSOS PROPIOS DE ESTABLECIMIENTOS PUBLICOS O UNIDADES ADMINISTRATIVAS ESPECIALES (1.2.5.1.00)</t>
  </si>
  <si>
    <t>1.2.5.1.00</t>
  </si>
  <si>
    <t>Realizar encuesta de evaluación de coberturas de vacunación en zona urbana y rural de los 29 Municipios de Departamento</t>
  </si>
  <si>
    <t>Documento</t>
  </si>
  <si>
    <t>Brindar asistencia técnica a las 29 direcciones territoriales de salud para verificar y fortalecer el funcionamiento del Sistema de Vigilancia en Salud Pública, con énfasis en la calidad de la notificación de los Eventos de Interés en Salud Pública (EISP), la implementación de los lineamientos nacionales del INS y la aplicación estandarizada de los protocolos vigentes.</t>
  </si>
  <si>
    <t>Actualizar y divulgar una vez al año el analisis de situacion en salud del departamento incluyendo la poblacion pertenecinete a grupos Etnicos, para conocer y comprender la complejidad en que se desarrollan los procesos de salud, enfermedad y calidad de vida de las poblaciones, permitiendo la adecuada y pertinente planeación de intervenciones.</t>
  </si>
  <si>
    <t>Realizar el 100% de unidades de análisis de las mortalidades por EISP y de casos de morbilidad por EISP según lineamientos del INS</t>
  </si>
  <si>
    <t>Fortalecimiento de las capacidades del Talento Humano en el acceso y uso de la oferta actual de información pública de salud y de otros sectores.</t>
  </si>
  <si>
    <t>Desarrollar procesos de capacitación dirigidos al talento humano operativo de la Secretaría de Salud, orientados al fortalecimiento de competencias técnicas en vigilancia en salud pública, con el fin de mejorar la calidad del análisis, la notificación y la respuesta institucional frente a los eventos de interés en salud pública</t>
  </si>
  <si>
    <t>Nivel Nacional y entes territoriales preparados y fortalecidos para la gestión del conocimiento, prevención, y atención sectorial e intersectorial de emergencias, desastres y pandemias.</t>
  </si>
  <si>
    <t>Fortalecimiento de capacidades comunitarias en la gestión del riesgo de emergencias y desastres que afecten la salud de la población.</t>
  </si>
  <si>
    <t>A 2031 se establecerán en el 100% de los Departamentos y Distritos, sistemas de alerta temprana para la identificación del riesgo por el cambio climático y la posible vulnerabilidad de la población desde un enfoque territorial.</t>
  </si>
  <si>
    <t>A 2027 se establecerán en el 100% sistemas de alerta temprana para la identificación del riesgo por el cambio climático y la posible vulnerabilidad de la población desde un enfoque territorial.</t>
  </si>
  <si>
    <t>Realizar talleres de REVCOM para fortalecer la participación social y comunitaria en la identificación oportuna de EISP o situaciones de riesgo en salud de la población general y poblacion migrante.</t>
  </si>
  <si>
    <t>Producción, organización, depuración y reporte de la información en salud pública</t>
  </si>
  <si>
    <t>Elaborar, analisar y divulgar boletines epidemiológicos quincenales con información actualizada sobre la dinámica de los Eventos de Interés en Salud Pública (EISP) notificados a la Unidad Notificadora Departamental (UND), incorporando el análisis diferencial por etnia, con el propósito de fortalecer la respuesta intersectorial, orientar las políticas, apoyar la planeación en salud y facilitar la toma oportuna de decisiones.</t>
  </si>
  <si>
    <t>Socializar periódicamente con cada área de la Secretaría de Salud los datos específicos relacionados con los Eventos de Interés en Salud Pública (EISP) y los principales fenómenos epidemiológicos de los municipios, con el fin de fortalecer la planificación, ejecución y evaluación de las intervenciones en salud pública a nivel departamental; mediante reuniones de articulación interáreas y la realización de salas de análisis de riesgo.</t>
  </si>
  <si>
    <t>67-A 2031, el 100% de las entidades territoriales habrán implementado la Política Integral de Salud Ambiental (PISA)</t>
  </si>
  <si>
    <t>Realizar 1,280 asistencias técnicas a la red de laboratorios del departamento</t>
  </si>
  <si>
    <t>Garantizar la recoleccion mensual de los residuos peligrosos y químicos en el laboratorio de salud publica del Magdalena</t>
  </si>
  <si>
    <t>Garantizar el transporte aéreo y terrestre de sustancias infecciosas, aguas , alimentos y material entomologico al Instituto Nacional de Salud, INVIMA y otros laboratorios del País.</t>
  </si>
  <si>
    <t>Realizar cursos de entrenamiento para profesionales de la salud, en montaje y lectura de pruebas rapidas de VIH, Hepatitis y sifilis en el marco del cumplimiento de la Resolución 1314/2020</t>
  </si>
  <si>
    <t>Realizar el Curso teórico Práctico de herramientas diagnósticas de eventos de interés de Salud Pública a toda la red departamental</t>
  </si>
  <si>
    <t>Realizar el plan de mantenimiento preventivo, correctivo, calibración y calificación de los equipos del Laboratorio de Salud Publica, asegurando el cumplimiento de los requisitos del Organismo Nacional de Acreditación de Colombia ONAC y su documento normativo CEA-4.1-02 de Los proveedores.</t>
  </si>
  <si>
    <t>Guillermo Valencia</t>
  </si>
  <si>
    <t>Realizar el Plan de Mantenimiento Preventivo y Correctivo de la Planta Electrica del Laboratorio de Salud Publica Departamental del Magdalena; el cual debe llevarlo a cabo una empresa cuyo domicilio principal y razon social este en la ciudad de Santa Marta ( Magdalena).</t>
  </si>
  <si>
    <t>Realizar la compra de equipos biomedicos, de sistema de informacion, para cumplir con los procesos misionales y para la bioseguridad en el LSP que garantice las acciones de vigilancia de salud Pública por el LSP .</t>
  </si>
  <si>
    <t>Realizar la compra de insumos y reactivos para cumplir con los procesos misionales y para la bioseguridad en el LSP que garantice las acciones de vigilancia de salud Pública por el LSP .</t>
  </si>
  <si>
    <t>Mantenimiento y actualizacion de software para el Laboratorio de Salud Publica para el manejo del sistema de gestion de la calidad</t>
  </si>
  <si>
    <t>Adquisicion de software para gestionar las muestras en el area Microbiologia de Alimentos para laboratorio de salud publica</t>
  </si>
  <si>
    <t>Realizar el Plan de control de plagas del Laboratorio de Salud Publica Departamental del Magdalena; el cual debe llevarlo a cabo una empresa cuyo domicilio principal y razon social este en la ciudad de Santa Marta ( Magdalena).</t>
  </si>
  <si>
    <t>Garantizar el analisis de vertimientos de acuerdo a la resolucion Resolución 0631 de 2015 el cual debe llevarlo a cabo una laboratorio acreditado.</t>
  </si>
  <si>
    <t>Garantizar el mantenimiento de motobombas y limpieza y desinfeccion del sistema de suministro de agua del laboratorio de salud Publica el cual debe llevarlo a cabo 2 veces al año una empresa cuyo domicilio principal y razon social este en la ciudad de Santa Marta (Magdalena).</t>
  </si>
  <si>
    <t>Garantizar la migracion de la Norma ISO/IEC 17025 2005 a Norma ISO/IEC 17025 2017 para dar cumplimiento a los halazgos del INS e INVIMA y actualizar el sistema de Gestion de la Calidad del laboratorio de Salud Publica</t>
  </si>
  <si>
    <t>Realizar el encuentro de laboratorios de Banco Sangre departamental para la concertar estrategias para la concientizacion de la donacion de sangre</t>
  </si>
  <si>
    <t>85-A 2031, 15% de municipios endémicos para malaria pasan de categoría de riesgo 4 a 3</t>
  </si>
  <si>
    <t>Hacer captura de material entomologico para malaria, chagas y leishmaniasis en municipios priorizados según programacion definida</t>
  </si>
  <si>
    <t>Realizar la vigilancia por laboratorio de la calidad de agua para consumo humano (IRCA ) de los municipios del departamento del Magdalena con reporte a SIVICAP</t>
  </si>
  <si>
    <t>Realizar la Vigilancia por laboratorio de los alimentos y ETAS en los municipios del Departamento del Magdalena y su reporte al Epiinfo.</t>
  </si>
  <si>
    <t>Realizar la Vigilancia por laboratorio de las Intoxicación ocasionadas por plaguicidas, organofosforados y carbamatos en Municipios priorizados del Departamento del Magdalena.</t>
  </si>
  <si>
    <t>Realizar control de Calidad por laboratorio de los eventos de interes en salud publica de las muestras enviadas por la red de laboratorios del Distrito y del Departamento</t>
  </si>
  <si>
    <t>79-A 2031, 50% de las personas que son confirmadas por banco de sangre para HTLV, VIH, Hepatitis B y C, enfermedad de Chagas y sífilis acceden a la atención integral en salud.</t>
  </si>
  <si>
    <t>Realizar visitas e inspeccion y asistencia tecnicas a los Bancos de sangre del Departamento del Magdalena</t>
  </si>
  <si>
    <t>Gestionar la contratación del talento humano operativo para el desarrollo de los procesos a cargo de la Entidad territorial como autoridad sanitaria, orientados a que las estrategias, procedimientos e intervenciones de Salud Pública se realicen de manera efectiva, coordinada y organizada entre los diferentes actores del SGSSS, otros sectores y la comunidad.</t>
  </si>
  <si>
    <t>Desarrollo de capacidades frente a la planeacion integral en salud, la Formulacion coherente, pertinente y oportuna de las intervenciones del PIC/GSP Resolucion 1597/25</t>
  </si>
  <si>
    <t>Desarrollo de capacidades los EBS para la optima ejecucion de las acciones en campo</t>
  </si>
  <si>
    <t>Desarrollo de capacidades en Plan Terrirotial de Salud</t>
  </si>
  <si>
    <t>Mejorar la dotacion del Fondo Rotatorio de Estupefacientes con la adquisicion de 4 aires acondicionados ( 2 de 24000 BTU, 2 12000 BTU), desmonte de aires viejos e instalación de los nuevos.</t>
  </si>
  <si>
    <t>Diana Celedon</t>
  </si>
  <si>
    <t>Determinantes Sociales de la Salud</t>
  </si>
  <si>
    <t>Transformación cultural, movilización y organización social y popular por la vida, salud y la equidad en salud.</t>
  </si>
  <si>
    <t xml:space="preserve">Avance en la superación de barreras de acceso para la atención primaria en salud con énfasis en la rehabilitación integral en salud de las poblaciones víctimas del conflicto armado interno y de las personas en procesos de reincorporación y dejación de armas.  </t>
  </si>
  <si>
    <t xml:space="preserve">A 2027 el 100 % de las Entidades Territoriales del orden departamental, distrital y municipal han desarrollado procesos de ajuste institucional para el fortalecimiento de las capacidades de la autoridad sanitaria y la apropiación territorial del modelo de salud basado en la atención primaria.  </t>
  </si>
  <si>
    <t>Mantener por debajo de 5 por 100.000 habitantes la tasa de suicidio</t>
  </si>
  <si>
    <t>Implementar la línea telefonica de atencion en salud mental en el departamento del Magdalena</t>
  </si>
  <si>
    <t>DESARROLLO INSTITUCIONAL Y SECTORIAL PARA EL EJERCICIO DE LA AUTORIDAD SANITARIA.</t>
  </si>
  <si>
    <t>Diseñar y formalizar el protocolo técnico-operativo de la línea telefónica departamental de atención en salud mental por parte de la Secretaría Seccional de Salud del Magdalena mediante acto administrativo que defina ruta de atención, perfiles del talento humano, articulación intersectorial y sistema de monitoreo</t>
  </si>
  <si>
    <t>ACUERDOS SOCIALES Y COMUNITARIOS PARA LA TRANSFORMACIÓN DE LAS INEQUIDADES EN SALUD  Y LA INCIDENCIA SOBRE LOS DETERMINANTES SOCIALES DE LA SALUD EN EL TERRITORIO.</t>
  </si>
  <si>
    <t>Concertar acuerdos territoriales de promoción y uso de la línea telefónica de salud mental con actores comunitarios, educativos y sociales del departamento del Magdalena mediante mesas de trabajo que definan estrategias de difusión, enfoque diferencial y canales de referencia comunitaria.</t>
  </si>
  <si>
    <t>Porcentaaje de gestión</t>
  </si>
  <si>
    <t>CUIDADO DE LA SALUD EN EL TERRITORIO.</t>
  </si>
  <si>
    <t>Implementar la operación continua de la línea telefónica departamental de atención en salud mental por el equipo interdisciplinario contratado mediante prestación de servicio 24/7 que garantice orientación, intervención en crisis y activación oportuna de la ruta de atención en el territorio.</t>
  </si>
  <si>
    <t>dias</t>
  </si>
  <si>
    <t>Disminuir la Tasa de mortalidad por EDA a 4,3 por 100.000 menores de 5 años</t>
  </si>
  <si>
    <t>Realizar estrategias de educomunicacion en salud sexual y reproductiva en IED priorizadas en el departamento</t>
  </si>
  <si>
    <t>Diseñar y adoptar el plan técnico departamental de comunicación en salud sexual y reproductiva para IED priorizadas por la Secretaría Seccional de Salud del Magdalena mediante acto administrativo que defina lineamientos pedagógicos, enfoque diferencial, articulación con sector educación y sistema de seguimiento.</t>
  </si>
  <si>
    <t>Documento( Plan )</t>
  </si>
  <si>
    <t>Concertar acuerdos intersectoriales de implementación de estrategias de educomunicación en salud sexual y reproductiva con directivos docentes, asociaciones de padres y líderes juveniles en los municipios del departamento mediante mesas territoriales que definan compromisos, rutas de participación y mecanismos de corresponsabilidad.</t>
  </si>
  <si>
    <t>municipios</t>
  </si>
  <si>
    <t>Jesus rebolledo</t>
  </si>
  <si>
    <t>Implementar jornadas pedagógicas y campañas educomunicativas en salud sexual y reproductiva en IED priorizadas por el equipo técnico de salud pública en cada municipio  del Deparatemento para la activación de rutas de orientación y acceso a servicios amigables.</t>
  </si>
  <si>
    <t>NA</t>
  </si>
  <si>
    <t xml:space="preserve">A 2031 Disminuir a 32 x 100.000 NVla razón de mortalidad materna a </t>
  </si>
  <si>
    <t>Implementación de la estrategia nacional para la prevencion de la conducta suicida en las IPS publicas del departamento</t>
  </si>
  <si>
    <t>Adoptar y reglamentar la estrategia nacional de prevención de la conducta suicida en las IPS públicas del departamento por la Secretaría Seccional de Salud del Magdalena mediante acto administrativo que defina lineamientos técnicos, responsabilidades institucionales, indicadores de seguimiento y sistema de reporte obligatorio</t>
  </si>
  <si>
    <t>Estrategia</t>
  </si>
  <si>
    <t>Articular compromisos intersectoriales de prevención de la conducta suicida con sector educativo, comisarías de familia y organizaciones comunitarias del departamento mediante mesas territoriales que establezcan rutas de detección temprana, referencia y acompañamiento psicosocial.</t>
  </si>
  <si>
    <t>mplementar la estrategia nacional de prevención de la conducta suicida en las IPS públicas del departamento por los equipos interdisciplinarios de salud mental mediante capacitación al talento humano, tamizaje sistemático de riesgo y activación oportuna de la ruta integral de atención.</t>
  </si>
  <si>
    <t>Adolescencia</t>
  </si>
  <si>
    <t>Aumento de la Tasa de Incidencia de las enfermedades transmitidas por vectores como el dengue</t>
  </si>
  <si>
    <t>Cambio climático, emergencias, desastres y pandemias</t>
  </si>
  <si>
    <t xml:space="preserve">A 2031 se establecerán en el 100% de los Departamentos y Distritos, sistemas de alerta temprana para la identificación del riesgo por el cambio climático y la posible vulnerabilidad de la población desde un enfoque territorial.  </t>
  </si>
  <si>
    <t xml:space="preserve">Fortalecimiento de capacidades comunitarias en la gestión del riesgo de emergencias y desastres que afecten la salud de la población.  </t>
  </si>
  <si>
    <t xml:space="preserve">A 2031 se incorporará en el 100% de los Departamentos y Distritos, el Plan de gestión integral de riesgos de emergencias y desastres en salud (PGIRED)  </t>
  </si>
  <si>
    <t>Reducir a 10% las muertes por dengue grave en el departamento</t>
  </si>
  <si>
    <t xml:space="preserve">A 2027 Garantizar la vigilancia epidemiologica al los eventos de Interes en Salud Publica, en los 29 municipios del departamento </t>
  </si>
  <si>
    <t xml:space="preserve">Garantizar la vigilancia epidemiologica al los eventos de Interes en Salud Publica, en los 29 municipios del departamento </t>
  </si>
  <si>
    <t>Articular compromisos comunitarios de apoyo a la vigilancia epidemiológica con actores sociales y educativos de los 29 municipios mediante jornadas participativas que promuevan la identificación temprana de eventos y la activación de rutas institucionales.</t>
  </si>
  <si>
    <t>Deficiencias en la infraestructura sanitaria que se ve reflejada en bajas coberturas de alcantarillado y prestación del servicio de aseo, así como la mala calidad del agua, que condiciona la incidencia de enfermedades transmitidas por el agua y los alimentos, infecciones gastrointestinales, parasitosis y otras enfermedades de origen hídrico.</t>
  </si>
  <si>
    <t>a 2031 se incorporará en el 100% de los departamentos y distritos, el plan de gestion en sistemas de alerta temprana para la identificación del riesgo por el cambio climático y la posible vulnerabilidad de la población desde un enfoque territorial</t>
  </si>
  <si>
    <t>fortalecimiento de las capacidades del personal de la salud en todo lo relacionado con los posibles efectos de la variabilidad del cambio climático</t>
  </si>
  <si>
    <t>A 2027 Lograr la formulación  y socialización de Planes municipales de Gestion integrl de riesgos de desastres en los 29 municipios</t>
  </si>
  <si>
    <t>Lograr la formulación  y socialización de Planes municipales de Gestion integrl de riesgos de desastres en los 29 municipios</t>
  </si>
  <si>
    <t>Implementar procesos territoriales de acompañamiento técnico para la formulación y socialización de los Planes Municipales de Gestión Integral del Riesgo de Desastres en los 29 municipios por el equipo departamental de salud pública mediante asistencia técnica directa, simulacros comunitarios y validación participativa de rutas de respuesta en salud.</t>
  </si>
  <si>
    <t>Personal de Salud.</t>
  </si>
  <si>
    <t>A 2027 Fortalecer 100% de los departamentos y Distritos los sistemas de alerta temprana y la infraestructura sanitaria en zonas rurales para garantizar una respuesta rápida y efectiva ante emergencias climáticas</t>
  </si>
  <si>
    <t>a 2031 Contener la tasa de Mortalidad en menores de 5 años</t>
  </si>
  <si>
    <t>Lograr que los 29 municipios conozcan y apliquen el reglamento sanitario internacional 2005</t>
  </si>
  <si>
    <t>Implementar procesos de capacitación y acompañamiento técnico para la aplicación del Reglamento Sanitario Internacional 2005 en los 29 municipios por el equipo departamental de vigilancia en salud pública mediante talleres prácticos, simulacros de eventos de importancia internacional y seguimiento a la activación de capacidades básicas locales</t>
  </si>
  <si>
    <t>socialización RSI 2006</t>
  </si>
  <si>
    <t>A 2027 Lograr promover el conocimiento de riesgos de desastres en los 29 municipios con el fin de que respondan con eficacia ante las emergencias y desastres que enfrenten</t>
  </si>
  <si>
    <t>Lograr promover el conocimiento de riesgos de desastres en los 29 municipios con el fin de que respondan con eficacia ante las emergencias y desastres que enfrenten</t>
  </si>
  <si>
    <t>Implementar programas municipales de preparación y respuesta en gestión del riesgo de desastres en los 29 municipios por el equipo departamental de emergencias en salud mediante realización de mínimo un simulacro anual por municipio, capacitación certificada a líderes comunitarios y evaluación técnica de planes de respuesta sanitaria.</t>
  </si>
  <si>
    <t>transversal  a todos los nucleos</t>
  </si>
  <si>
    <t xml:space="preserve">Transformación cultural, movilización y organización social y popular por la vida, salud y la
equidad en salud. </t>
  </si>
  <si>
    <t>Actualización del sistema nacional de vigilancia incluye la redefinición de eventos objeto de vigilancia, indicadores específicos de seguimiento, modelos de vigilancia de cada uno y flujos de información en doble vía. Con participación de autoridades sanitarias nacionales, distritales y locales, aseguradoras y prestadores, así como de la comunidad y entidades de otros sectores.</t>
  </si>
  <si>
    <t xml:space="preserve">A 2031 las Entidades Municipales, Departamentales y Distritales responden a las necesidades en salud de la población con participación de los actores estratégicos del territorio.  </t>
  </si>
  <si>
    <t>1.    "A 2027 Garantizar el acceso a los servicios de salud a la población pobre y vulnerable con la financiación de los recursos propios para la afiliación del régimen subsidiado en el departamento del Magdalena</t>
  </si>
  <si>
    <t>98. actvidad transversal a resultados</t>
  </si>
  <si>
    <t>REGIMEN SUBSIDIADO</t>
  </si>
  <si>
    <t>FORTALECIMIENTO_DE_LA_AUTORIDAD_SANITARIA</t>
  </si>
  <si>
    <t>Mantener la Cofinanciación del Régimen Subsidiado en Salud</t>
  </si>
  <si>
    <t>Realizar 4 Mesas de Saneamiento de Cartera trimestral (Circular conjunta 030 de 2013) con su respectivo seguimiento a la red prestadora de salud del Departamento del Magdalena.</t>
  </si>
  <si>
    <t>MARIA JOSEFA LÓPEZ</t>
  </si>
  <si>
    <t>Actualización del sistema nacional de vigilancia incluye la redefinición de eventos objeto de vigilancia, indicadores específicos de seguimiento, modelos de vigilancia de cada uno y flujos de información en doble vía. Con participación de autoridades sani</t>
  </si>
  <si>
    <t>1. "A 2027 Garantizar el acceso a los servicios de salud a la población pobre y vulnerable con la financiación de los recursos propios para la afiliación del régimes subsidiado en el departamento del Magdalena</t>
  </si>
  <si>
    <t>Realizar 60 asistencias tecnicas  presenciales y/o virtuales en materia de aseguramiento a los entes territoriales municipales del Departamento del Magdalena. Realizar 4 Mesas de Saneamiento de Cartera trimestral (Circular conjunta 030 de 2013) con su respectivo seguimiento a la red prestadora de salud del Departamento del Magdalena</t>
  </si>
  <si>
    <t>Realizar  60 acciones de Inspección, Vigilancia y Control - IVC en materia de Aseguramiento (Base de Datos, Flujo de Recursos, Contratación Red, Auditorias, Régimen Subsidiado, Regimen Contributivo y Especial), del Departamento del Magdalena</t>
  </si>
  <si>
    <t>Realizar verificación a los informes de Inspección y Vigilancias a las Entidades Promotoras de Salud - EPS realizados por los 29 Entes Territoriales Municipales. D emanera semestral.</t>
  </si>
  <si>
    <t>Lograr afiliación de 68986 personas en e departamento al año 2026</t>
  </si>
  <si>
    <t>SGP-SALUD-REGIMEN SUBSIDIADO (1.2.4.2.01)</t>
  </si>
  <si>
    <t>1.3.3.7.01</t>
  </si>
  <si>
    <t>RS - E4 Atención Primaria Salud - L3 Cuidado de la Salud - Transferencias Afiliación</t>
  </si>
  <si>
    <t>Transversal a todos los núcleos</t>
  </si>
  <si>
    <t>Territorios saludables articulados y trabajando por la paz, la convivencia pacífica y la
resiliencia.</t>
  </si>
  <si>
    <t>Promocion de los mecanismos de participacion ciudadana para el control de la provicion de servicios de salud.</t>
  </si>
  <si>
    <t xml:space="preserve">1.    A 2027 las Entidades Municipales, Departamentales y Distritales responden a las necesidades en salud de la población con participación de los actores estratégicos del territorio.  </t>
  </si>
  <si>
    <t>CAMBIO EN LOS SERVICIOS DE SALUD</t>
  </si>
  <si>
    <t>Na</t>
  </si>
  <si>
    <t>Seguimiento y vigilancia a las Ese, EAPB,  SAC y SIAU municipales</t>
  </si>
  <si>
    <t>Realizar acciones de seguimiento y asistencias técnicas a los 29 munipios para garantizar la adecuada operatividad y cumplimiento de funciones en la atención al usuario y la gestión de servicios de salud.</t>
  </si>
  <si>
    <t>Realizar 14 asistencias técnicas, control , vigilancia y Seguimiento  a las Secretarias de Salud , ESES y EPS  en los 29 municipios del Departamento del Magdalena en el componente del SAC y SIAU en relacion a la operatividad en el marco de sus funciones.</t>
  </si>
  <si>
    <t>NUMERO</t>
  </si>
  <si>
    <t>MARIA HILARIA GONZALES</t>
  </si>
  <si>
    <t>Seguimiento  a la implementación de la Política de Participación Social en Salud ( PPSS</t>
  </si>
  <si>
    <t xml:space="preserve">Apoyo a la ejecución de las acciones colectivas y gestión de la salud pública para el cumplimento y fortalecimiento de Participación Social en Salud al 100% de los SIAU Y SAC municipales </t>
  </si>
  <si>
    <t>Creación y seguiiento de la PPSS vigente según decreto 2063 del 2017 con los actores involucrados en el proceso enfatizando los SAC y SIAU en los 29 municipios del departamento del Magdalena.</t>
  </si>
  <si>
    <t>NÚMERO</t>
  </si>
  <si>
    <t>Aplicación y análisis de ecuentras de satisfacción</t>
  </si>
  <si>
    <t>Seguimiento de la PPSS vigente según decreto 2063 del 2017 con 100% de  los actores involucrados en el proceso enfatizando los SAC y SIAU en los 29 municipios del departamento del Magdalena.</t>
  </si>
  <si>
    <t>porcentaje</t>
  </si>
  <si>
    <t>Ejercer seguimiento y control  en el 100%, a la conformación  y activación de los mecanismos de participación social en salud (COPACOS, veedurías, comités de ética hospitalaria y consejo territoriales) en los 29 municipios del departamento del Magdalena.</t>
  </si>
  <si>
    <t>PORCENTAJE</t>
  </si>
  <si>
    <t xml:space="preserve">Evaluar la calidad de la atención en salud y servicio prestado por 100% de las Instituciones Prestadoras de Servicios de Salud y Entidades Administradoras de Planes de Beneficio 
</t>
  </si>
  <si>
    <t>Aplicar, consolidar y hacer análisis de las 400 encuestas de satisfacción aplicada  al usuarios del Departamento del Magdalena y mujeres en estado de embarazo para conocer la calidad en la atención en salud  brindada por las ESE, EPS e IPS,  asimismo, ejercer el control  y velar  por la aplicación de las mismas en los 29 municipio de  manera trimestral.</t>
  </si>
  <si>
    <t>SPC - E1 Gobernabilidad y Gobernanza - L1 Desarrollo Institucional y Sectorial - Planeación Integral en Salud</t>
  </si>
  <si>
    <t>Ejercer el seguimiento y dar respuesta a 100 de las PQRD radicadas ante la secretaría seccional de salud, asimismo, realizar acciones de control al cumplimiento del mismo las oficinas SAC y SIAU de los  29 Municipios del Departamento del Magdalena, con base en  los lineamientos vigentes.</t>
  </si>
  <si>
    <t>Inseguridad alimentaria y Desnutrición</t>
  </si>
  <si>
    <t xml:space="preserve">Gestión territorial para el cuidado de la salud basado
en la atención primaria en salud. </t>
  </si>
  <si>
    <t>CAMBIO POR LA SALUD</t>
  </si>
  <si>
    <t xml:space="preserve">CAMBIO EN LA RED PÚBLICA HOSPITALARIA </t>
  </si>
  <si>
    <t>Ejecutar el 80% las actividades contempladas en el Plan de reducción de la mortalidad en menores de 5 años por Desnutrición, de competencia del área de prestación de servicios</t>
  </si>
  <si>
    <t xml:space="preserve">Realizar una  asistencia técnica por subregión, en lo relacionado con las acciones contempladas en la Resolución 2350 de 2020 y 2465 de 2016, en las E.S.E / IPS y EPS                                                                                                                                                                                 </t>
  </si>
  <si>
    <t>ARIADGNA CASTRO</t>
  </si>
  <si>
    <t>Realizar visitas de I.V.C , en lo relacionado con las acciones contempladas en la Resolución 2350 de 2020 y 2465 de 2016, en las E.S.E / IPS, Secretarías municipales de salud y EPS, y a las instituciones que presenten mortalidad por DNT en menores de 5 años</t>
  </si>
  <si>
    <t>Prestación y Calidad de servicios</t>
  </si>
  <si>
    <t xml:space="preserve">A 2027, reducir a 52 por 100.000 nacidos vivos la
razón de mortalidad materna </t>
  </si>
  <si>
    <t>Operativizar el Plan de Desaceleración de la Mortalidad Materna -PARE MM, en las E.S.Es de los 29 Municipios del Departamento del Magdalena</t>
  </si>
  <si>
    <t>Ejecutar el 80% de las actividades contempladas en las 6 líneas del PARE-MM 2026, aprobado por el MSPS</t>
  </si>
  <si>
    <t>Condiciones de vida, estilos de vida saludables y enfermedades crónicas</t>
  </si>
  <si>
    <t xml:space="preserve">Implementación de mecanismos para la coordinación y gestión de la operación de las redes integrales e integradas territoriales de salud en el marco de un modelo preventivo, predictivo y resolutivo basado en la APS.  </t>
  </si>
  <si>
    <t xml:space="preserve">Entidades Territoriales Departamentales, Distritales que organizan la prestación de servicios de salud en redes integrales e integradas territoriales bajo un modelo de salud predictivo, preventivo y resolutivo fundamentado en la Atención Primaria en Salud – APS con criterios de subsidiaridad y complementariedad.   </t>
  </si>
  <si>
    <t xml:space="preserve">A 2031 el 100% de los Departamentos y Distritos tendrán en operación una red integral e integrada territorial de salud – RIITS conforme al modelo de salud preventivo, predictivo y resolutivo basado en la Atención Primaria en Salud – APS  </t>
  </si>
  <si>
    <t>23-A 2031, el 70% de las mujeres entre 25 y 29 años son tamizadas para cáncer de cuello uterino con citología cervicouterina.</t>
  </si>
  <si>
    <t>A 2031 el 80% de las necesidades en salud de la población Colombiana se resuelven en el nivel primario de atención en salud</t>
  </si>
  <si>
    <t>Realizar seguimiento a los indicadores de oportunidad de los procesos de detección temprana de cancer de cancer de cuello uterino en las EAPB e IPS, teniendo en cuenta la Ruta de Promoción y Mantenimiento de la Salud.</t>
  </si>
  <si>
    <t>Realizar seguimiento trimestral a los indicadores de oportunidad de los procesos de detección temprana de cancer de cancer de cuello uterino en las EAPB e IPS, teniendo en cuenta la Ruta de Promoción y Mantenimiento de la Salud.</t>
  </si>
  <si>
    <t>Enfermedades transmisibles por vectores y cambio climático</t>
  </si>
  <si>
    <t xml:space="preserve">A 2027 el 100% de los Departamentos y Distritos tendrán en operación una red integral e integrada territorial de salud – RIITS conforme al modelo de salud preventivo, predictivo y resolutivo basado en la Atención Primaria en Salud – APS  </t>
  </si>
  <si>
    <t xml:space="preserve">A 2027, en el Departamento del Magdalena se reducirá la letalidad por dengue grave al 10%. </t>
  </si>
  <si>
    <t>Realizar  acciones de I.V para la evaluación de la adherencia a los lineamientos y GPC, para la atención de los eventos de Enfermedades Transmitidas por Vectores -E.T.V, priorizando la red pública</t>
  </si>
  <si>
    <t>Realizar visitas de I.V a los prestadores de servicios de salud de los 29 municipios del departamento, para la evaluación de la adherencia a los lineamientos y GPC, para la atención de los eventos de Enfermedades Transmitidas por Vectores -E.T.V, priorizando la red pública</t>
  </si>
  <si>
    <t>Primera infancia</t>
  </si>
  <si>
    <t>RICARDO RUIZ ROMERO</t>
  </si>
  <si>
    <t>Realizar  visitas para la verificación de disposición de insumos necesarios para la atención de los eventos de Enfermedades Transmitidas por Vectores -E.T.V, priorizando la red pública</t>
  </si>
  <si>
    <t>Realizar visitas de I.V a los prestadores de servicios de salud de los 29 municipios del departamento, para  la verificación de disposición de insumos necesarios para la atención de los eventos de Enfermedades Transmitidas por Vectores -E.T.V, priorizando la red pública</t>
  </si>
  <si>
    <t>Realizar, mínimo el 70% de las visitas de verificación de condiciones de habilitación, contempladas en el Plan anual,  a los prestadores de servicios de salud que operen en el Departamento del Magdalena</t>
  </si>
  <si>
    <t>Realizar visitas de verificación de condiciones de habilitación al 70% de entidades contempladas en el Plan anual,  de los prestadores de servicios de salud que operen en el Departamento del Magdalena.</t>
  </si>
  <si>
    <t>Población materno perinatal</t>
  </si>
  <si>
    <t>LIZETH AGUIRRE</t>
  </si>
  <si>
    <t xml:space="preserve">Realizar el 100% de las  visitas de IVC , de acuerdo a las solicitudes recibidas y/o de oficio </t>
  </si>
  <si>
    <t>Realizar visitas de IVC , de acuerdo a 100 % de las solicitudes recibidas por entes competentes y/o de oficio, PQR, y demas situaciones que impliquen la vigilancia y control del ente territorial</t>
  </si>
  <si>
    <t>LIZETH AGUIRRE -RICARDO RUIZ ROMERO</t>
  </si>
  <si>
    <t xml:space="preserve">Realizar Asistencias Técnica a los Prestadores de Servicios de Salud del Departamente en el Sistema Obligatorio de Garantía de Calidad </t>
  </si>
  <si>
    <t xml:space="preserve">Realizar cuatro (4) Asistencias Técnica a los Prestadores de Servicios de Salud del Departamente en el Sistema Obligatorio de Garantía de Calidad </t>
  </si>
  <si>
    <t>Realizar seguimiento períodico al reporte y resultados de los indicadores de calidad establecidos en la Resolución 256 de 2016,   al 100% de las  Instituciones Prestadoras de Servicios de Salud y los servicios de transporte especial de pacientes del Departamento</t>
  </si>
  <si>
    <t>Consolidar y analizar la información de 100% de los Prestadores de Servicios de Salud-IPS y Transporte Asistencial de Pacientes; en lo relacionado con  el reporte y resultados de los indicadores de calidad establecidos en la Resolución 256 de 2016.</t>
  </si>
  <si>
    <t>MARI LUZ CABRERA</t>
  </si>
  <si>
    <t>Realizar  asistencia técnica por subregión para la implementación del Programa de Auditoria para el Mejoramiento de la Calidad en la Atención en Salud -PAMEC, a las Instituciones Prestadoras de Servicios de Salud del Departamento</t>
  </si>
  <si>
    <t>Realizar  asistencia técnica por subregión para la implementación del Programa de Auditoria para el Mejoramiento de la Calidad en la Atención en Salud -PAMEC, a las 100% de Instituciones Prestadoras de Servicios de Salud del Departamento</t>
  </si>
  <si>
    <t>Realizar  seguimiento a la implementación del Programa de Auditoria para el Mejoramiento de la Calidad en la Atención en Salud PAMEC, mínimo al 80% de los prestadores de servicios de salud de los 29 Municipios del Departamento</t>
  </si>
  <si>
    <t>Realizar  seguimiento a la implementación del Programa de Auditoria para el Mejoramiento de la Calidad en la Atención en Salud PAMEC del 80% o más de los prestadores de los 29 Municipios del Departamento</t>
  </si>
  <si>
    <t xml:space="preserve">Talento Humano en Salud formado para la gestión integral de la salud pública  </t>
  </si>
  <si>
    <t>Realizar la identificación y caracterización del Talento Humano en salud, de la red hospitalaria del Departamento del Magdalena</t>
  </si>
  <si>
    <t>Realizar y consolidar el censo del Talento Humano en salud, de cada una de las E.S.Es de la red hospitalaria del departamento del Magdalena</t>
  </si>
  <si>
    <t>PIEDAD DE LA HOZ</t>
  </si>
  <si>
    <t>Lograr el fortalecimiento de la autoridad sanitaria en los 29 municipios del departamento del Magdalena</t>
  </si>
  <si>
    <t>Seguimiento al sistema de transporte asistencial de la red publica y privada del Departamento del Magdalena</t>
  </si>
  <si>
    <t>No aplica</t>
  </si>
  <si>
    <t>tranversal a todos los nucleos</t>
  </si>
  <si>
    <t>Dotar y activar equipos de radiocomunicaciones al CRUE y a las 5 IPS de la red pública y activación de la antena repetidora</t>
  </si>
  <si>
    <t>Brindar asistencia tecnica, y seguimiento a la implementación de equipos de radio comunicación</t>
  </si>
  <si>
    <t xml:space="preserve">Abogacía e incidencia técnica y política en la agenda de otros sectores, a fin de generar acciones intersectoriales y transectoriales definiendo temas transversales y objetivos comunes.  </t>
  </si>
  <si>
    <t>Gestionar la adecuación y/o construcción de (12) puestos y centros de salud.</t>
  </si>
  <si>
    <t>Realizar apoyo al proceso de Planeación integral en salud a los 29 Municipios del Departamento del Magdalena  en las fases de  formulacion,implementacion  desarrollo, monitoreo y evaluacion  el Plan territorial de salud.</t>
  </si>
  <si>
    <t>Desarrollar una estretegia para que los hospitales y puestos y centro  de salud priorizados en el departamento del Magdalena cumplan con los estándares de infraestructura y dotación de 17 ambulancias del cambio para entornos seguros, funcionales y dignos.</t>
  </si>
  <si>
    <t>Desarrollar una estretegia para que los prestadores públicos de salud priorizados en el departamento del Magdalena, cumplan con los estándares de infraestructura y dotación de hospitales para entornos seguros, funcionales y dignos, adecuaciones menores a 2 Hospitales, en construccion de 2 hospitales nuevos</t>
  </si>
  <si>
    <t>Varias poblaciones de protección constitucional específica</t>
  </si>
  <si>
    <t>Desarrollar una estretegia de adecuaiones menores a 32  puestos y centro  de salud y seguimiento a 3 puestos de salud priorizados de zona rural, dispersa y urbana en el departamento del Magdalena cumplan con los estándares de infraestructura y dotación de puestos de salud para entornos seguros, funcionales y dignos</t>
  </si>
  <si>
    <t>Formular, Coordinar y desarrollar el COAI y PAS de la vigencia 2026 del departamento, relizar monitoreo, seguimiento, control y cargue al portal web del MSPS de manera trimestral, con el equipo integral de la Secretaria de Salud por cada una de las dimensiones del PDSP.</t>
  </si>
  <si>
    <t>MARCO DONADO</t>
  </si>
  <si>
    <t>Someter a la aprobaciòn por  el Consejo de Gobierno y la sensibilizacion del CTSS  del COAI y PAS de la vigencia 2026 del departamento,  ejercer los reportes y entrega de la informaciòn del desarrollo y ejecuciòn de los mismos a la Oficina Asesora de Planeaciòn del departamento, oficina de control interno, cargue al portal Web -SISPRO del MSPS de manera trimestral, con el equipo integral de la Secretaria de Salud por cada una de las dimensiones del PDSP, para su monitoreo, control, segimiento por los entes del nivel nacional, territorial y la propia seretaria de salud y demas autoidades que ejercen control y evalauciòn incluido las veedurias y  el control social.</t>
  </si>
  <si>
    <t>Brindar Asistencia Tecnica, desarrollo de capacidades, monitoreo y seguimiento, a los planes de accion Municipales de la vigencia 2026 al 100% de los 29 municpios del departamento por subregiones, por demanda individual y vigilancia y control por municipio.</t>
  </si>
  <si>
    <t>Apoyar el proceso de rendicion de cuentas del sector Salud   Departamental  mediante la operativizacion del 100%  los mecanismos de transparencia en la evaluacion y el control social, por lo menos una vez al año.</t>
  </si>
  <si>
    <t>Desarrollar capacidades al talento humano al 100% de las 29 entidades territoriales  responsables de la planificacion en salud; para la construcciòn, formulación, implementación, seguimiento, monitoreo y evaluación de políticas, planes, programas, estrategias y proyectos en salud y del PDSP 2022 -2031</t>
  </si>
  <si>
    <t>Ejercer el monitoreo, seguimiento, control y evaluacion trimestral a los planes de accion Municipales de la vigencia 2026, incluido al cargue en el portal Web del MSPS al 100% de los 29 municipios del departamento por subregiones, por demanda individual y vigilancia y control por municipios.</t>
  </si>
  <si>
    <t>Ejercer la vigilancia y el control de la capacidad de gestion de los 5 municpios certificados en salud decreto 780 DE 2016 ART. 5 Y SIGUEIENTES, con base en los lineamientos y la herramienta implementada para su evaluaciòn en la prestacion de los servicios de salud vigencia 2022.</t>
  </si>
  <si>
    <t>mantener actulalizada las repuestas y de manera oportuna a los procesos juridicos, respuestas de las acciones de tutela y los procesos administartativos sansionatorios y de cumplimineto a las visitas de verifcacioón de la red de prestadores dell departamento</t>
  </si>
  <si>
    <t>JURIDICA</t>
  </si>
  <si>
    <t xml:space="preserve">Mantener actualizado el flujo, analisis y cargue de los sistemas de informacion para la salud, los RIPS  del 100% de las empresas prestadoras y los informes de  en la prestacion de los servicios de salud a la PPNA del departamento de manera eficiente y oportuna. </t>
  </si>
  <si>
    <t>KAREN RAMIREZ</t>
  </si>
  <si>
    <t>Brindar Asistencia Tecnica y Capacitación  del flujo, analisis y cargue de los sistemas de información para la salud, los RIPS  de las empresas prestadoras y los informes de la resolución  202 en la prestación de los servicios de salud a la PPNA del departamento de manera eficiente y oportuna a 100% de prestadores del departameto y municpios certificados que prestan servicios de salud.</t>
  </si>
  <si>
    <t>Ejercer monitoreo, seguimiento y control al flujo ,analisis y cargue de los sistemas de informacion para la salud de la circular única, círcular 030 y 2193 en los proceos de inversion de infraestrutura, el plan bienal, Plan de Mantenimienrto, proyectos de inversion y actualizacion Catastro Fisico del deparatamento de manera eficiente y oportuna a todos los prestadores y municpios certificados que prestan servicios de salud.plan bienal AT y Control dos veces al año</t>
  </si>
  <si>
    <t>Ejercer monitoreo, seguimiento y control al flujo, análisis  plan de mantenimiento del departamento de manera eficiente y oportuna a todos los prestadores de los municipios Control dos veces al año.</t>
  </si>
  <si>
    <t>número</t>
  </si>
  <si>
    <t xml:space="preserve">Ejercer al catastro fisico de los municpios y ESE; AT e IVC y formulaciòn, viabiidad y evaluaciòn de proyectos  de infraestructura y dotacion de los 29 municpios semestralmente </t>
  </si>
  <si>
    <t>númeo</t>
  </si>
  <si>
    <t>ANDRES BELTRAN</t>
  </si>
  <si>
    <t>revisar y viabilizar 100 % de los proyectos presentados por las ESE hospitales de infraestructura y dotacion. Con base en la normatividad vigente</t>
  </si>
  <si>
    <t>revisar y viabilizar  los proyectos presentados por las ESE hospitales de infraestructura y dotacion de 22 Ese con dotación de ambulancias. Con base en la normatividad vigente</t>
  </si>
  <si>
    <t>Apoyar la ejecucion del plan de IVC con servicio de transporte disponiendo de 1 vehiculos 24x7</t>
  </si>
  <si>
    <t>A 2027 el 100% de las entidades terriitoriales de orden departamental, distrital y municipal desarrollaran mecanismos para el fortalecimiento de la rectoria en salud en su territorio, conforme a las competencias establecidas</t>
  </si>
  <si>
    <t>Realizar inducción y reinducción para todo funcionario que ingrese al equipo PAI, dirigidos al talento humano y demás actores según su competencia, abarcando todos los módulos del PAI.</t>
  </si>
  <si>
    <t>Andrea Palacios</t>
  </si>
  <si>
    <t>Socializar los lineamientos para las jornadas nacionales de
 vacunación y planes de intensificación emitidos por el nivel nacional</t>
  </si>
  <si>
    <t>La falta de talento humano de planta, la alta rotación de personal contratista, la falta de vehículos, la falta de adherencia a lineamientos programáticos y misionales por parte del talento humano para brindar asistencia técnica a los actores, la complejidad y de organización de procesos administrativos que generan reprocesos; dificultan la ejecución de las acciones de orden misional perdiendo gobernanza y autoridad frente a os vigilados</t>
  </si>
  <si>
    <t>Realizar una auditoria externa para verificar el cumoplimiento de los requisitos de la norma NTC-ISO/IEC 17025 version vigente y/o criterios ONC</t>
  </si>
  <si>
    <t>Numero</t>
  </si>
  <si>
    <t>Realizar asistencias técnicas en las subregiones del Departamento sobre abordaje a trabajadores de la economia popular y cominitaria Magdalena UTIS Y GOTIS en: Riesgos – peligros, actos y condiciones seguras Incentivar la afiliación al sistema de riesgos laborales Prevención de enfermedades y accidentes relacionados con el trabajo Socialización de la ruta de atención en servicios de salud
  Socialización de factores de riesgo para condiciones crónicas no transmisibles y salud mental</t>
  </si>
  <si>
    <t>Juventud, Adultez y Persona mayor</t>
  </si>
  <si>
    <t>Realizar asistencia tecnica y mesas de trabajo con las EAPB, IPS, SSM y ESE de los 29 municipios del departamento en el desarrollo de jornadas de salud y seguimiento a los reportes de accidentes laborales en trabajadores informales</t>
  </si>
  <si>
    <t>ID</t>
  </si>
  <si>
    <t>META</t>
  </si>
  <si>
    <t>ACTIVIDAD</t>
  </si>
  <si>
    <t>UNIDAD</t>
  </si>
  <si>
    <t>COD_FUENTE_RECURSOS</t>
  </si>
  <si>
    <t>DESC_FUENTE_RECURSOS</t>
  </si>
  <si>
    <t>SGP-SALUD-SALUD PUBLICA</t>
  </si>
  <si>
    <t>Días</t>
  </si>
  <si>
    <t xml:space="preserve">RECURSOS PROPIOS </t>
  </si>
  <si>
    <t>PRESUPUESTO</t>
  </si>
  <si>
    <t>AREA</t>
  </si>
  <si>
    <t>COMPONENTE</t>
  </si>
  <si>
    <t>RESPONSABLE</t>
  </si>
  <si>
    <t>VINCULACION</t>
  </si>
  <si>
    <t>REVISADO</t>
  </si>
  <si>
    <t>SALUD PUBLICA</t>
  </si>
  <si>
    <t>PIC</t>
  </si>
  <si>
    <t>SALUD AMBIENTAL</t>
  </si>
  <si>
    <t>ZOONOSIS</t>
  </si>
  <si>
    <t>ECNT</t>
  </si>
  <si>
    <t>SALUD MENTAL</t>
  </si>
  <si>
    <t>NUTRICION</t>
  </si>
  <si>
    <t>DNT</t>
  </si>
  <si>
    <t>SSR</t>
  </si>
  <si>
    <t>ETV</t>
  </si>
  <si>
    <t>PAI</t>
  </si>
  <si>
    <t>TB - LEPRA</t>
  </si>
  <si>
    <t>EDA - IRA</t>
  </si>
  <si>
    <t>LEPRA</t>
  </si>
  <si>
    <t>MEDICAMENTOS</t>
  </si>
  <si>
    <t>VIGILANCIA</t>
  </si>
  <si>
    <t>LABORATORIO</t>
  </si>
  <si>
    <t>DESPACHO</t>
  </si>
  <si>
    <t>EMERGENCIAS Y DESASTRES</t>
  </si>
  <si>
    <t>ASEGURAMIENTO</t>
  </si>
  <si>
    <t>PLANEACION</t>
  </si>
  <si>
    <t>SAC</t>
  </si>
  <si>
    <t>PRESTACION DE SERVICIOS</t>
  </si>
  <si>
    <t>SOGC</t>
  </si>
  <si>
    <t xml:space="preserve">REGISTROS </t>
  </si>
  <si>
    <t>NOMBRE</t>
  </si>
  <si>
    <t>PROCESO</t>
  </si>
  <si>
    <t>PERSTACION Y DESARROLLO DE SERVICIOS</t>
  </si>
  <si>
    <t>LIDER DE AREA</t>
  </si>
  <si>
    <t>RICARDO RUIZ</t>
  </si>
  <si>
    <t>PLANTA</t>
  </si>
  <si>
    <t>ARIADGNA CASTRO MORALES</t>
  </si>
  <si>
    <t>JUAN SIERRA AVENDAÑO</t>
  </si>
  <si>
    <t>AIXA LEONOR AYALA QUIROZ</t>
  </si>
  <si>
    <t>CONTRATISTA</t>
  </si>
  <si>
    <t>KARINA PAOLA ALFARO ROJAS</t>
  </si>
  <si>
    <t>YULISA YISEL PAVA VALENCIA</t>
  </si>
  <si>
    <t>JORGE LUIS LASCANO TORRES</t>
  </si>
  <si>
    <t>REGISTROS PROFESIONALES</t>
  </si>
  <si>
    <t>JUAN DIEGO DE LA ROSA RAMOS</t>
  </si>
  <si>
    <t>CAMILO ANDRÉS GÓMEZ DÍAZ</t>
  </si>
  <si>
    <t xml:space="preserve">YOLENIS SUGEY PONZON MARTINEZ </t>
  </si>
  <si>
    <t>LIZETH AGUIRRE JUVINAO</t>
  </si>
  <si>
    <t>MARY LUZ CABRERA</t>
  </si>
  <si>
    <t>LAURA PATRICIA  HERNANDEZ PADILLA</t>
  </si>
  <si>
    <t xml:space="preserve">DARLING BERMUDEZ AGUAS </t>
  </si>
  <si>
    <t>DAYANNA MARIA ESMERAL ALZAMORA</t>
  </si>
  <si>
    <t>GRECY MARGARITA SALAS PEREZ</t>
  </si>
  <si>
    <t>MAYRA ALEJANDRA PALACIOS CASTAÑEDA</t>
  </si>
  <si>
    <t>AUDITORIA DE CUENTAS</t>
  </si>
  <si>
    <t>DUBER SANCHEZ</t>
  </si>
  <si>
    <t>LUIS GUILLERMO BORJA MENDOZA</t>
  </si>
  <si>
    <t>MARLON DAVID TORRIJOS ARDILA</t>
  </si>
  <si>
    <t>KEILA MILENA PEÑARREDONDA CANTILLO</t>
  </si>
  <si>
    <t>JOHANNA KATINA  VALENCIA ESCOBAR</t>
  </si>
  <si>
    <t>GUSTAVO ADOLFO  TERAN COTES</t>
  </si>
  <si>
    <t xml:space="preserve">VICTOR  MANUEL  BRICEÑO PEREZ </t>
  </si>
  <si>
    <t>MARIA HILARIA GONZALEZ</t>
  </si>
  <si>
    <t>SINDRY PAOLA  REBOLLEDO BARROS</t>
  </si>
  <si>
    <t>HERNAN BAUTISTA  OVALLE SEPULVEDA</t>
  </si>
  <si>
    <t>YINA MARCELA  PALMA YEPEZ</t>
  </si>
  <si>
    <t xml:space="preserve">NICOL MELISSA  LOPEZ VANEGAS </t>
  </si>
  <si>
    <t>ANGELICA MARIA LOPEZ</t>
  </si>
  <si>
    <t>MARLIN SOFIA SALAS PEREZ</t>
  </si>
  <si>
    <t>DINA LUZ SERRANO RODELO</t>
  </si>
  <si>
    <t>F_INICIO</t>
  </si>
  <si>
    <t>F_FIN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</si>
</sst>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mm\-dd\-yyyy"/>
    <numFmt numFmtId="166" formatCode="_-* #,##0_-;\-* #,##0_-;_-* &quot;-&quot;_-;_-@"/>
    <numFmt numFmtId="167" formatCode="dd\-mm\-yyyy"/>
    <numFmt numFmtId="168" formatCode="0.0%"/>
  </numFmts>
  <fonts count="40" x14ac:knownFonts="1">
    <font>
      <sz val="11"/>
      <color theme="1"/>
      <name val="Calibri"/>
      <scheme val="minor"/>
    </font>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FFFFFF"/>
      <name val="Calibri"/>
      <family val="2"/>
    </font>
    <font>
      <sz val="11"/>
      <color theme="0"/>
      <name val="Calibri"/>
      <family val="2"/>
    </font>
    <font>
      <sz val="11"/>
      <color theme="1"/>
      <name val="Calibri"/>
      <family val="2"/>
    </font>
    <font>
      <b/>
      <sz val="14"/>
      <color theme="1"/>
      <name val="Arial"/>
      <family val="2"/>
    </font>
    <font>
      <b/>
      <sz val="14"/>
      <color rgb="FFFF0000"/>
      <name val="Arial"/>
      <family val="2"/>
    </font>
    <font>
      <b/>
      <sz val="12"/>
      <color rgb="FFFF0000"/>
      <name val="Arial"/>
      <family val="2"/>
    </font>
    <font>
      <b/>
      <sz val="12"/>
      <color rgb="FFFF0000"/>
      <name val="Calibri"/>
      <family val="2"/>
    </font>
    <font>
      <b/>
      <sz val="13"/>
      <color theme="1"/>
      <name val="Calibri"/>
      <family val="2"/>
    </font>
    <font>
      <sz val="11"/>
      <name val="Calibri"/>
      <family val="2"/>
    </font>
    <font>
      <b/>
      <sz val="10"/>
      <color theme="1"/>
      <name val="Calibri"/>
      <family val="2"/>
      <scheme val="minor"/>
    </font>
    <font>
      <sz val="10"/>
      <color theme="1"/>
      <name val="Calibri"/>
      <family val="2"/>
      <scheme val="minor"/>
    </font>
    <font>
      <sz val="10"/>
      <color theme="1"/>
      <name val="Arial"/>
      <family val="2"/>
    </font>
    <font>
      <b/>
      <sz val="10"/>
      <color theme="1"/>
      <name val="Arial"/>
      <family val="2"/>
    </font>
    <font>
      <b/>
      <sz val="10"/>
      <color rgb="FFFF0000"/>
      <name val="Arial"/>
      <family val="2"/>
    </font>
    <font>
      <b/>
      <sz val="12"/>
      <color theme="1"/>
      <name val="Calibri"/>
      <family val="2"/>
      <scheme val="minor"/>
    </font>
    <font>
      <b/>
      <sz val="11"/>
      <color rgb="FFFF0000"/>
      <name val="Calibri"/>
      <family val="2"/>
      <scheme val="minor"/>
    </font>
    <font>
      <b/>
      <sz val="9"/>
      <color theme="1"/>
      <name val="Arial"/>
      <family val="2"/>
    </font>
    <font>
      <b/>
      <sz val="8"/>
      <color theme="1"/>
      <name val="Arial"/>
      <family val="2"/>
    </font>
    <font>
      <b/>
      <sz val="8"/>
      <color theme="4"/>
      <name val="Arial"/>
      <family val="2"/>
    </font>
    <font>
      <b/>
      <sz val="12"/>
      <color rgb="FFFF0000"/>
      <name val="Calibri"/>
      <family val="2"/>
      <scheme val="minor"/>
    </font>
    <font>
      <b/>
      <sz val="8"/>
      <color theme="1"/>
      <name val="Calibri"/>
      <family val="2"/>
      <scheme val="minor"/>
    </font>
    <font>
      <sz val="11"/>
      <color rgb="FF000000"/>
      <name val="Arial"/>
      <family val="2"/>
    </font>
    <font>
      <sz val="11"/>
      <color rgb="FFFF0000"/>
      <name val="Arial"/>
      <family val="2"/>
    </font>
    <font>
      <sz val="10"/>
      <color rgb="FFFF0000"/>
      <name val="Arial"/>
      <family val="2"/>
    </font>
    <font>
      <sz val="10"/>
      <color rgb="FF000000"/>
      <name val="Arial"/>
      <family val="2"/>
    </font>
    <font>
      <sz val="10"/>
      <name val="Arial"/>
      <family val="2"/>
    </font>
    <font>
      <b/>
      <sz val="11"/>
      <color rgb="FF000000"/>
      <name val="Arial"/>
      <family val="2"/>
    </font>
    <font>
      <b/>
      <sz val="9"/>
      <color indexed="81"/>
      <name val="Tahoma"/>
      <family val="2"/>
    </font>
    <font>
      <sz val="9"/>
      <color indexed="81"/>
      <name val="Tahoma"/>
      <family val="2"/>
    </font>
    <font>
      <sz val="9"/>
      <color indexed="81"/>
      <name val="Tahoma"/>
    </font>
    <font>
      <b/>
      <sz val="9"/>
      <color indexed="81"/>
      <name val="Tahoma"/>
    </font>
    <font>
      <b/>
      <sz val="8"/>
      <color theme="0"/>
      <name val="Calibri"/>
      <family val="2"/>
      <scheme val="minor"/>
    </font>
    <font>
      <b/>
      <sz val="8"/>
      <name val="Calibri"/>
      <family val="2"/>
      <scheme val="minor"/>
    </font>
    <font>
      <sz val="8"/>
      <name val="Calibri"/>
      <family val="2"/>
      <scheme val="minor"/>
    </font>
    <font>
      <sz val="11"/>
      <name val="Calibri"/>
      <family val="2"/>
      <scheme val="minor"/>
    </font>
  </fonts>
  <fills count="13">
    <fill>
      <patternFill patternType="none"/>
    </fill>
    <fill>
      <patternFill patternType="gray125"/>
    </fill>
    <fill>
      <patternFill patternType="solid">
        <fgColor rgb="FFDEEAF6"/>
        <bgColor rgb="FFDEEAF6"/>
      </patternFill>
    </fill>
    <fill>
      <patternFill patternType="solid">
        <fgColor rgb="FFFFFF00"/>
        <bgColor rgb="FFDEEAF6"/>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theme="4"/>
        <bgColor indexed="64"/>
      </patternFill>
    </fill>
    <fill>
      <patternFill patternType="solid">
        <fgColor rgb="FFFFFFFF"/>
        <bgColor rgb="FFFFFFFF"/>
      </patternFill>
    </fill>
    <fill>
      <patternFill patternType="solid">
        <fgColor rgb="FFFF0000"/>
        <bgColor indexed="64"/>
      </patternFill>
    </fill>
    <fill>
      <patternFill patternType="solid">
        <fgColor rgb="FF0070C0"/>
        <bgColor indexed="64"/>
      </patternFill>
    </fill>
    <fill>
      <patternFill patternType="solid">
        <fgColor rgb="FF92D050"/>
        <bgColor indexed="64"/>
      </patternFill>
    </fill>
  </fills>
  <borders count="14">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rgb="FF000000"/>
      </left>
      <right/>
      <top style="thin">
        <color rgb="FF000000"/>
      </top>
      <bottom/>
      <diagonal/>
    </border>
  </borders>
  <cellStyleXfs count="3">
    <xf numFmtId="0" fontId="0" fillId="0" borderId="0"/>
    <xf numFmtId="9" fontId="2" fillId="0" borderId="0" applyFont="0" applyFill="0" applyBorder="0" applyAlignment="0" applyProtection="0"/>
    <xf numFmtId="9" fontId="1" fillId="0" borderId="0" applyFont="0" applyFill="0" applyBorder="0" applyAlignment="0" applyProtection="0"/>
  </cellStyleXfs>
  <cellXfs count="134">
    <xf numFmtId="0" fontId="0" fillId="0" borderId="0" xfId="0"/>
    <xf numFmtId="0" fontId="5" fillId="0" borderId="0" xfId="0" applyFont="1"/>
    <xf numFmtId="0" fontId="6" fillId="0" borderId="0" xfId="0" applyFont="1"/>
    <xf numFmtId="0" fontId="7" fillId="0" borderId="1" xfId="0" applyFont="1" applyBorder="1"/>
    <xf numFmtId="0" fontId="8" fillId="0" borderId="1" xfId="0" applyFont="1" applyBorder="1" applyAlignment="1">
      <alignment horizontal="right" vertical="center"/>
    </xf>
    <xf numFmtId="0" fontId="9" fillId="0" borderId="1" xfId="0" applyFont="1" applyBorder="1" applyAlignment="1">
      <alignment horizontal="left" vertical="center"/>
    </xf>
    <xf numFmtId="0" fontId="8" fillId="0" borderId="1" xfId="0" applyFont="1" applyBorder="1" applyAlignment="1">
      <alignment horizontal="left" vertical="center"/>
    </xf>
    <xf numFmtId="0" fontId="10" fillId="0" borderId="1" xfId="0" applyFont="1" applyBorder="1" applyAlignment="1">
      <alignment horizontal="left"/>
    </xf>
    <xf numFmtId="0" fontId="7" fillId="0" borderId="1" xfId="0" applyFont="1" applyBorder="1" applyAlignment="1">
      <alignment horizontal="center" vertical="center"/>
    </xf>
    <xf numFmtId="0" fontId="11" fillId="0" borderId="1" xfId="0" applyFont="1" applyBorder="1" applyAlignment="1">
      <alignment horizontal="center" vertical="center"/>
    </xf>
    <xf numFmtId="0" fontId="12" fillId="0" borderId="1" xfId="0" applyFont="1" applyBorder="1"/>
    <xf numFmtId="0" fontId="7" fillId="0" borderId="2" xfId="0" applyFont="1" applyBorder="1"/>
    <xf numFmtId="0" fontId="14" fillId="0" borderId="0" xfId="0" applyFont="1" applyAlignment="1">
      <alignment horizontal="center"/>
    </xf>
    <xf numFmtId="0" fontId="15" fillId="0" borderId="0" xfId="0" applyFont="1"/>
    <xf numFmtId="0" fontId="7" fillId="0" borderId="3" xfId="0" applyFont="1" applyBorder="1"/>
    <xf numFmtId="0" fontId="16" fillId="2" borderId="4" xfId="0" applyFont="1" applyFill="1" applyBorder="1"/>
    <xf numFmtId="0" fontId="17" fillId="2" borderId="4" xfId="0" applyFont="1" applyFill="1" applyBorder="1" applyAlignment="1">
      <alignment horizontal="center" vertical="center"/>
    </xf>
    <xf numFmtId="0" fontId="16" fillId="2" borderId="4" xfId="0" applyFont="1" applyFill="1" applyBorder="1" applyAlignment="1">
      <alignment horizontal="center" vertical="center"/>
    </xf>
    <xf numFmtId="0" fontId="17" fillId="2" borderId="4" xfId="0" applyFont="1" applyFill="1" applyBorder="1"/>
    <xf numFmtId="0" fontId="18" fillId="2" borderId="4" xfId="0" applyFont="1" applyFill="1" applyBorder="1" applyAlignment="1">
      <alignment horizontal="center" vertical="center"/>
    </xf>
    <xf numFmtId="0" fontId="17" fillId="2" borderId="8"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3" borderId="8" xfId="0" applyFont="1" applyFill="1" applyBorder="1" applyAlignment="1">
      <alignment horizontal="center" vertical="center"/>
    </xf>
    <xf numFmtId="0" fontId="17" fillId="2" borderId="2" xfId="0" applyFont="1" applyFill="1" applyBorder="1" applyAlignment="1">
      <alignment horizontal="center" vertical="center" textRotation="90" wrapText="1"/>
    </xf>
    <xf numFmtId="0" fontId="17" fillId="2" borderId="3" xfId="0" applyFont="1" applyFill="1" applyBorder="1" applyAlignment="1">
      <alignment horizontal="center" vertical="center" textRotation="90" wrapText="1"/>
    </xf>
    <xf numFmtId="0" fontId="17" fillId="2" borderId="3" xfId="0" applyFont="1" applyFill="1" applyBorder="1" applyAlignment="1">
      <alignment horizontal="center" vertical="center" wrapText="1"/>
    </xf>
    <xf numFmtId="0" fontId="21" fillId="2" borderId="3"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0" fillId="0" borderId="0" xfId="0" applyAlignment="1">
      <alignment wrapText="1"/>
    </xf>
    <xf numFmtId="0" fontId="14" fillId="0" borderId="7" xfId="0" applyFont="1" applyBorder="1" applyAlignment="1">
      <alignment horizontal="center" vertical="center" wrapText="1"/>
    </xf>
    <xf numFmtId="0" fontId="0" fillId="0" borderId="0" xfId="0" applyAlignment="1">
      <alignment horizontal="center" vertical="center" wrapText="1"/>
    </xf>
    <xf numFmtId="0" fontId="25" fillId="0" borderId="7" xfId="0" applyFont="1" applyBorder="1" applyAlignment="1">
      <alignment horizontal="center" vertical="center" wrapText="1"/>
    </xf>
    <xf numFmtId="0" fontId="16" fillId="0" borderId="8" xfId="0" applyFont="1" applyBorder="1" applyAlignment="1">
      <alignment horizontal="center" vertical="center"/>
    </xf>
    <xf numFmtId="0" fontId="26" fillId="0" borderId="3" xfId="0" applyFont="1" applyBorder="1" applyAlignment="1">
      <alignment horizontal="left" vertical="top"/>
    </xf>
    <xf numFmtId="0" fontId="26" fillId="0" borderId="3" xfId="0" applyFont="1" applyBorder="1" applyAlignment="1">
      <alignment horizontal="center" vertical="center"/>
    </xf>
    <xf numFmtId="0" fontId="16" fillId="0" borderId="8" xfId="0" applyFont="1" applyBorder="1" applyAlignment="1">
      <alignment horizontal="left" vertical="top"/>
    </xf>
    <xf numFmtId="0" fontId="17" fillId="0" borderId="8" xfId="0" applyFont="1" applyBorder="1" applyAlignment="1">
      <alignment horizontal="center" vertical="top"/>
    </xf>
    <xf numFmtId="0" fontId="16" fillId="0" borderId="2" xfId="0" applyFont="1" applyBorder="1" applyAlignment="1">
      <alignment horizontal="center" vertical="center"/>
    </xf>
    <xf numFmtId="0" fontId="16" fillId="0" borderId="3" xfId="0" applyFont="1" applyBorder="1" applyAlignment="1">
      <alignment horizontal="center" vertical="center"/>
    </xf>
    <xf numFmtId="164" fontId="16" fillId="0" borderId="3" xfId="0" applyNumberFormat="1" applyFont="1" applyBorder="1" applyAlignment="1">
      <alignment horizontal="center" vertical="center"/>
    </xf>
    <xf numFmtId="0" fontId="17" fillId="4" borderId="3" xfId="0" applyFont="1" applyFill="1" applyBorder="1" applyAlignment="1">
      <alignment horizontal="center" vertical="center"/>
    </xf>
    <xf numFmtId="164" fontId="17" fillId="0" borderId="3" xfId="0" applyNumberFormat="1" applyFont="1" applyBorder="1" applyAlignment="1">
      <alignment horizontal="center" vertical="center"/>
    </xf>
    <xf numFmtId="165" fontId="16" fillId="0" borderId="3" xfId="0" applyNumberFormat="1" applyFont="1" applyBorder="1" applyAlignment="1">
      <alignment horizontal="center" vertical="top"/>
    </xf>
    <xf numFmtId="0" fontId="16" fillId="0" borderId="3" xfId="0" applyFont="1" applyBorder="1" applyAlignment="1">
      <alignment vertical="top"/>
    </xf>
    <xf numFmtId="0" fontId="16" fillId="0" borderId="3" xfId="0" applyFont="1" applyBorder="1" applyAlignment="1">
      <alignment horizontal="center" vertical="top"/>
    </xf>
    <xf numFmtId="39" fontId="16" fillId="0" borderId="3" xfId="0" applyNumberFormat="1" applyFont="1" applyBorder="1" applyAlignment="1">
      <alignment vertical="top"/>
    </xf>
    <xf numFmtId="4" fontId="16" fillId="0" borderId="3" xfId="0" applyNumberFormat="1" applyFont="1" applyBorder="1" applyAlignment="1">
      <alignment vertical="top"/>
    </xf>
    <xf numFmtId="3" fontId="27" fillId="0" borderId="3" xfId="0" applyNumberFormat="1" applyFont="1" applyBorder="1" applyAlignment="1">
      <alignment horizontal="center" vertical="top"/>
    </xf>
    <xf numFmtId="0" fontId="16" fillId="0" borderId="4" xfId="0" applyFont="1" applyBorder="1" applyAlignment="1">
      <alignment vertical="top"/>
    </xf>
    <xf numFmtId="0" fontId="14" fillId="4" borderId="7" xfId="0" applyFont="1" applyFill="1" applyBorder="1" applyAlignment="1">
      <alignment horizontal="center" vertical="center"/>
    </xf>
    <xf numFmtId="0" fontId="0" fillId="0" borderId="0" xfId="0" applyAlignment="1">
      <alignment horizontal="center" vertical="center"/>
    </xf>
    <xf numFmtId="0" fontId="25" fillId="4" borderId="7" xfId="0" applyFont="1" applyFill="1" applyBorder="1" applyAlignment="1">
      <alignment horizontal="center" vertical="center"/>
    </xf>
    <xf numFmtId="0" fontId="26" fillId="5" borderId="3" xfId="0" applyFont="1" applyFill="1" applyBorder="1" applyAlignment="1">
      <alignment horizontal="left" vertical="top"/>
    </xf>
    <xf numFmtId="3" fontId="28" fillId="0" borderId="3" xfId="0" applyNumberFormat="1" applyFont="1" applyBorder="1" applyAlignment="1">
      <alignment horizontal="center" vertical="top"/>
    </xf>
    <xf numFmtId="0" fontId="16" fillId="6" borderId="8" xfId="0" applyFont="1" applyFill="1" applyBorder="1" applyAlignment="1">
      <alignment horizontal="left" vertical="top"/>
    </xf>
    <xf numFmtId="0" fontId="16" fillId="7" borderId="8" xfId="0" applyFont="1" applyFill="1" applyBorder="1" applyAlignment="1">
      <alignment horizontal="left" vertical="top"/>
    </xf>
    <xf numFmtId="0" fontId="16" fillId="8" borderId="8" xfId="0" applyFont="1" applyFill="1" applyBorder="1" applyAlignment="1">
      <alignment horizontal="left" vertical="top"/>
    </xf>
    <xf numFmtId="0" fontId="26" fillId="0" borderId="3" xfId="0" applyFont="1" applyBorder="1" applyAlignment="1">
      <alignment horizontal="center"/>
    </xf>
    <xf numFmtId="0" fontId="29" fillId="9" borderId="8" xfId="0" applyFont="1" applyFill="1" applyBorder="1" applyAlignment="1">
      <alignment horizontal="left" vertical="top"/>
    </xf>
    <xf numFmtId="9" fontId="16" fillId="0" borderId="3" xfId="0" applyNumberFormat="1" applyFont="1" applyBorder="1" applyAlignment="1">
      <alignment horizontal="center" vertical="center"/>
    </xf>
    <xf numFmtId="164" fontId="16" fillId="9" borderId="3" xfId="0" applyNumberFormat="1" applyFont="1" applyFill="1" applyBorder="1" applyAlignment="1">
      <alignment horizontal="center" vertical="center"/>
    </xf>
    <xf numFmtId="9" fontId="16" fillId="9" borderId="3" xfId="0" applyNumberFormat="1" applyFont="1" applyFill="1" applyBorder="1" applyAlignment="1">
      <alignment horizontal="center" vertical="center"/>
    </xf>
    <xf numFmtId="0" fontId="30" fillId="0" borderId="8" xfId="0" applyFont="1" applyBorder="1" applyAlignment="1">
      <alignment horizontal="left" vertical="top"/>
    </xf>
    <xf numFmtId="0" fontId="17" fillId="0" borderId="8" xfId="0" applyFont="1" applyBorder="1" applyAlignment="1">
      <alignment horizontal="left" vertical="top"/>
    </xf>
    <xf numFmtId="0" fontId="16" fillId="0" borderId="8" xfId="0" applyFont="1" applyBorder="1" applyAlignment="1">
      <alignment horizontal="left" vertical="top" wrapText="1"/>
    </xf>
    <xf numFmtId="166" fontId="16" fillId="0" borderId="8" xfId="0" applyNumberFormat="1" applyFont="1" applyBorder="1" applyAlignment="1">
      <alignment horizontal="left" vertical="top"/>
    </xf>
    <xf numFmtId="167" fontId="16" fillId="0" borderId="3" xfId="0" applyNumberFormat="1" applyFont="1" applyBorder="1" applyAlignment="1">
      <alignment horizontal="center" vertical="top"/>
    </xf>
    <xf numFmtId="0" fontId="28" fillId="0" borderId="8" xfId="0" applyFont="1" applyBorder="1" applyAlignment="1">
      <alignment horizontal="left" vertical="top"/>
    </xf>
    <xf numFmtId="1" fontId="17" fillId="0" borderId="8" xfId="0" applyNumberFormat="1" applyFont="1" applyBorder="1" applyAlignment="1">
      <alignment horizontal="center" vertical="top"/>
    </xf>
    <xf numFmtId="166" fontId="17" fillId="0" borderId="8" xfId="0" applyNumberFormat="1" applyFont="1" applyBorder="1" applyAlignment="1">
      <alignment horizontal="center" vertical="top"/>
    </xf>
    <xf numFmtId="0" fontId="26" fillId="0" borderId="3" xfId="0" applyFont="1" applyBorder="1" applyAlignment="1">
      <alignment horizontal="center" vertical="top"/>
    </xf>
    <xf numFmtId="0" fontId="31" fillId="0" borderId="3" xfId="0" applyFont="1" applyBorder="1" applyAlignment="1">
      <alignment horizontal="center" vertical="top"/>
    </xf>
    <xf numFmtId="39" fontId="16" fillId="6" borderId="3" xfId="0" applyNumberFormat="1" applyFont="1" applyFill="1" applyBorder="1" applyAlignment="1">
      <alignment vertical="top"/>
    </xf>
    <xf numFmtId="0" fontId="26" fillId="9" borderId="3" xfId="0" applyFont="1" applyFill="1" applyBorder="1" applyAlignment="1">
      <alignment horizontal="left" vertical="top"/>
    </xf>
    <xf numFmtId="0" fontId="26" fillId="9" borderId="3" xfId="0" applyFont="1" applyFill="1" applyBorder="1" applyAlignment="1">
      <alignment horizontal="center" vertical="center"/>
    </xf>
    <xf numFmtId="0" fontId="31" fillId="9" borderId="3" xfId="0" applyFont="1" applyFill="1" applyBorder="1" applyAlignment="1">
      <alignment horizontal="center" vertical="top"/>
    </xf>
    <xf numFmtId="0" fontId="26" fillId="0" borderId="3" xfId="0" applyFont="1" applyBorder="1" applyAlignment="1">
      <alignment vertical="top"/>
    </xf>
    <xf numFmtId="0" fontId="26" fillId="9" borderId="3" xfId="0" applyFont="1" applyFill="1" applyBorder="1" applyAlignment="1">
      <alignment horizontal="left"/>
    </xf>
    <xf numFmtId="0" fontId="26" fillId="0" borderId="10" xfId="0" applyFont="1" applyBorder="1" applyAlignment="1">
      <alignment horizontal="left"/>
    </xf>
    <xf numFmtId="0" fontId="26" fillId="0" borderId="10" xfId="0" applyFont="1" applyBorder="1" applyAlignment="1">
      <alignment horizontal="left" vertical="top"/>
    </xf>
    <xf numFmtId="0" fontId="26" fillId="0" borderId="11" xfId="0" applyFont="1" applyBorder="1" applyAlignment="1">
      <alignment horizontal="left" vertical="top"/>
    </xf>
    <xf numFmtId="0" fontId="31" fillId="0" borderId="4" xfId="0" applyFont="1" applyBorder="1" applyAlignment="1">
      <alignment horizontal="center"/>
    </xf>
    <xf numFmtId="0" fontId="26" fillId="0" borderId="11" xfId="0" applyFont="1" applyBorder="1" applyAlignment="1">
      <alignment horizontal="left"/>
    </xf>
    <xf numFmtId="0" fontId="26" fillId="0" borderId="11" xfId="0" applyFont="1" applyBorder="1" applyAlignment="1">
      <alignment horizontal="center"/>
    </xf>
    <xf numFmtId="0" fontId="26" fillId="0" borderId="12" xfId="0" applyFont="1" applyBorder="1" applyAlignment="1">
      <alignment horizontal="left" vertical="top"/>
    </xf>
    <xf numFmtId="0" fontId="26" fillId="0" borderId="5" xfId="0" applyFont="1" applyBorder="1" applyAlignment="1">
      <alignment horizontal="left" vertical="top"/>
    </xf>
    <xf numFmtId="0" fontId="31" fillId="0" borderId="7" xfId="0" applyFont="1" applyBorder="1" applyAlignment="1">
      <alignment horizontal="center"/>
    </xf>
    <xf numFmtId="0" fontId="16" fillId="0" borderId="3" xfId="0" applyFont="1" applyBorder="1" applyAlignment="1">
      <alignment vertical="center"/>
    </xf>
    <xf numFmtId="0" fontId="17" fillId="0" borderId="3" xfId="0" applyFont="1" applyBorder="1" applyAlignment="1">
      <alignment horizontal="center" vertical="center"/>
    </xf>
    <xf numFmtId="3" fontId="16" fillId="0" borderId="3" xfId="0" applyNumberFormat="1" applyFont="1" applyBorder="1" applyAlignment="1">
      <alignment vertical="top"/>
    </xf>
    <xf numFmtId="0" fontId="28" fillId="0" borderId="3" xfId="0" applyFont="1" applyBorder="1" applyAlignment="1">
      <alignment horizontal="center" vertical="top"/>
    </xf>
    <xf numFmtId="0" fontId="14" fillId="0" borderId="0" xfId="0" applyFont="1" applyAlignment="1">
      <alignment horizontal="center" vertical="center"/>
    </xf>
    <xf numFmtId="0" fontId="15" fillId="0" borderId="0" xfId="0" applyFont="1" applyAlignment="1">
      <alignment horizontal="center" vertical="center"/>
    </xf>
    <xf numFmtId="0" fontId="4" fillId="0" borderId="0" xfId="0" applyFont="1"/>
    <xf numFmtId="1" fontId="17" fillId="4" borderId="3" xfId="0" applyNumberFormat="1" applyFont="1" applyFill="1" applyBorder="1" applyAlignment="1">
      <alignment horizontal="center" vertical="center"/>
    </xf>
    <xf numFmtId="0" fontId="3" fillId="0" borderId="0" xfId="0" applyFont="1" applyAlignment="1">
      <alignment horizontal="center"/>
    </xf>
    <xf numFmtId="1" fontId="14" fillId="4" borderId="7" xfId="0" applyNumberFormat="1" applyFont="1" applyFill="1" applyBorder="1" applyAlignment="1">
      <alignment horizontal="center" vertical="center"/>
    </xf>
    <xf numFmtId="1" fontId="25" fillId="4" borderId="7" xfId="0" applyNumberFormat="1" applyFont="1" applyFill="1" applyBorder="1" applyAlignment="1">
      <alignment horizontal="center" vertical="center"/>
    </xf>
    <xf numFmtId="0" fontId="0" fillId="0" borderId="0" xfId="0" applyAlignment="1">
      <alignment horizontal="justify" vertical="center"/>
    </xf>
    <xf numFmtId="0" fontId="0" fillId="0" borderId="0" xfId="0" applyAlignment="1">
      <alignment horizontal="justify" vertical="center" wrapText="1"/>
    </xf>
    <xf numFmtId="0" fontId="2" fillId="0" borderId="0" xfId="0" applyFont="1" applyAlignment="1">
      <alignment horizontal="center" vertical="center"/>
    </xf>
    <xf numFmtId="0" fontId="0" fillId="5" borderId="0" xfId="0" applyFill="1" applyAlignment="1">
      <alignment horizontal="center" vertical="center"/>
    </xf>
    <xf numFmtId="3" fontId="0" fillId="0" borderId="0" xfId="0" applyNumberFormat="1" applyAlignment="1">
      <alignment horizontal="right" vertical="center"/>
    </xf>
    <xf numFmtId="0" fontId="2" fillId="0" borderId="0" xfId="0" applyFont="1" applyAlignment="1">
      <alignment horizontal="center" vertical="center" wrapText="1"/>
    </xf>
    <xf numFmtId="0" fontId="7" fillId="0" borderId="1" xfId="0" applyFont="1" applyBorder="1" applyAlignment="1">
      <alignment horizontal="center"/>
    </xf>
    <xf numFmtId="0" fontId="13" fillId="0" borderId="1" xfId="0" applyFont="1" applyBorder="1"/>
    <xf numFmtId="0" fontId="8" fillId="0" borderId="0" xfId="0" applyFont="1"/>
    <xf numFmtId="0" fontId="0" fillId="0" borderId="0" xfId="0"/>
    <xf numFmtId="0" fontId="17" fillId="2" borderId="5" xfId="0" applyFont="1" applyFill="1" applyBorder="1" applyAlignment="1">
      <alignment horizontal="center" vertical="top"/>
    </xf>
    <xf numFmtId="0" fontId="17" fillId="2" borderId="1" xfId="0" applyFont="1" applyFill="1" applyBorder="1" applyAlignment="1">
      <alignment horizontal="center" vertical="top"/>
    </xf>
    <xf numFmtId="0" fontId="17" fillId="2" borderId="2" xfId="0" applyFont="1" applyFill="1" applyBorder="1" applyAlignment="1">
      <alignment horizontal="center" vertical="top"/>
    </xf>
    <xf numFmtId="0" fontId="19" fillId="0" borderId="6" xfId="0" applyFont="1" applyBorder="1" applyAlignment="1">
      <alignment horizontal="center"/>
    </xf>
    <xf numFmtId="9" fontId="20" fillId="0" borderId="7" xfId="2" applyFont="1" applyBorder="1" applyAlignment="1">
      <alignment horizontal="center" vertical="center"/>
    </xf>
    <xf numFmtId="0" fontId="17" fillId="2" borderId="13" xfId="0" applyFont="1" applyFill="1" applyBorder="1" applyAlignment="1">
      <alignment horizontal="center" vertical="center" wrapText="1"/>
    </xf>
    <xf numFmtId="0" fontId="17" fillId="3" borderId="7" xfId="0" applyFont="1" applyFill="1" applyBorder="1" applyAlignment="1">
      <alignment horizontal="center" vertical="center" wrapText="1"/>
    </xf>
    <xf numFmtId="9" fontId="24" fillId="0" borderId="7" xfId="2" applyFont="1" applyBorder="1" applyAlignment="1">
      <alignment horizontal="center" vertical="center" wrapText="1"/>
    </xf>
    <xf numFmtId="9" fontId="14" fillId="4" borderId="7" xfId="2" applyFont="1" applyFill="1" applyBorder="1" applyAlignment="1">
      <alignment horizontal="center" vertical="center"/>
    </xf>
    <xf numFmtId="0" fontId="16" fillId="10" borderId="4" xfId="0" applyFont="1" applyFill="1" applyBorder="1" applyAlignment="1">
      <alignment vertical="top"/>
    </xf>
    <xf numFmtId="0" fontId="1" fillId="0" borderId="3" xfId="0" applyFont="1" applyBorder="1" applyAlignment="1">
      <alignment horizontal="center" vertical="center"/>
    </xf>
    <xf numFmtId="0" fontId="0" fillId="10" borderId="0" xfId="0" applyFill="1" applyAlignment="1">
      <alignment horizontal="center" vertical="center"/>
    </xf>
    <xf numFmtId="0" fontId="28" fillId="0" borderId="8" xfId="0" applyFont="1" applyBorder="1" applyAlignment="1">
      <alignment horizontal="left" vertical="top" wrapText="1"/>
    </xf>
    <xf numFmtId="0" fontId="16" fillId="0" borderId="9" xfId="0" applyFont="1" applyBorder="1" applyAlignment="1">
      <alignment horizontal="center" vertical="center"/>
    </xf>
    <xf numFmtId="0" fontId="16" fillId="0" borderId="0" xfId="0" applyFont="1" applyAlignment="1">
      <alignment horizontal="center" vertical="center"/>
    </xf>
    <xf numFmtId="0" fontId="26" fillId="9" borderId="10" xfId="0" applyFont="1" applyFill="1" applyBorder="1" applyAlignment="1">
      <alignment horizontal="center" vertical="center"/>
    </xf>
    <xf numFmtId="9" fontId="4" fillId="0" borderId="0" xfId="2" applyFont="1" applyAlignment="1">
      <alignment horizontal="center" vertical="center"/>
    </xf>
    <xf numFmtId="1" fontId="14" fillId="4" borderId="7" xfId="2" applyNumberFormat="1" applyFont="1" applyFill="1" applyBorder="1" applyAlignment="1">
      <alignment horizontal="center" vertical="center"/>
    </xf>
    <xf numFmtId="0" fontId="36" fillId="11" borderId="7" xfId="0" applyFont="1" applyFill="1" applyBorder="1" applyAlignment="1">
      <alignment horizontal="center" vertical="center" wrapText="1"/>
    </xf>
    <xf numFmtId="0" fontId="37" fillId="12" borderId="7" xfId="0" applyFont="1" applyFill="1" applyBorder="1" applyAlignment="1">
      <alignment horizontal="center" vertical="center"/>
    </xf>
    <xf numFmtId="0" fontId="37" fillId="5" borderId="7" xfId="0" applyFont="1" applyFill="1" applyBorder="1" applyAlignment="1">
      <alignment horizontal="center" vertical="center"/>
    </xf>
    <xf numFmtId="0" fontId="38" fillId="0" borderId="7" xfId="0" applyFont="1" applyBorder="1" applyAlignment="1">
      <alignment horizontal="center" vertical="center"/>
    </xf>
    <xf numFmtId="0" fontId="39" fillId="0" borderId="0" xfId="0" applyFont="1"/>
    <xf numFmtId="0" fontId="4" fillId="0" borderId="0" xfId="0" applyFont="1" applyAlignment="1">
      <alignment horizontal="center" vertical="center"/>
    </xf>
    <xf numFmtId="168" fontId="0" fillId="0" borderId="0" xfId="1" applyNumberFormat="1" applyFont="1" applyAlignment="1">
      <alignment horizontal="center" vertical="center"/>
    </xf>
  </cellXfs>
  <cellStyles count="3">
    <cellStyle name="Normal" xfId="0" builtinId="0"/>
    <cellStyle name="Porcentaje" xfId="1" builtinId="5"/>
    <cellStyle name="Porcentaje 2" xfId="2" xr:uid="{0A38EE69-435A-4F10-97E4-D2A5B5DA3A4F}"/>
  </cellStyles>
  <dxfs count="5">
    <dxf>
      <fill>
        <patternFill patternType="solid">
          <fgColor rgb="FFFF5D5D"/>
          <bgColor rgb="FFFF5D5D"/>
        </patternFill>
      </fill>
    </dxf>
    <dxf>
      <fill>
        <patternFill patternType="solid">
          <fgColor rgb="FFF4B083"/>
          <bgColor rgb="FFF4B083"/>
        </patternFill>
      </fill>
    </dxf>
    <dxf>
      <fill>
        <patternFill patternType="solid">
          <fgColor rgb="FFFFD965"/>
          <bgColor rgb="FFFFD965"/>
        </patternFill>
      </fill>
    </dxf>
    <dxf>
      <fill>
        <patternFill patternType="solid">
          <fgColor rgb="FFA8D08D"/>
          <bgColor rgb="FFA8D08D"/>
        </patternFill>
      </fill>
    </dxf>
    <dxf>
      <fill>
        <patternFill patternType="solid">
          <fgColor rgb="FFAA72D4"/>
          <bgColor rgb="FFAA72D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16</xdr:col>
      <xdr:colOff>2008094</xdr:colOff>
      <xdr:row>2</xdr:row>
      <xdr:rowOff>116541</xdr:rowOff>
    </xdr:from>
    <xdr:ext cx="1666916" cy="588818"/>
    <xdr:grpSp>
      <xdr:nvGrpSpPr>
        <xdr:cNvPr id="2" name="Shape 2">
          <a:extLst>
            <a:ext uri="{FF2B5EF4-FFF2-40B4-BE49-F238E27FC236}">
              <a16:creationId xmlns:a16="http://schemas.microsoft.com/office/drawing/2014/main" id="{66B55622-0CF2-4668-B764-80013F9B4C93}"/>
            </a:ext>
          </a:extLst>
        </xdr:cNvPr>
        <xdr:cNvGrpSpPr/>
      </xdr:nvGrpSpPr>
      <xdr:grpSpPr>
        <a:xfrm>
          <a:off x="39059223" y="116541"/>
          <a:ext cx="1666916" cy="588818"/>
          <a:chOff x="4350638" y="3365663"/>
          <a:chExt cx="1990725" cy="828675"/>
        </a:xfrm>
      </xdr:grpSpPr>
      <xdr:grpSp>
        <xdr:nvGrpSpPr>
          <xdr:cNvPr id="3" name="Shape 13">
            <a:extLst>
              <a:ext uri="{FF2B5EF4-FFF2-40B4-BE49-F238E27FC236}">
                <a16:creationId xmlns:a16="http://schemas.microsoft.com/office/drawing/2014/main" id="{0F850B5A-A782-3207-6110-F1E0861AE452}"/>
              </a:ext>
            </a:extLst>
          </xdr:cNvPr>
          <xdr:cNvGrpSpPr/>
        </xdr:nvGrpSpPr>
        <xdr:grpSpPr>
          <a:xfrm>
            <a:off x="4350638" y="3365663"/>
            <a:ext cx="1990725" cy="828675"/>
            <a:chOff x="26433867" y="49806"/>
            <a:chExt cx="2002306" cy="947016"/>
          </a:xfrm>
        </xdr:grpSpPr>
        <xdr:sp macro="" textlink="">
          <xdr:nvSpPr>
            <xdr:cNvPr id="4" name="Shape 14">
              <a:extLst>
                <a:ext uri="{FF2B5EF4-FFF2-40B4-BE49-F238E27FC236}">
                  <a16:creationId xmlns:a16="http://schemas.microsoft.com/office/drawing/2014/main" id="{33123135-ED45-D080-9E64-7DA9573B1270}"/>
                </a:ext>
              </a:extLst>
            </xdr:cNvPr>
            <xdr:cNvSpPr/>
          </xdr:nvSpPr>
          <xdr:spPr>
            <a:xfrm>
              <a:off x="26433867" y="49806"/>
              <a:ext cx="2002300" cy="947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15">
              <a:extLst>
                <a:ext uri="{FF2B5EF4-FFF2-40B4-BE49-F238E27FC236}">
                  <a16:creationId xmlns:a16="http://schemas.microsoft.com/office/drawing/2014/main" id="{71603D6E-ED16-8D4F-6FF6-89DDF456074A}"/>
                </a:ext>
              </a:extLst>
            </xdr:cNvPr>
            <xdr:cNvSpPr/>
          </xdr:nvSpPr>
          <xdr:spPr>
            <a:xfrm>
              <a:off x="26437217" y="49806"/>
              <a:ext cx="180000" cy="180000"/>
            </a:xfrm>
            <a:prstGeom prst="rect">
              <a:avLst/>
            </a:prstGeom>
            <a:solidFill>
              <a:srgbClr val="AA72D4"/>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000"/>
            </a:p>
          </xdr:txBody>
        </xdr:sp>
        <xdr:sp macro="" textlink="">
          <xdr:nvSpPr>
            <xdr:cNvPr id="6" name="Shape 16">
              <a:extLst>
                <a:ext uri="{FF2B5EF4-FFF2-40B4-BE49-F238E27FC236}">
                  <a16:creationId xmlns:a16="http://schemas.microsoft.com/office/drawing/2014/main" id="{A4B4C6D6-BAE9-569E-F211-E820815FB91B}"/>
                </a:ext>
              </a:extLst>
            </xdr:cNvPr>
            <xdr:cNvSpPr/>
          </xdr:nvSpPr>
          <xdr:spPr>
            <a:xfrm>
              <a:off x="26434244" y="241475"/>
              <a:ext cx="180000" cy="180000"/>
            </a:xfrm>
            <a:prstGeom prst="rect">
              <a:avLst/>
            </a:prstGeom>
            <a:solidFill>
              <a:srgbClr val="A8D08C"/>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000"/>
            </a:p>
          </xdr:txBody>
        </xdr:sp>
        <xdr:sp macro="" textlink="">
          <xdr:nvSpPr>
            <xdr:cNvPr id="7" name="Shape 17">
              <a:extLst>
                <a:ext uri="{FF2B5EF4-FFF2-40B4-BE49-F238E27FC236}">
                  <a16:creationId xmlns:a16="http://schemas.microsoft.com/office/drawing/2014/main" id="{01B633FB-BA4B-C990-3BA0-1AB0D0CAF18D}"/>
                </a:ext>
              </a:extLst>
            </xdr:cNvPr>
            <xdr:cNvSpPr/>
          </xdr:nvSpPr>
          <xdr:spPr>
            <a:xfrm>
              <a:off x="26433867" y="433710"/>
              <a:ext cx="180000" cy="180000"/>
            </a:xfrm>
            <a:prstGeom prst="rect">
              <a:avLst/>
            </a:prstGeom>
            <a:solidFill>
              <a:srgbClr val="FFD966"/>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000"/>
            </a:p>
          </xdr:txBody>
        </xdr:sp>
        <xdr:sp macro="" textlink="">
          <xdr:nvSpPr>
            <xdr:cNvPr id="8" name="Shape 18">
              <a:extLst>
                <a:ext uri="{FF2B5EF4-FFF2-40B4-BE49-F238E27FC236}">
                  <a16:creationId xmlns:a16="http://schemas.microsoft.com/office/drawing/2014/main" id="{DFEAD0BB-EE75-8C57-75F7-57E6D528C785}"/>
                </a:ext>
              </a:extLst>
            </xdr:cNvPr>
            <xdr:cNvSpPr/>
          </xdr:nvSpPr>
          <xdr:spPr>
            <a:xfrm>
              <a:off x="26438686" y="621295"/>
              <a:ext cx="180000" cy="180000"/>
            </a:xfrm>
            <a:prstGeom prst="rect">
              <a:avLst/>
            </a:prstGeom>
            <a:solidFill>
              <a:srgbClr val="F4B08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000"/>
            </a:p>
          </xdr:txBody>
        </xdr:sp>
        <xdr:sp macro="" textlink="">
          <xdr:nvSpPr>
            <xdr:cNvPr id="9" name="Shape 19">
              <a:extLst>
                <a:ext uri="{FF2B5EF4-FFF2-40B4-BE49-F238E27FC236}">
                  <a16:creationId xmlns:a16="http://schemas.microsoft.com/office/drawing/2014/main" id="{341BB34E-4CFE-C4F7-2439-A401B9D13E48}"/>
                </a:ext>
              </a:extLst>
            </xdr:cNvPr>
            <xdr:cNvSpPr txBox="1"/>
          </xdr:nvSpPr>
          <xdr:spPr>
            <a:xfrm>
              <a:off x="26633666" y="50225"/>
              <a:ext cx="1802507" cy="18000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00">
                  <a:solidFill>
                    <a:schemeClr val="dk1"/>
                  </a:solidFill>
                  <a:latin typeface="Calibri"/>
                  <a:ea typeface="Calibri"/>
                  <a:cs typeface="Calibri"/>
                  <a:sym typeface="Calibri"/>
                </a:rPr>
                <a:t>&gt; al 100%</a:t>
              </a:r>
              <a:endParaRPr sz="1000"/>
            </a:p>
          </xdr:txBody>
        </xdr:sp>
        <xdr:sp macro="" textlink="">
          <xdr:nvSpPr>
            <xdr:cNvPr id="10" name="Shape 20">
              <a:extLst>
                <a:ext uri="{FF2B5EF4-FFF2-40B4-BE49-F238E27FC236}">
                  <a16:creationId xmlns:a16="http://schemas.microsoft.com/office/drawing/2014/main" id="{7A31F923-D4C4-117D-EEE9-167E75C4C904}"/>
                </a:ext>
              </a:extLst>
            </xdr:cNvPr>
            <xdr:cNvSpPr txBox="1"/>
          </xdr:nvSpPr>
          <xdr:spPr>
            <a:xfrm>
              <a:off x="26630202" y="241591"/>
              <a:ext cx="1802507" cy="18000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00">
                  <a:solidFill>
                    <a:schemeClr val="dk1"/>
                  </a:solidFill>
                  <a:latin typeface="Calibri"/>
                  <a:ea typeface="Calibri"/>
                  <a:cs typeface="Calibri"/>
                  <a:sym typeface="Calibri"/>
                </a:rPr>
                <a:t>Entre el 80% y 100%</a:t>
              </a:r>
              <a:endParaRPr sz="1000"/>
            </a:p>
          </xdr:txBody>
        </xdr:sp>
        <xdr:sp macro="" textlink="">
          <xdr:nvSpPr>
            <xdr:cNvPr id="11" name="Shape 21">
              <a:extLst>
                <a:ext uri="{FF2B5EF4-FFF2-40B4-BE49-F238E27FC236}">
                  <a16:creationId xmlns:a16="http://schemas.microsoft.com/office/drawing/2014/main" id="{1C79D362-3B2F-C8BB-C2C4-64C832EC1D93}"/>
                </a:ext>
              </a:extLst>
            </xdr:cNvPr>
            <xdr:cNvSpPr txBox="1"/>
          </xdr:nvSpPr>
          <xdr:spPr>
            <a:xfrm>
              <a:off x="26631934" y="431223"/>
              <a:ext cx="1802507" cy="18000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00">
                  <a:solidFill>
                    <a:schemeClr val="dk1"/>
                  </a:solidFill>
                  <a:latin typeface="Calibri"/>
                  <a:ea typeface="Calibri"/>
                  <a:cs typeface="Calibri"/>
                  <a:sym typeface="Calibri"/>
                </a:rPr>
                <a:t>Entre el 60% y 79,9%</a:t>
              </a:r>
              <a:endParaRPr sz="1000"/>
            </a:p>
          </xdr:txBody>
        </xdr:sp>
        <xdr:sp macro="" textlink="">
          <xdr:nvSpPr>
            <xdr:cNvPr id="12" name="Shape 22">
              <a:extLst>
                <a:ext uri="{FF2B5EF4-FFF2-40B4-BE49-F238E27FC236}">
                  <a16:creationId xmlns:a16="http://schemas.microsoft.com/office/drawing/2014/main" id="{2AD464B5-8988-9F0E-B6A2-543051FFDA1D}"/>
                </a:ext>
              </a:extLst>
            </xdr:cNvPr>
            <xdr:cNvSpPr txBox="1"/>
          </xdr:nvSpPr>
          <xdr:spPr>
            <a:xfrm>
              <a:off x="26630877" y="625457"/>
              <a:ext cx="1802507" cy="18000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00">
                  <a:solidFill>
                    <a:schemeClr val="dk1"/>
                  </a:solidFill>
                  <a:latin typeface="Calibri"/>
                  <a:ea typeface="Calibri"/>
                  <a:cs typeface="Calibri"/>
                  <a:sym typeface="Calibri"/>
                </a:rPr>
                <a:t>Menor al 60%</a:t>
              </a:r>
              <a:endParaRPr sz="1400"/>
            </a:p>
          </xdr:txBody>
        </xdr:sp>
        <xdr:sp macro="" textlink="">
          <xdr:nvSpPr>
            <xdr:cNvPr id="13" name="Shape 23">
              <a:extLst>
                <a:ext uri="{FF2B5EF4-FFF2-40B4-BE49-F238E27FC236}">
                  <a16:creationId xmlns:a16="http://schemas.microsoft.com/office/drawing/2014/main" id="{2F11F46E-D535-78F8-BCFE-E1B10F8BC7A2}"/>
                </a:ext>
              </a:extLst>
            </xdr:cNvPr>
            <xdr:cNvSpPr/>
          </xdr:nvSpPr>
          <xdr:spPr>
            <a:xfrm>
              <a:off x="26439552" y="808330"/>
              <a:ext cx="180000" cy="180000"/>
            </a:xfrm>
            <a:prstGeom prst="rect">
              <a:avLst/>
            </a:prstGeom>
            <a:solidFill>
              <a:srgbClr val="FF5B5B"/>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000"/>
            </a:p>
          </xdr:txBody>
        </xdr:sp>
        <xdr:sp macro="" textlink="">
          <xdr:nvSpPr>
            <xdr:cNvPr id="14" name="Shape 24">
              <a:extLst>
                <a:ext uri="{FF2B5EF4-FFF2-40B4-BE49-F238E27FC236}">
                  <a16:creationId xmlns:a16="http://schemas.microsoft.com/office/drawing/2014/main" id="{116193E6-0C35-EAD5-A887-1859993165D8}"/>
                </a:ext>
              </a:extLst>
            </xdr:cNvPr>
            <xdr:cNvSpPr txBox="1"/>
          </xdr:nvSpPr>
          <xdr:spPr>
            <a:xfrm>
              <a:off x="26627413" y="816822"/>
              <a:ext cx="1802507" cy="18000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00">
                  <a:solidFill>
                    <a:schemeClr val="dk1"/>
                  </a:solidFill>
                  <a:latin typeface="Calibri"/>
                  <a:ea typeface="Calibri"/>
                  <a:cs typeface="Calibri"/>
                  <a:sym typeface="Calibri"/>
                </a:rPr>
                <a:t>Igual a 0</a:t>
              </a:r>
              <a:endParaRPr sz="1000"/>
            </a:p>
          </xdr:txBody>
        </xdr:sp>
      </xdr:grpSp>
    </xdr:grpSp>
    <xdr:clientData fLocksWithSheet="0"/>
  </xdr:oneCellAnchor>
  <xdr:oneCellAnchor>
    <xdr:from>
      <xdr:col>8</xdr:col>
      <xdr:colOff>85725</xdr:colOff>
      <xdr:row>0</xdr:row>
      <xdr:rowOff>76200</xdr:rowOff>
    </xdr:from>
    <xdr:ext cx="1581150" cy="485775"/>
    <xdr:pic>
      <xdr:nvPicPr>
        <xdr:cNvPr id="15" name="image3.png">
          <a:extLst>
            <a:ext uri="{FF2B5EF4-FFF2-40B4-BE49-F238E27FC236}">
              <a16:creationId xmlns:a16="http://schemas.microsoft.com/office/drawing/2014/main" id="{38DC58B8-5D3D-43F5-8063-E43A727ECBCF}"/>
            </a:ext>
          </a:extLst>
        </xdr:cNvPr>
        <xdr:cNvPicPr preferRelativeResize="0"/>
      </xdr:nvPicPr>
      <xdr:blipFill>
        <a:blip xmlns:r="http://schemas.openxmlformats.org/officeDocument/2006/relationships" r:embed="rId1" cstate="print"/>
        <a:stretch>
          <a:fillRect/>
        </a:stretch>
      </xdr:blipFill>
      <xdr:spPr>
        <a:xfrm>
          <a:off x="18747105" y="0"/>
          <a:ext cx="1581150" cy="485775"/>
        </a:xfrm>
        <a:prstGeom prst="rect">
          <a:avLst/>
        </a:prstGeom>
        <a:noFill/>
      </xdr:spPr>
    </xdr:pic>
    <xdr:clientData fLocksWithSheet="0"/>
  </xdr:oneCellAnchor>
  <xdr:oneCellAnchor>
    <xdr:from>
      <xdr:col>0</xdr:col>
      <xdr:colOff>57150</xdr:colOff>
      <xdr:row>0</xdr:row>
      <xdr:rowOff>0</xdr:rowOff>
    </xdr:from>
    <xdr:ext cx="733425" cy="771525"/>
    <xdr:pic>
      <xdr:nvPicPr>
        <xdr:cNvPr id="16" name="image1.png" descr="Potencia de vida">
          <a:extLst>
            <a:ext uri="{FF2B5EF4-FFF2-40B4-BE49-F238E27FC236}">
              <a16:creationId xmlns:a16="http://schemas.microsoft.com/office/drawing/2014/main" id="{5F1EEC3E-667C-4C06-B1C8-81C0A9FD31CA}"/>
            </a:ext>
          </a:extLst>
        </xdr:cNvPr>
        <xdr:cNvPicPr preferRelativeResize="0"/>
      </xdr:nvPicPr>
      <xdr:blipFill>
        <a:blip xmlns:r="http://schemas.openxmlformats.org/officeDocument/2006/relationships" r:embed="rId2" cstate="print"/>
        <a:stretch>
          <a:fillRect/>
        </a:stretch>
      </xdr:blipFill>
      <xdr:spPr>
        <a:xfrm>
          <a:off x="57150" y="0"/>
          <a:ext cx="733425" cy="7715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6F3EB-3682-4454-9F54-EBC26BB304C7}">
  <sheetPr codeName="Hoja2">
    <tabColor rgb="FFFFFF00"/>
  </sheetPr>
  <dimension ref="A1:BI282"/>
  <sheetViews>
    <sheetView showGridLines="0" topLeftCell="AL3" zoomScale="85" zoomScaleNormal="85" workbookViewId="0">
      <pane ySplit="2" topLeftCell="A267" activePane="bottomLeft" state="frozen"/>
      <selection activeCell="S3" sqref="S3"/>
      <selection pane="bottomLeft" activeCell="AT268" sqref="AT268"/>
    </sheetView>
  </sheetViews>
  <sheetFormatPr baseColWidth="10" defaultColWidth="14.44140625" defaultRowHeight="14.4" x14ac:dyDescent="0.3"/>
  <cols>
    <col min="1" max="1" width="12.21875" customWidth="1"/>
    <col min="2" max="2" width="38.5546875" customWidth="1"/>
    <col min="3" max="5" width="35.77734375" customWidth="1"/>
    <col min="6" max="6" width="42.77734375" customWidth="1"/>
    <col min="7" max="7" width="33.44140625" customWidth="1"/>
    <col min="8" max="8" width="37.77734375" customWidth="1"/>
    <col min="9" max="9" width="33.44140625" customWidth="1"/>
    <col min="10" max="10" width="38.77734375" customWidth="1"/>
    <col min="11" max="11" width="18.109375" style="51" customWidth="1"/>
    <col min="12" max="12" width="18.33203125" style="51" customWidth="1"/>
    <col min="13" max="13" width="32" customWidth="1"/>
    <col min="14" max="14" width="21.44140625" customWidth="1"/>
    <col min="15" max="15" width="28.21875" customWidth="1"/>
    <col min="16" max="16" width="77.5546875" customWidth="1"/>
    <col min="17" max="17" width="54" bestFit="1" customWidth="1"/>
    <col min="18" max="18" width="9.6640625" style="94" bestFit="1" customWidth="1"/>
    <col min="19" max="19" width="20.109375" style="51" bestFit="1" customWidth="1"/>
    <col min="20" max="31" width="4.5546875" hidden="1" customWidth="1"/>
    <col min="32" max="32" width="4.5546875" style="94" hidden="1" customWidth="1"/>
    <col min="33" max="33" width="9.6640625" style="94" bestFit="1" customWidth="1"/>
    <col min="34" max="34" width="10.44140625" style="94" bestFit="1" customWidth="1"/>
    <col min="35" max="36" width="14.44140625" bestFit="1" customWidth="1"/>
    <col min="37" max="37" width="4.5546875" customWidth="1"/>
    <col min="38" max="38" width="103.6640625" bestFit="1" customWidth="1"/>
    <col min="39" max="45" width="4.5546875" customWidth="1"/>
    <col min="46" max="46" width="16.44140625" style="96" customWidth="1"/>
    <col min="47" max="47" width="9.6640625" customWidth="1"/>
    <col min="48" max="51" width="14.44140625" style="51" customWidth="1"/>
    <col min="52" max="52" width="9.21875" style="12" customWidth="1"/>
    <col min="53" max="54" width="8.5546875" style="13" customWidth="1"/>
    <col min="55" max="55" width="11.44140625" customWidth="1"/>
    <col min="56" max="56" width="5.44140625" customWidth="1"/>
    <col min="57" max="59" width="6" bestFit="1" customWidth="1"/>
    <col min="60" max="60" width="5.21875" bestFit="1" customWidth="1"/>
    <col min="61" max="61" width="7.33203125" bestFit="1" customWidth="1"/>
  </cols>
  <sheetData>
    <row r="1" spans="1:61" ht="17.399999999999999" hidden="1" x14ac:dyDescent="0.35">
      <c r="A1" s="1">
        <v>1</v>
      </c>
      <c r="B1" s="2"/>
      <c r="C1" s="3"/>
      <c r="D1" s="4" t="s">
        <v>0</v>
      </c>
      <c r="E1" s="5"/>
      <c r="F1" s="6" t="s">
        <v>1</v>
      </c>
      <c r="G1" s="5"/>
      <c r="H1" s="6"/>
      <c r="I1" s="7"/>
      <c r="J1" s="6"/>
      <c r="K1" s="8"/>
      <c r="L1" s="9"/>
      <c r="M1" s="3"/>
      <c r="N1" s="3"/>
      <c r="O1" s="3"/>
      <c r="P1" s="3"/>
      <c r="Q1" s="3"/>
      <c r="R1" s="10"/>
      <c r="S1" s="105"/>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1"/>
    </row>
    <row r="2" spans="1:61" ht="17.399999999999999" hidden="1" x14ac:dyDescent="0.3">
      <c r="A2" s="107" t="s">
        <v>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4"/>
    </row>
    <row r="3" spans="1:61" ht="15.6" x14ac:dyDescent="0.3">
      <c r="A3" s="15"/>
      <c r="B3" s="16"/>
      <c r="C3" s="16"/>
      <c r="D3" s="16"/>
      <c r="E3" s="16"/>
      <c r="F3" s="16"/>
      <c r="G3" s="16"/>
      <c r="H3" s="16"/>
      <c r="I3" s="16"/>
      <c r="J3" s="16"/>
      <c r="K3" s="17"/>
      <c r="L3" s="17"/>
      <c r="M3" s="15"/>
      <c r="N3" s="15"/>
      <c r="O3" s="15"/>
      <c r="P3" s="15"/>
      <c r="Q3" s="15"/>
      <c r="R3" s="18"/>
      <c r="S3" s="17"/>
      <c r="T3" s="109" t="s">
        <v>3</v>
      </c>
      <c r="U3" s="110"/>
      <c r="V3" s="110"/>
      <c r="W3" s="110"/>
      <c r="X3" s="110"/>
      <c r="Y3" s="110"/>
      <c r="Z3" s="110"/>
      <c r="AA3" s="110"/>
      <c r="AB3" s="110"/>
      <c r="AC3" s="110"/>
      <c r="AD3" s="110"/>
      <c r="AE3" s="110"/>
      <c r="AF3" s="110"/>
      <c r="AG3" s="110"/>
      <c r="AH3" s="111"/>
      <c r="AI3" s="109" t="s">
        <v>4</v>
      </c>
      <c r="AJ3" s="111"/>
      <c r="AK3" s="109" t="s">
        <v>5</v>
      </c>
      <c r="AL3" s="110"/>
      <c r="AM3" s="110"/>
      <c r="AN3" s="110"/>
      <c r="AO3" s="110"/>
      <c r="AP3" s="110"/>
      <c r="AQ3" s="111"/>
      <c r="AR3" s="16"/>
      <c r="AS3" s="16"/>
      <c r="AT3" s="19"/>
      <c r="AU3" s="16"/>
      <c r="AZ3" s="112" t="s">
        <v>6</v>
      </c>
      <c r="BA3" s="112"/>
      <c r="BB3" s="112"/>
      <c r="BC3" s="112"/>
      <c r="BE3" s="113">
        <v>0.3</v>
      </c>
      <c r="BF3" s="113">
        <v>0.3</v>
      </c>
      <c r="BG3" s="113">
        <v>0.3</v>
      </c>
      <c r="BH3" s="113">
        <v>0.1</v>
      </c>
      <c r="BI3" s="113">
        <f>SUM(BE3:BH3)</f>
        <v>0.99999999999999989</v>
      </c>
    </row>
    <row r="4" spans="1:61" s="29" customFormat="1" ht="97.05" customHeight="1" x14ac:dyDescent="0.3">
      <c r="A4" s="20" t="s">
        <v>7</v>
      </c>
      <c r="B4" s="21" t="s">
        <v>8</v>
      </c>
      <c r="C4" s="21" t="s">
        <v>9</v>
      </c>
      <c r="D4" s="21" t="s">
        <v>10</v>
      </c>
      <c r="E4" s="21" t="s">
        <v>11</v>
      </c>
      <c r="F4" s="21" t="s">
        <v>12</v>
      </c>
      <c r="G4" s="21" t="s">
        <v>13</v>
      </c>
      <c r="H4" s="21" t="s">
        <v>14</v>
      </c>
      <c r="I4" s="21" t="s">
        <v>15</v>
      </c>
      <c r="J4" s="21" t="s">
        <v>16</v>
      </c>
      <c r="K4" s="20" t="s">
        <v>17</v>
      </c>
      <c r="L4" s="20" t="s">
        <v>18</v>
      </c>
      <c r="M4" s="20" t="s">
        <v>19</v>
      </c>
      <c r="N4" s="20" t="s">
        <v>20</v>
      </c>
      <c r="O4" s="20" t="s">
        <v>21</v>
      </c>
      <c r="P4" s="22" t="s">
        <v>22</v>
      </c>
      <c r="Q4" s="20" t="s">
        <v>23</v>
      </c>
      <c r="R4" s="20" t="s">
        <v>24</v>
      </c>
      <c r="S4" s="20" t="s">
        <v>25</v>
      </c>
      <c r="T4" s="23" t="s">
        <v>26</v>
      </c>
      <c r="U4" s="24" t="s">
        <v>27</v>
      </c>
      <c r="V4" s="24" t="s">
        <v>28</v>
      </c>
      <c r="W4" s="23" t="s">
        <v>29</v>
      </c>
      <c r="X4" s="24" t="s">
        <v>30</v>
      </c>
      <c r="Y4" s="24" t="s">
        <v>31</v>
      </c>
      <c r="Z4" s="23" t="s">
        <v>32</v>
      </c>
      <c r="AA4" s="24" t="s">
        <v>33</v>
      </c>
      <c r="AB4" s="23" t="s">
        <v>34</v>
      </c>
      <c r="AC4" s="24" t="s">
        <v>35</v>
      </c>
      <c r="AD4" s="24" t="s">
        <v>36</v>
      </c>
      <c r="AE4" s="23" t="s">
        <v>37</v>
      </c>
      <c r="AF4" s="25" t="s">
        <v>38</v>
      </c>
      <c r="AG4" s="25" t="s">
        <v>39</v>
      </c>
      <c r="AH4" s="25" t="s">
        <v>40</v>
      </c>
      <c r="AI4" s="26" t="s">
        <v>41</v>
      </c>
      <c r="AJ4" s="26" t="s">
        <v>42</v>
      </c>
      <c r="AK4" s="25" t="s">
        <v>43</v>
      </c>
      <c r="AL4" s="25" t="s">
        <v>44</v>
      </c>
      <c r="AM4" s="25" t="s">
        <v>45</v>
      </c>
      <c r="AN4" s="25" t="s">
        <v>46</v>
      </c>
      <c r="AO4" s="25" t="s">
        <v>47</v>
      </c>
      <c r="AP4" s="25" t="s">
        <v>48</v>
      </c>
      <c r="AQ4" s="25" t="s">
        <v>49</v>
      </c>
      <c r="AR4" s="27" t="s">
        <v>50</v>
      </c>
      <c r="AS4" s="27" t="s">
        <v>51</v>
      </c>
      <c r="AT4" s="28" t="s">
        <v>52</v>
      </c>
      <c r="AU4" s="114" t="s">
        <v>53</v>
      </c>
      <c r="AV4" s="115" t="s">
        <v>827</v>
      </c>
      <c r="AW4" s="115" t="s">
        <v>828</v>
      </c>
      <c r="AX4" s="115" t="s">
        <v>829</v>
      </c>
      <c r="AY4" s="115" t="s">
        <v>830</v>
      </c>
      <c r="AZ4" s="30" t="s">
        <v>54</v>
      </c>
      <c r="BA4" s="30" t="s">
        <v>55</v>
      </c>
      <c r="BB4" s="30" t="s">
        <v>56</v>
      </c>
      <c r="BC4" s="116" t="s">
        <v>57</v>
      </c>
      <c r="BD4" s="31"/>
      <c r="BE4" s="32" t="s">
        <v>58</v>
      </c>
      <c r="BF4" s="32" t="s">
        <v>59</v>
      </c>
      <c r="BG4" s="32" t="s">
        <v>60</v>
      </c>
      <c r="BH4" s="32" t="s">
        <v>61</v>
      </c>
      <c r="BI4" s="32" t="s">
        <v>62</v>
      </c>
    </row>
    <row r="5" spans="1:61" x14ac:dyDescent="0.3">
      <c r="A5" s="33">
        <v>1</v>
      </c>
      <c r="B5" s="34" t="s">
        <v>63</v>
      </c>
      <c r="C5" s="34" t="s">
        <v>64</v>
      </c>
      <c r="D5" s="34" t="s">
        <v>65</v>
      </c>
      <c r="E5" s="34" t="s">
        <v>66</v>
      </c>
      <c r="F5" s="34" t="s">
        <v>67</v>
      </c>
      <c r="G5" s="34" t="s">
        <v>68</v>
      </c>
      <c r="H5" s="34" t="s">
        <v>69</v>
      </c>
      <c r="I5" s="34" t="s">
        <v>70</v>
      </c>
      <c r="J5" s="34" t="s">
        <v>71</v>
      </c>
      <c r="K5" s="35" t="s">
        <v>72</v>
      </c>
      <c r="L5" s="35" t="s">
        <v>73</v>
      </c>
      <c r="M5" s="34" t="s">
        <v>74</v>
      </c>
      <c r="N5" s="34" t="s">
        <v>75</v>
      </c>
      <c r="O5" s="34" t="s">
        <v>76</v>
      </c>
      <c r="P5" s="34" t="s">
        <v>77</v>
      </c>
      <c r="Q5" s="36" t="s">
        <v>78</v>
      </c>
      <c r="R5" s="37">
        <v>29</v>
      </c>
      <c r="S5" s="33" t="s">
        <v>79</v>
      </c>
      <c r="T5" s="38">
        <v>29</v>
      </c>
      <c r="U5" s="39"/>
      <c r="V5" s="40" t="e">
        <f t="shared" ref="V5:V8" si="0">T5/U5*100</f>
        <v>#DIV/0!</v>
      </c>
      <c r="W5" s="39">
        <v>29</v>
      </c>
      <c r="X5" s="39"/>
      <c r="Y5" s="40">
        <f t="shared" ref="Y5:Y259" si="1">X5/W5*100</f>
        <v>0</v>
      </c>
      <c r="Z5" s="39">
        <v>29</v>
      </c>
      <c r="AA5" s="39"/>
      <c r="AB5" s="40">
        <f t="shared" ref="AB5:AB259" si="2">AA5/Z5*100</f>
        <v>0</v>
      </c>
      <c r="AC5" s="39">
        <v>29</v>
      </c>
      <c r="AD5" s="39"/>
      <c r="AE5" s="40">
        <f t="shared" ref="AE5:AE259" si="3">AD5/AC5*100</f>
        <v>0</v>
      </c>
      <c r="AF5" s="41">
        <f>R5</f>
        <v>29</v>
      </c>
      <c r="AG5" s="41">
        <f t="shared" ref="AG5:AG68" si="4">U5+X5+AA5+AD5</f>
        <v>0</v>
      </c>
      <c r="AH5" s="42">
        <f t="shared" ref="AH5:AH134" si="5">IF(COUNT(U5,X5,AA5,AD5)=1,(U5/T5*100),IF(COUNT(U5,X5,AA5,AD5)=2,((U5+X5)/(T5+W5)*100),IF(COUNT(U5,X5,AA5,AD5)=3,((U5+X5+AA5)/(T5+W5+Z5)*100),(AG5/AF5*100))))</f>
        <v>0</v>
      </c>
      <c r="AI5" s="43">
        <v>46113</v>
      </c>
      <c r="AJ5" s="43">
        <v>46477</v>
      </c>
      <c r="AK5" s="44" t="s">
        <v>80</v>
      </c>
      <c r="AL5" s="44" t="s">
        <v>81</v>
      </c>
      <c r="AM5" s="45" t="s">
        <v>82</v>
      </c>
      <c r="AN5" s="46">
        <v>4344000000</v>
      </c>
      <c r="AO5" s="46">
        <v>4344000000</v>
      </c>
      <c r="AP5" s="46">
        <v>4344000000</v>
      </c>
      <c r="AQ5" s="47">
        <v>0</v>
      </c>
      <c r="AR5" s="34" t="s">
        <v>83</v>
      </c>
      <c r="AS5" s="44" t="s">
        <v>80</v>
      </c>
      <c r="AT5" s="48" t="s">
        <v>84</v>
      </c>
      <c r="AU5" s="49" t="s">
        <v>831</v>
      </c>
      <c r="AV5" s="51" t="s">
        <v>832</v>
      </c>
      <c r="AW5" s="51" t="s">
        <v>833</v>
      </c>
      <c r="AZ5" s="50">
        <f>+R5</f>
        <v>29</v>
      </c>
      <c r="BA5" s="50">
        <f>+U5+X5+AA5+AD5</f>
        <v>0</v>
      </c>
      <c r="BB5" s="117">
        <f>+BA5/AZ5</f>
        <v>0</v>
      </c>
      <c r="BC5" s="50">
        <f>+AZ5-BA5</f>
        <v>29</v>
      </c>
      <c r="BD5" s="51"/>
      <c r="BE5" s="52">
        <f t="shared" ref="BE5:BE68" si="6">+BC5*$BF$3</f>
        <v>8.6999999999999993</v>
      </c>
      <c r="BF5" s="52">
        <f t="shared" ref="BF5:BF68" si="7">+BC5*$BE$3</f>
        <v>8.6999999999999993</v>
      </c>
      <c r="BG5" s="52">
        <f t="shared" ref="BG5:BG68" si="8">+BC5*$BG$3</f>
        <v>8.6999999999999993</v>
      </c>
      <c r="BH5" s="52">
        <f t="shared" ref="BH5:BH68" si="9">+BC5*$BH$3</f>
        <v>2.9000000000000004</v>
      </c>
      <c r="BI5" s="52">
        <f t="shared" ref="BI5:BI68" si="10">+BE5+BF5+BG5+BH5</f>
        <v>29</v>
      </c>
    </row>
    <row r="6" spans="1:61" x14ac:dyDescent="0.3">
      <c r="A6" s="33">
        <v>2</v>
      </c>
      <c r="B6" s="34" t="s">
        <v>85</v>
      </c>
      <c r="C6" s="34" t="s">
        <v>86</v>
      </c>
      <c r="D6" s="34" t="s">
        <v>87</v>
      </c>
      <c r="E6" s="34" t="s">
        <v>88</v>
      </c>
      <c r="F6" s="34" t="s">
        <v>89</v>
      </c>
      <c r="G6" s="34" t="s">
        <v>90</v>
      </c>
      <c r="H6" s="34" t="s">
        <v>91</v>
      </c>
      <c r="I6" s="34" t="s">
        <v>92</v>
      </c>
      <c r="J6" s="34" t="s">
        <v>93</v>
      </c>
      <c r="K6" s="35" t="s">
        <v>72</v>
      </c>
      <c r="L6" s="35" t="s">
        <v>73</v>
      </c>
      <c r="M6" s="34" t="s">
        <v>74</v>
      </c>
      <c r="N6" s="34" t="s">
        <v>94</v>
      </c>
      <c r="O6" s="34" t="s">
        <v>95</v>
      </c>
      <c r="P6" s="53" t="s">
        <v>96</v>
      </c>
      <c r="Q6" s="36" t="s">
        <v>97</v>
      </c>
      <c r="R6" s="37">
        <v>397</v>
      </c>
      <c r="S6" s="33" t="s">
        <v>79</v>
      </c>
      <c r="T6" s="38">
        <v>66</v>
      </c>
      <c r="U6" s="39">
        <v>66</v>
      </c>
      <c r="V6" s="40">
        <f t="shared" si="0"/>
        <v>100</v>
      </c>
      <c r="W6" s="39">
        <v>131</v>
      </c>
      <c r="X6" s="39">
        <v>159</v>
      </c>
      <c r="Y6" s="40">
        <f t="shared" si="1"/>
        <v>121.37404580152671</v>
      </c>
      <c r="Z6" s="39">
        <v>100</v>
      </c>
      <c r="AA6" s="39"/>
      <c r="AB6" s="40">
        <f t="shared" si="2"/>
        <v>0</v>
      </c>
      <c r="AC6" s="39">
        <v>100</v>
      </c>
      <c r="AD6" s="39"/>
      <c r="AE6" s="40">
        <f t="shared" si="3"/>
        <v>0</v>
      </c>
      <c r="AF6" s="41">
        <f t="shared" ref="AF6:AF69" si="11">R6</f>
        <v>397</v>
      </c>
      <c r="AG6" s="41">
        <f t="shared" si="4"/>
        <v>225</v>
      </c>
      <c r="AH6" s="42">
        <f t="shared" si="5"/>
        <v>114.21319796954315</v>
      </c>
      <c r="AI6" s="43">
        <v>46113</v>
      </c>
      <c r="AJ6" s="43">
        <v>46477</v>
      </c>
      <c r="AK6" s="44" t="s">
        <v>80</v>
      </c>
      <c r="AL6" s="44" t="s">
        <v>81</v>
      </c>
      <c r="AM6" s="45" t="s">
        <v>82</v>
      </c>
      <c r="AN6" s="46"/>
      <c r="AO6" s="46"/>
      <c r="AP6" s="46"/>
      <c r="AQ6" s="47"/>
      <c r="AR6" s="34" t="s">
        <v>98</v>
      </c>
      <c r="AS6" s="44" t="s">
        <v>80</v>
      </c>
      <c r="AT6" s="54" t="s">
        <v>99</v>
      </c>
      <c r="AU6" s="49" t="s">
        <v>831</v>
      </c>
      <c r="AV6" s="51" t="s">
        <v>832</v>
      </c>
      <c r="AW6" s="51" t="s">
        <v>834</v>
      </c>
      <c r="AZ6" s="50">
        <f t="shared" ref="AZ6:AZ69" si="12">+R6</f>
        <v>397</v>
      </c>
      <c r="BA6" s="50">
        <f t="shared" ref="BA6:BA69" si="13">+U6+X6+AA6+AD6</f>
        <v>225</v>
      </c>
      <c r="BB6" s="117">
        <f t="shared" ref="BB6:BB69" si="14">+BA6/AZ6</f>
        <v>0.56675062972292189</v>
      </c>
      <c r="BC6" s="50">
        <f t="shared" ref="BC6:BC69" si="15">+AZ6-BA6</f>
        <v>172</v>
      </c>
      <c r="BD6" s="51"/>
      <c r="BE6" s="52">
        <f t="shared" si="6"/>
        <v>51.6</v>
      </c>
      <c r="BF6" s="52">
        <f t="shared" si="7"/>
        <v>51.6</v>
      </c>
      <c r="BG6" s="52">
        <f t="shared" si="8"/>
        <v>51.6</v>
      </c>
      <c r="BH6" s="52">
        <f t="shared" si="9"/>
        <v>17.2</v>
      </c>
      <c r="BI6" s="52">
        <f t="shared" si="10"/>
        <v>172</v>
      </c>
    </row>
    <row r="7" spans="1:61" x14ac:dyDescent="0.3">
      <c r="A7" s="33">
        <v>3</v>
      </c>
      <c r="B7" s="34" t="s">
        <v>100</v>
      </c>
      <c r="C7" s="34" t="s">
        <v>101</v>
      </c>
      <c r="D7" s="34" t="s">
        <v>87</v>
      </c>
      <c r="E7" s="34" t="s">
        <v>102</v>
      </c>
      <c r="F7" s="34" t="s">
        <v>103</v>
      </c>
      <c r="G7" s="34" t="s">
        <v>104</v>
      </c>
      <c r="H7" s="34" t="s">
        <v>105</v>
      </c>
      <c r="I7" s="34" t="s">
        <v>106</v>
      </c>
      <c r="J7" s="34" t="s">
        <v>107</v>
      </c>
      <c r="K7" s="35" t="s">
        <v>72</v>
      </c>
      <c r="L7" s="35" t="s">
        <v>73</v>
      </c>
      <c r="M7" s="34" t="s">
        <v>74</v>
      </c>
      <c r="N7" s="34" t="s">
        <v>108</v>
      </c>
      <c r="O7" s="34" t="s">
        <v>95</v>
      </c>
      <c r="P7" s="34" t="s">
        <v>109</v>
      </c>
      <c r="Q7" s="36" t="s">
        <v>97</v>
      </c>
      <c r="R7" s="37">
        <v>1</v>
      </c>
      <c r="S7" s="33" t="s">
        <v>79</v>
      </c>
      <c r="T7" s="38">
        <v>1</v>
      </c>
      <c r="U7" s="39">
        <v>1</v>
      </c>
      <c r="V7" s="40">
        <f t="shared" si="0"/>
        <v>100</v>
      </c>
      <c r="W7" s="39">
        <v>0</v>
      </c>
      <c r="X7" s="39">
        <v>0</v>
      </c>
      <c r="Y7" s="40" t="e">
        <f t="shared" si="1"/>
        <v>#DIV/0!</v>
      </c>
      <c r="Z7" s="39">
        <v>0</v>
      </c>
      <c r="AA7" s="39">
        <v>0</v>
      </c>
      <c r="AB7" s="40" t="e">
        <f t="shared" si="2"/>
        <v>#DIV/0!</v>
      </c>
      <c r="AC7" s="39">
        <v>0</v>
      </c>
      <c r="AD7" s="39">
        <v>0</v>
      </c>
      <c r="AE7" s="40" t="e">
        <f t="shared" si="3"/>
        <v>#DIV/0!</v>
      </c>
      <c r="AF7" s="41">
        <f t="shared" si="11"/>
        <v>1</v>
      </c>
      <c r="AG7" s="41">
        <f t="shared" si="4"/>
        <v>1</v>
      </c>
      <c r="AH7" s="42">
        <f t="shared" si="5"/>
        <v>100</v>
      </c>
      <c r="AI7" s="43">
        <v>46113</v>
      </c>
      <c r="AJ7" s="43">
        <v>46477</v>
      </c>
      <c r="AK7" s="44" t="s">
        <v>80</v>
      </c>
      <c r="AL7" s="44" t="s">
        <v>81</v>
      </c>
      <c r="AM7" s="45" t="s">
        <v>82</v>
      </c>
      <c r="AN7" s="46">
        <v>30000000</v>
      </c>
      <c r="AO7" s="46">
        <v>30000000</v>
      </c>
      <c r="AP7" s="46">
        <v>30000000</v>
      </c>
      <c r="AQ7" s="47">
        <f>AO7</f>
        <v>30000000</v>
      </c>
      <c r="AR7" s="34" t="s">
        <v>98</v>
      </c>
      <c r="AS7" s="44" t="s">
        <v>80</v>
      </c>
      <c r="AT7" s="54" t="s">
        <v>99</v>
      </c>
      <c r="AU7" s="49" t="s">
        <v>831</v>
      </c>
      <c r="AV7" s="51" t="s">
        <v>832</v>
      </c>
      <c r="AW7" s="51" t="s">
        <v>834</v>
      </c>
      <c r="AZ7" s="50">
        <f t="shared" si="12"/>
        <v>1</v>
      </c>
      <c r="BA7" s="50">
        <f t="shared" si="13"/>
        <v>1</v>
      </c>
      <c r="BB7" s="117">
        <f t="shared" si="14"/>
        <v>1</v>
      </c>
      <c r="BC7" s="50">
        <f t="shared" si="15"/>
        <v>0</v>
      </c>
      <c r="BD7" s="51"/>
      <c r="BE7" s="52">
        <f t="shared" si="6"/>
        <v>0</v>
      </c>
      <c r="BF7" s="52">
        <f t="shared" si="7"/>
        <v>0</v>
      </c>
      <c r="BG7" s="52">
        <f t="shared" si="8"/>
        <v>0</v>
      </c>
      <c r="BH7" s="52">
        <f t="shared" si="9"/>
        <v>0</v>
      </c>
      <c r="BI7" s="52">
        <f t="shared" si="10"/>
        <v>0</v>
      </c>
    </row>
    <row r="8" spans="1:61" x14ac:dyDescent="0.3">
      <c r="A8" s="33">
        <v>4</v>
      </c>
      <c r="B8" s="34" t="s">
        <v>100</v>
      </c>
      <c r="C8" s="34" t="s">
        <v>101</v>
      </c>
      <c r="D8" s="34" t="s">
        <v>87</v>
      </c>
      <c r="E8" s="34" t="s">
        <v>110</v>
      </c>
      <c r="F8" s="34" t="s">
        <v>111</v>
      </c>
      <c r="G8" s="34" t="s">
        <v>112</v>
      </c>
      <c r="H8" s="34" t="s">
        <v>113</v>
      </c>
      <c r="I8" s="34" t="s">
        <v>114</v>
      </c>
      <c r="J8" s="34" t="s">
        <v>115</v>
      </c>
      <c r="K8" s="35" t="s">
        <v>72</v>
      </c>
      <c r="L8" s="35" t="s">
        <v>73</v>
      </c>
      <c r="M8" s="34" t="s">
        <v>74</v>
      </c>
      <c r="N8" s="34" t="s">
        <v>116</v>
      </c>
      <c r="O8" s="34" t="s">
        <v>95</v>
      </c>
      <c r="P8" s="34" t="s">
        <v>117</v>
      </c>
      <c r="Q8" s="36" t="s">
        <v>97</v>
      </c>
      <c r="R8" s="37">
        <v>1</v>
      </c>
      <c r="S8" s="33" t="s">
        <v>79</v>
      </c>
      <c r="T8" s="38">
        <v>0</v>
      </c>
      <c r="U8" s="39">
        <v>0</v>
      </c>
      <c r="V8" s="40" t="e">
        <f t="shared" si="0"/>
        <v>#DIV/0!</v>
      </c>
      <c r="W8" s="39">
        <v>1</v>
      </c>
      <c r="X8" s="39">
        <v>1</v>
      </c>
      <c r="Y8" s="40">
        <f t="shared" si="1"/>
        <v>100</v>
      </c>
      <c r="Z8" s="39"/>
      <c r="AA8" s="39"/>
      <c r="AB8" s="40" t="e">
        <f t="shared" si="2"/>
        <v>#DIV/0!</v>
      </c>
      <c r="AC8" s="39">
        <v>0</v>
      </c>
      <c r="AD8" s="39"/>
      <c r="AE8" s="40" t="e">
        <f t="shared" si="3"/>
        <v>#DIV/0!</v>
      </c>
      <c r="AF8" s="41">
        <f t="shared" si="11"/>
        <v>1</v>
      </c>
      <c r="AG8" s="41">
        <f t="shared" si="4"/>
        <v>1</v>
      </c>
      <c r="AH8" s="42">
        <f t="shared" si="5"/>
        <v>100</v>
      </c>
      <c r="AI8" s="43">
        <v>46113</v>
      </c>
      <c r="AJ8" s="43">
        <v>46477</v>
      </c>
      <c r="AK8" s="44" t="s">
        <v>80</v>
      </c>
      <c r="AL8" s="44" t="s">
        <v>81</v>
      </c>
      <c r="AM8" s="45" t="s">
        <v>82</v>
      </c>
      <c r="AN8" s="46">
        <v>30000000</v>
      </c>
      <c r="AO8" s="46">
        <v>30000000</v>
      </c>
      <c r="AP8" s="46">
        <v>30000000</v>
      </c>
      <c r="AQ8" s="47">
        <f>AO8</f>
        <v>30000000</v>
      </c>
      <c r="AR8" s="34" t="s">
        <v>98</v>
      </c>
      <c r="AS8" s="44" t="s">
        <v>80</v>
      </c>
      <c r="AT8" s="54" t="s">
        <v>99</v>
      </c>
      <c r="AU8" s="49" t="s">
        <v>831</v>
      </c>
      <c r="AV8" s="51" t="s">
        <v>832</v>
      </c>
      <c r="AW8" s="51" t="s">
        <v>834</v>
      </c>
      <c r="AZ8" s="50">
        <f t="shared" si="12"/>
        <v>1</v>
      </c>
      <c r="BA8" s="50">
        <f t="shared" si="13"/>
        <v>1</v>
      </c>
      <c r="BB8" s="117">
        <f t="shared" si="14"/>
        <v>1</v>
      </c>
      <c r="BC8" s="50">
        <f t="shared" si="15"/>
        <v>0</v>
      </c>
      <c r="BD8" s="51"/>
      <c r="BE8" s="52">
        <f t="shared" si="6"/>
        <v>0</v>
      </c>
      <c r="BF8" s="52">
        <f t="shared" si="7"/>
        <v>0</v>
      </c>
      <c r="BG8" s="52">
        <f t="shared" si="8"/>
        <v>0</v>
      </c>
      <c r="BH8" s="52">
        <f t="shared" si="9"/>
        <v>0</v>
      </c>
      <c r="BI8" s="52">
        <f t="shared" si="10"/>
        <v>0</v>
      </c>
    </row>
    <row r="9" spans="1:61" x14ac:dyDescent="0.3">
      <c r="A9" s="39">
        <v>5</v>
      </c>
      <c r="B9" s="44" t="s">
        <v>118</v>
      </c>
      <c r="C9" s="44" t="s">
        <v>101</v>
      </c>
      <c r="D9" s="44" t="s">
        <v>87</v>
      </c>
      <c r="E9" s="44" t="s">
        <v>102</v>
      </c>
      <c r="F9" s="44" t="s">
        <v>119</v>
      </c>
      <c r="G9" s="36" t="s">
        <v>112</v>
      </c>
      <c r="H9" s="36" t="s">
        <v>120</v>
      </c>
      <c r="I9" s="36" t="s">
        <v>121</v>
      </c>
      <c r="J9" s="36" t="s">
        <v>121</v>
      </c>
      <c r="K9" s="33" t="s">
        <v>72</v>
      </c>
      <c r="L9" s="33" t="s">
        <v>73</v>
      </c>
      <c r="M9" s="36" t="s">
        <v>74</v>
      </c>
      <c r="N9" s="36" t="s">
        <v>94</v>
      </c>
      <c r="O9" s="36" t="s">
        <v>95</v>
      </c>
      <c r="P9" s="36" t="s">
        <v>122</v>
      </c>
      <c r="Q9" s="36" t="s">
        <v>97</v>
      </c>
      <c r="R9" s="37">
        <v>1</v>
      </c>
      <c r="S9" s="33" t="s">
        <v>79</v>
      </c>
      <c r="T9" s="39">
        <v>0</v>
      </c>
      <c r="U9" s="39">
        <v>0</v>
      </c>
      <c r="V9" s="40" t="e">
        <f t="shared" ref="V9:V24" si="16">U9/T9*100</f>
        <v>#DIV/0!</v>
      </c>
      <c r="W9" s="39">
        <v>1</v>
      </c>
      <c r="X9" s="39">
        <v>1</v>
      </c>
      <c r="Y9" s="40">
        <f t="shared" si="1"/>
        <v>100</v>
      </c>
      <c r="Z9" s="39">
        <v>0</v>
      </c>
      <c r="AA9" s="39"/>
      <c r="AB9" s="40" t="e">
        <f t="shared" si="2"/>
        <v>#DIV/0!</v>
      </c>
      <c r="AC9" s="39">
        <v>0</v>
      </c>
      <c r="AD9" s="39"/>
      <c r="AE9" s="40" t="e">
        <f t="shared" si="3"/>
        <v>#DIV/0!</v>
      </c>
      <c r="AF9" s="41">
        <f t="shared" si="11"/>
        <v>1</v>
      </c>
      <c r="AG9" s="41">
        <f t="shared" si="4"/>
        <v>1</v>
      </c>
      <c r="AH9" s="42">
        <f t="shared" si="5"/>
        <v>100</v>
      </c>
      <c r="AI9" s="43">
        <v>46113</v>
      </c>
      <c r="AJ9" s="43">
        <v>46477</v>
      </c>
      <c r="AK9" s="44" t="s">
        <v>80</v>
      </c>
      <c r="AL9" s="44" t="s">
        <v>81</v>
      </c>
      <c r="AM9" s="45" t="s">
        <v>82</v>
      </c>
      <c r="AN9" s="46">
        <v>30000000</v>
      </c>
      <c r="AO9" s="46">
        <v>30000000</v>
      </c>
      <c r="AP9" s="46">
        <v>30000000</v>
      </c>
      <c r="AQ9" s="47">
        <f>AO9</f>
        <v>30000000</v>
      </c>
      <c r="AR9" s="44" t="s">
        <v>83</v>
      </c>
      <c r="AS9" s="44" t="s">
        <v>80</v>
      </c>
      <c r="AT9" s="54" t="s">
        <v>99</v>
      </c>
      <c r="AU9" s="49" t="s">
        <v>831</v>
      </c>
      <c r="AV9" s="51" t="s">
        <v>832</v>
      </c>
      <c r="AW9" s="51" t="s">
        <v>834</v>
      </c>
      <c r="AZ9" s="50">
        <f t="shared" si="12"/>
        <v>1</v>
      </c>
      <c r="BA9" s="50">
        <f t="shared" si="13"/>
        <v>1</v>
      </c>
      <c r="BB9" s="117">
        <f t="shared" si="14"/>
        <v>1</v>
      </c>
      <c r="BC9" s="50">
        <f t="shared" si="15"/>
        <v>0</v>
      </c>
      <c r="BD9" s="51"/>
      <c r="BE9" s="52">
        <f t="shared" si="6"/>
        <v>0</v>
      </c>
      <c r="BF9" s="52">
        <f t="shared" si="7"/>
        <v>0</v>
      </c>
      <c r="BG9" s="52">
        <f t="shared" si="8"/>
        <v>0</v>
      </c>
      <c r="BH9" s="52">
        <f t="shared" si="9"/>
        <v>0</v>
      </c>
      <c r="BI9" s="52">
        <f t="shared" si="10"/>
        <v>0</v>
      </c>
    </row>
    <row r="10" spans="1:61" x14ac:dyDescent="0.3">
      <c r="A10" s="39">
        <v>6</v>
      </c>
      <c r="B10" s="44" t="s">
        <v>118</v>
      </c>
      <c r="C10" s="44" t="s">
        <v>86</v>
      </c>
      <c r="D10" s="44" t="s">
        <v>87</v>
      </c>
      <c r="E10" s="44" t="s">
        <v>123</v>
      </c>
      <c r="F10" s="44" t="s">
        <v>124</v>
      </c>
      <c r="G10" s="36" t="s">
        <v>90</v>
      </c>
      <c r="H10" s="36" t="s">
        <v>91</v>
      </c>
      <c r="I10" s="36" t="s">
        <v>121</v>
      </c>
      <c r="J10" s="36" t="s">
        <v>121</v>
      </c>
      <c r="K10" s="33" t="s">
        <v>72</v>
      </c>
      <c r="L10" s="33" t="s">
        <v>73</v>
      </c>
      <c r="M10" s="36" t="s">
        <v>74</v>
      </c>
      <c r="N10" s="36" t="s">
        <v>94</v>
      </c>
      <c r="O10" s="36" t="s">
        <v>95</v>
      </c>
      <c r="P10" s="55" t="s">
        <v>125</v>
      </c>
      <c r="Q10" s="36" t="s">
        <v>97</v>
      </c>
      <c r="R10" s="37">
        <v>1</v>
      </c>
      <c r="S10" s="33" t="s">
        <v>126</v>
      </c>
      <c r="T10" s="39">
        <v>1</v>
      </c>
      <c r="U10" s="39">
        <v>1</v>
      </c>
      <c r="V10" s="40">
        <f t="shared" si="16"/>
        <v>100</v>
      </c>
      <c r="W10" s="39">
        <v>0</v>
      </c>
      <c r="X10" s="39"/>
      <c r="Y10" s="40" t="e">
        <f t="shared" si="1"/>
        <v>#DIV/0!</v>
      </c>
      <c r="Z10" s="39">
        <v>0</v>
      </c>
      <c r="AA10" s="39"/>
      <c r="AB10" s="40" t="e">
        <f t="shared" si="2"/>
        <v>#DIV/0!</v>
      </c>
      <c r="AC10" s="39">
        <v>0</v>
      </c>
      <c r="AD10" s="39"/>
      <c r="AE10" s="40" t="e">
        <f t="shared" si="3"/>
        <v>#DIV/0!</v>
      </c>
      <c r="AF10" s="41">
        <f t="shared" si="11"/>
        <v>1</v>
      </c>
      <c r="AG10" s="41">
        <f t="shared" si="4"/>
        <v>1</v>
      </c>
      <c r="AH10" s="42">
        <f t="shared" si="5"/>
        <v>100</v>
      </c>
      <c r="AI10" s="43">
        <v>46113</v>
      </c>
      <c r="AJ10" s="43">
        <v>46477</v>
      </c>
      <c r="AK10" s="44" t="s">
        <v>80</v>
      </c>
      <c r="AL10" s="44" t="s">
        <v>81</v>
      </c>
      <c r="AM10" s="45" t="s">
        <v>82</v>
      </c>
      <c r="AN10" s="46"/>
      <c r="AO10" s="46"/>
      <c r="AP10" s="46"/>
      <c r="AQ10" s="47"/>
      <c r="AR10" s="44" t="s">
        <v>127</v>
      </c>
      <c r="AS10" s="44" t="s">
        <v>80</v>
      </c>
      <c r="AT10" s="54" t="s">
        <v>99</v>
      </c>
      <c r="AU10" s="49" t="s">
        <v>831</v>
      </c>
      <c r="AV10" s="51" t="s">
        <v>832</v>
      </c>
      <c r="AW10" s="51" t="s">
        <v>834</v>
      </c>
      <c r="AZ10" s="50">
        <f t="shared" si="12"/>
        <v>1</v>
      </c>
      <c r="BA10" s="50">
        <f t="shared" si="13"/>
        <v>1</v>
      </c>
      <c r="BB10" s="117">
        <f t="shared" si="14"/>
        <v>1</v>
      </c>
      <c r="BC10" s="50">
        <f t="shared" si="15"/>
        <v>0</v>
      </c>
      <c r="BD10" s="51"/>
      <c r="BE10" s="52">
        <f t="shared" si="6"/>
        <v>0</v>
      </c>
      <c r="BF10" s="52">
        <f t="shared" si="7"/>
        <v>0</v>
      </c>
      <c r="BG10" s="52">
        <f t="shared" si="8"/>
        <v>0</v>
      </c>
      <c r="BH10" s="52">
        <f t="shared" si="9"/>
        <v>0</v>
      </c>
      <c r="BI10" s="52">
        <f t="shared" si="10"/>
        <v>0</v>
      </c>
    </row>
    <row r="11" spans="1:61" x14ac:dyDescent="0.3">
      <c r="A11" s="39">
        <v>7</v>
      </c>
      <c r="B11" s="44" t="s">
        <v>118</v>
      </c>
      <c r="C11" s="44" t="s">
        <v>86</v>
      </c>
      <c r="D11" s="44" t="s">
        <v>87</v>
      </c>
      <c r="E11" s="44" t="s">
        <v>88</v>
      </c>
      <c r="F11" s="44" t="s">
        <v>128</v>
      </c>
      <c r="G11" s="36" t="s">
        <v>90</v>
      </c>
      <c r="H11" s="36" t="s">
        <v>129</v>
      </c>
      <c r="I11" s="36" t="s">
        <v>92</v>
      </c>
      <c r="J11" s="36" t="s">
        <v>92</v>
      </c>
      <c r="K11" s="33" t="s">
        <v>72</v>
      </c>
      <c r="L11" s="33" t="s">
        <v>73</v>
      </c>
      <c r="M11" s="36" t="s">
        <v>74</v>
      </c>
      <c r="N11" s="36" t="s">
        <v>94</v>
      </c>
      <c r="O11" s="36" t="s">
        <v>95</v>
      </c>
      <c r="P11" s="55" t="s">
        <v>130</v>
      </c>
      <c r="Q11" s="36" t="s">
        <v>97</v>
      </c>
      <c r="R11" s="37">
        <v>30</v>
      </c>
      <c r="S11" s="33" t="s">
        <v>79</v>
      </c>
      <c r="T11" s="39">
        <v>0</v>
      </c>
      <c r="U11" s="39">
        <v>0</v>
      </c>
      <c r="V11" s="40" t="e">
        <f t="shared" si="16"/>
        <v>#DIV/0!</v>
      </c>
      <c r="W11" s="39">
        <v>0</v>
      </c>
      <c r="X11" s="39">
        <v>0</v>
      </c>
      <c r="Y11" s="40" t="e">
        <f t="shared" si="1"/>
        <v>#DIV/0!</v>
      </c>
      <c r="Z11" s="39">
        <v>0</v>
      </c>
      <c r="AA11" s="39"/>
      <c r="AB11" s="40" t="e">
        <f t="shared" si="2"/>
        <v>#DIV/0!</v>
      </c>
      <c r="AC11" s="39">
        <v>30</v>
      </c>
      <c r="AD11" s="39"/>
      <c r="AE11" s="40">
        <f t="shared" si="3"/>
        <v>0</v>
      </c>
      <c r="AF11" s="41">
        <f t="shared" si="11"/>
        <v>30</v>
      </c>
      <c r="AG11" s="41">
        <f t="shared" si="4"/>
        <v>0</v>
      </c>
      <c r="AH11" s="42" t="e">
        <f t="shared" si="5"/>
        <v>#DIV/0!</v>
      </c>
      <c r="AI11" s="43">
        <v>46113</v>
      </c>
      <c r="AJ11" s="43">
        <v>46477</v>
      </c>
      <c r="AK11" s="44" t="s">
        <v>80</v>
      </c>
      <c r="AL11" s="44" t="s">
        <v>81</v>
      </c>
      <c r="AM11" s="45" t="s">
        <v>82</v>
      </c>
      <c r="AN11" s="46">
        <v>200000000</v>
      </c>
      <c r="AO11" s="46">
        <v>200000000</v>
      </c>
      <c r="AP11" s="46">
        <v>200000000</v>
      </c>
      <c r="AQ11" s="47">
        <v>0</v>
      </c>
      <c r="AR11" s="44" t="s">
        <v>127</v>
      </c>
      <c r="AS11" s="44" t="s">
        <v>80</v>
      </c>
      <c r="AT11" s="54" t="s">
        <v>99</v>
      </c>
      <c r="AU11" s="49" t="s">
        <v>831</v>
      </c>
      <c r="AV11" s="51" t="s">
        <v>832</v>
      </c>
      <c r="AW11" s="51" t="s">
        <v>834</v>
      </c>
      <c r="AZ11" s="50">
        <f t="shared" si="12"/>
        <v>30</v>
      </c>
      <c r="BA11" s="50">
        <f t="shared" si="13"/>
        <v>0</v>
      </c>
      <c r="BB11" s="117">
        <f t="shared" si="14"/>
        <v>0</v>
      </c>
      <c r="BC11" s="50">
        <f t="shared" si="15"/>
        <v>30</v>
      </c>
      <c r="BD11" s="51"/>
      <c r="BE11" s="52">
        <f t="shared" si="6"/>
        <v>9</v>
      </c>
      <c r="BF11" s="52">
        <f t="shared" si="7"/>
        <v>9</v>
      </c>
      <c r="BG11" s="52">
        <f t="shared" si="8"/>
        <v>9</v>
      </c>
      <c r="BH11" s="52">
        <f t="shared" si="9"/>
        <v>3</v>
      </c>
      <c r="BI11" s="52">
        <f t="shared" si="10"/>
        <v>30</v>
      </c>
    </row>
    <row r="12" spans="1:61" x14ac:dyDescent="0.3">
      <c r="A12" s="39">
        <v>8</v>
      </c>
      <c r="B12" s="44" t="s">
        <v>118</v>
      </c>
      <c r="C12" s="44" t="s">
        <v>86</v>
      </c>
      <c r="D12" s="44" t="s">
        <v>87</v>
      </c>
      <c r="E12" s="44" t="s">
        <v>123</v>
      </c>
      <c r="F12" s="44" t="s">
        <v>128</v>
      </c>
      <c r="G12" s="36" t="s">
        <v>90</v>
      </c>
      <c r="H12" s="36" t="s">
        <v>91</v>
      </c>
      <c r="I12" s="36" t="s">
        <v>92</v>
      </c>
      <c r="J12" s="36" t="s">
        <v>92</v>
      </c>
      <c r="K12" s="33" t="s">
        <v>72</v>
      </c>
      <c r="L12" s="33" t="s">
        <v>73</v>
      </c>
      <c r="M12" s="36" t="s">
        <v>74</v>
      </c>
      <c r="N12" s="36" t="s">
        <v>94</v>
      </c>
      <c r="O12" s="36" t="s">
        <v>95</v>
      </c>
      <c r="P12" s="55" t="s">
        <v>131</v>
      </c>
      <c r="Q12" s="36" t="s">
        <v>97</v>
      </c>
      <c r="R12" s="37">
        <v>100</v>
      </c>
      <c r="S12" s="33" t="s">
        <v>126</v>
      </c>
      <c r="T12" s="39">
        <v>0</v>
      </c>
      <c r="U12" s="39">
        <v>0</v>
      </c>
      <c r="V12" s="40" t="e">
        <f t="shared" si="16"/>
        <v>#DIV/0!</v>
      </c>
      <c r="W12" s="39">
        <v>0</v>
      </c>
      <c r="X12" s="39">
        <v>0</v>
      </c>
      <c r="Y12" s="40" t="e">
        <f t="shared" si="1"/>
        <v>#DIV/0!</v>
      </c>
      <c r="Z12" s="39">
        <v>0</v>
      </c>
      <c r="AA12" s="39"/>
      <c r="AB12" s="40" t="e">
        <f t="shared" si="2"/>
        <v>#DIV/0!</v>
      </c>
      <c r="AC12" s="39">
        <v>100</v>
      </c>
      <c r="AD12" s="39"/>
      <c r="AE12" s="40">
        <f t="shared" si="3"/>
        <v>0</v>
      </c>
      <c r="AF12" s="41">
        <f t="shared" si="11"/>
        <v>100</v>
      </c>
      <c r="AG12" s="41">
        <f t="shared" si="4"/>
        <v>0</v>
      </c>
      <c r="AH12" s="42" t="e">
        <f t="shared" si="5"/>
        <v>#DIV/0!</v>
      </c>
      <c r="AI12" s="43">
        <v>46113</v>
      </c>
      <c r="AJ12" s="43">
        <v>46477</v>
      </c>
      <c r="AK12" s="44" t="s">
        <v>80</v>
      </c>
      <c r="AL12" s="44" t="s">
        <v>81</v>
      </c>
      <c r="AM12" s="45" t="s">
        <v>82</v>
      </c>
      <c r="AN12" s="46">
        <v>45000000</v>
      </c>
      <c r="AO12" s="46">
        <v>45000000</v>
      </c>
      <c r="AP12" s="46">
        <v>45000000</v>
      </c>
      <c r="AQ12" s="47">
        <v>0</v>
      </c>
      <c r="AR12" s="44" t="s">
        <v>127</v>
      </c>
      <c r="AS12" s="44" t="s">
        <v>80</v>
      </c>
      <c r="AT12" s="54" t="s">
        <v>99</v>
      </c>
      <c r="AU12" s="49" t="s">
        <v>831</v>
      </c>
      <c r="AV12" s="51" t="s">
        <v>832</v>
      </c>
      <c r="AW12" s="51" t="s">
        <v>834</v>
      </c>
      <c r="AZ12" s="50">
        <f t="shared" si="12"/>
        <v>100</v>
      </c>
      <c r="BA12" s="50">
        <f t="shared" si="13"/>
        <v>0</v>
      </c>
      <c r="BB12" s="117">
        <f t="shared" si="14"/>
        <v>0</v>
      </c>
      <c r="BC12" s="50">
        <f t="shared" si="15"/>
        <v>100</v>
      </c>
      <c r="BD12" s="51"/>
      <c r="BE12" s="52">
        <f t="shared" si="6"/>
        <v>30</v>
      </c>
      <c r="BF12" s="52">
        <f t="shared" si="7"/>
        <v>30</v>
      </c>
      <c r="BG12" s="52">
        <f t="shared" si="8"/>
        <v>30</v>
      </c>
      <c r="BH12" s="52">
        <f t="shared" si="9"/>
        <v>10</v>
      </c>
      <c r="BI12" s="52">
        <f t="shared" si="10"/>
        <v>100</v>
      </c>
    </row>
    <row r="13" spans="1:61" x14ac:dyDescent="0.3">
      <c r="A13" s="39">
        <v>9</v>
      </c>
      <c r="B13" s="44" t="s">
        <v>118</v>
      </c>
      <c r="C13" s="44" t="s">
        <v>101</v>
      </c>
      <c r="D13" s="44" t="s">
        <v>87</v>
      </c>
      <c r="E13" s="44" t="s">
        <v>102</v>
      </c>
      <c r="F13" s="44" t="s">
        <v>119</v>
      </c>
      <c r="G13" s="36" t="s">
        <v>132</v>
      </c>
      <c r="H13" s="36" t="s">
        <v>133</v>
      </c>
      <c r="I13" s="36" t="s">
        <v>121</v>
      </c>
      <c r="J13" s="36" t="s">
        <v>121</v>
      </c>
      <c r="K13" s="33" t="s">
        <v>72</v>
      </c>
      <c r="L13" s="33" t="s">
        <v>73</v>
      </c>
      <c r="M13" s="36" t="s">
        <v>74</v>
      </c>
      <c r="N13" s="36" t="s">
        <v>94</v>
      </c>
      <c r="O13" s="36" t="s">
        <v>95</v>
      </c>
      <c r="P13" s="36" t="s">
        <v>134</v>
      </c>
      <c r="Q13" s="36" t="s">
        <v>97</v>
      </c>
      <c r="R13" s="37">
        <v>1</v>
      </c>
      <c r="S13" s="33" t="s">
        <v>79</v>
      </c>
      <c r="T13" s="39">
        <v>0</v>
      </c>
      <c r="U13" s="39">
        <v>0</v>
      </c>
      <c r="V13" s="40" t="e">
        <f t="shared" si="16"/>
        <v>#DIV/0!</v>
      </c>
      <c r="W13" s="39">
        <v>1</v>
      </c>
      <c r="X13" s="39">
        <v>1</v>
      </c>
      <c r="Y13" s="40">
        <f t="shared" si="1"/>
        <v>100</v>
      </c>
      <c r="Z13" s="39">
        <v>0</v>
      </c>
      <c r="AA13" s="39"/>
      <c r="AB13" s="40" t="e">
        <f t="shared" si="2"/>
        <v>#DIV/0!</v>
      </c>
      <c r="AC13" s="39">
        <v>0</v>
      </c>
      <c r="AD13" s="39"/>
      <c r="AE13" s="40" t="e">
        <f t="shared" si="3"/>
        <v>#DIV/0!</v>
      </c>
      <c r="AF13" s="41">
        <f t="shared" si="11"/>
        <v>1</v>
      </c>
      <c r="AG13" s="41">
        <f t="shared" si="4"/>
        <v>1</v>
      </c>
      <c r="AH13" s="42">
        <f t="shared" si="5"/>
        <v>100</v>
      </c>
      <c r="AI13" s="43">
        <v>46113</v>
      </c>
      <c r="AJ13" s="43">
        <v>46477</v>
      </c>
      <c r="AK13" s="44" t="s">
        <v>80</v>
      </c>
      <c r="AL13" s="44" t="s">
        <v>81</v>
      </c>
      <c r="AM13" s="45" t="s">
        <v>82</v>
      </c>
      <c r="AN13" s="46">
        <v>30000000</v>
      </c>
      <c r="AO13" s="46">
        <v>30000000</v>
      </c>
      <c r="AP13" s="46">
        <v>30000000</v>
      </c>
      <c r="AQ13" s="47">
        <f>AO13</f>
        <v>30000000</v>
      </c>
      <c r="AR13" s="44" t="s">
        <v>127</v>
      </c>
      <c r="AS13" s="44" t="s">
        <v>80</v>
      </c>
      <c r="AT13" s="54" t="s">
        <v>99</v>
      </c>
      <c r="AU13" s="49" t="s">
        <v>831</v>
      </c>
      <c r="AV13" s="51" t="s">
        <v>832</v>
      </c>
      <c r="AW13" s="51" t="s">
        <v>834</v>
      </c>
      <c r="AZ13" s="50">
        <f t="shared" si="12"/>
        <v>1</v>
      </c>
      <c r="BA13" s="50">
        <f t="shared" si="13"/>
        <v>1</v>
      </c>
      <c r="BB13" s="117">
        <f t="shared" si="14"/>
        <v>1</v>
      </c>
      <c r="BC13" s="50">
        <f t="shared" si="15"/>
        <v>0</v>
      </c>
      <c r="BD13" s="51"/>
      <c r="BE13" s="52">
        <f t="shared" si="6"/>
        <v>0</v>
      </c>
      <c r="BF13" s="52">
        <f t="shared" si="7"/>
        <v>0</v>
      </c>
      <c r="BG13" s="52">
        <f t="shared" si="8"/>
        <v>0</v>
      </c>
      <c r="BH13" s="52">
        <f t="shared" si="9"/>
        <v>0</v>
      </c>
      <c r="BI13" s="52">
        <f t="shared" si="10"/>
        <v>0</v>
      </c>
    </row>
    <row r="14" spans="1:61" x14ac:dyDescent="0.3">
      <c r="A14" s="39">
        <v>10</v>
      </c>
      <c r="B14" s="44" t="s">
        <v>118</v>
      </c>
      <c r="C14" s="44" t="s">
        <v>86</v>
      </c>
      <c r="D14" s="44" t="s">
        <v>87</v>
      </c>
      <c r="E14" s="44" t="s">
        <v>88</v>
      </c>
      <c r="F14" s="44" t="s">
        <v>128</v>
      </c>
      <c r="G14" s="36" t="s">
        <v>90</v>
      </c>
      <c r="H14" s="36" t="s">
        <v>91</v>
      </c>
      <c r="I14" s="36" t="s">
        <v>121</v>
      </c>
      <c r="J14" s="36" t="s">
        <v>121</v>
      </c>
      <c r="K14" s="33" t="s">
        <v>72</v>
      </c>
      <c r="L14" s="33" t="s">
        <v>73</v>
      </c>
      <c r="M14" s="36" t="s">
        <v>74</v>
      </c>
      <c r="N14" s="36" t="s">
        <v>94</v>
      </c>
      <c r="O14" s="36" t="s">
        <v>95</v>
      </c>
      <c r="P14" s="55" t="s">
        <v>135</v>
      </c>
      <c r="Q14" s="36" t="s">
        <v>97</v>
      </c>
      <c r="R14" s="37">
        <v>100</v>
      </c>
      <c r="S14" s="33" t="s">
        <v>126</v>
      </c>
      <c r="T14" s="39">
        <v>10</v>
      </c>
      <c r="U14" s="39">
        <v>25</v>
      </c>
      <c r="V14" s="40">
        <f t="shared" si="16"/>
        <v>250</v>
      </c>
      <c r="W14" s="39">
        <v>30</v>
      </c>
      <c r="X14" s="39">
        <v>30</v>
      </c>
      <c r="Y14" s="40">
        <f t="shared" si="1"/>
        <v>100</v>
      </c>
      <c r="Z14" s="39">
        <v>30</v>
      </c>
      <c r="AA14" s="39"/>
      <c r="AB14" s="40">
        <f t="shared" si="2"/>
        <v>0</v>
      </c>
      <c r="AC14" s="39">
        <v>30</v>
      </c>
      <c r="AD14" s="39"/>
      <c r="AE14" s="40">
        <f t="shared" si="3"/>
        <v>0</v>
      </c>
      <c r="AF14" s="41">
        <f t="shared" si="11"/>
        <v>100</v>
      </c>
      <c r="AG14" s="41">
        <f t="shared" si="4"/>
        <v>55</v>
      </c>
      <c r="AH14" s="42">
        <f t="shared" si="5"/>
        <v>137.5</v>
      </c>
      <c r="AI14" s="43">
        <v>46054</v>
      </c>
      <c r="AJ14" s="43">
        <v>46477</v>
      </c>
      <c r="AK14" s="44" t="s">
        <v>80</v>
      </c>
      <c r="AL14" s="44" t="s">
        <v>81</v>
      </c>
      <c r="AM14" s="45" t="s">
        <v>82</v>
      </c>
      <c r="AN14" s="46"/>
      <c r="AO14" s="46"/>
      <c r="AP14" s="46"/>
      <c r="AQ14" s="47"/>
      <c r="AR14" s="44" t="s">
        <v>83</v>
      </c>
      <c r="AS14" s="44" t="s">
        <v>80</v>
      </c>
      <c r="AT14" s="54" t="s">
        <v>99</v>
      </c>
      <c r="AU14" s="49" t="s">
        <v>831</v>
      </c>
      <c r="AV14" s="51" t="s">
        <v>832</v>
      </c>
      <c r="AW14" s="51" t="s">
        <v>834</v>
      </c>
      <c r="AZ14" s="50">
        <f t="shared" si="12"/>
        <v>100</v>
      </c>
      <c r="BA14" s="50">
        <f t="shared" si="13"/>
        <v>55</v>
      </c>
      <c r="BB14" s="117">
        <f t="shared" si="14"/>
        <v>0.55000000000000004</v>
      </c>
      <c r="BC14" s="50">
        <f t="shared" si="15"/>
        <v>45</v>
      </c>
      <c r="BD14" s="51"/>
      <c r="BE14" s="52">
        <f t="shared" si="6"/>
        <v>13.5</v>
      </c>
      <c r="BF14" s="52">
        <f t="shared" si="7"/>
        <v>13.5</v>
      </c>
      <c r="BG14" s="52">
        <f t="shared" si="8"/>
        <v>13.5</v>
      </c>
      <c r="BH14" s="52">
        <f t="shared" si="9"/>
        <v>4.5</v>
      </c>
      <c r="BI14" s="52">
        <f t="shared" si="10"/>
        <v>45</v>
      </c>
    </row>
    <row r="15" spans="1:61" x14ac:dyDescent="0.3">
      <c r="A15" s="39">
        <v>11</v>
      </c>
      <c r="B15" s="44" t="s">
        <v>118</v>
      </c>
      <c r="C15" s="44" t="s">
        <v>86</v>
      </c>
      <c r="D15" s="44" t="s">
        <v>87</v>
      </c>
      <c r="E15" s="44" t="s">
        <v>88</v>
      </c>
      <c r="F15" s="44" t="s">
        <v>128</v>
      </c>
      <c r="G15" s="36" t="s">
        <v>90</v>
      </c>
      <c r="H15" s="36" t="s">
        <v>91</v>
      </c>
      <c r="I15" s="36" t="s">
        <v>121</v>
      </c>
      <c r="J15" s="36" t="s">
        <v>121</v>
      </c>
      <c r="K15" s="33" t="s">
        <v>72</v>
      </c>
      <c r="L15" s="33" t="s">
        <v>73</v>
      </c>
      <c r="M15" s="36" t="s">
        <v>74</v>
      </c>
      <c r="N15" s="36" t="s">
        <v>94</v>
      </c>
      <c r="O15" s="36" t="s">
        <v>95</v>
      </c>
      <c r="P15" s="55" t="s">
        <v>136</v>
      </c>
      <c r="Q15" s="36" t="s">
        <v>97</v>
      </c>
      <c r="R15" s="37">
        <v>100</v>
      </c>
      <c r="S15" s="33" t="s">
        <v>126</v>
      </c>
      <c r="T15" s="39">
        <v>0</v>
      </c>
      <c r="U15" s="39">
        <v>10</v>
      </c>
      <c r="V15" s="40" t="e">
        <f t="shared" si="16"/>
        <v>#DIV/0!</v>
      </c>
      <c r="W15" s="39">
        <v>30</v>
      </c>
      <c r="X15" s="39">
        <v>30</v>
      </c>
      <c r="Y15" s="40">
        <f t="shared" si="1"/>
        <v>100</v>
      </c>
      <c r="Z15" s="39">
        <v>40</v>
      </c>
      <c r="AA15" s="39"/>
      <c r="AB15" s="40">
        <f t="shared" si="2"/>
        <v>0</v>
      </c>
      <c r="AC15" s="39">
        <v>30</v>
      </c>
      <c r="AD15" s="39"/>
      <c r="AE15" s="40">
        <f t="shared" si="3"/>
        <v>0</v>
      </c>
      <c r="AF15" s="41">
        <f t="shared" si="11"/>
        <v>100</v>
      </c>
      <c r="AG15" s="41">
        <f t="shared" si="4"/>
        <v>40</v>
      </c>
      <c r="AH15" s="42">
        <f t="shared" si="5"/>
        <v>133.33333333333331</v>
      </c>
      <c r="AI15" s="43">
        <v>46113</v>
      </c>
      <c r="AJ15" s="43">
        <v>46477</v>
      </c>
      <c r="AK15" s="44" t="s">
        <v>80</v>
      </c>
      <c r="AL15" s="44" t="s">
        <v>81</v>
      </c>
      <c r="AM15" s="45" t="s">
        <v>82</v>
      </c>
      <c r="AN15" s="46">
        <v>260000000</v>
      </c>
      <c r="AO15" s="46">
        <v>260000000</v>
      </c>
      <c r="AP15" s="46">
        <v>260000000</v>
      </c>
      <c r="AQ15" s="47">
        <v>0</v>
      </c>
      <c r="AR15" s="44" t="s">
        <v>83</v>
      </c>
      <c r="AS15" s="44" t="s">
        <v>80</v>
      </c>
      <c r="AT15" s="54" t="s">
        <v>99</v>
      </c>
      <c r="AU15" s="49" t="s">
        <v>831</v>
      </c>
      <c r="AV15" s="51" t="s">
        <v>832</v>
      </c>
      <c r="AW15" s="51" t="s">
        <v>834</v>
      </c>
      <c r="AZ15" s="50">
        <f t="shared" si="12"/>
        <v>100</v>
      </c>
      <c r="BA15" s="50">
        <f t="shared" si="13"/>
        <v>40</v>
      </c>
      <c r="BB15" s="117">
        <f t="shared" si="14"/>
        <v>0.4</v>
      </c>
      <c r="BC15" s="50">
        <f t="shared" si="15"/>
        <v>60</v>
      </c>
      <c r="BD15" s="51"/>
      <c r="BE15" s="52">
        <f t="shared" si="6"/>
        <v>18</v>
      </c>
      <c r="BF15" s="52">
        <f t="shared" si="7"/>
        <v>18</v>
      </c>
      <c r="BG15" s="52">
        <f t="shared" si="8"/>
        <v>18</v>
      </c>
      <c r="BH15" s="52">
        <f t="shared" si="9"/>
        <v>6</v>
      </c>
      <c r="BI15" s="52">
        <f t="shared" si="10"/>
        <v>60</v>
      </c>
    </row>
    <row r="16" spans="1:61" x14ac:dyDescent="0.3">
      <c r="A16" s="39">
        <v>12</v>
      </c>
      <c r="B16" s="44" t="s">
        <v>118</v>
      </c>
      <c r="C16" s="44" t="s">
        <v>86</v>
      </c>
      <c r="D16" s="44" t="s">
        <v>87</v>
      </c>
      <c r="E16" s="44" t="s">
        <v>123</v>
      </c>
      <c r="F16" s="44" t="s">
        <v>137</v>
      </c>
      <c r="G16" s="36" t="s">
        <v>90</v>
      </c>
      <c r="H16" s="36" t="s">
        <v>91</v>
      </c>
      <c r="I16" s="36" t="s">
        <v>121</v>
      </c>
      <c r="J16" s="36" t="s">
        <v>121</v>
      </c>
      <c r="K16" s="33" t="s">
        <v>72</v>
      </c>
      <c r="L16" s="33" t="s">
        <v>73</v>
      </c>
      <c r="M16" s="36" t="s">
        <v>74</v>
      </c>
      <c r="N16" s="36" t="s">
        <v>94</v>
      </c>
      <c r="O16" s="36" t="s">
        <v>95</v>
      </c>
      <c r="P16" s="36" t="s">
        <v>138</v>
      </c>
      <c r="Q16" s="36" t="s">
        <v>97</v>
      </c>
      <c r="R16" s="37">
        <v>32</v>
      </c>
      <c r="S16" s="33" t="s">
        <v>79</v>
      </c>
      <c r="T16" s="39">
        <v>8</v>
      </c>
      <c r="U16" s="39">
        <v>6</v>
      </c>
      <c r="V16" s="40">
        <f t="shared" si="16"/>
        <v>75</v>
      </c>
      <c r="W16" s="39">
        <v>8</v>
      </c>
      <c r="X16" s="39">
        <v>8</v>
      </c>
      <c r="Y16" s="40">
        <f t="shared" si="1"/>
        <v>100</v>
      </c>
      <c r="Z16" s="39">
        <v>8</v>
      </c>
      <c r="AA16" s="39">
        <v>0</v>
      </c>
      <c r="AB16" s="40">
        <f t="shared" si="2"/>
        <v>0</v>
      </c>
      <c r="AC16" s="39">
        <v>8</v>
      </c>
      <c r="AD16" s="39"/>
      <c r="AE16" s="40">
        <f t="shared" si="3"/>
        <v>0</v>
      </c>
      <c r="AF16" s="41">
        <f t="shared" si="11"/>
        <v>32</v>
      </c>
      <c r="AG16" s="41">
        <f t="shared" si="4"/>
        <v>14</v>
      </c>
      <c r="AH16" s="42">
        <f t="shared" si="5"/>
        <v>58.333333333333336</v>
      </c>
      <c r="AI16" s="43">
        <v>46113</v>
      </c>
      <c r="AJ16" s="43">
        <v>46477</v>
      </c>
      <c r="AK16" s="44" t="s">
        <v>80</v>
      </c>
      <c r="AL16" s="44" t="s">
        <v>81</v>
      </c>
      <c r="AM16" s="45" t="s">
        <v>82</v>
      </c>
      <c r="AN16" s="46"/>
      <c r="AO16" s="46"/>
      <c r="AP16" s="46"/>
      <c r="AQ16" s="47"/>
      <c r="AR16" s="44" t="s">
        <v>83</v>
      </c>
      <c r="AS16" s="44" t="s">
        <v>80</v>
      </c>
      <c r="AT16" s="54" t="s">
        <v>99</v>
      </c>
      <c r="AU16" s="49" t="s">
        <v>831</v>
      </c>
      <c r="AV16" s="51" t="s">
        <v>832</v>
      </c>
      <c r="AW16" s="51" t="s">
        <v>834</v>
      </c>
      <c r="AZ16" s="50">
        <f t="shared" si="12"/>
        <v>32</v>
      </c>
      <c r="BA16" s="50">
        <f t="shared" si="13"/>
        <v>14</v>
      </c>
      <c r="BB16" s="117">
        <f t="shared" si="14"/>
        <v>0.4375</v>
      </c>
      <c r="BC16" s="50">
        <f t="shared" si="15"/>
        <v>18</v>
      </c>
      <c r="BD16" s="51"/>
      <c r="BE16" s="52">
        <f t="shared" si="6"/>
        <v>5.3999999999999995</v>
      </c>
      <c r="BF16" s="52">
        <f t="shared" si="7"/>
        <v>5.3999999999999995</v>
      </c>
      <c r="BG16" s="52">
        <f t="shared" si="8"/>
        <v>5.3999999999999995</v>
      </c>
      <c r="BH16" s="52">
        <f t="shared" si="9"/>
        <v>1.8</v>
      </c>
      <c r="BI16" s="52">
        <f t="shared" si="10"/>
        <v>18</v>
      </c>
    </row>
    <row r="17" spans="1:61" x14ac:dyDescent="0.3">
      <c r="A17" s="39">
        <v>13</v>
      </c>
      <c r="B17" s="44" t="s">
        <v>118</v>
      </c>
      <c r="C17" s="44" t="s">
        <v>86</v>
      </c>
      <c r="D17" s="44" t="s">
        <v>87</v>
      </c>
      <c r="E17" s="44" t="s">
        <v>123</v>
      </c>
      <c r="F17" s="44" t="s">
        <v>137</v>
      </c>
      <c r="G17" s="36" t="s">
        <v>90</v>
      </c>
      <c r="H17" s="36" t="s">
        <v>91</v>
      </c>
      <c r="I17" s="36" t="s">
        <v>121</v>
      </c>
      <c r="J17" s="36" t="s">
        <v>121</v>
      </c>
      <c r="K17" s="33" t="s">
        <v>72</v>
      </c>
      <c r="L17" s="33" t="s">
        <v>73</v>
      </c>
      <c r="M17" s="36" t="s">
        <v>74</v>
      </c>
      <c r="N17" s="36" t="s">
        <v>94</v>
      </c>
      <c r="O17" s="36" t="s">
        <v>95</v>
      </c>
      <c r="P17" s="36" t="s">
        <v>139</v>
      </c>
      <c r="Q17" s="36" t="s">
        <v>97</v>
      </c>
      <c r="R17" s="37">
        <v>100</v>
      </c>
      <c r="S17" s="33" t="s">
        <v>126</v>
      </c>
      <c r="T17" s="39">
        <v>10</v>
      </c>
      <c r="U17" s="39">
        <v>25</v>
      </c>
      <c r="V17" s="40">
        <f t="shared" si="16"/>
        <v>250</v>
      </c>
      <c r="W17" s="39">
        <v>30</v>
      </c>
      <c r="X17" s="39">
        <v>30</v>
      </c>
      <c r="Y17" s="40">
        <f t="shared" si="1"/>
        <v>100</v>
      </c>
      <c r="Z17" s="39">
        <v>30</v>
      </c>
      <c r="AA17" s="39"/>
      <c r="AB17" s="40">
        <f t="shared" si="2"/>
        <v>0</v>
      </c>
      <c r="AC17" s="39">
        <v>30</v>
      </c>
      <c r="AD17" s="39"/>
      <c r="AE17" s="40">
        <f t="shared" si="3"/>
        <v>0</v>
      </c>
      <c r="AF17" s="41">
        <f t="shared" si="11"/>
        <v>100</v>
      </c>
      <c r="AG17" s="41">
        <f t="shared" si="4"/>
        <v>55</v>
      </c>
      <c r="AH17" s="42">
        <f t="shared" si="5"/>
        <v>137.5</v>
      </c>
      <c r="AI17" s="43">
        <v>46113</v>
      </c>
      <c r="AJ17" s="43">
        <v>46477</v>
      </c>
      <c r="AK17" s="44" t="s">
        <v>80</v>
      </c>
      <c r="AL17" s="44" t="s">
        <v>81</v>
      </c>
      <c r="AM17" s="45" t="s">
        <v>82</v>
      </c>
      <c r="AN17" s="46"/>
      <c r="AO17" s="46"/>
      <c r="AP17" s="46"/>
      <c r="AQ17" s="47"/>
      <c r="AR17" s="44" t="s">
        <v>83</v>
      </c>
      <c r="AS17" s="44" t="s">
        <v>80</v>
      </c>
      <c r="AT17" s="54" t="s">
        <v>99</v>
      </c>
      <c r="AU17" s="49" t="s">
        <v>831</v>
      </c>
      <c r="AV17" s="51" t="s">
        <v>832</v>
      </c>
      <c r="AW17" s="51" t="s">
        <v>834</v>
      </c>
      <c r="AZ17" s="50">
        <f t="shared" si="12"/>
        <v>100</v>
      </c>
      <c r="BA17" s="50">
        <f t="shared" si="13"/>
        <v>55</v>
      </c>
      <c r="BB17" s="117">
        <f t="shared" si="14"/>
        <v>0.55000000000000004</v>
      </c>
      <c r="BC17" s="50">
        <f t="shared" si="15"/>
        <v>45</v>
      </c>
      <c r="BD17" s="51"/>
      <c r="BE17" s="52">
        <f t="shared" si="6"/>
        <v>13.5</v>
      </c>
      <c r="BF17" s="52">
        <f t="shared" si="7"/>
        <v>13.5</v>
      </c>
      <c r="BG17" s="52">
        <f t="shared" si="8"/>
        <v>13.5</v>
      </c>
      <c r="BH17" s="52">
        <f t="shared" si="9"/>
        <v>4.5</v>
      </c>
      <c r="BI17" s="52">
        <f t="shared" si="10"/>
        <v>45</v>
      </c>
    </row>
    <row r="18" spans="1:61" x14ac:dyDescent="0.3">
      <c r="A18" s="39">
        <v>14</v>
      </c>
      <c r="B18" s="44" t="s">
        <v>118</v>
      </c>
      <c r="C18" s="44" t="s">
        <v>64</v>
      </c>
      <c r="D18" s="44" t="s">
        <v>65</v>
      </c>
      <c r="E18" s="44" t="s">
        <v>66</v>
      </c>
      <c r="F18" s="44" t="s">
        <v>140</v>
      </c>
      <c r="G18" s="36" t="s">
        <v>90</v>
      </c>
      <c r="H18" s="36" t="s">
        <v>91</v>
      </c>
      <c r="I18" s="36" t="s">
        <v>141</v>
      </c>
      <c r="J18" s="36" t="s">
        <v>141</v>
      </c>
      <c r="K18" s="33" t="s">
        <v>72</v>
      </c>
      <c r="L18" s="33" t="s">
        <v>73</v>
      </c>
      <c r="M18" s="36" t="s">
        <v>74</v>
      </c>
      <c r="N18" s="36" t="s">
        <v>142</v>
      </c>
      <c r="O18" s="36" t="s">
        <v>76</v>
      </c>
      <c r="P18" s="36" t="s">
        <v>143</v>
      </c>
      <c r="Q18" s="36" t="s">
        <v>78</v>
      </c>
      <c r="R18" s="37">
        <v>30000</v>
      </c>
      <c r="S18" s="33" t="s">
        <v>79</v>
      </c>
      <c r="T18" s="39">
        <v>10</v>
      </c>
      <c r="U18" s="39">
        <v>0</v>
      </c>
      <c r="V18" s="40">
        <f t="shared" si="16"/>
        <v>0</v>
      </c>
      <c r="W18" s="39">
        <v>30</v>
      </c>
      <c r="X18" s="39">
        <v>0</v>
      </c>
      <c r="Y18" s="40">
        <f t="shared" si="1"/>
        <v>0</v>
      </c>
      <c r="Z18" s="39">
        <v>30</v>
      </c>
      <c r="AA18" s="39">
        <v>0</v>
      </c>
      <c r="AB18" s="40">
        <f t="shared" si="2"/>
        <v>0</v>
      </c>
      <c r="AC18" s="39">
        <v>30</v>
      </c>
      <c r="AD18" s="39">
        <v>0</v>
      </c>
      <c r="AE18" s="40">
        <f t="shared" si="3"/>
        <v>0</v>
      </c>
      <c r="AF18" s="41">
        <f t="shared" si="11"/>
        <v>30000</v>
      </c>
      <c r="AG18" s="41">
        <f t="shared" si="4"/>
        <v>0</v>
      </c>
      <c r="AH18" s="42">
        <f t="shared" si="5"/>
        <v>0</v>
      </c>
      <c r="AI18" s="43">
        <v>46054</v>
      </c>
      <c r="AJ18" s="43">
        <v>46477</v>
      </c>
      <c r="AK18" s="44" t="s">
        <v>80</v>
      </c>
      <c r="AL18" s="44" t="s">
        <v>81</v>
      </c>
      <c r="AM18" s="45" t="s">
        <v>82</v>
      </c>
      <c r="AN18" s="46">
        <v>400000000</v>
      </c>
      <c r="AO18" s="46">
        <v>400000000</v>
      </c>
      <c r="AP18" s="46">
        <v>400000000</v>
      </c>
      <c r="AQ18" s="47">
        <v>0</v>
      </c>
      <c r="AR18" s="44" t="s">
        <v>83</v>
      </c>
      <c r="AS18" s="44" t="s">
        <v>80</v>
      </c>
      <c r="AT18" s="54" t="s">
        <v>99</v>
      </c>
      <c r="AU18" s="49" t="s">
        <v>831</v>
      </c>
      <c r="AV18" s="51" t="s">
        <v>832</v>
      </c>
      <c r="AW18" s="51" t="s">
        <v>834</v>
      </c>
      <c r="AZ18" s="50">
        <f t="shared" si="12"/>
        <v>30000</v>
      </c>
      <c r="BA18" s="50">
        <f t="shared" si="13"/>
        <v>0</v>
      </c>
      <c r="BB18" s="117">
        <f t="shared" si="14"/>
        <v>0</v>
      </c>
      <c r="BC18" s="50">
        <f t="shared" si="15"/>
        <v>30000</v>
      </c>
      <c r="BD18" s="51"/>
      <c r="BE18" s="52">
        <f t="shared" si="6"/>
        <v>9000</v>
      </c>
      <c r="BF18" s="52">
        <f t="shared" si="7"/>
        <v>9000</v>
      </c>
      <c r="BG18" s="52">
        <f t="shared" si="8"/>
        <v>9000</v>
      </c>
      <c r="BH18" s="52">
        <f t="shared" si="9"/>
        <v>3000</v>
      </c>
      <c r="BI18" s="52">
        <f t="shared" si="10"/>
        <v>30000</v>
      </c>
    </row>
    <row r="19" spans="1:61" x14ac:dyDescent="0.3">
      <c r="A19" s="39">
        <v>15</v>
      </c>
      <c r="B19" s="44" t="s">
        <v>118</v>
      </c>
      <c r="C19" s="44" t="s">
        <v>101</v>
      </c>
      <c r="D19" s="44" t="s">
        <v>87</v>
      </c>
      <c r="E19" s="44" t="s">
        <v>102</v>
      </c>
      <c r="F19" s="44" t="s">
        <v>144</v>
      </c>
      <c r="G19" s="36" t="s">
        <v>145</v>
      </c>
      <c r="H19" s="36" t="s">
        <v>146</v>
      </c>
      <c r="I19" s="36" t="s">
        <v>141</v>
      </c>
      <c r="J19" s="36" t="s">
        <v>141</v>
      </c>
      <c r="K19" s="33" t="s">
        <v>72</v>
      </c>
      <c r="L19" s="33" t="s">
        <v>73</v>
      </c>
      <c r="M19" s="36" t="s">
        <v>74</v>
      </c>
      <c r="N19" s="36" t="s">
        <v>94</v>
      </c>
      <c r="O19" s="36" t="s">
        <v>95</v>
      </c>
      <c r="P19" s="36" t="s">
        <v>147</v>
      </c>
      <c r="Q19" s="36" t="s">
        <v>97</v>
      </c>
      <c r="R19" s="37">
        <v>1</v>
      </c>
      <c r="S19" s="33" t="s">
        <v>79</v>
      </c>
      <c r="T19" s="39">
        <v>0</v>
      </c>
      <c r="U19" s="39">
        <v>0</v>
      </c>
      <c r="V19" s="40" t="e">
        <f t="shared" si="16"/>
        <v>#DIV/0!</v>
      </c>
      <c r="W19" s="39">
        <v>30</v>
      </c>
      <c r="X19" s="39">
        <v>0</v>
      </c>
      <c r="Y19" s="40">
        <f t="shared" si="1"/>
        <v>0</v>
      </c>
      <c r="Z19" s="39">
        <v>40</v>
      </c>
      <c r="AA19" s="39"/>
      <c r="AB19" s="40">
        <f t="shared" si="2"/>
        <v>0</v>
      </c>
      <c r="AC19" s="39">
        <v>30</v>
      </c>
      <c r="AD19" s="39"/>
      <c r="AE19" s="40">
        <f t="shared" si="3"/>
        <v>0</v>
      </c>
      <c r="AF19" s="41">
        <f t="shared" si="11"/>
        <v>1</v>
      </c>
      <c r="AG19" s="41">
        <f t="shared" si="4"/>
        <v>0</v>
      </c>
      <c r="AH19" s="42">
        <f t="shared" si="5"/>
        <v>0</v>
      </c>
      <c r="AI19" s="43">
        <v>46113</v>
      </c>
      <c r="AJ19" s="43">
        <v>46477</v>
      </c>
      <c r="AK19" s="44" t="s">
        <v>80</v>
      </c>
      <c r="AL19" s="44" t="s">
        <v>81</v>
      </c>
      <c r="AM19" s="45" t="s">
        <v>82</v>
      </c>
      <c r="AN19" s="46">
        <v>26000000</v>
      </c>
      <c r="AO19" s="46">
        <v>26000000</v>
      </c>
      <c r="AP19" s="46">
        <v>26000000</v>
      </c>
      <c r="AQ19" s="47">
        <v>0</v>
      </c>
      <c r="AR19" s="44" t="s">
        <v>83</v>
      </c>
      <c r="AS19" s="44" t="s">
        <v>80</v>
      </c>
      <c r="AT19" s="54" t="s">
        <v>99</v>
      </c>
      <c r="AU19" s="49" t="s">
        <v>831</v>
      </c>
      <c r="AV19" s="51" t="s">
        <v>832</v>
      </c>
      <c r="AW19" s="51" t="s">
        <v>834</v>
      </c>
      <c r="AZ19" s="50">
        <f t="shared" si="12"/>
        <v>1</v>
      </c>
      <c r="BA19" s="50">
        <f t="shared" si="13"/>
        <v>0</v>
      </c>
      <c r="BB19" s="117">
        <f t="shared" si="14"/>
        <v>0</v>
      </c>
      <c r="BC19" s="50">
        <f t="shared" si="15"/>
        <v>1</v>
      </c>
      <c r="BD19" s="51"/>
      <c r="BE19" s="52">
        <f t="shared" si="6"/>
        <v>0.3</v>
      </c>
      <c r="BF19" s="52">
        <f t="shared" si="7"/>
        <v>0.3</v>
      </c>
      <c r="BG19" s="52">
        <f t="shared" si="8"/>
        <v>0.3</v>
      </c>
      <c r="BH19" s="52">
        <f t="shared" si="9"/>
        <v>0.1</v>
      </c>
      <c r="BI19" s="52">
        <f t="shared" si="10"/>
        <v>0.99999999999999989</v>
      </c>
    </row>
    <row r="20" spans="1:61" x14ac:dyDescent="0.3">
      <c r="A20" s="39">
        <v>16</v>
      </c>
      <c r="B20" s="44" t="s">
        <v>118</v>
      </c>
      <c r="C20" s="44" t="s">
        <v>86</v>
      </c>
      <c r="D20" s="44" t="s">
        <v>87</v>
      </c>
      <c r="E20" s="44" t="s">
        <v>123</v>
      </c>
      <c r="F20" s="44" t="s">
        <v>148</v>
      </c>
      <c r="G20" s="36" t="s">
        <v>90</v>
      </c>
      <c r="H20" s="36" t="s">
        <v>91</v>
      </c>
      <c r="I20" s="36" t="s">
        <v>121</v>
      </c>
      <c r="J20" s="36" t="s">
        <v>121</v>
      </c>
      <c r="K20" s="33" t="s">
        <v>72</v>
      </c>
      <c r="L20" s="33" t="s">
        <v>73</v>
      </c>
      <c r="M20" s="36" t="s">
        <v>74</v>
      </c>
      <c r="N20" s="36" t="s">
        <v>94</v>
      </c>
      <c r="O20" s="36" t="s">
        <v>95</v>
      </c>
      <c r="P20" s="36" t="s">
        <v>149</v>
      </c>
      <c r="Q20" s="36" t="s">
        <v>97</v>
      </c>
      <c r="R20" s="37">
        <v>1</v>
      </c>
      <c r="S20" s="33" t="s">
        <v>79</v>
      </c>
      <c r="T20" s="39">
        <v>0</v>
      </c>
      <c r="U20" s="39">
        <v>0</v>
      </c>
      <c r="V20" s="40" t="e">
        <f t="shared" si="16"/>
        <v>#DIV/0!</v>
      </c>
      <c r="W20" s="39">
        <v>0</v>
      </c>
      <c r="X20" s="39">
        <v>0</v>
      </c>
      <c r="Y20" s="40" t="e">
        <f t="shared" si="1"/>
        <v>#DIV/0!</v>
      </c>
      <c r="Z20" s="39">
        <v>1</v>
      </c>
      <c r="AA20" s="39"/>
      <c r="AB20" s="40">
        <f t="shared" si="2"/>
        <v>0</v>
      </c>
      <c r="AC20" s="39">
        <v>0</v>
      </c>
      <c r="AD20" s="39"/>
      <c r="AE20" s="40" t="e">
        <f t="shared" si="3"/>
        <v>#DIV/0!</v>
      </c>
      <c r="AF20" s="41">
        <f t="shared" si="11"/>
        <v>1</v>
      </c>
      <c r="AG20" s="41">
        <f t="shared" si="4"/>
        <v>0</v>
      </c>
      <c r="AH20" s="42" t="e">
        <f t="shared" si="5"/>
        <v>#DIV/0!</v>
      </c>
      <c r="AI20" s="43">
        <v>46054</v>
      </c>
      <c r="AJ20" s="43">
        <v>46477</v>
      </c>
      <c r="AK20" s="44" t="s">
        <v>80</v>
      </c>
      <c r="AL20" s="44" t="s">
        <v>81</v>
      </c>
      <c r="AM20" s="45" t="s">
        <v>82</v>
      </c>
      <c r="AN20" s="46">
        <v>50000000</v>
      </c>
      <c r="AO20" s="46">
        <v>50000000</v>
      </c>
      <c r="AP20" s="46">
        <v>50000000</v>
      </c>
      <c r="AQ20" s="47">
        <v>0</v>
      </c>
      <c r="AR20" s="44" t="s">
        <v>127</v>
      </c>
      <c r="AS20" s="44" t="s">
        <v>80</v>
      </c>
      <c r="AT20" s="54" t="s">
        <v>99</v>
      </c>
      <c r="AU20" s="49" t="s">
        <v>831</v>
      </c>
      <c r="AV20" s="51" t="s">
        <v>832</v>
      </c>
      <c r="AW20" s="51" t="s">
        <v>834</v>
      </c>
      <c r="AZ20" s="50">
        <f t="shared" si="12"/>
        <v>1</v>
      </c>
      <c r="BA20" s="50">
        <f t="shared" si="13"/>
        <v>0</v>
      </c>
      <c r="BB20" s="117">
        <f t="shared" si="14"/>
        <v>0</v>
      </c>
      <c r="BC20" s="50">
        <f t="shared" si="15"/>
        <v>1</v>
      </c>
      <c r="BD20" s="51"/>
      <c r="BE20" s="52">
        <f t="shared" si="6"/>
        <v>0.3</v>
      </c>
      <c r="BF20" s="52">
        <f t="shared" si="7"/>
        <v>0.3</v>
      </c>
      <c r="BG20" s="52">
        <f t="shared" si="8"/>
        <v>0.3</v>
      </c>
      <c r="BH20" s="52">
        <f t="shared" si="9"/>
        <v>0.1</v>
      </c>
      <c r="BI20" s="52">
        <f t="shared" si="10"/>
        <v>0.99999999999999989</v>
      </c>
    </row>
    <row r="21" spans="1:61" x14ac:dyDescent="0.3">
      <c r="A21" s="39">
        <v>17</v>
      </c>
      <c r="B21" s="44" t="s">
        <v>150</v>
      </c>
      <c r="C21" s="44" t="s">
        <v>101</v>
      </c>
      <c r="D21" s="44" t="s">
        <v>87</v>
      </c>
      <c r="E21" s="44" t="s">
        <v>102</v>
      </c>
      <c r="F21" s="44" t="s">
        <v>144</v>
      </c>
      <c r="G21" s="36" t="s">
        <v>90</v>
      </c>
      <c r="H21" s="36" t="s">
        <v>91</v>
      </c>
      <c r="I21" s="36" t="s">
        <v>141</v>
      </c>
      <c r="J21" s="36" t="s">
        <v>141</v>
      </c>
      <c r="K21" s="33" t="s">
        <v>151</v>
      </c>
      <c r="L21" s="33" t="s">
        <v>73</v>
      </c>
      <c r="M21" s="36" t="s">
        <v>74</v>
      </c>
      <c r="N21" s="36" t="s">
        <v>142</v>
      </c>
      <c r="O21" s="36" t="s">
        <v>95</v>
      </c>
      <c r="P21" s="36" t="s">
        <v>152</v>
      </c>
      <c r="Q21" s="36" t="s">
        <v>97</v>
      </c>
      <c r="R21" s="37">
        <v>1</v>
      </c>
      <c r="S21" s="33" t="s">
        <v>79</v>
      </c>
      <c r="T21" s="39">
        <v>0</v>
      </c>
      <c r="U21" s="39">
        <v>1</v>
      </c>
      <c r="V21" s="40" t="e">
        <f t="shared" si="16"/>
        <v>#DIV/0!</v>
      </c>
      <c r="W21" s="39">
        <v>1</v>
      </c>
      <c r="X21" s="39">
        <v>0</v>
      </c>
      <c r="Y21" s="40">
        <f t="shared" si="1"/>
        <v>0</v>
      </c>
      <c r="Z21" s="39">
        <v>0</v>
      </c>
      <c r="AA21" s="39">
        <v>0</v>
      </c>
      <c r="AB21" s="40">
        <v>0</v>
      </c>
      <c r="AC21" s="39">
        <v>0</v>
      </c>
      <c r="AD21" s="39">
        <v>0</v>
      </c>
      <c r="AE21" s="40" t="e">
        <f t="shared" si="3"/>
        <v>#DIV/0!</v>
      </c>
      <c r="AF21" s="41">
        <f t="shared" si="11"/>
        <v>1</v>
      </c>
      <c r="AG21" s="41">
        <f t="shared" si="4"/>
        <v>1</v>
      </c>
      <c r="AH21" s="42">
        <f t="shared" si="5"/>
        <v>100</v>
      </c>
      <c r="AI21" s="43">
        <v>46054</v>
      </c>
      <c r="AJ21" s="43">
        <v>46477</v>
      </c>
      <c r="AK21" s="44" t="s">
        <v>80</v>
      </c>
      <c r="AL21" s="44" t="s">
        <v>81</v>
      </c>
      <c r="AM21" s="45" t="s">
        <v>82</v>
      </c>
      <c r="AN21" s="46">
        <v>15000000</v>
      </c>
      <c r="AO21" s="46">
        <v>15000000</v>
      </c>
      <c r="AP21" s="46">
        <v>15000000</v>
      </c>
      <c r="AQ21" s="47">
        <f>AO21</f>
        <v>15000000</v>
      </c>
      <c r="AR21" s="44" t="s">
        <v>127</v>
      </c>
      <c r="AS21" s="44" t="s">
        <v>80</v>
      </c>
      <c r="AT21" s="54" t="s">
        <v>99</v>
      </c>
      <c r="AU21" s="49" t="s">
        <v>831</v>
      </c>
      <c r="AV21" s="51" t="s">
        <v>832</v>
      </c>
      <c r="AW21" s="51" t="s">
        <v>834</v>
      </c>
      <c r="AZ21" s="50">
        <f t="shared" si="12"/>
        <v>1</v>
      </c>
      <c r="BA21" s="50">
        <f t="shared" si="13"/>
        <v>1</v>
      </c>
      <c r="BB21" s="117">
        <f t="shared" si="14"/>
        <v>1</v>
      </c>
      <c r="BC21" s="50">
        <f t="shared" si="15"/>
        <v>0</v>
      </c>
      <c r="BD21" s="51"/>
      <c r="BE21" s="52">
        <f t="shared" si="6"/>
        <v>0</v>
      </c>
      <c r="BF21" s="52">
        <f t="shared" si="7"/>
        <v>0</v>
      </c>
      <c r="BG21" s="52">
        <f t="shared" si="8"/>
        <v>0</v>
      </c>
      <c r="BH21" s="52">
        <f t="shared" si="9"/>
        <v>0</v>
      </c>
      <c r="BI21" s="52">
        <f t="shared" si="10"/>
        <v>0</v>
      </c>
    </row>
    <row r="22" spans="1:61" x14ac:dyDescent="0.3">
      <c r="A22" s="39">
        <v>18</v>
      </c>
      <c r="B22" s="44" t="s">
        <v>150</v>
      </c>
      <c r="C22" s="44" t="s">
        <v>64</v>
      </c>
      <c r="D22" s="44" t="s">
        <v>65</v>
      </c>
      <c r="E22" s="44" t="s">
        <v>153</v>
      </c>
      <c r="F22" s="44" t="s">
        <v>89</v>
      </c>
      <c r="G22" s="36" t="s">
        <v>154</v>
      </c>
      <c r="H22" s="36" t="s">
        <v>155</v>
      </c>
      <c r="I22" s="36" t="s">
        <v>156</v>
      </c>
      <c r="J22" s="36" t="s">
        <v>156</v>
      </c>
      <c r="K22" s="33" t="s">
        <v>72</v>
      </c>
      <c r="L22" s="33" t="s">
        <v>73</v>
      </c>
      <c r="M22" s="36" t="s">
        <v>74</v>
      </c>
      <c r="N22" s="36" t="s">
        <v>157</v>
      </c>
      <c r="O22" s="36" t="s">
        <v>76</v>
      </c>
      <c r="P22" s="56" t="s">
        <v>158</v>
      </c>
      <c r="Q22" s="36" t="s">
        <v>78</v>
      </c>
      <c r="R22" s="37">
        <v>100</v>
      </c>
      <c r="S22" s="33" t="s">
        <v>126</v>
      </c>
      <c r="T22" s="39">
        <v>0</v>
      </c>
      <c r="U22" s="39">
        <v>0</v>
      </c>
      <c r="V22" s="40" t="e">
        <f t="shared" si="16"/>
        <v>#DIV/0!</v>
      </c>
      <c r="W22" s="39">
        <v>0</v>
      </c>
      <c r="X22" s="39">
        <v>5</v>
      </c>
      <c r="Y22" s="40" t="e">
        <f t="shared" si="1"/>
        <v>#DIV/0!</v>
      </c>
      <c r="Z22" s="39">
        <v>0</v>
      </c>
      <c r="AA22" s="39"/>
      <c r="AB22" s="40" t="e">
        <f t="shared" si="2"/>
        <v>#DIV/0!</v>
      </c>
      <c r="AC22" s="39">
        <v>100</v>
      </c>
      <c r="AD22" s="39"/>
      <c r="AE22" s="40">
        <f t="shared" si="3"/>
        <v>0</v>
      </c>
      <c r="AF22" s="41">
        <f t="shared" si="11"/>
        <v>100</v>
      </c>
      <c r="AG22" s="41">
        <f t="shared" si="4"/>
        <v>5</v>
      </c>
      <c r="AH22" s="42" t="e">
        <f t="shared" si="5"/>
        <v>#DIV/0!</v>
      </c>
      <c r="AI22" s="43">
        <v>46113</v>
      </c>
      <c r="AJ22" s="43">
        <v>46477</v>
      </c>
      <c r="AK22" s="44" t="s">
        <v>80</v>
      </c>
      <c r="AL22" s="44" t="s">
        <v>81</v>
      </c>
      <c r="AM22" s="45" t="s">
        <v>82</v>
      </c>
      <c r="AN22" s="46">
        <v>1600000000</v>
      </c>
      <c r="AO22" s="46">
        <v>1600000000</v>
      </c>
      <c r="AP22" s="46">
        <v>1600000000</v>
      </c>
      <c r="AQ22" s="47">
        <v>0</v>
      </c>
      <c r="AR22" s="44" t="s">
        <v>159</v>
      </c>
      <c r="AS22" s="44" t="s">
        <v>80</v>
      </c>
      <c r="AT22" s="54" t="s">
        <v>99</v>
      </c>
      <c r="AU22" s="49" t="s">
        <v>831</v>
      </c>
      <c r="AV22" s="51" t="s">
        <v>832</v>
      </c>
      <c r="AW22" s="51" t="s">
        <v>834</v>
      </c>
      <c r="AZ22" s="50">
        <f t="shared" si="12"/>
        <v>100</v>
      </c>
      <c r="BA22" s="50">
        <f t="shared" si="13"/>
        <v>5</v>
      </c>
      <c r="BB22" s="117">
        <f t="shared" si="14"/>
        <v>0.05</v>
      </c>
      <c r="BC22" s="50">
        <f t="shared" si="15"/>
        <v>95</v>
      </c>
      <c r="BD22" s="51"/>
      <c r="BE22" s="52">
        <f t="shared" si="6"/>
        <v>28.5</v>
      </c>
      <c r="BF22" s="52">
        <f t="shared" si="7"/>
        <v>28.5</v>
      </c>
      <c r="BG22" s="52">
        <f t="shared" si="8"/>
        <v>28.5</v>
      </c>
      <c r="BH22" s="52">
        <f t="shared" si="9"/>
        <v>9.5</v>
      </c>
      <c r="BI22" s="52">
        <f t="shared" si="10"/>
        <v>95</v>
      </c>
    </row>
    <row r="23" spans="1:61" x14ac:dyDescent="0.3">
      <c r="A23" s="39">
        <v>19</v>
      </c>
      <c r="B23" s="44" t="s">
        <v>150</v>
      </c>
      <c r="C23" s="44" t="s">
        <v>64</v>
      </c>
      <c r="D23" s="44" t="s">
        <v>65</v>
      </c>
      <c r="E23" s="44" t="s">
        <v>153</v>
      </c>
      <c r="F23" s="44" t="s">
        <v>89</v>
      </c>
      <c r="G23" s="36" t="s">
        <v>154</v>
      </c>
      <c r="H23" s="36" t="s">
        <v>155</v>
      </c>
      <c r="I23" s="36" t="s">
        <v>156</v>
      </c>
      <c r="J23" s="36" t="s">
        <v>156</v>
      </c>
      <c r="K23" s="33" t="s">
        <v>72</v>
      </c>
      <c r="L23" s="33" t="s">
        <v>73</v>
      </c>
      <c r="M23" s="36" t="s">
        <v>74</v>
      </c>
      <c r="N23" s="36" t="s">
        <v>157</v>
      </c>
      <c r="O23" s="36" t="s">
        <v>76</v>
      </c>
      <c r="P23" s="56" t="s">
        <v>160</v>
      </c>
      <c r="Q23" s="36" t="s">
        <v>78</v>
      </c>
      <c r="R23" s="37">
        <v>100</v>
      </c>
      <c r="S23" s="33" t="s">
        <v>126</v>
      </c>
      <c r="T23" s="39">
        <v>33.299999999999997</v>
      </c>
      <c r="U23" s="39">
        <v>0</v>
      </c>
      <c r="V23" s="40">
        <f t="shared" si="16"/>
        <v>0</v>
      </c>
      <c r="W23" s="39">
        <v>33.299999999999997</v>
      </c>
      <c r="X23" s="39">
        <v>33.299999999999997</v>
      </c>
      <c r="Y23" s="40">
        <f t="shared" si="1"/>
        <v>100</v>
      </c>
      <c r="Z23" s="39">
        <v>33.299999999999997</v>
      </c>
      <c r="AA23" s="39"/>
      <c r="AB23" s="40">
        <f t="shared" si="2"/>
        <v>0</v>
      </c>
      <c r="AC23" s="39">
        <v>33.4</v>
      </c>
      <c r="AD23" s="39"/>
      <c r="AE23" s="40">
        <f t="shared" si="3"/>
        <v>0</v>
      </c>
      <c r="AF23" s="41">
        <f t="shared" si="11"/>
        <v>100</v>
      </c>
      <c r="AG23" s="41">
        <f t="shared" si="4"/>
        <v>33.299999999999997</v>
      </c>
      <c r="AH23" s="42">
        <f t="shared" si="5"/>
        <v>50</v>
      </c>
      <c r="AI23" s="43">
        <v>46113</v>
      </c>
      <c r="AJ23" s="43">
        <v>46477</v>
      </c>
      <c r="AK23" s="44" t="s">
        <v>80</v>
      </c>
      <c r="AL23" s="44" t="s">
        <v>81</v>
      </c>
      <c r="AM23" s="45" t="s">
        <v>82</v>
      </c>
      <c r="AN23" s="46">
        <v>700000000</v>
      </c>
      <c r="AO23" s="46">
        <v>700000000</v>
      </c>
      <c r="AP23" s="46">
        <v>700000000</v>
      </c>
      <c r="AQ23" s="47">
        <v>0</v>
      </c>
      <c r="AR23" s="44" t="s">
        <v>127</v>
      </c>
      <c r="AS23" s="44" t="s">
        <v>80</v>
      </c>
      <c r="AT23" s="54" t="s">
        <v>99</v>
      </c>
      <c r="AU23" s="49" t="s">
        <v>831</v>
      </c>
      <c r="AV23" s="51" t="s">
        <v>832</v>
      </c>
      <c r="AW23" s="51" t="s">
        <v>834</v>
      </c>
      <c r="AZ23" s="50">
        <f t="shared" si="12"/>
        <v>100</v>
      </c>
      <c r="BA23" s="50">
        <f t="shared" si="13"/>
        <v>33.299999999999997</v>
      </c>
      <c r="BB23" s="117">
        <f t="shared" si="14"/>
        <v>0.33299999999999996</v>
      </c>
      <c r="BC23" s="50">
        <f t="shared" si="15"/>
        <v>66.7</v>
      </c>
      <c r="BD23" s="51"/>
      <c r="BE23" s="52">
        <f t="shared" si="6"/>
        <v>20.010000000000002</v>
      </c>
      <c r="BF23" s="52">
        <f t="shared" si="7"/>
        <v>20.010000000000002</v>
      </c>
      <c r="BG23" s="52">
        <f t="shared" si="8"/>
        <v>20.010000000000002</v>
      </c>
      <c r="BH23" s="52">
        <f t="shared" si="9"/>
        <v>6.6700000000000008</v>
      </c>
      <c r="BI23" s="52">
        <f t="shared" si="10"/>
        <v>66.7</v>
      </c>
    </row>
    <row r="24" spans="1:61" x14ac:dyDescent="0.3">
      <c r="A24" s="39">
        <v>20</v>
      </c>
      <c r="B24" s="44" t="s">
        <v>150</v>
      </c>
      <c r="C24" s="44" t="s">
        <v>86</v>
      </c>
      <c r="D24" s="44" t="s">
        <v>87</v>
      </c>
      <c r="E24" s="44" t="s">
        <v>123</v>
      </c>
      <c r="F24" s="44" t="s">
        <v>161</v>
      </c>
      <c r="G24" s="36" t="s">
        <v>154</v>
      </c>
      <c r="H24" s="36" t="s">
        <v>155</v>
      </c>
      <c r="I24" s="36" t="s">
        <v>156</v>
      </c>
      <c r="J24" s="36" t="s">
        <v>156</v>
      </c>
      <c r="K24" s="33" t="s">
        <v>72</v>
      </c>
      <c r="L24" s="33" t="s">
        <v>73</v>
      </c>
      <c r="M24" s="36" t="s">
        <v>74</v>
      </c>
      <c r="N24" s="36" t="s">
        <v>157</v>
      </c>
      <c r="O24" s="36" t="s">
        <v>95</v>
      </c>
      <c r="P24" s="36" t="s">
        <v>162</v>
      </c>
      <c r="Q24" s="36" t="s">
        <v>97</v>
      </c>
      <c r="R24" s="37">
        <v>100</v>
      </c>
      <c r="S24" s="33" t="s">
        <v>126</v>
      </c>
      <c r="T24" s="39">
        <v>0</v>
      </c>
      <c r="U24" s="39">
        <v>0</v>
      </c>
      <c r="V24" s="40" t="e">
        <f t="shared" si="16"/>
        <v>#DIV/0!</v>
      </c>
      <c r="W24" s="39">
        <v>0</v>
      </c>
      <c r="X24" s="39">
        <v>0</v>
      </c>
      <c r="Y24" s="40" t="e">
        <f t="shared" si="1"/>
        <v>#DIV/0!</v>
      </c>
      <c r="Z24" s="39">
        <v>100</v>
      </c>
      <c r="AA24" s="39"/>
      <c r="AB24" s="40">
        <f t="shared" si="2"/>
        <v>0</v>
      </c>
      <c r="AC24" s="39">
        <v>0</v>
      </c>
      <c r="AD24" s="39"/>
      <c r="AE24" s="40" t="e">
        <f t="shared" si="3"/>
        <v>#DIV/0!</v>
      </c>
      <c r="AF24" s="41">
        <f t="shared" si="11"/>
        <v>100</v>
      </c>
      <c r="AG24" s="41">
        <f t="shared" si="4"/>
        <v>0</v>
      </c>
      <c r="AH24" s="42" t="e">
        <f t="shared" si="5"/>
        <v>#DIV/0!</v>
      </c>
      <c r="AI24" s="43">
        <v>46113</v>
      </c>
      <c r="AJ24" s="43">
        <v>46477</v>
      </c>
      <c r="AK24" s="44" t="s">
        <v>80</v>
      </c>
      <c r="AL24" s="44" t="s">
        <v>81</v>
      </c>
      <c r="AM24" s="45" t="s">
        <v>82</v>
      </c>
      <c r="AN24" s="46">
        <v>30000000</v>
      </c>
      <c r="AO24" s="46">
        <v>30000000</v>
      </c>
      <c r="AP24" s="46">
        <v>30000000</v>
      </c>
      <c r="AQ24" s="47">
        <v>0</v>
      </c>
      <c r="AR24" s="44" t="s">
        <v>127</v>
      </c>
      <c r="AS24" s="44" t="s">
        <v>80</v>
      </c>
      <c r="AT24" s="54" t="s">
        <v>99</v>
      </c>
      <c r="AU24" s="49" t="s">
        <v>831</v>
      </c>
      <c r="AV24" s="51" t="s">
        <v>832</v>
      </c>
      <c r="AW24" s="51" t="s">
        <v>834</v>
      </c>
      <c r="AZ24" s="50">
        <f t="shared" si="12"/>
        <v>100</v>
      </c>
      <c r="BA24" s="50">
        <f t="shared" si="13"/>
        <v>0</v>
      </c>
      <c r="BB24" s="117">
        <f t="shared" si="14"/>
        <v>0</v>
      </c>
      <c r="BC24" s="50">
        <f t="shared" si="15"/>
        <v>100</v>
      </c>
      <c r="BD24" s="51"/>
      <c r="BE24" s="52">
        <f t="shared" si="6"/>
        <v>30</v>
      </c>
      <c r="BF24" s="52">
        <f t="shared" si="7"/>
        <v>30</v>
      </c>
      <c r="BG24" s="52">
        <f t="shared" si="8"/>
        <v>30</v>
      </c>
      <c r="BH24" s="52">
        <f t="shared" si="9"/>
        <v>10</v>
      </c>
      <c r="BI24" s="52">
        <f t="shared" si="10"/>
        <v>100</v>
      </c>
    </row>
    <row r="25" spans="1:61" x14ac:dyDescent="0.3">
      <c r="A25" s="39">
        <v>21</v>
      </c>
      <c r="B25" s="44" t="s">
        <v>150</v>
      </c>
      <c r="C25" s="44" t="s">
        <v>163</v>
      </c>
      <c r="D25" s="44" t="s">
        <v>164</v>
      </c>
      <c r="E25" s="44" t="s">
        <v>66</v>
      </c>
      <c r="F25" s="44" t="s">
        <v>165</v>
      </c>
      <c r="G25" s="36" t="s">
        <v>154</v>
      </c>
      <c r="H25" s="36" t="s">
        <v>155</v>
      </c>
      <c r="I25" s="36" t="s">
        <v>156</v>
      </c>
      <c r="J25" s="36" t="s">
        <v>156</v>
      </c>
      <c r="K25" s="33" t="s">
        <v>72</v>
      </c>
      <c r="L25" s="33" t="s">
        <v>73</v>
      </c>
      <c r="M25" s="36" t="s">
        <v>74</v>
      </c>
      <c r="N25" s="36" t="s">
        <v>157</v>
      </c>
      <c r="O25" s="36" t="s">
        <v>76</v>
      </c>
      <c r="P25" s="36" t="s">
        <v>166</v>
      </c>
      <c r="Q25" s="36" t="s">
        <v>78</v>
      </c>
      <c r="R25" s="37">
        <v>100</v>
      </c>
      <c r="S25" s="33" t="s">
        <v>126</v>
      </c>
      <c r="T25" s="39">
        <v>0</v>
      </c>
      <c r="U25" s="39">
        <v>0</v>
      </c>
      <c r="V25" s="40">
        <v>0</v>
      </c>
      <c r="W25" s="39">
        <v>20</v>
      </c>
      <c r="X25" s="39">
        <v>5</v>
      </c>
      <c r="Y25" s="40">
        <f t="shared" si="1"/>
        <v>25</v>
      </c>
      <c r="Z25" s="39">
        <v>40</v>
      </c>
      <c r="AA25" s="39"/>
      <c r="AB25" s="40">
        <f t="shared" si="2"/>
        <v>0</v>
      </c>
      <c r="AC25" s="39">
        <v>40</v>
      </c>
      <c r="AD25" s="39">
        <v>0</v>
      </c>
      <c r="AE25" s="40">
        <f t="shared" si="3"/>
        <v>0</v>
      </c>
      <c r="AF25" s="41">
        <f t="shared" si="11"/>
        <v>100</v>
      </c>
      <c r="AG25" s="41">
        <f t="shared" si="4"/>
        <v>5</v>
      </c>
      <c r="AH25" s="42">
        <f t="shared" si="5"/>
        <v>8.3333333333333321</v>
      </c>
      <c r="AI25" s="43">
        <v>46113</v>
      </c>
      <c r="AJ25" s="43">
        <v>46477</v>
      </c>
      <c r="AK25" s="44" t="s">
        <v>80</v>
      </c>
      <c r="AL25" s="44" t="s">
        <v>81</v>
      </c>
      <c r="AM25" s="45" t="s">
        <v>82</v>
      </c>
      <c r="AN25" s="46">
        <v>182400000</v>
      </c>
      <c r="AO25" s="46">
        <v>182400000</v>
      </c>
      <c r="AP25" s="46">
        <v>182400000</v>
      </c>
      <c r="AQ25" s="47">
        <v>0</v>
      </c>
      <c r="AR25" s="44" t="s">
        <v>127</v>
      </c>
      <c r="AS25" s="44" t="s">
        <v>80</v>
      </c>
      <c r="AT25" s="54" t="s">
        <v>99</v>
      </c>
      <c r="AU25" s="49" t="s">
        <v>831</v>
      </c>
      <c r="AV25" s="51" t="s">
        <v>832</v>
      </c>
      <c r="AW25" s="51" t="s">
        <v>834</v>
      </c>
      <c r="AZ25" s="50">
        <f t="shared" si="12"/>
        <v>100</v>
      </c>
      <c r="BA25" s="50">
        <f t="shared" si="13"/>
        <v>5</v>
      </c>
      <c r="BB25" s="117">
        <f t="shared" si="14"/>
        <v>0.05</v>
      </c>
      <c r="BC25" s="50">
        <f t="shared" si="15"/>
        <v>95</v>
      </c>
      <c r="BD25" s="51"/>
      <c r="BE25" s="52">
        <f t="shared" si="6"/>
        <v>28.5</v>
      </c>
      <c r="BF25" s="52">
        <f t="shared" si="7"/>
        <v>28.5</v>
      </c>
      <c r="BG25" s="52">
        <f t="shared" si="8"/>
        <v>28.5</v>
      </c>
      <c r="BH25" s="52">
        <f t="shared" si="9"/>
        <v>9.5</v>
      </c>
      <c r="BI25" s="52">
        <f t="shared" si="10"/>
        <v>95</v>
      </c>
    </row>
    <row r="26" spans="1:61" x14ac:dyDescent="0.3">
      <c r="A26" s="39">
        <v>22</v>
      </c>
      <c r="B26" s="44" t="s">
        <v>150</v>
      </c>
      <c r="C26" s="44" t="s">
        <v>86</v>
      </c>
      <c r="D26" s="44" t="s">
        <v>87</v>
      </c>
      <c r="E26" s="44" t="s">
        <v>88</v>
      </c>
      <c r="F26" s="44" t="s">
        <v>89</v>
      </c>
      <c r="G26" s="36" t="s">
        <v>154</v>
      </c>
      <c r="H26" s="36" t="s">
        <v>155</v>
      </c>
      <c r="I26" s="36" t="s">
        <v>156</v>
      </c>
      <c r="J26" s="36" t="s">
        <v>156</v>
      </c>
      <c r="K26" s="33" t="s">
        <v>72</v>
      </c>
      <c r="L26" s="33" t="s">
        <v>73</v>
      </c>
      <c r="M26" s="36" t="s">
        <v>74</v>
      </c>
      <c r="N26" s="36" t="s">
        <v>157</v>
      </c>
      <c r="O26" s="36" t="s">
        <v>95</v>
      </c>
      <c r="P26" s="36" t="s">
        <v>167</v>
      </c>
      <c r="Q26" s="36" t="s">
        <v>97</v>
      </c>
      <c r="R26" s="37">
        <v>100</v>
      </c>
      <c r="S26" s="33" t="s">
        <v>126</v>
      </c>
      <c r="T26" s="39">
        <v>25</v>
      </c>
      <c r="U26" s="39">
        <v>0</v>
      </c>
      <c r="V26" s="40">
        <f t="shared" ref="V26:V37" si="17">U26/T26*100</f>
        <v>0</v>
      </c>
      <c r="W26" s="39">
        <v>25</v>
      </c>
      <c r="X26" s="39">
        <v>0</v>
      </c>
      <c r="Y26" s="40">
        <f t="shared" si="1"/>
        <v>0</v>
      </c>
      <c r="Z26" s="39">
        <v>25</v>
      </c>
      <c r="AA26" s="39"/>
      <c r="AB26" s="40">
        <f t="shared" si="2"/>
        <v>0</v>
      </c>
      <c r="AC26" s="39">
        <v>25</v>
      </c>
      <c r="AD26" s="39"/>
      <c r="AE26" s="40">
        <f t="shared" si="3"/>
        <v>0</v>
      </c>
      <c r="AF26" s="41">
        <f t="shared" si="11"/>
        <v>100</v>
      </c>
      <c r="AG26" s="41">
        <f t="shared" si="4"/>
        <v>0</v>
      </c>
      <c r="AH26" s="42">
        <f t="shared" si="5"/>
        <v>0</v>
      </c>
      <c r="AI26" s="43">
        <v>46113</v>
      </c>
      <c r="AJ26" s="43">
        <v>46477</v>
      </c>
      <c r="AK26" s="44" t="s">
        <v>80</v>
      </c>
      <c r="AL26" s="44" t="s">
        <v>81</v>
      </c>
      <c r="AM26" s="45" t="s">
        <v>82</v>
      </c>
      <c r="AN26" s="46"/>
      <c r="AO26" s="46"/>
      <c r="AP26" s="46"/>
      <c r="AQ26" s="47"/>
      <c r="AR26" s="44" t="s">
        <v>159</v>
      </c>
      <c r="AS26" s="44" t="s">
        <v>80</v>
      </c>
      <c r="AT26" s="54" t="s">
        <v>168</v>
      </c>
      <c r="AU26" s="49" t="s">
        <v>831</v>
      </c>
      <c r="AV26" s="51" t="s">
        <v>832</v>
      </c>
      <c r="AW26" s="51" t="s">
        <v>835</v>
      </c>
      <c r="AZ26" s="50">
        <f t="shared" si="12"/>
        <v>100</v>
      </c>
      <c r="BA26" s="50">
        <f t="shared" si="13"/>
        <v>0</v>
      </c>
      <c r="BB26" s="117">
        <f t="shared" si="14"/>
        <v>0</v>
      </c>
      <c r="BC26" s="50">
        <f t="shared" si="15"/>
        <v>100</v>
      </c>
      <c r="BD26" s="51"/>
      <c r="BE26" s="52">
        <f t="shared" si="6"/>
        <v>30</v>
      </c>
      <c r="BF26" s="52">
        <f t="shared" si="7"/>
        <v>30</v>
      </c>
      <c r="BG26" s="52">
        <f t="shared" si="8"/>
        <v>30</v>
      </c>
      <c r="BH26" s="52">
        <f t="shared" si="9"/>
        <v>10</v>
      </c>
      <c r="BI26" s="52">
        <f t="shared" si="10"/>
        <v>100</v>
      </c>
    </row>
    <row r="27" spans="1:61" x14ac:dyDescent="0.3">
      <c r="A27" s="39">
        <v>23</v>
      </c>
      <c r="B27" s="44" t="s">
        <v>150</v>
      </c>
      <c r="C27" s="44" t="s">
        <v>86</v>
      </c>
      <c r="D27" s="44" t="s">
        <v>87</v>
      </c>
      <c r="E27" s="44" t="s">
        <v>123</v>
      </c>
      <c r="F27" s="44" t="s">
        <v>161</v>
      </c>
      <c r="G27" s="36" t="s">
        <v>154</v>
      </c>
      <c r="H27" s="36" t="s">
        <v>155</v>
      </c>
      <c r="I27" s="36" t="s">
        <v>156</v>
      </c>
      <c r="J27" s="36" t="s">
        <v>156</v>
      </c>
      <c r="K27" s="33" t="s">
        <v>72</v>
      </c>
      <c r="L27" s="33" t="s">
        <v>73</v>
      </c>
      <c r="M27" s="36" t="s">
        <v>74</v>
      </c>
      <c r="N27" s="36" t="s">
        <v>157</v>
      </c>
      <c r="O27" s="36" t="s">
        <v>95</v>
      </c>
      <c r="P27" s="36" t="s">
        <v>169</v>
      </c>
      <c r="Q27" s="36" t="s">
        <v>97</v>
      </c>
      <c r="R27" s="37">
        <v>100</v>
      </c>
      <c r="S27" s="33" t="s">
        <v>126</v>
      </c>
      <c r="T27" s="39">
        <v>0</v>
      </c>
      <c r="U27" s="39">
        <v>0</v>
      </c>
      <c r="V27" s="40" t="e">
        <f t="shared" si="17"/>
        <v>#DIV/0!</v>
      </c>
      <c r="W27" s="39">
        <v>100</v>
      </c>
      <c r="X27" s="39">
        <v>33.299999999999997</v>
      </c>
      <c r="Y27" s="40">
        <f t="shared" si="1"/>
        <v>33.299999999999997</v>
      </c>
      <c r="Z27" s="39">
        <v>0</v>
      </c>
      <c r="AA27" s="39"/>
      <c r="AB27" s="40" t="e">
        <f t="shared" si="2"/>
        <v>#DIV/0!</v>
      </c>
      <c r="AC27" s="39">
        <v>0</v>
      </c>
      <c r="AD27" s="39"/>
      <c r="AE27" s="40" t="e">
        <f t="shared" si="3"/>
        <v>#DIV/0!</v>
      </c>
      <c r="AF27" s="41">
        <f t="shared" si="11"/>
        <v>100</v>
      </c>
      <c r="AG27" s="41">
        <f t="shared" si="4"/>
        <v>33.299999999999997</v>
      </c>
      <c r="AH27" s="42">
        <f t="shared" si="5"/>
        <v>33.299999999999997</v>
      </c>
      <c r="AI27" s="43">
        <v>46113</v>
      </c>
      <c r="AJ27" s="43">
        <v>46477</v>
      </c>
      <c r="AK27" s="44" t="s">
        <v>80</v>
      </c>
      <c r="AL27" s="44" t="s">
        <v>81</v>
      </c>
      <c r="AM27" s="45" t="s">
        <v>82</v>
      </c>
      <c r="AN27" s="46">
        <v>140000000</v>
      </c>
      <c r="AO27" s="46">
        <v>140000000</v>
      </c>
      <c r="AP27" s="46">
        <v>140000000</v>
      </c>
      <c r="AQ27" s="47">
        <v>0</v>
      </c>
      <c r="AR27" s="44" t="s">
        <v>159</v>
      </c>
      <c r="AS27" s="44" t="s">
        <v>80</v>
      </c>
      <c r="AT27" s="54" t="s">
        <v>168</v>
      </c>
      <c r="AU27" s="49" t="s">
        <v>831</v>
      </c>
      <c r="AV27" s="51" t="s">
        <v>832</v>
      </c>
      <c r="AW27" s="51" t="s">
        <v>835</v>
      </c>
      <c r="AZ27" s="50">
        <f t="shared" si="12"/>
        <v>100</v>
      </c>
      <c r="BA27" s="50">
        <f t="shared" si="13"/>
        <v>33.299999999999997</v>
      </c>
      <c r="BB27" s="117">
        <f t="shared" si="14"/>
        <v>0.33299999999999996</v>
      </c>
      <c r="BC27" s="50">
        <f t="shared" si="15"/>
        <v>66.7</v>
      </c>
      <c r="BD27" s="51"/>
      <c r="BE27" s="52">
        <f t="shared" si="6"/>
        <v>20.010000000000002</v>
      </c>
      <c r="BF27" s="52">
        <f t="shared" si="7"/>
        <v>20.010000000000002</v>
      </c>
      <c r="BG27" s="52">
        <f t="shared" si="8"/>
        <v>20.010000000000002</v>
      </c>
      <c r="BH27" s="52">
        <f t="shared" si="9"/>
        <v>6.6700000000000008</v>
      </c>
      <c r="BI27" s="52">
        <f t="shared" si="10"/>
        <v>66.7</v>
      </c>
    </row>
    <row r="28" spans="1:61" x14ac:dyDescent="0.3">
      <c r="A28" s="39">
        <v>24</v>
      </c>
      <c r="B28" s="44" t="s">
        <v>150</v>
      </c>
      <c r="C28" s="44" t="s">
        <v>64</v>
      </c>
      <c r="D28" s="44" t="s">
        <v>65</v>
      </c>
      <c r="E28" s="44" t="s">
        <v>66</v>
      </c>
      <c r="F28" s="44" t="s">
        <v>170</v>
      </c>
      <c r="G28" s="36" t="s">
        <v>132</v>
      </c>
      <c r="H28" s="36" t="s">
        <v>171</v>
      </c>
      <c r="I28" s="36" t="s">
        <v>156</v>
      </c>
      <c r="J28" s="36" t="s">
        <v>156</v>
      </c>
      <c r="K28" s="33" t="s">
        <v>72</v>
      </c>
      <c r="L28" s="33" t="s">
        <v>73</v>
      </c>
      <c r="M28" s="36" t="s">
        <v>74</v>
      </c>
      <c r="N28" s="36" t="s">
        <v>157</v>
      </c>
      <c r="O28" s="36" t="s">
        <v>76</v>
      </c>
      <c r="P28" s="36" t="s">
        <v>172</v>
      </c>
      <c r="Q28" s="36" t="s">
        <v>78</v>
      </c>
      <c r="R28" s="37">
        <v>29</v>
      </c>
      <c r="S28" s="33" t="s">
        <v>79</v>
      </c>
      <c r="T28" s="39">
        <v>0</v>
      </c>
      <c r="U28" s="39">
        <v>0</v>
      </c>
      <c r="V28" s="40" t="e">
        <f t="shared" si="17"/>
        <v>#DIV/0!</v>
      </c>
      <c r="W28" s="39">
        <v>0</v>
      </c>
      <c r="X28" s="39">
        <v>0</v>
      </c>
      <c r="Y28" s="40" t="e">
        <f t="shared" si="1"/>
        <v>#DIV/0!</v>
      </c>
      <c r="Z28" s="39">
        <v>29</v>
      </c>
      <c r="AA28" s="39"/>
      <c r="AB28" s="40">
        <f t="shared" si="2"/>
        <v>0</v>
      </c>
      <c r="AC28" s="39">
        <v>0</v>
      </c>
      <c r="AD28" s="39"/>
      <c r="AE28" s="40" t="e">
        <f t="shared" si="3"/>
        <v>#DIV/0!</v>
      </c>
      <c r="AF28" s="41">
        <f t="shared" si="11"/>
        <v>29</v>
      </c>
      <c r="AG28" s="41">
        <f t="shared" si="4"/>
        <v>0</v>
      </c>
      <c r="AH28" s="42" t="e">
        <f t="shared" si="5"/>
        <v>#DIV/0!</v>
      </c>
      <c r="AI28" s="43">
        <v>46113</v>
      </c>
      <c r="AJ28" s="43">
        <v>46477</v>
      </c>
      <c r="AK28" s="44" t="s">
        <v>80</v>
      </c>
      <c r="AL28" s="44" t="s">
        <v>81</v>
      </c>
      <c r="AM28" s="45" t="s">
        <v>82</v>
      </c>
      <c r="AN28" s="46">
        <v>60000000</v>
      </c>
      <c r="AO28" s="46">
        <v>60000000</v>
      </c>
      <c r="AP28" s="46">
        <v>60000000</v>
      </c>
      <c r="AQ28" s="47">
        <v>0</v>
      </c>
      <c r="AR28" s="44" t="s">
        <v>127</v>
      </c>
      <c r="AS28" s="44" t="s">
        <v>80</v>
      </c>
      <c r="AT28" s="54" t="s">
        <v>168</v>
      </c>
      <c r="AU28" s="49" t="s">
        <v>831</v>
      </c>
      <c r="AV28" s="51" t="s">
        <v>832</v>
      </c>
      <c r="AW28" s="51" t="s">
        <v>835</v>
      </c>
      <c r="AZ28" s="50">
        <f t="shared" si="12"/>
        <v>29</v>
      </c>
      <c r="BA28" s="50">
        <f t="shared" si="13"/>
        <v>0</v>
      </c>
      <c r="BB28" s="117">
        <f t="shared" si="14"/>
        <v>0</v>
      </c>
      <c r="BC28" s="50">
        <f t="shared" si="15"/>
        <v>29</v>
      </c>
      <c r="BD28" s="51"/>
      <c r="BE28" s="52">
        <f t="shared" si="6"/>
        <v>8.6999999999999993</v>
      </c>
      <c r="BF28" s="52">
        <f t="shared" si="7"/>
        <v>8.6999999999999993</v>
      </c>
      <c r="BG28" s="52">
        <f t="shared" si="8"/>
        <v>8.6999999999999993</v>
      </c>
      <c r="BH28" s="52">
        <f t="shared" si="9"/>
        <v>2.9000000000000004</v>
      </c>
      <c r="BI28" s="52">
        <f t="shared" si="10"/>
        <v>29</v>
      </c>
    </row>
    <row r="29" spans="1:61" x14ac:dyDescent="0.3">
      <c r="A29" s="39">
        <v>25</v>
      </c>
      <c r="B29" s="44" t="s">
        <v>150</v>
      </c>
      <c r="C29" s="44" t="s">
        <v>64</v>
      </c>
      <c r="D29" s="44" t="s">
        <v>65</v>
      </c>
      <c r="E29" s="44" t="s">
        <v>173</v>
      </c>
      <c r="F29" s="44" t="s">
        <v>170</v>
      </c>
      <c r="G29" s="36" t="s">
        <v>132</v>
      </c>
      <c r="H29" s="36" t="s">
        <v>171</v>
      </c>
      <c r="I29" s="36" t="s">
        <v>156</v>
      </c>
      <c r="J29" s="36" t="s">
        <v>156</v>
      </c>
      <c r="K29" s="33" t="s">
        <v>72</v>
      </c>
      <c r="L29" s="33" t="s">
        <v>73</v>
      </c>
      <c r="M29" s="36" t="s">
        <v>74</v>
      </c>
      <c r="N29" s="36" t="s">
        <v>157</v>
      </c>
      <c r="O29" s="36" t="s">
        <v>76</v>
      </c>
      <c r="P29" s="36" t="s">
        <v>174</v>
      </c>
      <c r="Q29" s="36" t="s">
        <v>78</v>
      </c>
      <c r="R29" s="37">
        <v>29</v>
      </c>
      <c r="S29" s="33" t="s">
        <v>79</v>
      </c>
      <c r="T29" s="39">
        <v>0</v>
      </c>
      <c r="U29" s="39">
        <v>0</v>
      </c>
      <c r="V29" s="40" t="e">
        <f t="shared" si="17"/>
        <v>#DIV/0!</v>
      </c>
      <c r="W29" s="39">
        <v>0</v>
      </c>
      <c r="X29" s="39">
        <v>0</v>
      </c>
      <c r="Y29" s="40" t="e">
        <f t="shared" si="1"/>
        <v>#DIV/0!</v>
      </c>
      <c r="Z29" s="39">
        <v>29</v>
      </c>
      <c r="AA29" s="39"/>
      <c r="AB29" s="40">
        <f t="shared" si="2"/>
        <v>0</v>
      </c>
      <c r="AC29" s="39">
        <v>0</v>
      </c>
      <c r="AD29" s="39"/>
      <c r="AE29" s="40" t="e">
        <f t="shared" si="3"/>
        <v>#DIV/0!</v>
      </c>
      <c r="AF29" s="41">
        <f t="shared" si="11"/>
        <v>29</v>
      </c>
      <c r="AG29" s="41">
        <f t="shared" si="4"/>
        <v>0</v>
      </c>
      <c r="AH29" s="42" t="e">
        <f t="shared" si="5"/>
        <v>#DIV/0!</v>
      </c>
      <c r="AI29" s="43">
        <v>46113</v>
      </c>
      <c r="AJ29" s="43">
        <v>46477</v>
      </c>
      <c r="AK29" s="44" t="s">
        <v>80</v>
      </c>
      <c r="AL29" s="44" t="s">
        <v>81</v>
      </c>
      <c r="AM29" s="45" t="s">
        <v>82</v>
      </c>
      <c r="AN29" s="46">
        <v>100000000</v>
      </c>
      <c r="AO29" s="46">
        <v>100000000</v>
      </c>
      <c r="AP29" s="46">
        <v>100000000</v>
      </c>
      <c r="AQ29" s="47">
        <v>0</v>
      </c>
      <c r="AR29" s="44" t="s">
        <v>175</v>
      </c>
      <c r="AS29" s="44" t="s">
        <v>80</v>
      </c>
      <c r="AT29" s="54" t="s">
        <v>168</v>
      </c>
      <c r="AU29" s="49" t="s">
        <v>831</v>
      </c>
      <c r="AV29" s="51" t="s">
        <v>832</v>
      </c>
      <c r="AW29" s="51" t="s">
        <v>835</v>
      </c>
      <c r="AZ29" s="50">
        <f t="shared" si="12"/>
        <v>29</v>
      </c>
      <c r="BA29" s="50">
        <f t="shared" si="13"/>
        <v>0</v>
      </c>
      <c r="BB29" s="117">
        <f t="shared" si="14"/>
        <v>0</v>
      </c>
      <c r="BC29" s="50">
        <f t="shared" si="15"/>
        <v>29</v>
      </c>
      <c r="BD29" s="51"/>
      <c r="BE29" s="52">
        <f t="shared" si="6"/>
        <v>8.6999999999999993</v>
      </c>
      <c r="BF29" s="52">
        <f t="shared" si="7"/>
        <v>8.6999999999999993</v>
      </c>
      <c r="BG29" s="52">
        <f t="shared" si="8"/>
        <v>8.6999999999999993</v>
      </c>
      <c r="BH29" s="52">
        <f t="shared" si="9"/>
        <v>2.9000000000000004</v>
      </c>
      <c r="BI29" s="52">
        <f t="shared" si="10"/>
        <v>29</v>
      </c>
    </row>
    <row r="30" spans="1:61" x14ac:dyDescent="0.3">
      <c r="A30" s="39">
        <v>26</v>
      </c>
      <c r="B30" s="44" t="s">
        <v>150</v>
      </c>
      <c r="C30" s="44" t="s">
        <v>64</v>
      </c>
      <c r="D30" s="44" t="s">
        <v>65</v>
      </c>
      <c r="E30" s="44" t="s">
        <v>66</v>
      </c>
      <c r="F30" s="44" t="s">
        <v>170</v>
      </c>
      <c r="G30" s="36" t="s">
        <v>132</v>
      </c>
      <c r="H30" s="36" t="s">
        <v>171</v>
      </c>
      <c r="I30" s="36" t="s">
        <v>156</v>
      </c>
      <c r="J30" s="36" t="s">
        <v>156</v>
      </c>
      <c r="K30" s="33" t="s">
        <v>72</v>
      </c>
      <c r="L30" s="33" t="s">
        <v>73</v>
      </c>
      <c r="M30" s="36" t="s">
        <v>74</v>
      </c>
      <c r="N30" s="36" t="s">
        <v>157</v>
      </c>
      <c r="O30" s="36" t="s">
        <v>76</v>
      </c>
      <c r="P30" s="36" t="s">
        <v>176</v>
      </c>
      <c r="Q30" s="36" t="s">
        <v>78</v>
      </c>
      <c r="R30" s="37">
        <v>29</v>
      </c>
      <c r="S30" s="33" t="s">
        <v>79</v>
      </c>
      <c r="T30" s="39">
        <v>0</v>
      </c>
      <c r="U30" s="39">
        <v>0</v>
      </c>
      <c r="V30" s="40" t="e">
        <f t="shared" si="17"/>
        <v>#DIV/0!</v>
      </c>
      <c r="W30" s="39">
        <v>0</v>
      </c>
      <c r="X30" s="39">
        <v>0</v>
      </c>
      <c r="Y30" s="40" t="e">
        <f t="shared" si="1"/>
        <v>#DIV/0!</v>
      </c>
      <c r="Z30" s="39">
        <v>29</v>
      </c>
      <c r="AA30" s="39"/>
      <c r="AB30" s="40">
        <f t="shared" si="2"/>
        <v>0</v>
      </c>
      <c r="AC30" s="39">
        <v>0</v>
      </c>
      <c r="AD30" s="39"/>
      <c r="AE30" s="40" t="e">
        <f t="shared" si="3"/>
        <v>#DIV/0!</v>
      </c>
      <c r="AF30" s="41">
        <f t="shared" si="11"/>
        <v>29</v>
      </c>
      <c r="AG30" s="41">
        <f t="shared" si="4"/>
        <v>0</v>
      </c>
      <c r="AH30" s="42" t="e">
        <f t="shared" si="5"/>
        <v>#DIV/0!</v>
      </c>
      <c r="AI30" s="43">
        <v>46054</v>
      </c>
      <c r="AJ30" s="43">
        <v>46477</v>
      </c>
      <c r="AK30" s="44" t="s">
        <v>80</v>
      </c>
      <c r="AL30" s="44" t="s">
        <v>81</v>
      </c>
      <c r="AM30" s="45" t="s">
        <v>82</v>
      </c>
      <c r="AN30" s="46">
        <v>80000000</v>
      </c>
      <c r="AO30" s="46">
        <v>80000000</v>
      </c>
      <c r="AP30" s="46">
        <v>80000000</v>
      </c>
      <c r="AQ30" s="47">
        <v>0</v>
      </c>
      <c r="AR30" s="44" t="s">
        <v>159</v>
      </c>
      <c r="AS30" s="44" t="s">
        <v>80</v>
      </c>
      <c r="AT30" s="54" t="s">
        <v>168</v>
      </c>
      <c r="AU30" s="49" t="s">
        <v>831</v>
      </c>
      <c r="AV30" s="51" t="s">
        <v>832</v>
      </c>
      <c r="AW30" s="51" t="s">
        <v>835</v>
      </c>
      <c r="AZ30" s="50">
        <f t="shared" si="12"/>
        <v>29</v>
      </c>
      <c r="BA30" s="50">
        <f t="shared" si="13"/>
        <v>0</v>
      </c>
      <c r="BB30" s="117">
        <f t="shared" si="14"/>
        <v>0</v>
      </c>
      <c r="BC30" s="50">
        <f t="shared" si="15"/>
        <v>29</v>
      </c>
      <c r="BD30" s="51"/>
      <c r="BE30" s="52">
        <f t="shared" si="6"/>
        <v>8.6999999999999993</v>
      </c>
      <c r="BF30" s="52">
        <f t="shared" si="7"/>
        <v>8.6999999999999993</v>
      </c>
      <c r="BG30" s="52">
        <f t="shared" si="8"/>
        <v>8.6999999999999993</v>
      </c>
      <c r="BH30" s="52">
        <f t="shared" si="9"/>
        <v>2.9000000000000004</v>
      </c>
      <c r="BI30" s="52">
        <f t="shared" si="10"/>
        <v>29</v>
      </c>
    </row>
    <row r="31" spans="1:61" x14ac:dyDescent="0.3">
      <c r="A31" s="39">
        <v>27</v>
      </c>
      <c r="B31" s="44" t="s">
        <v>150</v>
      </c>
      <c r="C31" s="44" t="s">
        <v>86</v>
      </c>
      <c r="D31" s="44" t="s">
        <v>87</v>
      </c>
      <c r="E31" s="44" t="s">
        <v>88</v>
      </c>
      <c r="F31" s="44" t="s">
        <v>89</v>
      </c>
      <c r="G31" s="36" t="s">
        <v>132</v>
      </c>
      <c r="H31" s="36" t="s">
        <v>171</v>
      </c>
      <c r="I31" s="36" t="s">
        <v>156</v>
      </c>
      <c r="J31" s="36" t="s">
        <v>156</v>
      </c>
      <c r="K31" s="33" t="s">
        <v>72</v>
      </c>
      <c r="L31" s="33" t="s">
        <v>73</v>
      </c>
      <c r="M31" s="36" t="s">
        <v>74</v>
      </c>
      <c r="N31" s="36" t="s">
        <v>157</v>
      </c>
      <c r="O31" s="36" t="s">
        <v>95</v>
      </c>
      <c r="P31" s="36" t="s">
        <v>177</v>
      </c>
      <c r="Q31" s="36" t="s">
        <v>97</v>
      </c>
      <c r="R31" s="37">
        <v>50</v>
      </c>
      <c r="S31" s="33" t="s">
        <v>126</v>
      </c>
      <c r="T31" s="39">
        <v>12.5</v>
      </c>
      <c r="U31" s="39">
        <v>12.5</v>
      </c>
      <c r="V31" s="40">
        <f t="shared" si="17"/>
        <v>100</v>
      </c>
      <c r="W31" s="39">
        <v>12.5</v>
      </c>
      <c r="X31" s="39">
        <v>12.5</v>
      </c>
      <c r="Y31" s="40">
        <f t="shared" si="1"/>
        <v>100</v>
      </c>
      <c r="Z31" s="39">
        <v>12.5</v>
      </c>
      <c r="AA31" s="39"/>
      <c r="AB31" s="40">
        <f t="shared" si="2"/>
        <v>0</v>
      </c>
      <c r="AC31" s="39">
        <v>12.5</v>
      </c>
      <c r="AD31" s="39"/>
      <c r="AE31" s="40">
        <f t="shared" si="3"/>
        <v>0</v>
      </c>
      <c r="AF31" s="41">
        <f t="shared" si="11"/>
        <v>50</v>
      </c>
      <c r="AG31" s="41">
        <f t="shared" si="4"/>
        <v>25</v>
      </c>
      <c r="AH31" s="42">
        <f t="shared" si="5"/>
        <v>100</v>
      </c>
      <c r="AI31" s="43">
        <v>46113</v>
      </c>
      <c r="AJ31" s="43">
        <v>46477</v>
      </c>
      <c r="AK31" s="44" t="s">
        <v>80</v>
      </c>
      <c r="AL31" s="44" t="s">
        <v>81</v>
      </c>
      <c r="AM31" s="45" t="s">
        <v>82</v>
      </c>
      <c r="AN31" s="46"/>
      <c r="AO31" s="46"/>
      <c r="AP31" s="46"/>
      <c r="AQ31" s="47"/>
      <c r="AR31" s="44" t="s">
        <v>159</v>
      </c>
      <c r="AS31" s="44" t="s">
        <v>80</v>
      </c>
      <c r="AT31" s="54" t="s">
        <v>168</v>
      </c>
      <c r="AU31" s="49" t="s">
        <v>831</v>
      </c>
      <c r="AV31" s="51" t="s">
        <v>832</v>
      </c>
      <c r="AW31" s="51" t="s">
        <v>835</v>
      </c>
      <c r="AZ31" s="50">
        <f t="shared" si="12"/>
        <v>50</v>
      </c>
      <c r="BA31" s="50">
        <f t="shared" si="13"/>
        <v>25</v>
      </c>
      <c r="BB31" s="117">
        <f t="shared" si="14"/>
        <v>0.5</v>
      </c>
      <c r="BC31" s="50">
        <f t="shared" si="15"/>
        <v>25</v>
      </c>
      <c r="BD31" s="51"/>
      <c r="BE31" s="52">
        <f t="shared" si="6"/>
        <v>7.5</v>
      </c>
      <c r="BF31" s="52">
        <f t="shared" si="7"/>
        <v>7.5</v>
      </c>
      <c r="BG31" s="52">
        <f t="shared" si="8"/>
        <v>7.5</v>
      </c>
      <c r="BH31" s="52">
        <f t="shared" si="9"/>
        <v>2.5</v>
      </c>
      <c r="BI31" s="52">
        <f t="shared" si="10"/>
        <v>25</v>
      </c>
    </row>
    <row r="32" spans="1:61" x14ac:dyDescent="0.3">
      <c r="A32" s="39">
        <v>28</v>
      </c>
      <c r="B32" s="44" t="s">
        <v>150</v>
      </c>
      <c r="C32" s="44" t="s">
        <v>86</v>
      </c>
      <c r="D32" s="44" t="s">
        <v>87</v>
      </c>
      <c r="E32" s="44" t="s">
        <v>88</v>
      </c>
      <c r="F32" s="44" t="s">
        <v>89</v>
      </c>
      <c r="G32" s="36" t="s">
        <v>132</v>
      </c>
      <c r="H32" s="36" t="s">
        <v>171</v>
      </c>
      <c r="I32" s="36" t="s">
        <v>178</v>
      </c>
      <c r="J32" s="36" t="s">
        <v>178</v>
      </c>
      <c r="K32" s="33" t="s">
        <v>72</v>
      </c>
      <c r="L32" s="33" t="s">
        <v>73</v>
      </c>
      <c r="M32" s="36" t="s">
        <v>74</v>
      </c>
      <c r="N32" s="36" t="s">
        <v>157</v>
      </c>
      <c r="O32" s="36" t="s">
        <v>95</v>
      </c>
      <c r="P32" s="36" t="s">
        <v>179</v>
      </c>
      <c r="Q32" s="36" t="s">
        <v>97</v>
      </c>
      <c r="R32" s="37">
        <v>100</v>
      </c>
      <c r="S32" s="33" t="s">
        <v>126</v>
      </c>
      <c r="T32" s="39">
        <v>25</v>
      </c>
      <c r="U32" s="39">
        <v>25</v>
      </c>
      <c r="V32" s="40">
        <f t="shared" si="17"/>
        <v>100</v>
      </c>
      <c r="W32" s="39">
        <v>25</v>
      </c>
      <c r="X32" s="39">
        <v>25</v>
      </c>
      <c r="Y32" s="40">
        <f t="shared" si="1"/>
        <v>100</v>
      </c>
      <c r="Z32" s="39">
        <v>25</v>
      </c>
      <c r="AA32" s="39"/>
      <c r="AB32" s="40">
        <f t="shared" si="2"/>
        <v>0</v>
      </c>
      <c r="AC32" s="39">
        <v>25</v>
      </c>
      <c r="AD32" s="39"/>
      <c r="AE32" s="40">
        <f t="shared" si="3"/>
        <v>0</v>
      </c>
      <c r="AF32" s="41">
        <f t="shared" si="11"/>
        <v>100</v>
      </c>
      <c r="AG32" s="41">
        <f t="shared" si="4"/>
        <v>50</v>
      </c>
      <c r="AH32" s="42">
        <f t="shared" si="5"/>
        <v>100</v>
      </c>
      <c r="AI32" s="43">
        <v>46113</v>
      </c>
      <c r="AJ32" s="43">
        <v>46477</v>
      </c>
      <c r="AK32" s="44" t="s">
        <v>80</v>
      </c>
      <c r="AL32" s="44" t="s">
        <v>81</v>
      </c>
      <c r="AM32" s="45" t="s">
        <v>82</v>
      </c>
      <c r="AN32" s="46"/>
      <c r="AO32" s="46"/>
      <c r="AP32" s="46"/>
      <c r="AQ32" s="47"/>
      <c r="AR32" s="44" t="s">
        <v>159</v>
      </c>
      <c r="AS32" s="44" t="s">
        <v>80</v>
      </c>
      <c r="AT32" s="54" t="s">
        <v>168</v>
      </c>
      <c r="AU32" s="49" t="s">
        <v>831</v>
      </c>
      <c r="AV32" s="51" t="s">
        <v>832</v>
      </c>
      <c r="AW32" s="51" t="s">
        <v>835</v>
      </c>
      <c r="AZ32" s="50">
        <f t="shared" si="12"/>
        <v>100</v>
      </c>
      <c r="BA32" s="50">
        <f t="shared" si="13"/>
        <v>50</v>
      </c>
      <c r="BB32" s="117">
        <f t="shared" si="14"/>
        <v>0.5</v>
      </c>
      <c r="BC32" s="50">
        <f t="shared" si="15"/>
        <v>50</v>
      </c>
      <c r="BD32" s="51"/>
      <c r="BE32" s="52">
        <f t="shared" si="6"/>
        <v>15</v>
      </c>
      <c r="BF32" s="52">
        <f t="shared" si="7"/>
        <v>15</v>
      </c>
      <c r="BG32" s="52">
        <f t="shared" si="8"/>
        <v>15</v>
      </c>
      <c r="BH32" s="52">
        <f t="shared" si="9"/>
        <v>5</v>
      </c>
      <c r="BI32" s="52">
        <f t="shared" si="10"/>
        <v>50</v>
      </c>
    </row>
    <row r="33" spans="1:61" x14ac:dyDescent="0.3">
      <c r="A33" s="39">
        <v>29</v>
      </c>
      <c r="B33" s="44" t="s">
        <v>150</v>
      </c>
      <c r="C33" s="44" t="s">
        <v>101</v>
      </c>
      <c r="D33" s="44" t="s">
        <v>87</v>
      </c>
      <c r="E33" s="44" t="s">
        <v>180</v>
      </c>
      <c r="F33" s="44" t="s">
        <v>144</v>
      </c>
      <c r="G33" s="36" t="s">
        <v>132</v>
      </c>
      <c r="H33" s="36" t="s">
        <v>171</v>
      </c>
      <c r="I33" s="36" t="s">
        <v>156</v>
      </c>
      <c r="J33" s="36" t="s">
        <v>156</v>
      </c>
      <c r="K33" s="33" t="s">
        <v>72</v>
      </c>
      <c r="L33" s="33" t="s">
        <v>73</v>
      </c>
      <c r="M33" s="36" t="s">
        <v>74</v>
      </c>
      <c r="N33" s="36" t="s">
        <v>157</v>
      </c>
      <c r="O33" s="36" t="s">
        <v>95</v>
      </c>
      <c r="P33" s="36" t="s">
        <v>181</v>
      </c>
      <c r="Q33" s="36" t="s">
        <v>97</v>
      </c>
      <c r="R33" s="37">
        <v>1</v>
      </c>
      <c r="S33" s="33" t="s">
        <v>79</v>
      </c>
      <c r="T33" s="39">
        <v>0</v>
      </c>
      <c r="U33" s="39">
        <v>0</v>
      </c>
      <c r="V33" s="40" t="e">
        <f t="shared" si="17"/>
        <v>#DIV/0!</v>
      </c>
      <c r="W33" s="39">
        <v>0</v>
      </c>
      <c r="X33" s="39">
        <v>0</v>
      </c>
      <c r="Y33" s="40" t="e">
        <f t="shared" si="1"/>
        <v>#DIV/0!</v>
      </c>
      <c r="Z33" s="39">
        <v>1</v>
      </c>
      <c r="AA33" s="39"/>
      <c r="AB33" s="40">
        <f t="shared" si="2"/>
        <v>0</v>
      </c>
      <c r="AC33" s="39">
        <v>0</v>
      </c>
      <c r="AD33" s="39"/>
      <c r="AE33" s="40" t="e">
        <f t="shared" si="3"/>
        <v>#DIV/0!</v>
      </c>
      <c r="AF33" s="41">
        <f t="shared" si="11"/>
        <v>1</v>
      </c>
      <c r="AG33" s="41">
        <f t="shared" si="4"/>
        <v>0</v>
      </c>
      <c r="AH33" s="42" t="e">
        <f t="shared" si="5"/>
        <v>#DIV/0!</v>
      </c>
      <c r="AI33" s="43">
        <v>46113</v>
      </c>
      <c r="AJ33" s="43">
        <v>46477</v>
      </c>
      <c r="AK33" s="44" t="s">
        <v>80</v>
      </c>
      <c r="AL33" s="44" t="s">
        <v>81</v>
      </c>
      <c r="AM33" s="45" t="s">
        <v>82</v>
      </c>
      <c r="AN33" s="46">
        <v>40000000</v>
      </c>
      <c r="AO33" s="46">
        <v>40000000</v>
      </c>
      <c r="AP33" s="46">
        <v>40000000</v>
      </c>
      <c r="AQ33" s="47">
        <v>0</v>
      </c>
      <c r="AR33" s="44" t="s">
        <v>159</v>
      </c>
      <c r="AS33" s="44" t="s">
        <v>80</v>
      </c>
      <c r="AT33" s="54" t="s">
        <v>168</v>
      </c>
      <c r="AU33" s="49" t="s">
        <v>831</v>
      </c>
      <c r="AV33" s="51" t="s">
        <v>832</v>
      </c>
      <c r="AW33" s="51" t="s">
        <v>835</v>
      </c>
      <c r="AZ33" s="50">
        <f t="shared" si="12"/>
        <v>1</v>
      </c>
      <c r="BA33" s="50">
        <f t="shared" si="13"/>
        <v>0</v>
      </c>
      <c r="BB33" s="117">
        <f t="shared" si="14"/>
        <v>0</v>
      </c>
      <c r="BC33" s="50">
        <f t="shared" si="15"/>
        <v>1</v>
      </c>
      <c r="BD33" s="51"/>
      <c r="BE33" s="52">
        <f t="shared" si="6"/>
        <v>0.3</v>
      </c>
      <c r="BF33" s="52">
        <f t="shared" si="7"/>
        <v>0.3</v>
      </c>
      <c r="BG33" s="52">
        <f t="shared" si="8"/>
        <v>0.3</v>
      </c>
      <c r="BH33" s="52">
        <f t="shared" si="9"/>
        <v>0.1</v>
      </c>
      <c r="BI33" s="52">
        <f t="shared" si="10"/>
        <v>0.99999999999999989</v>
      </c>
    </row>
    <row r="34" spans="1:61" x14ac:dyDescent="0.3">
      <c r="A34" s="39">
        <v>30</v>
      </c>
      <c r="B34" s="44" t="s">
        <v>150</v>
      </c>
      <c r="C34" s="44" t="s">
        <v>101</v>
      </c>
      <c r="D34" s="44" t="s">
        <v>87</v>
      </c>
      <c r="E34" s="44" t="s">
        <v>180</v>
      </c>
      <c r="F34" s="44" t="s">
        <v>144</v>
      </c>
      <c r="G34" s="36" t="s">
        <v>154</v>
      </c>
      <c r="H34" s="36" t="s">
        <v>155</v>
      </c>
      <c r="I34" s="36" t="s">
        <v>156</v>
      </c>
      <c r="J34" s="36" t="s">
        <v>156</v>
      </c>
      <c r="K34" s="33" t="s">
        <v>72</v>
      </c>
      <c r="L34" s="33" t="s">
        <v>73</v>
      </c>
      <c r="M34" s="36" t="s">
        <v>74</v>
      </c>
      <c r="N34" s="36" t="s">
        <v>157</v>
      </c>
      <c r="O34" s="36" t="s">
        <v>95</v>
      </c>
      <c r="P34" s="55" t="s">
        <v>182</v>
      </c>
      <c r="Q34" s="36" t="s">
        <v>97</v>
      </c>
      <c r="R34" s="37">
        <v>1</v>
      </c>
      <c r="S34" s="33" t="s">
        <v>79</v>
      </c>
      <c r="T34" s="39">
        <v>0</v>
      </c>
      <c r="U34" s="39">
        <v>0</v>
      </c>
      <c r="V34" s="40" t="e">
        <f t="shared" si="17"/>
        <v>#DIV/0!</v>
      </c>
      <c r="W34" s="39">
        <v>0</v>
      </c>
      <c r="X34" s="39">
        <v>1</v>
      </c>
      <c r="Y34" s="40" t="e">
        <f t="shared" si="1"/>
        <v>#DIV/0!</v>
      </c>
      <c r="Z34" s="39">
        <v>0</v>
      </c>
      <c r="AA34" s="39">
        <v>0</v>
      </c>
      <c r="AB34" s="40" t="e">
        <f t="shared" si="2"/>
        <v>#DIV/0!</v>
      </c>
      <c r="AC34" s="39">
        <v>1</v>
      </c>
      <c r="AD34" s="39">
        <v>0</v>
      </c>
      <c r="AE34" s="40">
        <f t="shared" si="3"/>
        <v>0</v>
      </c>
      <c r="AF34" s="41">
        <f t="shared" si="11"/>
        <v>1</v>
      </c>
      <c r="AG34" s="41">
        <f t="shared" si="4"/>
        <v>1</v>
      </c>
      <c r="AH34" s="42">
        <f t="shared" si="5"/>
        <v>100</v>
      </c>
      <c r="AI34" s="43">
        <v>46113</v>
      </c>
      <c r="AJ34" s="43">
        <v>46477</v>
      </c>
      <c r="AK34" s="44" t="s">
        <v>80</v>
      </c>
      <c r="AL34" s="44" t="s">
        <v>81</v>
      </c>
      <c r="AM34" s="45" t="s">
        <v>82</v>
      </c>
      <c r="AN34" s="46">
        <v>40000000</v>
      </c>
      <c r="AO34" s="46">
        <v>40000000</v>
      </c>
      <c r="AP34" s="46">
        <v>40000000</v>
      </c>
      <c r="AQ34" s="47">
        <f>AO34</f>
        <v>40000000</v>
      </c>
      <c r="AR34" s="44" t="s">
        <v>159</v>
      </c>
      <c r="AS34" s="44" t="s">
        <v>80</v>
      </c>
      <c r="AT34" s="54" t="s">
        <v>168</v>
      </c>
      <c r="AU34" s="49" t="s">
        <v>831</v>
      </c>
      <c r="AV34" s="51" t="s">
        <v>832</v>
      </c>
      <c r="AW34" s="51" t="s">
        <v>835</v>
      </c>
      <c r="AZ34" s="50">
        <f t="shared" si="12"/>
        <v>1</v>
      </c>
      <c r="BA34" s="50">
        <f t="shared" si="13"/>
        <v>1</v>
      </c>
      <c r="BB34" s="117">
        <f t="shared" si="14"/>
        <v>1</v>
      </c>
      <c r="BC34" s="50">
        <f t="shared" si="15"/>
        <v>0</v>
      </c>
      <c r="BD34" s="51"/>
      <c r="BE34" s="52">
        <f t="shared" si="6"/>
        <v>0</v>
      </c>
      <c r="BF34" s="52">
        <f t="shared" si="7"/>
        <v>0</v>
      </c>
      <c r="BG34" s="52">
        <f t="shared" si="8"/>
        <v>0</v>
      </c>
      <c r="BH34" s="52">
        <f t="shared" si="9"/>
        <v>0</v>
      </c>
      <c r="BI34" s="52">
        <f t="shared" si="10"/>
        <v>0</v>
      </c>
    </row>
    <row r="35" spans="1:61" x14ac:dyDescent="0.3">
      <c r="A35" s="39">
        <v>31</v>
      </c>
      <c r="B35" s="44" t="s">
        <v>183</v>
      </c>
      <c r="C35" s="44" t="s">
        <v>64</v>
      </c>
      <c r="D35" s="44" t="s">
        <v>65</v>
      </c>
      <c r="E35" s="44" t="s">
        <v>184</v>
      </c>
      <c r="F35" s="44" t="s">
        <v>185</v>
      </c>
      <c r="G35" s="36" t="s">
        <v>154</v>
      </c>
      <c r="H35" s="36" t="s">
        <v>155</v>
      </c>
      <c r="I35" s="36" t="s">
        <v>186</v>
      </c>
      <c r="J35" s="36" t="s">
        <v>186</v>
      </c>
      <c r="K35" s="33" t="s">
        <v>72</v>
      </c>
      <c r="L35" s="33" t="s">
        <v>73</v>
      </c>
      <c r="M35" s="36" t="s">
        <v>74</v>
      </c>
      <c r="N35" s="36" t="s">
        <v>187</v>
      </c>
      <c r="O35" s="36" t="s">
        <v>76</v>
      </c>
      <c r="P35" s="36" t="s">
        <v>188</v>
      </c>
      <c r="Q35" s="36" t="s">
        <v>78</v>
      </c>
      <c r="R35" s="37">
        <v>29</v>
      </c>
      <c r="S35" s="33" t="s">
        <v>79</v>
      </c>
      <c r="T35" s="39">
        <v>0</v>
      </c>
      <c r="U35" s="39">
        <v>0</v>
      </c>
      <c r="V35" s="40" t="e">
        <f t="shared" si="17"/>
        <v>#DIV/0!</v>
      </c>
      <c r="W35" s="39">
        <v>10</v>
      </c>
      <c r="X35" s="39"/>
      <c r="Y35" s="40">
        <f t="shared" si="1"/>
        <v>0</v>
      </c>
      <c r="Z35" s="39">
        <v>10</v>
      </c>
      <c r="AA35" s="39"/>
      <c r="AB35" s="40">
        <f t="shared" si="2"/>
        <v>0</v>
      </c>
      <c r="AC35" s="39">
        <v>9</v>
      </c>
      <c r="AD35" s="39"/>
      <c r="AE35" s="40">
        <f t="shared" si="3"/>
        <v>0</v>
      </c>
      <c r="AF35" s="41">
        <f t="shared" si="11"/>
        <v>29</v>
      </c>
      <c r="AG35" s="41">
        <f t="shared" si="4"/>
        <v>0</v>
      </c>
      <c r="AH35" s="42" t="e">
        <f t="shared" si="5"/>
        <v>#DIV/0!</v>
      </c>
      <c r="AI35" s="43">
        <v>46054</v>
      </c>
      <c r="AJ35" s="43">
        <v>46477</v>
      </c>
      <c r="AK35" s="44" t="s">
        <v>80</v>
      </c>
      <c r="AL35" s="44" t="s">
        <v>81</v>
      </c>
      <c r="AM35" s="45" t="s">
        <v>82</v>
      </c>
      <c r="AN35" s="46">
        <v>200000000</v>
      </c>
      <c r="AO35" s="46">
        <v>200000000</v>
      </c>
      <c r="AP35" s="46">
        <v>200000000</v>
      </c>
      <c r="AQ35" s="47">
        <v>0</v>
      </c>
      <c r="AR35" s="44" t="s">
        <v>127</v>
      </c>
      <c r="AS35" s="44" t="s">
        <v>80</v>
      </c>
      <c r="AT35" s="54" t="s">
        <v>189</v>
      </c>
      <c r="AU35" s="49" t="s">
        <v>831</v>
      </c>
      <c r="AV35" s="51" t="s">
        <v>832</v>
      </c>
      <c r="AW35" s="51" t="s">
        <v>836</v>
      </c>
      <c r="AZ35" s="50">
        <f t="shared" si="12"/>
        <v>29</v>
      </c>
      <c r="BA35" s="50">
        <f t="shared" si="13"/>
        <v>0</v>
      </c>
      <c r="BB35" s="117">
        <f t="shared" si="14"/>
        <v>0</v>
      </c>
      <c r="BC35" s="50">
        <f t="shared" si="15"/>
        <v>29</v>
      </c>
      <c r="BD35" s="51"/>
      <c r="BE35" s="52">
        <f t="shared" si="6"/>
        <v>8.6999999999999993</v>
      </c>
      <c r="BF35" s="52">
        <f t="shared" si="7"/>
        <v>8.6999999999999993</v>
      </c>
      <c r="BG35" s="52">
        <f t="shared" si="8"/>
        <v>8.6999999999999993</v>
      </c>
      <c r="BH35" s="52">
        <f t="shared" si="9"/>
        <v>2.9000000000000004</v>
      </c>
      <c r="BI35" s="52">
        <f t="shared" si="10"/>
        <v>29</v>
      </c>
    </row>
    <row r="36" spans="1:61" x14ac:dyDescent="0.3">
      <c r="A36" s="39">
        <v>32</v>
      </c>
      <c r="B36" s="44" t="s">
        <v>183</v>
      </c>
      <c r="C36" s="44" t="s">
        <v>64</v>
      </c>
      <c r="D36" s="44" t="s">
        <v>65</v>
      </c>
      <c r="E36" s="44" t="s">
        <v>123</v>
      </c>
      <c r="F36" s="44" t="s">
        <v>185</v>
      </c>
      <c r="G36" s="36" t="s">
        <v>154</v>
      </c>
      <c r="H36" s="36" t="s">
        <v>155</v>
      </c>
      <c r="I36" s="36" t="s">
        <v>190</v>
      </c>
      <c r="J36" s="36" t="s">
        <v>190</v>
      </c>
      <c r="K36" s="33" t="s">
        <v>72</v>
      </c>
      <c r="L36" s="33" t="s">
        <v>73</v>
      </c>
      <c r="M36" s="36" t="s">
        <v>74</v>
      </c>
      <c r="N36" s="36" t="s">
        <v>187</v>
      </c>
      <c r="O36" s="36" t="s">
        <v>76</v>
      </c>
      <c r="P36" s="36" t="s">
        <v>191</v>
      </c>
      <c r="Q36" s="36" t="s">
        <v>78</v>
      </c>
      <c r="R36" s="37">
        <v>29</v>
      </c>
      <c r="S36" s="33" t="s">
        <v>79</v>
      </c>
      <c r="T36" s="39">
        <v>0</v>
      </c>
      <c r="U36" s="39">
        <v>0</v>
      </c>
      <c r="V36" s="40" t="e">
        <f t="shared" si="17"/>
        <v>#DIV/0!</v>
      </c>
      <c r="W36" s="39">
        <v>10</v>
      </c>
      <c r="X36" s="39">
        <v>0</v>
      </c>
      <c r="Y36" s="40">
        <f t="shared" si="1"/>
        <v>0</v>
      </c>
      <c r="Z36" s="39">
        <v>10</v>
      </c>
      <c r="AA36" s="39"/>
      <c r="AB36" s="40">
        <f t="shared" si="2"/>
        <v>0</v>
      </c>
      <c r="AC36" s="39">
        <v>9</v>
      </c>
      <c r="AD36" s="39"/>
      <c r="AE36" s="40">
        <f t="shared" si="3"/>
        <v>0</v>
      </c>
      <c r="AF36" s="41">
        <f t="shared" si="11"/>
        <v>29</v>
      </c>
      <c r="AG36" s="41">
        <f t="shared" si="4"/>
        <v>0</v>
      </c>
      <c r="AH36" s="42">
        <f t="shared" si="5"/>
        <v>0</v>
      </c>
      <c r="AI36" s="43">
        <v>46054</v>
      </c>
      <c r="AJ36" s="43">
        <v>46477</v>
      </c>
      <c r="AK36" s="44" t="s">
        <v>80</v>
      </c>
      <c r="AL36" s="44" t="s">
        <v>81</v>
      </c>
      <c r="AM36" s="45" t="s">
        <v>82</v>
      </c>
      <c r="AN36" s="46">
        <v>100000000</v>
      </c>
      <c r="AO36" s="46">
        <v>100000000</v>
      </c>
      <c r="AP36" s="46">
        <v>100000000</v>
      </c>
      <c r="AQ36" s="47">
        <v>0</v>
      </c>
      <c r="AR36" s="44" t="s">
        <v>127</v>
      </c>
      <c r="AS36" s="44" t="s">
        <v>80</v>
      </c>
      <c r="AT36" s="54" t="s">
        <v>189</v>
      </c>
      <c r="AU36" s="49" t="s">
        <v>831</v>
      </c>
      <c r="AV36" s="51" t="s">
        <v>832</v>
      </c>
      <c r="AW36" s="51" t="s">
        <v>836</v>
      </c>
      <c r="AZ36" s="50">
        <f t="shared" si="12"/>
        <v>29</v>
      </c>
      <c r="BA36" s="50">
        <f t="shared" si="13"/>
        <v>0</v>
      </c>
      <c r="BB36" s="117">
        <f t="shared" si="14"/>
        <v>0</v>
      </c>
      <c r="BC36" s="50">
        <f t="shared" si="15"/>
        <v>29</v>
      </c>
      <c r="BD36" s="51"/>
      <c r="BE36" s="52">
        <f t="shared" si="6"/>
        <v>8.6999999999999993</v>
      </c>
      <c r="BF36" s="52">
        <f t="shared" si="7"/>
        <v>8.6999999999999993</v>
      </c>
      <c r="BG36" s="52">
        <f t="shared" si="8"/>
        <v>8.6999999999999993</v>
      </c>
      <c r="BH36" s="52">
        <f t="shared" si="9"/>
        <v>2.9000000000000004</v>
      </c>
      <c r="BI36" s="52">
        <f t="shared" si="10"/>
        <v>29</v>
      </c>
    </row>
    <row r="37" spans="1:61" x14ac:dyDescent="0.3">
      <c r="A37" s="39">
        <v>33</v>
      </c>
      <c r="B37" s="44" t="s">
        <v>183</v>
      </c>
      <c r="C37" s="44" t="s">
        <v>64</v>
      </c>
      <c r="D37" s="44" t="s">
        <v>65</v>
      </c>
      <c r="E37" s="44" t="s">
        <v>184</v>
      </c>
      <c r="F37" s="44" t="s">
        <v>185</v>
      </c>
      <c r="G37" s="36" t="s">
        <v>154</v>
      </c>
      <c r="H37" s="36" t="s">
        <v>155</v>
      </c>
      <c r="I37" s="36" t="s">
        <v>192</v>
      </c>
      <c r="J37" s="36" t="s">
        <v>192</v>
      </c>
      <c r="K37" s="33" t="s">
        <v>72</v>
      </c>
      <c r="L37" s="33" t="s">
        <v>73</v>
      </c>
      <c r="M37" s="36" t="s">
        <v>74</v>
      </c>
      <c r="N37" s="36" t="s">
        <v>187</v>
      </c>
      <c r="O37" s="36" t="s">
        <v>76</v>
      </c>
      <c r="P37" s="36" t="s">
        <v>193</v>
      </c>
      <c r="Q37" s="36" t="s">
        <v>78</v>
      </c>
      <c r="R37" s="37">
        <v>29</v>
      </c>
      <c r="S37" s="33" t="s">
        <v>79</v>
      </c>
      <c r="T37" s="39">
        <v>0</v>
      </c>
      <c r="U37" s="39">
        <v>0</v>
      </c>
      <c r="V37" s="40" t="e">
        <f t="shared" si="17"/>
        <v>#DIV/0!</v>
      </c>
      <c r="W37" s="39">
        <v>10</v>
      </c>
      <c r="X37" s="39">
        <v>0</v>
      </c>
      <c r="Y37" s="40">
        <f t="shared" si="1"/>
        <v>0</v>
      </c>
      <c r="Z37" s="39">
        <v>10</v>
      </c>
      <c r="AA37" s="39"/>
      <c r="AB37" s="40">
        <f t="shared" si="2"/>
        <v>0</v>
      </c>
      <c r="AC37" s="39">
        <v>9</v>
      </c>
      <c r="AD37" s="39"/>
      <c r="AE37" s="40">
        <f t="shared" si="3"/>
        <v>0</v>
      </c>
      <c r="AF37" s="41">
        <f t="shared" si="11"/>
        <v>29</v>
      </c>
      <c r="AG37" s="41">
        <f t="shared" si="4"/>
        <v>0</v>
      </c>
      <c r="AH37" s="42">
        <f t="shared" si="5"/>
        <v>0</v>
      </c>
      <c r="AI37" s="43">
        <v>46113</v>
      </c>
      <c r="AJ37" s="43">
        <v>46477</v>
      </c>
      <c r="AK37" s="44" t="s">
        <v>80</v>
      </c>
      <c r="AL37" s="44" t="s">
        <v>81</v>
      </c>
      <c r="AM37" s="45" t="s">
        <v>82</v>
      </c>
      <c r="AN37" s="46">
        <v>120000000</v>
      </c>
      <c r="AO37" s="46">
        <v>120000000</v>
      </c>
      <c r="AP37" s="46">
        <v>120000000</v>
      </c>
      <c r="AQ37" s="47">
        <v>0</v>
      </c>
      <c r="AR37" s="44" t="s">
        <v>127</v>
      </c>
      <c r="AS37" s="44" t="s">
        <v>80</v>
      </c>
      <c r="AT37" s="54" t="s">
        <v>189</v>
      </c>
      <c r="AU37" s="49" t="s">
        <v>831</v>
      </c>
      <c r="AV37" s="51" t="s">
        <v>832</v>
      </c>
      <c r="AW37" s="51" t="s">
        <v>836</v>
      </c>
      <c r="AZ37" s="50">
        <f t="shared" si="12"/>
        <v>29</v>
      </c>
      <c r="BA37" s="50">
        <f t="shared" si="13"/>
        <v>0</v>
      </c>
      <c r="BB37" s="117">
        <f t="shared" si="14"/>
        <v>0</v>
      </c>
      <c r="BC37" s="50">
        <f t="shared" si="15"/>
        <v>29</v>
      </c>
      <c r="BD37" s="51"/>
      <c r="BE37" s="52">
        <f t="shared" si="6"/>
        <v>8.6999999999999993</v>
      </c>
      <c r="BF37" s="52">
        <f t="shared" si="7"/>
        <v>8.6999999999999993</v>
      </c>
      <c r="BG37" s="52">
        <f t="shared" si="8"/>
        <v>8.6999999999999993</v>
      </c>
      <c r="BH37" s="52">
        <f t="shared" si="9"/>
        <v>2.9000000000000004</v>
      </c>
      <c r="BI37" s="52">
        <f t="shared" si="10"/>
        <v>29</v>
      </c>
    </row>
    <row r="38" spans="1:61" x14ac:dyDescent="0.3">
      <c r="A38" s="39">
        <v>34</v>
      </c>
      <c r="B38" s="44" t="s">
        <v>183</v>
      </c>
      <c r="C38" s="44" t="s">
        <v>86</v>
      </c>
      <c r="D38" s="44" t="s">
        <v>87</v>
      </c>
      <c r="E38" s="44" t="s">
        <v>88</v>
      </c>
      <c r="F38" s="44" t="s">
        <v>194</v>
      </c>
      <c r="G38" s="36" t="s">
        <v>154</v>
      </c>
      <c r="H38" s="36" t="s">
        <v>154</v>
      </c>
      <c r="I38" s="36" t="s">
        <v>195</v>
      </c>
      <c r="J38" s="36" t="s">
        <v>195</v>
      </c>
      <c r="K38" s="33" t="s">
        <v>72</v>
      </c>
      <c r="L38" s="33" t="s">
        <v>73</v>
      </c>
      <c r="M38" s="36" t="s">
        <v>74</v>
      </c>
      <c r="N38" s="36" t="s">
        <v>187</v>
      </c>
      <c r="O38" s="36" t="s">
        <v>95</v>
      </c>
      <c r="P38" s="57" t="s">
        <v>196</v>
      </c>
      <c r="Q38" s="36" t="s">
        <v>97</v>
      </c>
      <c r="R38" s="37">
        <v>3</v>
      </c>
      <c r="S38" s="33" t="s">
        <v>79</v>
      </c>
      <c r="T38" s="39">
        <v>0</v>
      </c>
      <c r="U38" s="39">
        <v>0</v>
      </c>
      <c r="V38" s="40">
        <v>0</v>
      </c>
      <c r="W38" s="39">
        <v>1</v>
      </c>
      <c r="X38" s="39"/>
      <c r="Y38" s="40">
        <f t="shared" si="1"/>
        <v>0</v>
      </c>
      <c r="Z38" s="39">
        <v>1</v>
      </c>
      <c r="AA38" s="39"/>
      <c r="AB38" s="40">
        <f t="shared" si="2"/>
        <v>0</v>
      </c>
      <c r="AC38" s="39">
        <v>1</v>
      </c>
      <c r="AD38" s="39"/>
      <c r="AE38" s="40">
        <f t="shared" si="3"/>
        <v>0</v>
      </c>
      <c r="AF38" s="41">
        <f t="shared" si="11"/>
        <v>3</v>
      </c>
      <c r="AG38" s="41">
        <f t="shared" si="4"/>
        <v>0</v>
      </c>
      <c r="AH38" s="42" t="e">
        <f t="shared" si="5"/>
        <v>#DIV/0!</v>
      </c>
      <c r="AI38" s="43">
        <v>46113</v>
      </c>
      <c r="AJ38" s="43">
        <v>46477</v>
      </c>
      <c r="AK38" s="44" t="s">
        <v>80</v>
      </c>
      <c r="AL38" s="44" t="s">
        <v>81</v>
      </c>
      <c r="AM38" s="45" t="s">
        <v>82</v>
      </c>
      <c r="AN38" s="46">
        <v>12000000</v>
      </c>
      <c r="AO38" s="46">
        <v>12000000</v>
      </c>
      <c r="AP38" s="46">
        <v>12000000</v>
      </c>
      <c r="AQ38" s="47">
        <v>0</v>
      </c>
      <c r="AR38" s="44" t="s">
        <v>127</v>
      </c>
      <c r="AS38" s="44" t="s">
        <v>80</v>
      </c>
      <c r="AT38" s="54" t="s">
        <v>197</v>
      </c>
      <c r="AU38" s="49" t="s">
        <v>831</v>
      </c>
      <c r="AV38" s="51" t="s">
        <v>832</v>
      </c>
      <c r="AW38" s="51" t="s">
        <v>836</v>
      </c>
      <c r="AZ38" s="50">
        <f t="shared" si="12"/>
        <v>3</v>
      </c>
      <c r="BA38" s="50">
        <f t="shared" si="13"/>
        <v>0</v>
      </c>
      <c r="BB38" s="117">
        <f t="shared" si="14"/>
        <v>0</v>
      </c>
      <c r="BC38" s="50">
        <f t="shared" si="15"/>
        <v>3</v>
      </c>
      <c r="BD38" s="51"/>
      <c r="BE38" s="52">
        <f t="shared" si="6"/>
        <v>0.89999999999999991</v>
      </c>
      <c r="BF38" s="52">
        <f t="shared" si="7"/>
        <v>0.89999999999999991</v>
      </c>
      <c r="BG38" s="52">
        <f t="shared" si="8"/>
        <v>0.89999999999999991</v>
      </c>
      <c r="BH38" s="52">
        <f t="shared" si="9"/>
        <v>0.30000000000000004</v>
      </c>
      <c r="BI38" s="52">
        <f t="shared" si="10"/>
        <v>3</v>
      </c>
    </row>
    <row r="39" spans="1:61" x14ac:dyDescent="0.3">
      <c r="A39" s="39">
        <v>35</v>
      </c>
      <c r="B39" s="44" t="s">
        <v>183</v>
      </c>
      <c r="C39" s="44" t="s">
        <v>86</v>
      </c>
      <c r="D39" s="44" t="s">
        <v>87</v>
      </c>
      <c r="E39" s="44" t="s">
        <v>88</v>
      </c>
      <c r="F39" s="44" t="s">
        <v>198</v>
      </c>
      <c r="G39" s="36" t="s">
        <v>154</v>
      </c>
      <c r="H39" s="36" t="s">
        <v>155</v>
      </c>
      <c r="I39" s="36" t="s">
        <v>192</v>
      </c>
      <c r="J39" s="36" t="s">
        <v>192</v>
      </c>
      <c r="K39" s="33" t="s">
        <v>72</v>
      </c>
      <c r="L39" s="33" t="s">
        <v>73</v>
      </c>
      <c r="M39" s="36" t="s">
        <v>74</v>
      </c>
      <c r="N39" s="36" t="s">
        <v>199</v>
      </c>
      <c r="O39" s="36" t="s">
        <v>95</v>
      </c>
      <c r="P39" s="36" t="s">
        <v>200</v>
      </c>
      <c r="Q39" s="36" t="s">
        <v>97</v>
      </c>
      <c r="R39" s="37">
        <v>29</v>
      </c>
      <c r="S39" s="33" t="s">
        <v>79</v>
      </c>
      <c r="T39" s="39">
        <v>8</v>
      </c>
      <c r="U39" s="39">
        <v>0</v>
      </c>
      <c r="V39" s="40">
        <f t="shared" ref="V39:V44" si="18">U39/T39*100</f>
        <v>0</v>
      </c>
      <c r="W39" s="39">
        <v>8</v>
      </c>
      <c r="X39" s="39">
        <v>7</v>
      </c>
      <c r="Y39" s="40">
        <f t="shared" si="1"/>
        <v>87.5</v>
      </c>
      <c r="Z39" s="39">
        <v>8</v>
      </c>
      <c r="AA39" s="39"/>
      <c r="AB39" s="40">
        <f t="shared" si="2"/>
        <v>0</v>
      </c>
      <c r="AC39" s="39">
        <v>5</v>
      </c>
      <c r="AD39" s="39"/>
      <c r="AE39" s="40">
        <f t="shared" si="3"/>
        <v>0</v>
      </c>
      <c r="AF39" s="41">
        <f t="shared" si="11"/>
        <v>29</v>
      </c>
      <c r="AG39" s="41">
        <f t="shared" si="4"/>
        <v>7</v>
      </c>
      <c r="AH39" s="42">
        <f t="shared" si="5"/>
        <v>43.75</v>
      </c>
      <c r="AI39" s="43">
        <v>46113</v>
      </c>
      <c r="AJ39" s="43">
        <v>46477</v>
      </c>
      <c r="AK39" s="44" t="s">
        <v>80</v>
      </c>
      <c r="AL39" s="44" t="s">
        <v>81</v>
      </c>
      <c r="AM39" s="45" t="s">
        <v>82</v>
      </c>
      <c r="AN39" s="46"/>
      <c r="AO39" s="46"/>
      <c r="AP39" s="46"/>
      <c r="AQ39" s="47"/>
      <c r="AR39" s="44" t="s">
        <v>201</v>
      </c>
      <c r="AS39" s="44" t="s">
        <v>80</v>
      </c>
      <c r="AT39" s="54" t="s">
        <v>189</v>
      </c>
      <c r="AU39" s="49" t="s">
        <v>831</v>
      </c>
      <c r="AV39" s="51" t="s">
        <v>832</v>
      </c>
      <c r="AW39" s="51" t="s">
        <v>836</v>
      </c>
      <c r="AZ39" s="50">
        <f t="shared" si="12"/>
        <v>29</v>
      </c>
      <c r="BA39" s="50">
        <f t="shared" si="13"/>
        <v>7</v>
      </c>
      <c r="BB39" s="117">
        <f t="shared" si="14"/>
        <v>0.2413793103448276</v>
      </c>
      <c r="BC39" s="50">
        <f t="shared" si="15"/>
        <v>22</v>
      </c>
      <c r="BD39" s="51"/>
      <c r="BE39" s="52">
        <f t="shared" si="6"/>
        <v>6.6</v>
      </c>
      <c r="BF39" s="52">
        <f t="shared" si="7"/>
        <v>6.6</v>
      </c>
      <c r="BG39" s="52">
        <f t="shared" si="8"/>
        <v>6.6</v>
      </c>
      <c r="BH39" s="52">
        <f t="shared" si="9"/>
        <v>2.2000000000000002</v>
      </c>
      <c r="BI39" s="52">
        <f t="shared" si="10"/>
        <v>21.999999999999996</v>
      </c>
    </row>
    <row r="40" spans="1:61" x14ac:dyDescent="0.3">
      <c r="A40" s="39">
        <v>36</v>
      </c>
      <c r="B40" s="44" t="s">
        <v>183</v>
      </c>
      <c r="C40" s="44" t="s">
        <v>86</v>
      </c>
      <c r="D40" s="44" t="s">
        <v>87</v>
      </c>
      <c r="E40" s="44" t="s">
        <v>88</v>
      </c>
      <c r="F40" s="44" t="s">
        <v>194</v>
      </c>
      <c r="G40" s="36" t="s">
        <v>154</v>
      </c>
      <c r="H40" s="36" t="s">
        <v>155</v>
      </c>
      <c r="I40" s="36" t="s">
        <v>202</v>
      </c>
      <c r="J40" s="36" t="s">
        <v>202</v>
      </c>
      <c r="K40" s="33" t="s">
        <v>72</v>
      </c>
      <c r="L40" s="33" t="s">
        <v>73</v>
      </c>
      <c r="M40" s="36" t="s">
        <v>74</v>
      </c>
      <c r="N40" s="36" t="s">
        <v>203</v>
      </c>
      <c r="O40" s="36" t="s">
        <v>95</v>
      </c>
      <c r="P40" s="36" t="s">
        <v>204</v>
      </c>
      <c r="Q40" s="36" t="s">
        <v>97</v>
      </c>
      <c r="R40" s="37">
        <v>4</v>
      </c>
      <c r="S40" s="33"/>
      <c r="T40" s="39">
        <v>1</v>
      </c>
      <c r="U40" s="39">
        <v>1</v>
      </c>
      <c r="V40" s="40">
        <f t="shared" si="18"/>
        <v>100</v>
      </c>
      <c r="W40" s="39">
        <v>1</v>
      </c>
      <c r="X40" s="39">
        <v>1</v>
      </c>
      <c r="Y40" s="40">
        <f t="shared" si="1"/>
        <v>100</v>
      </c>
      <c r="Z40" s="39">
        <v>1</v>
      </c>
      <c r="AA40" s="39"/>
      <c r="AB40" s="40">
        <f t="shared" si="2"/>
        <v>0</v>
      </c>
      <c r="AC40" s="39">
        <v>1</v>
      </c>
      <c r="AD40" s="39"/>
      <c r="AE40" s="40">
        <f t="shared" si="3"/>
        <v>0</v>
      </c>
      <c r="AF40" s="41">
        <f t="shared" si="11"/>
        <v>4</v>
      </c>
      <c r="AG40" s="41">
        <f t="shared" si="4"/>
        <v>2</v>
      </c>
      <c r="AH40" s="42">
        <f t="shared" si="5"/>
        <v>100</v>
      </c>
      <c r="AI40" s="43">
        <v>46113</v>
      </c>
      <c r="AJ40" s="43">
        <v>46477</v>
      </c>
      <c r="AK40" s="44" t="s">
        <v>80</v>
      </c>
      <c r="AL40" s="44" t="s">
        <v>81</v>
      </c>
      <c r="AM40" s="45" t="s">
        <v>82</v>
      </c>
      <c r="AN40" s="46">
        <v>16000000</v>
      </c>
      <c r="AO40" s="46">
        <v>16000000</v>
      </c>
      <c r="AP40" s="46">
        <v>16000000</v>
      </c>
      <c r="AQ40" s="47">
        <f>AO40</f>
        <v>16000000</v>
      </c>
      <c r="AR40" s="44" t="s">
        <v>159</v>
      </c>
      <c r="AS40" s="44" t="s">
        <v>80</v>
      </c>
      <c r="AT40" s="54" t="s">
        <v>197</v>
      </c>
      <c r="AU40" s="49" t="s">
        <v>831</v>
      </c>
      <c r="AV40" s="51" t="s">
        <v>832</v>
      </c>
      <c r="AW40" s="51" t="s">
        <v>836</v>
      </c>
      <c r="AZ40" s="50">
        <f t="shared" si="12"/>
        <v>4</v>
      </c>
      <c r="BA40" s="50">
        <f t="shared" si="13"/>
        <v>2</v>
      </c>
      <c r="BB40" s="117">
        <f t="shared" si="14"/>
        <v>0.5</v>
      </c>
      <c r="BC40" s="50">
        <f t="shared" si="15"/>
        <v>2</v>
      </c>
      <c r="BD40" s="51"/>
      <c r="BE40" s="52">
        <f t="shared" si="6"/>
        <v>0.6</v>
      </c>
      <c r="BF40" s="52">
        <f t="shared" si="7"/>
        <v>0.6</v>
      </c>
      <c r="BG40" s="52">
        <f t="shared" si="8"/>
        <v>0.6</v>
      </c>
      <c r="BH40" s="52">
        <f t="shared" si="9"/>
        <v>0.2</v>
      </c>
      <c r="BI40" s="52">
        <f t="shared" si="10"/>
        <v>1.9999999999999998</v>
      </c>
    </row>
    <row r="41" spans="1:61" x14ac:dyDescent="0.3">
      <c r="A41" s="39">
        <v>37</v>
      </c>
      <c r="B41" s="44" t="s">
        <v>183</v>
      </c>
      <c r="C41" s="44" t="s">
        <v>101</v>
      </c>
      <c r="D41" s="44" t="s">
        <v>87</v>
      </c>
      <c r="E41" s="44" t="s">
        <v>88</v>
      </c>
      <c r="F41" s="44" t="s">
        <v>144</v>
      </c>
      <c r="G41" s="36" t="s">
        <v>154</v>
      </c>
      <c r="H41" s="36" t="s">
        <v>155</v>
      </c>
      <c r="I41" s="36" t="s">
        <v>121</v>
      </c>
      <c r="J41" s="36" t="s">
        <v>121</v>
      </c>
      <c r="K41" s="33" t="s">
        <v>72</v>
      </c>
      <c r="L41" s="33" t="s">
        <v>73</v>
      </c>
      <c r="M41" s="36" t="s">
        <v>74</v>
      </c>
      <c r="N41" s="36" t="s">
        <v>199</v>
      </c>
      <c r="O41" s="36" t="s">
        <v>95</v>
      </c>
      <c r="P41" s="36" t="s">
        <v>205</v>
      </c>
      <c r="Q41" s="36" t="s">
        <v>97</v>
      </c>
      <c r="R41" s="37">
        <v>4</v>
      </c>
      <c r="S41" s="33" t="s">
        <v>79</v>
      </c>
      <c r="T41" s="39">
        <v>0</v>
      </c>
      <c r="U41" s="39">
        <v>0</v>
      </c>
      <c r="V41" s="40" t="e">
        <f t="shared" si="18"/>
        <v>#DIV/0!</v>
      </c>
      <c r="W41" s="39">
        <v>0</v>
      </c>
      <c r="X41" s="39">
        <v>0</v>
      </c>
      <c r="Y41" s="40" t="e">
        <f t="shared" si="1"/>
        <v>#DIV/0!</v>
      </c>
      <c r="Z41" s="39">
        <v>2</v>
      </c>
      <c r="AA41" s="39"/>
      <c r="AB41" s="40">
        <f t="shared" si="2"/>
        <v>0</v>
      </c>
      <c r="AC41" s="39">
        <v>2</v>
      </c>
      <c r="AD41" s="39"/>
      <c r="AE41" s="40">
        <f t="shared" si="3"/>
        <v>0</v>
      </c>
      <c r="AF41" s="41">
        <f t="shared" si="11"/>
        <v>4</v>
      </c>
      <c r="AG41" s="41">
        <f t="shared" si="4"/>
        <v>0</v>
      </c>
      <c r="AH41" s="42" t="e">
        <f t="shared" si="5"/>
        <v>#DIV/0!</v>
      </c>
      <c r="AI41" s="43">
        <v>46113</v>
      </c>
      <c r="AJ41" s="43">
        <v>46477</v>
      </c>
      <c r="AK41" s="44" t="s">
        <v>80</v>
      </c>
      <c r="AL41" s="44" t="s">
        <v>81</v>
      </c>
      <c r="AM41" s="45" t="s">
        <v>82</v>
      </c>
      <c r="AN41" s="46">
        <v>50000000</v>
      </c>
      <c r="AO41" s="46">
        <v>50000000</v>
      </c>
      <c r="AP41" s="46">
        <v>50000000</v>
      </c>
      <c r="AQ41" s="47">
        <v>0</v>
      </c>
      <c r="AR41" s="44" t="s">
        <v>159</v>
      </c>
      <c r="AS41" s="44" t="s">
        <v>80</v>
      </c>
      <c r="AT41" s="54" t="s">
        <v>197</v>
      </c>
      <c r="AU41" s="49" t="s">
        <v>831</v>
      </c>
      <c r="AV41" s="51" t="s">
        <v>832</v>
      </c>
      <c r="AW41" s="51" t="s">
        <v>836</v>
      </c>
      <c r="AZ41" s="50">
        <f t="shared" si="12"/>
        <v>4</v>
      </c>
      <c r="BA41" s="50">
        <f t="shared" si="13"/>
        <v>0</v>
      </c>
      <c r="BB41" s="117">
        <f t="shared" si="14"/>
        <v>0</v>
      </c>
      <c r="BC41" s="50">
        <f t="shared" si="15"/>
        <v>4</v>
      </c>
      <c r="BD41" s="51"/>
      <c r="BE41" s="52">
        <f t="shared" si="6"/>
        <v>1.2</v>
      </c>
      <c r="BF41" s="52">
        <f t="shared" si="7"/>
        <v>1.2</v>
      </c>
      <c r="BG41" s="52">
        <f t="shared" si="8"/>
        <v>1.2</v>
      </c>
      <c r="BH41" s="52">
        <f t="shared" si="9"/>
        <v>0.4</v>
      </c>
      <c r="BI41" s="52">
        <f t="shared" si="10"/>
        <v>3.9999999999999996</v>
      </c>
    </row>
    <row r="42" spans="1:61" x14ac:dyDescent="0.3">
      <c r="A42" s="39">
        <v>38</v>
      </c>
      <c r="B42" s="44" t="s">
        <v>183</v>
      </c>
      <c r="C42" s="44" t="s">
        <v>86</v>
      </c>
      <c r="D42" s="44" t="s">
        <v>87</v>
      </c>
      <c r="E42" s="44" t="s">
        <v>88</v>
      </c>
      <c r="F42" s="44" t="s">
        <v>198</v>
      </c>
      <c r="G42" s="36" t="s">
        <v>154</v>
      </c>
      <c r="H42" s="36" t="s">
        <v>155</v>
      </c>
      <c r="I42" s="36" t="s">
        <v>192</v>
      </c>
      <c r="J42" s="36" t="s">
        <v>192</v>
      </c>
      <c r="K42" s="33" t="s">
        <v>72</v>
      </c>
      <c r="L42" s="33" t="s">
        <v>73</v>
      </c>
      <c r="M42" s="36" t="s">
        <v>74</v>
      </c>
      <c r="N42" s="36" t="s">
        <v>199</v>
      </c>
      <c r="O42" s="36" t="s">
        <v>95</v>
      </c>
      <c r="P42" s="36" t="s">
        <v>206</v>
      </c>
      <c r="Q42" s="36" t="s">
        <v>97</v>
      </c>
      <c r="R42" s="37">
        <v>1</v>
      </c>
      <c r="S42" s="33" t="s">
        <v>79</v>
      </c>
      <c r="T42" s="39">
        <v>0</v>
      </c>
      <c r="U42" s="39">
        <v>0</v>
      </c>
      <c r="V42" s="40" t="e">
        <f t="shared" si="18"/>
        <v>#DIV/0!</v>
      </c>
      <c r="W42" s="39">
        <v>0</v>
      </c>
      <c r="X42" s="39">
        <v>0</v>
      </c>
      <c r="Y42" s="40" t="e">
        <f t="shared" si="1"/>
        <v>#DIV/0!</v>
      </c>
      <c r="Z42" s="39">
        <v>0</v>
      </c>
      <c r="AA42" s="39"/>
      <c r="AB42" s="40" t="e">
        <f t="shared" si="2"/>
        <v>#DIV/0!</v>
      </c>
      <c r="AC42" s="39">
        <v>1</v>
      </c>
      <c r="AD42" s="39"/>
      <c r="AE42" s="40">
        <f t="shared" si="3"/>
        <v>0</v>
      </c>
      <c r="AF42" s="41">
        <f t="shared" si="11"/>
        <v>1</v>
      </c>
      <c r="AG42" s="41">
        <f t="shared" si="4"/>
        <v>0</v>
      </c>
      <c r="AH42" s="42" t="e">
        <f t="shared" si="5"/>
        <v>#DIV/0!</v>
      </c>
      <c r="AI42" s="43">
        <v>46113</v>
      </c>
      <c r="AJ42" s="43">
        <v>46477</v>
      </c>
      <c r="AK42" s="44" t="s">
        <v>80</v>
      </c>
      <c r="AL42" s="44" t="s">
        <v>81</v>
      </c>
      <c r="AM42" s="45" t="s">
        <v>82</v>
      </c>
      <c r="AN42" s="46">
        <v>30000000</v>
      </c>
      <c r="AO42" s="46">
        <v>30000000</v>
      </c>
      <c r="AP42" s="46">
        <v>30000000</v>
      </c>
      <c r="AQ42" s="47">
        <v>0</v>
      </c>
      <c r="AR42" s="44" t="s">
        <v>127</v>
      </c>
      <c r="AS42" s="44" t="s">
        <v>80</v>
      </c>
      <c r="AT42" s="54" t="s">
        <v>197</v>
      </c>
      <c r="AU42" s="49" t="s">
        <v>831</v>
      </c>
      <c r="AV42" s="51" t="s">
        <v>832</v>
      </c>
      <c r="AW42" s="51" t="s">
        <v>836</v>
      </c>
      <c r="AZ42" s="50">
        <f t="shared" si="12"/>
        <v>1</v>
      </c>
      <c r="BA42" s="50">
        <f t="shared" si="13"/>
        <v>0</v>
      </c>
      <c r="BB42" s="117">
        <f t="shared" si="14"/>
        <v>0</v>
      </c>
      <c r="BC42" s="50">
        <f t="shared" si="15"/>
        <v>1</v>
      </c>
      <c r="BD42" s="51"/>
      <c r="BE42" s="52">
        <f t="shared" si="6"/>
        <v>0.3</v>
      </c>
      <c r="BF42" s="52">
        <f t="shared" si="7"/>
        <v>0.3</v>
      </c>
      <c r="BG42" s="52">
        <f t="shared" si="8"/>
        <v>0.3</v>
      </c>
      <c r="BH42" s="52">
        <f t="shared" si="9"/>
        <v>0.1</v>
      </c>
      <c r="BI42" s="52">
        <f t="shared" si="10"/>
        <v>0.99999999999999989</v>
      </c>
    </row>
    <row r="43" spans="1:61" x14ac:dyDescent="0.3">
      <c r="A43" s="39">
        <v>39</v>
      </c>
      <c r="B43" s="44" t="s">
        <v>207</v>
      </c>
      <c r="C43" s="44" t="s">
        <v>64</v>
      </c>
      <c r="D43" s="44" t="s">
        <v>65</v>
      </c>
      <c r="E43" s="44" t="s">
        <v>66</v>
      </c>
      <c r="F43" s="44" t="s">
        <v>208</v>
      </c>
      <c r="G43" s="36" t="s">
        <v>209</v>
      </c>
      <c r="H43" s="36" t="s">
        <v>210</v>
      </c>
      <c r="I43" s="36" t="s">
        <v>211</v>
      </c>
      <c r="J43" s="36" t="s">
        <v>211</v>
      </c>
      <c r="K43" s="33" t="s">
        <v>72</v>
      </c>
      <c r="L43" s="33" t="s">
        <v>73</v>
      </c>
      <c r="M43" s="36" t="s">
        <v>74</v>
      </c>
      <c r="N43" s="36" t="s">
        <v>212</v>
      </c>
      <c r="O43" s="36" t="s">
        <v>76</v>
      </c>
      <c r="P43" s="36" t="s">
        <v>213</v>
      </c>
      <c r="Q43" s="36" t="s">
        <v>78</v>
      </c>
      <c r="R43" s="37">
        <v>35</v>
      </c>
      <c r="S43" s="33" t="s">
        <v>79</v>
      </c>
      <c r="T43" s="39">
        <v>35</v>
      </c>
      <c r="U43" s="39">
        <v>0</v>
      </c>
      <c r="V43" s="40">
        <f t="shared" si="18"/>
        <v>0</v>
      </c>
      <c r="W43" s="39">
        <v>35</v>
      </c>
      <c r="X43" s="39">
        <v>10</v>
      </c>
      <c r="Y43" s="40">
        <f t="shared" si="1"/>
        <v>28.571428571428569</v>
      </c>
      <c r="Z43" s="39">
        <v>35</v>
      </c>
      <c r="AA43" s="39"/>
      <c r="AB43" s="40">
        <f t="shared" si="2"/>
        <v>0</v>
      </c>
      <c r="AC43" s="39">
        <v>35</v>
      </c>
      <c r="AD43" s="39"/>
      <c r="AE43" s="40">
        <f t="shared" si="3"/>
        <v>0</v>
      </c>
      <c r="AF43" s="41">
        <f t="shared" si="11"/>
        <v>35</v>
      </c>
      <c r="AG43" s="41">
        <f t="shared" si="4"/>
        <v>10</v>
      </c>
      <c r="AH43" s="42">
        <f t="shared" si="5"/>
        <v>14.285714285714285</v>
      </c>
      <c r="AI43" s="43">
        <v>46054</v>
      </c>
      <c r="AJ43" s="43">
        <v>46477</v>
      </c>
      <c r="AK43" s="44" t="s">
        <v>80</v>
      </c>
      <c r="AL43" s="44" t="s">
        <v>81</v>
      </c>
      <c r="AM43" s="45" t="s">
        <v>82</v>
      </c>
      <c r="AN43" s="46">
        <v>419200000</v>
      </c>
      <c r="AO43" s="46">
        <v>419200000</v>
      </c>
      <c r="AP43" s="46">
        <v>419200000</v>
      </c>
      <c r="AQ43" s="47">
        <v>0</v>
      </c>
      <c r="AR43" s="44" t="s">
        <v>214</v>
      </c>
      <c r="AS43" s="44" t="s">
        <v>80</v>
      </c>
      <c r="AT43" s="54" t="s">
        <v>215</v>
      </c>
      <c r="AU43" s="49" t="s">
        <v>831</v>
      </c>
      <c r="AV43" s="51" t="s">
        <v>832</v>
      </c>
      <c r="AW43" s="51" t="s">
        <v>837</v>
      </c>
      <c r="AZ43" s="50">
        <f t="shared" si="12"/>
        <v>35</v>
      </c>
      <c r="BA43" s="50">
        <f t="shared" si="13"/>
        <v>10</v>
      </c>
      <c r="BB43" s="117">
        <f t="shared" si="14"/>
        <v>0.2857142857142857</v>
      </c>
      <c r="BC43" s="50">
        <f t="shared" si="15"/>
        <v>25</v>
      </c>
      <c r="BD43" s="51"/>
      <c r="BE43" s="52">
        <f t="shared" si="6"/>
        <v>7.5</v>
      </c>
      <c r="BF43" s="52">
        <f t="shared" si="7"/>
        <v>7.5</v>
      </c>
      <c r="BG43" s="52">
        <f t="shared" si="8"/>
        <v>7.5</v>
      </c>
      <c r="BH43" s="52">
        <f t="shared" si="9"/>
        <v>2.5</v>
      </c>
      <c r="BI43" s="52">
        <f t="shared" si="10"/>
        <v>25</v>
      </c>
    </row>
    <row r="44" spans="1:61" x14ac:dyDescent="0.3">
      <c r="A44" s="39">
        <v>40</v>
      </c>
      <c r="B44" s="44" t="s">
        <v>207</v>
      </c>
      <c r="C44" s="44" t="s">
        <v>64</v>
      </c>
      <c r="D44" s="44" t="s">
        <v>65</v>
      </c>
      <c r="E44" s="44" t="s">
        <v>66</v>
      </c>
      <c r="F44" s="44" t="s">
        <v>208</v>
      </c>
      <c r="G44" s="36" t="s">
        <v>209</v>
      </c>
      <c r="H44" s="36" t="s">
        <v>210</v>
      </c>
      <c r="I44" s="36" t="s">
        <v>211</v>
      </c>
      <c r="J44" s="36" t="s">
        <v>211</v>
      </c>
      <c r="K44" s="33" t="s">
        <v>72</v>
      </c>
      <c r="L44" s="33" t="s">
        <v>73</v>
      </c>
      <c r="M44" s="36" t="s">
        <v>74</v>
      </c>
      <c r="N44" s="36" t="s">
        <v>212</v>
      </c>
      <c r="O44" s="36" t="s">
        <v>76</v>
      </c>
      <c r="P44" s="36" t="s">
        <v>216</v>
      </c>
      <c r="Q44" s="36" t="s">
        <v>78</v>
      </c>
      <c r="R44" s="37">
        <v>102</v>
      </c>
      <c r="S44" s="33" t="s">
        <v>79</v>
      </c>
      <c r="T44" s="39">
        <v>0</v>
      </c>
      <c r="U44" s="39">
        <v>0</v>
      </c>
      <c r="V44" s="40" t="e">
        <f t="shared" si="18"/>
        <v>#DIV/0!</v>
      </c>
      <c r="W44" s="39">
        <v>34</v>
      </c>
      <c r="X44" s="39">
        <v>24</v>
      </c>
      <c r="Y44" s="40">
        <f t="shared" si="1"/>
        <v>70.588235294117652</v>
      </c>
      <c r="Z44" s="39">
        <v>34</v>
      </c>
      <c r="AA44" s="39"/>
      <c r="AB44" s="40">
        <f t="shared" si="2"/>
        <v>0</v>
      </c>
      <c r="AC44" s="39">
        <v>34</v>
      </c>
      <c r="AD44" s="39"/>
      <c r="AE44" s="40">
        <f t="shared" si="3"/>
        <v>0</v>
      </c>
      <c r="AF44" s="41">
        <f t="shared" si="11"/>
        <v>102</v>
      </c>
      <c r="AG44" s="41">
        <f t="shared" si="4"/>
        <v>24</v>
      </c>
      <c r="AH44" s="42">
        <f t="shared" si="5"/>
        <v>70.588235294117652</v>
      </c>
      <c r="AI44" s="43">
        <v>46113</v>
      </c>
      <c r="AJ44" s="43">
        <v>46477</v>
      </c>
      <c r="AK44" s="44" t="s">
        <v>80</v>
      </c>
      <c r="AL44" s="44" t="s">
        <v>81</v>
      </c>
      <c r="AM44" s="45" t="s">
        <v>82</v>
      </c>
      <c r="AN44" s="46">
        <v>171000000</v>
      </c>
      <c r="AO44" s="46">
        <v>171000000</v>
      </c>
      <c r="AP44" s="46">
        <v>171000000</v>
      </c>
      <c r="AQ44" s="47">
        <v>0</v>
      </c>
      <c r="AR44" s="44" t="s">
        <v>214</v>
      </c>
      <c r="AS44" s="44" t="s">
        <v>80</v>
      </c>
      <c r="AT44" s="54" t="s">
        <v>215</v>
      </c>
      <c r="AU44" s="49" t="s">
        <v>831</v>
      </c>
      <c r="AV44" s="51" t="s">
        <v>832</v>
      </c>
      <c r="AW44" s="51" t="s">
        <v>837</v>
      </c>
      <c r="AZ44" s="50">
        <f t="shared" si="12"/>
        <v>102</v>
      </c>
      <c r="BA44" s="50">
        <f t="shared" si="13"/>
        <v>24</v>
      </c>
      <c r="BB44" s="117">
        <f t="shared" si="14"/>
        <v>0.23529411764705882</v>
      </c>
      <c r="BC44" s="50">
        <f t="shared" si="15"/>
        <v>78</v>
      </c>
      <c r="BD44" s="51"/>
      <c r="BE44" s="52">
        <f t="shared" si="6"/>
        <v>23.4</v>
      </c>
      <c r="BF44" s="52">
        <f t="shared" si="7"/>
        <v>23.4</v>
      </c>
      <c r="BG44" s="52">
        <f t="shared" si="8"/>
        <v>23.4</v>
      </c>
      <c r="BH44" s="52">
        <f t="shared" si="9"/>
        <v>7.8000000000000007</v>
      </c>
      <c r="BI44" s="52">
        <f t="shared" si="10"/>
        <v>77.999999999999986</v>
      </c>
    </row>
    <row r="45" spans="1:61" x14ac:dyDescent="0.3">
      <c r="A45" s="39">
        <v>41</v>
      </c>
      <c r="B45" s="44" t="s">
        <v>207</v>
      </c>
      <c r="C45" s="44" t="s">
        <v>64</v>
      </c>
      <c r="D45" s="44" t="s">
        <v>65</v>
      </c>
      <c r="E45" s="44" t="s">
        <v>66</v>
      </c>
      <c r="F45" s="44" t="s">
        <v>208</v>
      </c>
      <c r="G45" s="36" t="s">
        <v>209</v>
      </c>
      <c r="H45" s="36" t="s">
        <v>210</v>
      </c>
      <c r="I45" s="36" t="s">
        <v>211</v>
      </c>
      <c r="J45" s="36" t="s">
        <v>211</v>
      </c>
      <c r="K45" s="33" t="s">
        <v>72</v>
      </c>
      <c r="L45" s="33" t="s">
        <v>73</v>
      </c>
      <c r="M45" s="36" t="s">
        <v>74</v>
      </c>
      <c r="N45" s="36" t="s">
        <v>212</v>
      </c>
      <c r="O45" s="36" t="s">
        <v>76</v>
      </c>
      <c r="P45" s="36" t="s">
        <v>217</v>
      </c>
      <c r="Q45" s="36" t="s">
        <v>78</v>
      </c>
      <c r="R45" s="37">
        <v>102</v>
      </c>
      <c r="S45" s="33" t="s">
        <v>79</v>
      </c>
      <c r="T45" s="39">
        <v>0</v>
      </c>
      <c r="U45" s="39">
        <v>0</v>
      </c>
      <c r="V45" s="40">
        <v>0</v>
      </c>
      <c r="W45" s="39">
        <v>34</v>
      </c>
      <c r="X45" s="39">
        <v>29</v>
      </c>
      <c r="Y45" s="40">
        <f t="shared" si="1"/>
        <v>85.294117647058826</v>
      </c>
      <c r="Z45" s="39">
        <v>34</v>
      </c>
      <c r="AA45" s="39"/>
      <c r="AB45" s="40">
        <f t="shared" si="2"/>
        <v>0</v>
      </c>
      <c r="AC45" s="39">
        <v>34</v>
      </c>
      <c r="AD45" s="39"/>
      <c r="AE45" s="40">
        <f t="shared" si="3"/>
        <v>0</v>
      </c>
      <c r="AF45" s="41">
        <f t="shared" si="11"/>
        <v>102</v>
      </c>
      <c r="AG45" s="41">
        <f t="shared" si="4"/>
        <v>29</v>
      </c>
      <c r="AH45" s="42">
        <f t="shared" si="5"/>
        <v>85.294117647058826</v>
      </c>
      <c r="AI45" s="43">
        <v>46113</v>
      </c>
      <c r="AJ45" s="43">
        <v>46477</v>
      </c>
      <c r="AK45" s="44" t="s">
        <v>80</v>
      </c>
      <c r="AL45" s="44" t="s">
        <v>81</v>
      </c>
      <c r="AM45" s="45" t="s">
        <v>82</v>
      </c>
      <c r="AN45" s="46">
        <v>119000000</v>
      </c>
      <c r="AO45" s="46">
        <v>119000000</v>
      </c>
      <c r="AP45" s="46">
        <v>119000000</v>
      </c>
      <c r="AQ45" s="47">
        <v>0</v>
      </c>
      <c r="AR45" s="44" t="s">
        <v>127</v>
      </c>
      <c r="AS45" s="44" t="s">
        <v>80</v>
      </c>
      <c r="AT45" s="54" t="s">
        <v>215</v>
      </c>
      <c r="AU45" s="49" t="s">
        <v>831</v>
      </c>
      <c r="AV45" s="51" t="s">
        <v>832</v>
      </c>
      <c r="AW45" s="51" t="s">
        <v>837</v>
      </c>
      <c r="AZ45" s="50">
        <f t="shared" si="12"/>
        <v>102</v>
      </c>
      <c r="BA45" s="50">
        <f t="shared" si="13"/>
        <v>29</v>
      </c>
      <c r="BB45" s="117">
        <f t="shared" si="14"/>
        <v>0.28431372549019607</v>
      </c>
      <c r="BC45" s="50">
        <f t="shared" si="15"/>
        <v>73</v>
      </c>
      <c r="BD45" s="51"/>
      <c r="BE45" s="52">
        <f t="shared" si="6"/>
        <v>21.9</v>
      </c>
      <c r="BF45" s="52">
        <f t="shared" si="7"/>
        <v>21.9</v>
      </c>
      <c r="BG45" s="52">
        <f t="shared" si="8"/>
        <v>21.9</v>
      </c>
      <c r="BH45" s="52">
        <f t="shared" si="9"/>
        <v>7.3000000000000007</v>
      </c>
      <c r="BI45" s="52">
        <f t="shared" si="10"/>
        <v>72.999999999999986</v>
      </c>
    </row>
    <row r="46" spans="1:61" x14ac:dyDescent="0.3">
      <c r="A46" s="39">
        <v>42</v>
      </c>
      <c r="B46" s="44" t="s">
        <v>218</v>
      </c>
      <c r="C46" s="44" t="s">
        <v>101</v>
      </c>
      <c r="D46" s="44" t="s">
        <v>87</v>
      </c>
      <c r="E46" s="44" t="s">
        <v>102</v>
      </c>
      <c r="F46" s="44" t="s">
        <v>219</v>
      </c>
      <c r="G46" s="36" t="s">
        <v>220</v>
      </c>
      <c r="H46" s="36" t="s">
        <v>221</v>
      </c>
      <c r="I46" s="36" t="s">
        <v>222</v>
      </c>
      <c r="J46" s="36" t="s">
        <v>222</v>
      </c>
      <c r="K46" s="33" t="s">
        <v>72</v>
      </c>
      <c r="L46" s="33" t="s">
        <v>73</v>
      </c>
      <c r="M46" s="36" t="s">
        <v>74</v>
      </c>
      <c r="N46" s="36" t="s">
        <v>223</v>
      </c>
      <c r="O46" s="36" t="s">
        <v>95</v>
      </c>
      <c r="P46" s="36" t="s">
        <v>224</v>
      </c>
      <c r="Q46" s="36" t="s">
        <v>97</v>
      </c>
      <c r="R46" s="37">
        <v>1</v>
      </c>
      <c r="S46" s="33" t="s">
        <v>79</v>
      </c>
      <c r="T46" s="39">
        <v>0</v>
      </c>
      <c r="U46" s="39">
        <v>0</v>
      </c>
      <c r="V46" s="40">
        <v>0</v>
      </c>
      <c r="W46" s="39">
        <v>0</v>
      </c>
      <c r="X46" s="39">
        <v>0</v>
      </c>
      <c r="Y46" s="40" t="e">
        <f t="shared" si="1"/>
        <v>#DIV/0!</v>
      </c>
      <c r="Z46" s="39">
        <v>1</v>
      </c>
      <c r="AA46" s="39"/>
      <c r="AB46" s="40">
        <f t="shared" si="2"/>
        <v>0</v>
      </c>
      <c r="AC46" s="39">
        <v>1</v>
      </c>
      <c r="AD46" s="39"/>
      <c r="AE46" s="40">
        <f t="shared" si="3"/>
        <v>0</v>
      </c>
      <c r="AF46" s="41">
        <f t="shared" si="11"/>
        <v>1</v>
      </c>
      <c r="AG46" s="41">
        <f t="shared" si="4"/>
        <v>0</v>
      </c>
      <c r="AH46" s="42" t="e">
        <f t="shared" si="5"/>
        <v>#DIV/0!</v>
      </c>
      <c r="AI46" s="43">
        <v>46054</v>
      </c>
      <c r="AJ46" s="43">
        <v>46477</v>
      </c>
      <c r="AK46" s="44" t="s">
        <v>80</v>
      </c>
      <c r="AL46" s="44" t="s">
        <v>81</v>
      </c>
      <c r="AM46" s="45" t="s">
        <v>82</v>
      </c>
      <c r="AN46" s="46">
        <v>120000000</v>
      </c>
      <c r="AO46" s="46">
        <v>120000000</v>
      </c>
      <c r="AP46" s="46">
        <v>120000000</v>
      </c>
      <c r="AQ46" s="47">
        <v>0</v>
      </c>
      <c r="AR46" s="44" t="s">
        <v>214</v>
      </c>
      <c r="AS46" s="44" t="s">
        <v>80</v>
      </c>
      <c r="AT46" s="54" t="s">
        <v>215</v>
      </c>
      <c r="AU46" s="49" t="s">
        <v>831</v>
      </c>
      <c r="AV46" s="51" t="s">
        <v>832</v>
      </c>
      <c r="AW46" s="51" t="s">
        <v>837</v>
      </c>
      <c r="AZ46" s="50">
        <f t="shared" si="12"/>
        <v>1</v>
      </c>
      <c r="BA46" s="50">
        <f t="shared" si="13"/>
        <v>0</v>
      </c>
      <c r="BB46" s="117">
        <f t="shared" si="14"/>
        <v>0</v>
      </c>
      <c r="BC46" s="50">
        <f t="shared" si="15"/>
        <v>1</v>
      </c>
      <c r="BD46" s="51"/>
      <c r="BE46" s="52">
        <f t="shared" si="6"/>
        <v>0.3</v>
      </c>
      <c r="BF46" s="52">
        <f t="shared" si="7"/>
        <v>0.3</v>
      </c>
      <c r="BG46" s="52">
        <f t="shared" si="8"/>
        <v>0.3</v>
      </c>
      <c r="BH46" s="52">
        <f t="shared" si="9"/>
        <v>0.1</v>
      </c>
      <c r="BI46" s="52">
        <f t="shared" si="10"/>
        <v>0.99999999999999989</v>
      </c>
    </row>
    <row r="47" spans="1:61" x14ac:dyDescent="0.3">
      <c r="A47" s="39">
        <v>43</v>
      </c>
      <c r="B47" s="44" t="s">
        <v>218</v>
      </c>
      <c r="C47" s="44" t="s">
        <v>101</v>
      </c>
      <c r="D47" s="44" t="s">
        <v>87</v>
      </c>
      <c r="E47" s="44" t="s">
        <v>102</v>
      </c>
      <c r="F47" s="44" t="s">
        <v>225</v>
      </c>
      <c r="G47" s="36" t="s">
        <v>226</v>
      </c>
      <c r="H47" s="36" t="s">
        <v>227</v>
      </c>
      <c r="I47" s="36" t="s">
        <v>211</v>
      </c>
      <c r="J47" s="36" t="s">
        <v>211</v>
      </c>
      <c r="K47" s="33" t="s">
        <v>72</v>
      </c>
      <c r="L47" s="33" t="s">
        <v>73</v>
      </c>
      <c r="M47" s="36" t="s">
        <v>74</v>
      </c>
      <c r="N47" s="36" t="s">
        <v>228</v>
      </c>
      <c r="O47" s="36" t="s">
        <v>95</v>
      </c>
      <c r="P47" s="36" t="s">
        <v>229</v>
      </c>
      <c r="Q47" s="36" t="s">
        <v>97</v>
      </c>
      <c r="R47" s="37">
        <v>4</v>
      </c>
      <c r="S47" s="33" t="s">
        <v>79</v>
      </c>
      <c r="T47" s="39">
        <v>0</v>
      </c>
      <c r="U47" s="39">
        <v>0</v>
      </c>
      <c r="V47" s="40">
        <v>0</v>
      </c>
      <c r="W47" s="39">
        <v>1</v>
      </c>
      <c r="X47" s="39">
        <v>0</v>
      </c>
      <c r="Y47" s="40">
        <f t="shared" si="1"/>
        <v>0</v>
      </c>
      <c r="Z47" s="39">
        <v>2</v>
      </c>
      <c r="AA47" s="39"/>
      <c r="AB47" s="40">
        <f t="shared" si="2"/>
        <v>0</v>
      </c>
      <c r="AC47" s="39">
        <v>4</v>
      </c>
      <c r="AD47" s="39"/>
      <c r="AE47" s="40">
        <f t="shared" si="3"/>
        <v>0</v>
      </c>
      <c r="AF47" s="41">
        <f t="shared" si="11"/>
        <v>4</v>
      </c>
      <c r="AG47" s="41">
        <f t="shared" si="4"/>
        <v>0</v>
      </c>
      <c r="AH47" s="42">
        <f t="shared" si="5"/>
        <v>0</v>
      </c>
      <c r="AI47" s="43">
        <v>46113</v>
      </c>
      <c r="AJ47" s="43">
        <v>46477</v>
      </c>
      <c r="AK47" s="44" t="s">
        <v>80</v>
      </c>
      <c r="AL47" s="44" t="s">
        <v>81</v>
      </c>
      <c r="AM47" s="45" t="s">
        <v>82</v>
      </c>
      <c r="AN47" s="46">
        <v>120000000</v>
      </c>
      <c r="AO47" s="46">
        <v>120000000</v>
      </c>
      <c r="AP47" s="46">
        <v>120000000</v>
      </c>
      <c r="AQ47" s="47">
        <v>0</v>
      </c>
      <c r="AR47" s="44" t="s">
        <v>230</v>
      </c>
      <c r="AS47" s="44" t="s">
        <v>80</v>
      </c>
      <c r="AT47" s="54" t="s">
        <v>215</v>
      </c>
      <c r="AU47" s="49" t="s">
        <v>831</v>
      </c>
      <c r="AV47" s="51" t="s">
        <v>832</v>
      </c>
      <c r="AW47" s="51" t="s">
        <v>837</v>
      </c>
      <c r="AZ47" s="50">
        <f t="shared" si="12"/>
        <v>4</v>
      </c>
      <c r="BA47" s="50">
        <f t="shared" si="13"/>
        <v>0</v>
      </c>
      <c r="BB47" s="117">
        <f t="shared" si="14"/>
        <v>0</v>
      </c>
      <c r="BC47" s="50">
        <f t="shared" si="15"/>
        <v>4</v>
      </c>
      <c r="BD47" s="51"/>
      <c r="BE47" s="52">
        <f t="shared" si="6"/>
        <v>1.2</v>
      </c>
      <c r="BF47" s="52">
        <f t="shared" si="7"/>
        <v>1.2</v>
      </c>
      <c r="BG47" s="52">
        <f t="shared" si="8"/>
        <v>1.2</v>
      </c>
      <c r="BH47" s="52">
        <f t="shared" si="9"/>
        <v>0.4</v>
      </c>
      <c r="BI47" s="52">
        <f t="shared" si="10"/>
        <v>3.9999999999999996</v>
      </c>
    </row>
    <row r="48" spans="1:61" x14ac:dyDescent="0.3">
      <c r="A48" s="39">
        <v>44</v>
      </c>
      <c r="B48" s="44" t="s">
        <v>218</v>
      </c>
      <c r="C48" s="44" t="s">
        <v>101</v>
      </c>
      <c r="D48" s="44" t="s">
        <v>87</v>
      </c>
      <c r="E48" s="44" t="s">
        <v>102</v>
      </c>
      <c r="F48" s="44" t="s">
        <v>225</v>
      </c>
      <c r="G48" s="36" t="s">
        <v>226</v>
      </c>
      <c r="H48" s="36" t="s">
        <v>227</v>
      </c>
      <c r="I48" s="36" t="s">
        <v>211</v>
      </c>
      <c r="J48" s="36" t="s">
        <v>211</v>
      </c>
      <c r="K48" s="33" t="s">
        <v>72</v>
      </c>
      <c r="L48" s="33" t="s">
        <v>73</v>
      </c>
      <c r="M48" s="36" t="s">
        <v>74</v>
      </c>
      <c r="N48" s="36" t="s">
        <v>228</v>
      </c>
      <c r="O48" s="36" t="s">
        <v>95</v>
      </c>
      <c r="P48" s="36" t="s">
        <v>231</v>
      </c>
      <c r="Q48" s="36" t="s">
        <v>97</v>
      </c>
      <c r="R48" s="37">
        <v>4</v>
      </c>
      <c r="S48" s="33" t="s">
        <v>79</v>
      </c>
      <c r="T48" s="39">
        <v>0</v>
      </c>
      <c r="U48" s="39">
        <v>0</v>
      </c>
      <c r="V48" s="40">
        <v>0</v>
      </c>
      <c r="W48" s="39">
        <v>1</v>
      </c>
      <c r="X48" s="39">
        <v>0</v>
      </c>
      <c r="Y48" s="40">
        <f t="shared" si="1"/>
        <v>0</v>
      </c>
      <c r="Z48" s="39">
        <v>1</v>
      </c>
      <c r="AA48" s="39"/>
      <c r="AB48" s="40">
        <f t="shared" si="2"/>
        <v>0</v>
      </c>
      <c r="AC48" s="39">
        <v>2</v>
      </c>
      <c r="AD48" s="39"/>
      <c r="AE48" s="40">
        <f t="shared" si="3"/>
        <v>0</v>
      </c>
      <c r="AF48" s="41">
        <f t="shared" si="11"/>
        <v>4</v>
      </c>
      <c r="AG48" s="41">
        <f t="shared" si="4"/>
        <v>0</v>
      </c>
      <c r="AH48" s="42">
        <f t="shared" si="5"/>
        <v>0</v>
      </c>
      <c r="AI48" s="43">
        <v>46113</v>
      </c>
      <c r="AJ48" s="43">
        <v>46477</v>
      </c>
      <c r="AK48" s="44" t="s">
        <v>80</v>
      </c>
      <c r="AL48" s="44" t="s">
        <v>81</v>
      </c>
      <c r="AM48" s="45" t="s">
        <v>82</v>
      </c>
      <c r="AN48" s="46">
        <v>120000000</v>
      </c>
      <c r="AO48" s="46">
        <v>120000000</v>
      </c>
      <c r="AP48" s="46">
        <v>120000000</v>
      </c>
      <c r="AQ48" s="47">
        <v>0</v>
      </c>
      <c r="AR48" s="44" t="s">
        <v>230</v>
      </c>
      <c r="AS48" s="44" t="s">
        <v>80</v>
      </c>
      <c r="AT48" s="54" t="s">
        <v>215</v>
      </c>
      <c r="AU48" s="49" t="s">
        <v>831</v>
      </c>
      <c r="AV48" s="51" t="s">
        <v>832</v>
      </c>
      <c r="AW48" s="51" t="s">
        <v>837</v>
      </c>
      <c r="AZ48" s="50">
        <f t="shared" si="12"/>
        <v>4</v>
      </c>
      <c r="BA48" s="50">
        <f t="shared" si="13"/>
        <v>0</v>
      </c>
      <c r="BB48" s="117">
        <f t="shared" si="14"/>
        <v>0</v>
      </c>
      <c r="BC48" s="50">
        <f t="shared" si="15"/>
        <v>4</v>
      </c>
      <c r="BD48" s="51"/>
      <c r="BE48" s="52">
        <f t="shared" si="6"/>
        <v>1.2</v>
      </c>
      <c r="BF48" s="52">
        <f t="shared" si="7"/>
        <v>1.2</v>
      </c>
      <c r="BG48" s="52">
        <f t="shared" si="8"/>
        <v>1.2</v>
      </c>
      <c r="BH48" s="52">
        <f t="shared" si="9"/>
        <v>0.4</v>
      </c>
      <c r="BI48" s="52">
        <f t="shared" si="10"/>
        <v>3.9999999999999996</v>
      </c>
    </row>
    <row r="49" spans="1:61" x14ac:dyDescent="0.3">
      <c r="A49" s="39">
        <v>45</v>
      </c>
      <c r="B49" s="44" t="s">
        <v>218</v>
      </c>
      <c r="C49" s="44" t="s">
        <v>101</v>
      </c>
      <c r="D49" s="44" t="s">
        <v>87</v>
      </c>
      <c r="E49" s="44" t="s">
        <v>102</v>
      </c>
      <c r="F49" s="44" t="s">
        <v>225</v>
      </c>
      <c r="G49" s="36" t="s">
        <v>226</v>
      </c>
      <c r="H49" s="36" t="s">
        <v>227</v>
      </c>
      <c r="I49" s="36" t="s">
        <v>211</v>
      </c>
      <c r="J49" s="36" t="s">
        <v>211</v>
      </c>
      <c r="K49" s="33" t="s">
        <v>72</v>
      </c>
      <c r="L49" s="33" t="s">
        <v>73</v>
      </c>
      <c r="M49" s="36" t="s">
        <v>74</v>
      </c>
      <c r="N49" s="36" t="s">
        <v>228</v>
      </c>
      <c r="O49" s="36" t="s">
        <v>95</v>
      </c>
      <c r="P49" s="36" t="s">
        <v>232</v>
      </c>
      <c r="Q49" s="36" t="s">
        <v>97</v>
      </c>
      <c r="R49" s="37">
        <v>2</v>
      </c>
      <c r="S49" s="33" t="s">
        <v>79</v>
      </c>
      <c r="T49" s="39">
        <v>0</v>
      </c>
      <c r="U49" s="39">
        <v>0</v>
      </c>
      <c r="V49" s="40">
        <v>0</v>
      </c>
      <c r="W49" s="39">
        <v>0</v>
      </c>
      <c r="X49" s="39">
        <v>0</v>
      </c>
      <c r="Y49" s="40" t="e">
        <f t="shared" si="1"/>
        <v>#DIV/0!</v>
      </c>
      <c r="Z49" s="39">
        <v>1</v>
      </c>
      <c r="AA49" s="39"/>
      <c r="AB49" s="40">
        <f t="shared" si="2"/>
        <v>0</v>
      </c>
      <c r="AC49" s="39">
        <v>1</v>
      </c>
      <c r="AD49" s="39"/>
      <c r="AE49" s="40">
        <f t="shared" si="3"/>
        <v>0</v>
      </c>
      <c r="AF49" s="41">
        <f t="shared" si="11"/>
        <v>2</v>
      </c>
      <c r="AG49" s="41">
        <f t="shared" si="4"/>
        <v>0</v>
      </c>
      <c r="AH49" s="42" t="e">
        <f t="shared" si="5"/>
        <v>#DIV/0!</v>
      </c>
      <c r="AI49" s="43">
        <v>46113</v>
      </c>
      <c r="AJ49" s="43">
        <v>46477</v>
      </c>
      <c r="AK49" s="44" t="s">
        <v>80</v>
      </c>
      <c r="AL49" s="44" t="s">
        <v>81</v>
      </c>
      <c r="AM49" s="45" t="s">
        <v>82</v>
      </c>
      <c r="AN49" s="46">
        <v>60000000</v>
      </c>
      <c r="AO49" s="46">
        <v>60000000</v>
      </c>
      <c r="AP49" s="46">
        <v>60000000</v>
      </c>
      <c r="AQ49" s="47">
        <v>0</v>
      </c>
      <c r="AR49" s="44" t="s">
        <v>230</v>
      </c>
      <c r="AS49" s="44" t="s">
        <v>80</v>
      </c>
      <c r="AT49" s="54" t="s">
        <v>215</v>
      </c>
      <c r="AU49" s="49" t="s">
        <v>831</v>
      </c>
      <c r="AV49" s="51" t="s">
        <v>832</v>
      </c>
      <c r="AW49" s="51" t="s">
        <v>837</v>
      </c>
      <c r="AZ49" s="50">
        <f t="shared" si="12"/>
        <v>2</v>
      </c>
      <c r="BA49" s="50">
        <f t="shared" si="13"/>
        <v>0</v>
      </c>
      <c r="BB49" s="117">
        <f t="shared" si="14"/>
        <v>0</v>
      </c>
      <c r="BC49" s="50">
        <f t="shared" si="15"/>
        <v>2</v>
      </c>
      <c r="BD49" s="51"/>
      <c r="BE49" s="52">
        <f t="shared" si="6"/>
        <v>0.6</v>
      </c>
      <c r="BF49" s="52">
        <f t="shared" si="7"/>
        <v>0.6</v>
      </c>
      <c r="BG49" s="52">
        <f t="shared" si="8"/>
        <v>0.6</v>
      </c>
      <c r="BH49" s="52">
        <f t="shared" si="9"/>
        <v>0.2</v>
      </c>
      <c r="BI49" s="52">
        <f t="shared" si="10"/>
        <v>1.9999999999999998</v>
      </c>
    </row>
    <row r="50" spans="1:61" x14ac:dyDescent="0.3">
      <c r="A50" s="39">
        <v>46</v>
      </c>
      <c r="B50" s="44" t="s">
        <v>218</v>
      </c>
      <c r="C50" s="44" t="s">
        <v>86</v>
      </c>
      <c r="D50" s="44" t="s">
        <v>87</v>
      </c>
      <c r="E50" s="44" t="s">
        <v>123</v>
      </c>
      <c r="F50" s="44" t="s">
        <v>225</v>
      </c>
      <c r="G50" s="36" t="s">
        <v>233</v>
      </c>
      <c r="H50" s="36" t="s">
        <v>227</v>
      </c>
      <c r="I50" s="36" t="s">
        <v>211</v>
      </c>
      <c r="J50" s="36" t="s">
        <v>234</v>
      </c>
      <c r="K50" s="33" t="s">
        <v>72</v>
      </c>
      <c r="L50" s="33" t="s">
        <v>73</v>
      </c>
      <c r="M50" s="36" t="s">
        <v>74</v>
      </c>
      <c r="N50" s="36" t="s">
        <v>223</v>
      </c>
      <c r="O50" s="36" t="s">
        <v>95</v>
      </c>
      <c r="P50" s="36" t="s">
        <v>235</v>
      </c>
      <c r="Q50" s="36" t="s">
        <v>97</v>
      </c>
      <c r="R50" s="37">
        <v>1</v>
      </c>
      <c r="S50" s="33" t="s">
        <v>79</v>
      </c>
      <c r="T50" s="39">
        <v>0</v>
      </c>
      <c r="U50" s="39">
        <v>0</v>
      </c>
      <c r="V50" s="40">
        <v>0</v>
      </c>
      <c r="W50" s="39">
        <v>1</v>
      </c>
      <c r="X50" s="39">
        <v>0</v>
      </c>
      <c r="Y50" s="40">
        <f t="shared" si="1"/>
        <v>0</v>
      </c>
      <c r="Z50" s="39">
        <v>0</v>
      </c>
      <c r="AA50" s="39"/>
      <c r="AB50" s="40" t="e">
        <f t="shared" si="2"/>
        <v>#DIV/0!</v>
      </c>
      <c r="AC50" s="39">
        <v>0</v>
      </c>
      <c r="AD50" s="39"/>
      <c r="AE50" s="40" t="e">
        <f t="shared" si="3"/>
        <v>#DIV/0!</v>
      </c>
      <c r="AF50" s="41">
        <f t="shared" si="11"/>
        <v>1</v>
      </c>
      <c r="AG50" s="41">
        <f t="shared" si="4"/>
        <v>0</v>
      </c>
      <c r="AH50" s="42">
        <f t="shared" si="5"/>
        <v>0</v>
      </c>
      <c r="AI50" s="43">
        <v>46113</v>
      </c>
      <c r="AJ50" s="43">
        <v>46477</v>
      </c>
      <c r="AK50" s="44" t="s">
        <v>80</v>
      </c>
      <c r="AL50" s="44" t="s">
        <v>81</v>
      </c>
      <c r="AM50" s="45" t="s">
        <v>82</v>
      </c>
      <c r="AN50" s="46">
        <v>50000000</v>
      </c>
      <c r="AO50" s="46">
        <v>50000000</v>
      </c>
      <c r="AP50" s="46">
        <v>50000000</v>
      </c>
      <c r="AQ50" s="47">
        <v>0</v>
      </c>
      <c r="AR50" s="44" t="s">
        <v>127</v>
      </c>
      <c r="AS50" s="44" t="s">
        <v>80</v>
      </c>
      <c r="AT50" s="54" t="s">
        <v>215</v>
      </c>
      <c r="AU50" s="49" t="s">
        <v>831</v>
      </c>
      <c r="AV50" s="51" t="s">
        <v>832</v>
      </c>
      <c r="AW50" s="51" t="s">
        <v>837</v>
      </c>
      <c r="AZ50" s="50">
        <f t="shared" si="12"/>
        <v>1</v>
      </c>
      <c r="BA50" s="50">
        <f t="shared" si="13"/>
        <v>0</v>
      </c>
      <c r="BB50" s="117">
        <f t="shared" si="14"/>
        <v>0</v>
      </c>
      <c r="BC50" s="50">
        <f t="shared" si="15"/>
        <v>1</v>
      </c>
      <c r="BD50" s="51"/>
      <c r="BE50" s="52">
        <f t="shared" si="6"/>
        <v>0.3</v>
      </c>
      <c r="BF50" s="52">
        <f t="shared" si="7"/>
        <v>0.3</v>
      </c>
      <c r="BG50" s="52">
        <f t="shared" si="8"/>
        <v>0.3</v>
      </c>
      <c r="BH50" s="52">
        <f t="shared" si="9"/>
        <v>0.1</v>
      </c>
      <c r="BI50" s="52">
        <f t="shared" si="10"/>
        <v>0.99999999999999989</v>
      </c>
    </row>
    <row r="51" spans="1:61" x14ac:dyDescent="0.3">
      <c r="A51" s="39">
        <v>47</v>
      </c>
      <c r="B51" s="44" t="s">
        <v>218</v>
      </c>
      <c r="C51" s="44" t="s">
        <v>86</v>
      </c>
      <c r="D51" s="44" t="s">
        <v>87</v>
      </c>
      <c r="E51" s="44" t="s">
        <v>123</v>
      </c>
      <c r="F51" s="44" t="s">
        <v>236</v>
      </c>
      <c r="G51" s="36" t="s">
        <v>226</v>
      </c>
      <c r="H51" s="36" t="s">
        <v>227</v>
      </c>
      <c r="I51" s="36" t="s">
        <v>211</v>
      </c>
      <c r="J51" s="36" t="s">
        <v>211</v>
      </c>
      <c r="K51" s="33" t="s">
        <v>72</v>
      </c>
      <c r="L51" s="33" t="s">
        <v>73</v>
      </c>
      <c r="M51" s="36" t="s">
        <v>74</v>
      </c>
      <c r="N51" s="36" t="s">
        <v>212</v>
      </c>
      <c r="O51" s="36" t="s">
        <v>95</v>
      </c>
      <c r="P51" s="36" t="s">
        <v>237</v>
      </c>
      <c r="Q51" s="36" t="s">
        <v>97</v>
      </c>
      <c r="R51" s="37">
        <v>9</v>
      </c>
      <c r="S51" s="33" t="s">
        <v>79</v>
      </c>
      <c r="T51" s="39">
        <v>0</v>
      </c>
      <c r="U51" s="39"/>
      <c r="V51" s="40">
        <v>0</v>
      </c>
      <c r="W51" s="39">
        <v>3</v>
      </c>
      <c r="X51" s="39">
        <v>2</v>
      </c>
      <c r="Y51" s="40">
        <f t="shared" si="1"/>
        <v>66.666666666666657</v>
      </c>
      <c r="Z51" s="39">
        <v>3</v>
      </c>
      <c r="AA51" s="39"/>
      <c r="AB51" s="40">
        <f t="shared" si="2"/>
        <v>0</v>
      </c>
      <c r="AC51" s="39">
        <v>3</v>
      </c>
      <c r="AD51" s="39"/>
      <c r="AE51" s="40">
        <f t="shared" si="3"/>
        <v>0</v>
      </c>
      <c r="AF51" s="41">
        <f t="shared" si="11"/>
        <v>9</v>
      </c>
      <c r="AG51" s="41">
        <f t="shared" si="4"/>
        <v>2</v>
      </c>
      <c r="AH51" s="42" t="e">
        <f t="shared" si="5"/>
        <v>#DIV/0!</v>
      </c>
      <c r="AI51" s="43">
        <v>46113</v>
      </c>
      <c r="AJ51" s="43">
        <v>46477</v>
      </c>
      <c r="AK51" s="44" t="s">
        <v>80</v>
      </c>
      <c r="AL51" s="44" t="s">
        <v>81</v>
      </c>
      <c r="AM51" s="45" t="s">
        <v>82</v>
      </c>
      <c r="AN51" s="46">
        <v>32000000</v>
      </c>
      <c r="AO51" s="46">
        <v>32000000</v>
      </c>
      <c r="AP51" s="46">
        <v>32000000</v>
      </c>
      <c r="AQ51" s="47">
        <v>0</v>
      </c>
      <c r="AR51" s="44" t="s">
        <v>127</v>
      </c>
      <c r="AS51" s="44" t="s">
        <v>80</v>
      </c>
      <c r="AT51" s="54" t="s">
        <v>215</v>
      </c>
      <c r="AU51" s="49" t="s">
        <v>831</v>
      </c>
      <c r="AV51" s="51" t="s">
        <v>832</v>
      </c>
      <c r="AW51" s="51" t="s">
        <v>837</v>
      </c>
      <c r="AZ51" s="50">
        <f t="shared" si="12"/>
        <v>9</v>
      </c>
      <c r="BA51" s="50">
        <f t="shared" si="13"/>
        <v>2</v>
      </c>
      <c r="BB51" s="117">
        <f t="shared" si="14"/>
        <v>0.22222222222222221</v>
      </c>
      <c r="BC51" s="50">
        <f t="shared" si="15"/>
        <v>7</v>
      </c>
      <c r="BD51" s="51"/>
      <c r="BE51" s="52">
        <f t="shared" si="6"/>
        <v>2.1</v>
      </c>
      <c r="BF51" s="52">
        <f t="shared" si="7"/>
        <v>2.1</v>
      </c>
      <c r="BG51" s="52">
        <f t="shared" si="8"/>
        <v>2.1</v>
      </c>
      <c r="BH51" s="52">
        <f t="shared" si="9"/>
        <v>0.70000000000000007</v>
      </c>
      <c r="BI51" s="52">
        <f t="shared" si="10"/>
        <v>7.0000000000000009</v>
      </c>
    </row>
    <row r="52" spans="1:61" x14ac:dyDescent="0.3">
      <c r="A52" s="39">
        <v>48</v>
      </c>
      <c r="B52" s="44" t="s">
        <v>238</v>
      </c>
      <c r="C52" s="44" t="s">
        <v>64</v>
      </c>
      <c r="D52" s="44" t="s">
        <v>65</v>
      </c>
      <c r="E52" s="44" t="s">
        <v>173</v>
      </c>
      <c r="F52" s="44" t="s">
        <v>239</v>
      </c>
      <c r="G52" s="36" t="s">
        <v>240</v>
      </c>
      <c r="H52" s="36" t="s">
        <v>241</v>
      </c>
      <c r="I52" s="36" t="s">
        <v>242</v>
      </c>
      <c r="J52" s="36" t="s">
        <v>242</v>
      </c>
      <c r="K52" s="33" t="s">
        <v>72</v>
      </c>
      <c r="L52" s="33" t="s">
        <v>73</v>
      </c>
      <c r="M52" s="36" t="s">
        <v>74</v>
      </c>
      <c r="N52" s="36" t="s">
        <v>243</v>
      </c>
      <c r="O52" s="36" t="s">
        <v>244</v>
      </c>
      <c r="P52" s="36" t="s">
        <v>245</v>
      </c>
      <c r="Q52" s="36" t="s">
        <v>78</v>
      </c>
      <c r="R52" s="37">
        <v>29</v>
      </c>
      <c r="S52" s="33" t="s">
        <v>79</v>
      </c>
      <c r="T52" s="39">
        <v>7</v>
      </c>
      <c r="U52" s="39">
        <v>0</v>
      </c>
      <c r="V52" s="40">
        <f>U52/T52*100</f>
        <v>0</v>
      </c>
      <c r="W52" s="39">
        <v>7</v>
      </c>
      <c r="X52" s="39">
        <v>0</v>
      </c>
      <c r="Y52" s="40">
        <f t="shared" si="1"/>
        <v>0</v>
      </c>
      <c r="Z52" s="39">
        <v>7</v>
      </c>
      <c r="AA52" s="39"/>
      <c r="AB52" s="40">
        <f t="shared" si="2"/>
        <v>0</v>
      </c>
      <c r="AC52" s="39">
        <v>8</v>
      </c>
      <c r="AD52" s="39"/>
      <c r="AE52" s="40">
        <f t="shared" si="3"/>
        <v>0</v>
      </c>
      <c r="AF52" s="41">
        <f t="shared" si="11"/>
        <v>29</v>
      </c>
      <c r="AG52" s="41">
        <f t="shared" si="4"/>
        <v>0</v>
      </c>
      <c r="AH52" s="42">
        <f t="shared" si="5"/>
        <v>0</v>
      </c>
      <c r="AI52" s="43">
        <v>46113</v>
      </c>
      <c r="AJ52" s="43">
        <v>46477</v>
      </c>
      <c r="AK52" s="44" t="s">
        <v>80</v>
      </c>
      <c r="AL52" s="44" t="s">
        <v>81</v>
      </c>
      <c r="AM52" s="45" t="s">
        <v>82</v>
      </c>
      <c r="AN52" s="46">
        <v>150000000</v>
      </c>
      <c r="AO52" s="46">
        <v>150000000</v>
      </c>
      <c r="AP52" s="46">
        <v>150000000</v>
      </c>
      <c r="AQ52" s="47">
        <v>0</v>
      </c>
      <c r="AR52" s="44" t="s">
        <v>127</v>
      </c>
      <c r="AS52" s="44" t="s">
        <v>80</v>
      </c>
      <c r="AT52" s="54" t="s">
        <v>246</v>
      </c>
      <c r="AU52" s="49" t="s">
        <v>831</v>
      </c>
      <c r="AV52" s="51" t="s">
        <v>832</v>
      </c>
      <c r="AW52" s="51" t="s">
        <v>838</v>
      </c>
      <c r="AZ52" s="50">
        <f t="shared" si="12"/>
        <v>29</v>
      </c>
      <c r="BA52" s="50">
        <f t="shared" si="13"/>
        <v>0</v>
      </c>
      <c r="BB52" s="117">
        <f t="shared" si="14"/>
        <v>0</v>
      </c>
      <c r="BC52" s="50">
        <f t="shared" si="15"/>
        <v>29</v>
      </c>
      <c r="BD52" s="51"/>
      <c r="BE52" s="52">
        <f t="shared" si="6"/>
        <v>8.6999999999999993</v>
      </c>
      <c r="BF52" s="52">
        <f t="shared" si="7"/>
        <v>8.6999999999999993</v>
      </c>
      <c r="BG52" s="52">
        <f t="shared" si="8"/>
        <v>8.6999999999999993</v>
      </c>
      <c r="BH52" s="52">
        <f t="shared" si="9"/>
        <v>2.9000000000000004</v>
      </c>
      <c r="BI52" s="52">
        <f t="shared" si="10"/>
        <v>29</v>
      </c>
    </row>
    <row r="53" spans="1:61" x14ac:dyDescent="0.3">
      <c r="A53" s="39">
        <v>49</v>
      </c>
      <c r="B53" s="44" t="s">
        <v>238</v>
      </c>
      <c r="C53" s="44" t="s">
        <v>163</v>
      </c>
      <c r="D53" s="44" t="s">
        <v>164</v>
      </c>
      <c r="E53" s="44" t="s">
        <v>247</v>
      </c>
      <c r="F53" s="44" t="s">
        <v>239</v>
      </c>
      <c r="G53" s="36" t="s">
        <v>248</v>
      </c>
      <c r="H53" s="36" t="s">
        <v>249</v>
      </c>
      <c r="I53" s="36" t="s">
        <v>250</v>
      </c>
      <c r="J53" s="36" t="s">
        <v>250</v>
      </c>
      <c r="K53" s="33" t="s">
        <v>72</v>
      </c>
      <c r="L53" s="33" t="s">
        <v>73</v>
      </c>
      <c r="M53" s="36" t="s">
        <v>74</v>
      </c>
      <c r="N53" s="36" t="s">
        <v>243</v>
      </c>
      <c r="O53" s="36" t="s">
        <v>76</v>
      </c>
      <c r="P53" s="36" t="s">
        <v>251</v>
      </c>
      <c r="Q53" s="36" t="s">
        <v>78</v>
      </c>
      <c r="R53" s="37">
        <v>4</v>
      </c>
      <c r="S53" s="33" t="s">
        <v>79</v>
      </c>
      <c r="T53" s="39">
        <v>1</v>
      </c>
      <c r="U53" s="39">
        <v>0</v>
      </c>
      <c r="V53" s="40">
        <v>0</v>
      </c>
      <c r="W53" s="39">
        <v>1</v>
      </c>
      <c r="X53" s="39">
        <v>0</v>
      </c>
      <c r="Y53" s="40">
        <f t="shared" si="1"/>
        <v>0</v>
      </c>
      <c r="Z53" s="39">
        <v>1</v>
      </c>
      <c r="AA53" s="39"/>
      <c r="AB53" s="40">
        <f t="shared" si="2"/>
        <v>0</v>
      </c>
      <c r="AC53" s="39">
        <v>1</v>
      </c>
      <c r="AD53" s="39"/>
      <c r="AE53" s="40">
        <f t="shared" si="3"/>
        <v>0</v>
      </c>
      <c r="AF53" s="41">
        <f t="shared" si="11"/>
        <v>4</v>
      </c>
      <c r="AG53" s="41">
        <f t="shared" si="4"/>
        <v>0</v>
      </c>
      <c r="AH53" s="42">
        <f t="shared" si="5"/>
        <v>0</v>
      </c>
      <c r="AI53" s="43">
        <v>46113</v>
      </c>
      <c r="AJ53" s="43">
        <v>46477</v>
      </c>
      <c r="AK53" s="44" t="s">
        <v>80</v>
      </c>
      <c r="AL53" s="44" t="s">
        <v>81</v>
      </c>
      <c r="AM53" s="45" t="s">
        <v>82</v>
      </c>
      <c r="AN53" s="46">
        <v>80274232</v>
      </c>
      <c r="AO53" s="46">
        <v>80274232</v>
      </c>
      <c r="AP53" s="46">
        <v>80274232</v>
      </c>
      <c r="AQ53" s="47">
        <v>0</v>
      </c>
      <c r="AR53" s="44" t="s">
        <v>127</v>
      </c>
      <c r="AS53" s="44" t="s">
        <v>80</v>
      </c>
      <c r="AT53" s="54" t="s">
        <v>246</v>
      </c>
      <c r="AU53" s="49" t="s">
        <v>831</v>
      </c>
      <c r="AV53" s="51" t="s">
        <v>832</v>
      </c>
      <c r="AW53" s="51" t="s">
        <v>838</v>
      </c>
      <c r="AZ53" s="50">
        <f t="shared" si="12"/>
        <v>4</v>
      </c>
      <c r="BA53" s="50">
        <f t="shared" si="13"/>
        <v>0</v>
      </c>
      <c r="BB53" s="117">
        <f t="shared" si="14"/>
        <v>0</v>
      </c>
      <c r="BC53" s="50">
        <f t="shared" si="15"/>
        <v>4</v>
      </c>
      <c r="BD53" s="51"/>
      <c r="BE53" s="52">
        <f t="shared" si="6"/>
        <v>1.2</v>
      </c>
      <c r="BF53" s="52">
        <f t="shared" si="7"/>
        <v>1.2</v>
      </c>
      <c r="BG53" s="52">
        <f t="shared" si="8"/>
        <v>1.2</v>
      </c>
      <c r="BH53" s="52">
        <f t="shared" si="9"/>
        <v>0.4</v>
      </c>
      <c r="BI53" s="52">
        <f t="shared" si="10"/>
        <v>3.9999999999999996</v>
      </c>
    </row>
    <row r="54" spans="1:61" x14ac:dyDescent="0.3">
      <c r="A54" s="39">
        <v>50</v>
      </c>
      <c r="B54" s="44" t="s">
        <v>238</v>
      </c>
      <c r="C54" s="44" t="s">
        <v>64</v>
      </c>
      <c r="D54" s="44" t="s">
        <v>65</v>
      </c>
      <c r="E54" s="44" t="s">
        <v>173</v>
      </c>
      <c r="F54" s="44" t="s">
        <v>252</v>
      </c>
      <c r="G54" s="36" t="s">
        <v>253</v>
      </c>
      <c r="H54" s="36" t="s">
        <v>253</v>
      </c>
      <c r="I54" s="36" t="s">
        <v>254</v>
      </c>
      <c r="J54" s="36" t="s">
        <v>254</v>
      </c>
      <c r="K54" s="33" t="s">
        <v>72</v>
      </c>
      <c r="L54" s="33" t="s">
        <v>73</v>
      </c>
      <c r="M54" s="36" t="s">
        <v>74</v>
      </c>
      <c r="N54" s="36" t="s">
        <v>255</v>
      </c>
      <c r="O54" s="36" t="s">
        <v>256</v>
      </c>
      <c r="P54" s="36" t="s">
        <v>257</v>
      </c>
      <c r="Q54" s="36" t="s">
        <v>78</v>
      </c>
      <c r="R54" s="37">
        <v>200</v>
      </c>
      <c r="S54" s="33" t="s">
        <v>79</v>
      </c>
      <c r="T54" s="39">
        <v>50</v>
      </c>
      <c r="U54" s="39">
        <v>0</v>
      </c>
      <c r="V54" s="40">
        <f t="shared" ref="V54:V66" si="19">U54/T54*100</f>
        <v>0</v>
      </c>
      <c r="W54" s="39">
        <v>50</v>
      </c>
      <c r="X54" s="39">
        <v>0</v>
      </c>
      <c r="Y54" s="40">
        <f t="shared" si="1"/>
        <v>0</v>
      </c>
      <c r="Z54" s="39">
        <v>50</v>
      </c>
      <c r="AA54" s="39">
        <v>0</v>
      </c>
      <c r="AB54" s="40">
        <f t="shared" si="2"/>
        <v>0</v>
      </c>
      <c r="AC54" s="39">
        <v>50</v>
      </c>
      <c r="AD54" s="39"/>
      <c r="AE54" s="40">
        <f t="shared" si="3"/>
        <v>0</v>
      </c>
      <c r="AF54" s="41">
        <f t="shared" si="11"/>
        <v>200</v>
      </c>
      <c r="AG54" s="41">
        <f t="shared" si="4"/>
        <v>0</v>
      </c>
      <c r="AH54" s="42">
        <f t="shared" si="5"/>
        <v>0</v>
      </c>
      <c r="AI54" s="43">
        <v>46113</v>
      </c>
      <c r="AJ54" s="43">
        <v>46477</v>
      </c>
      <c r="AK54" s="44" t="s">
        <v>80</v>
      </c>
      <c r="AL54" s="44" t="s">
        <v>81</v>
      </c>
      <c r="AM54" s="45" t="s">
        <v>82</v>
      </c>
      <c r="AN54" s="46">
        <v>310000000</v>
      </c>
      <c r="AO54" s="46">
        <v>310000000</v>
      </c>
      <c r="AP54" s="46">
        <v>310000000</v>
      </c>
      <c r="AQ54" s="47">
        <v>0</v>
      </c>
      <c r="AR54" s="44" t="s">
        <v>127</v>
      </c>
      <c r="AS54" s="44" t="s">
        <v>80</v>
      </c>
      <c r="AT54" s="54" t="s">
        <v>246</v>
      </c>
      <c r="AU54" s="49" t="s">
        <v>831</v>
      </c>
      <c r="AV54" s="51" t="s">
        <v>832</v>
      </c>
      <c r="AW54" s="51" t="s">
        <v>838</v>
      </c>
      <c r="AZ54" s="50">
        <f t="shared" si="12"/>
        <v>200</v>
      </c>
      <c r="BA54" s="50">
        <f t="shared" si="13"/>
        <v>0</v>
      </c>
      <c r="BB54" s="117">
        <f t="shared" si="14"/>
        <v>0</v>
      </c>
      <c r="BC54" s="50">
        <f t="shared" si="15"/>
        <v>200</v>
      </c>
      <c r="BD54" s="51"/>
      <c r="BE54" s="52">
        <f t="shared" si="6"/>
        <v>60</v>
      </c>
      <c r="BF54" s="52">
        <f t="shared" si="7"/>
        <v>60</v>
      </c>
      <c r="BG54" s="52">
        <f t="shared" si="8"/>
        <v>60</v>
      </c>
      <c r="BH54" s="52">
        <f t="shared" si="9"/>
        <v>20</v>
      </c>
      <c r="BI54" s="52">
        <f t="shared" si="10"/>
        <v>200</v>
      </c>
    </row>
    <row r="55" spans="1:61" x14ac:dyDescent="0.3">
      <c r="A55" s="39">
        <v>51</v>
      </c>
      <c r="B55" s="44" t="s">
        <v>238</v>
      </c>
      <c r="C55" s="44" t="s">
        <v>101</v>
      </c>
      <c r="D55" s="44" t="s">
        <v>87</v>
      </c>
      <c r="E55" s="44" t="s">
        <v>258</v>
      </c>
      <c r="F55" s="44" t="s">
        <v>259</v>
      </c>
      <c r="G55" s="36" t="s">
        <v>260</v>
      </c>
      <c r="H55" s="36" t="s">
        <v>261</v>
      </c>
      <c r="I55" s="36" t="s">
        <v>254</v>
      </c>
      <c r="J55" s="36" t="s">
        <v>254</v>
      </c>
      <c r="K55" s="33" t="s">
        <v>72</v>
      </c>
      <c r="L55" s="33" t="s">
        <v>73</v>
      </c>
      <c r="M55" s="36" t="s">
        <v>74</v>
      </c>
      <c r="N55" s="36" t="s">
        <v>243</v>
      </c>
      <c r="O55" s="36" t="s">
        <v>262</v>
      </c>
      <c r="P55" s="36" t="s">
        <v>263</v>
      </c>
      <c r="Q55" s="36" t="s">
        <v>97</v>
      </c>
      <c r="R55" s="37">
        <v>1</v>
      </c>
      <c r="S55" s="33" t="s">
        <v>79</v>
      </c>
      <c r="T55" s="39">
        <v>0</v>
      </c>
      <c r="U55" s="39">
        <v>0</v>
      </c>
      <c r="V55" s="40" t="e">
        <f t="shared" si="19"/>
        <v>#DIV/0!</v>
      </c>
      <c r="W55" s="39">
        <v>0</v>
      </c>
      <c r="X55" s="39">
        <v>1</v>
      </c>
      <c r="Y55" s="40" t="e">
        <f t="shared" si="1"/>
        <v>#DIV/0!</v>
      </c>
      <c r="Z55" s="39">
        <v>1</v>
      </c>
      <c r="AA55" s="39">
        <v>0</v>
      </c>
      <c r="AB55" s="40">
        <f t="shared" si="2"/>
        <v>0</v>
      </c>
      <c r="AC55" s="39">
        <v>0</v>
      </c>
      <c r="AD55" s="39"/>
      <c r="AE55" s="40" t="e">
        <f t="shared" si="3"/>
        <v>#DIV/0!</v>
      </c>
      <c r="AF55" s="41">
        <f t="shared" si="11"/>
        <v>1</v>
      </c>
      <c r="AG55" s="41">
        <f t="shared" si="4"/>
        <v>1</v>
      </c>
      <c r="AH55" s="42">
        <f t="shared" si="5"/>
        <v>100</v>
      </c>
      <c r="AI55" s="43">
        <v>46113</v>
      </c>
      <c r="AJ55" s="43">
        <v>46477</v>
      </c>
      <c r="AK55" s="44" t="s">
        <v>80</v>
      </c>
      <c r="AL55" s="44" t="s">
        <v>81</v>
      </c>
      <c r="AM55" s="45" t="s">
        <v>82</v>
      </c>
      <c r="AN55" s="46">
        <v>20000000</v>
      </c>
      <c r="AO55" s="46">
        <v>20000000</v>
      </c>
      <c r="AP55" s="46">
        <v>20000000</v>
      </c>
      <c r="AQ55" s="47">
        <f>AO55</f>
        <v>20000000</v>
      </c>
      <c r="AR55" s="44" t="s">
        <v>127</v>
      </c>
      <c r="AS55" s="44" t="s">
        <v>80</v>
      </c>
      <c r="AT55" s="54" t="s">
        <v>246</v>
      </c>
      <c r="AU55" s="49" t="s">
        <v>831</v>
      </c>
      <c r="AV55" s="51" t="s">
        <v>832</v>
      </c>
      <c r="AW55" s="51" t="s">
        <v>838</v>
      </c>
      <c r="AZ55" s="50">
        <f t="shared" si="12"/>
        <v>1</v>
      </c>
      <c r="BA55" s="50">
        <f t="shared" si="13"/>
        <v>1</v>
      </c>
      <c r="BB55" s="117">
        <f t="shared" si="14"/>
        <v>1</v>
      </c>
      <c r="BC55" s="50">
        <f t="shared" si="15"/>
        <v>0</v>
      </c>
      <c r="BD55" s="51"/>
      <c r="BE55" s="52">
        <f t="shared" si="6"/>
        <v>0</v>
      </c>
      <c r="BF55" s="52">
        <f t="shared" si="7"/>
        <v>0</v>
      </c>
      <c r="BG55" s="52">
        <f t="shared" si="8"/>
        <v>0</v>
      </c>
      <c r="BH55" s="52">
        <f t="shared" si="9"/>
        <v>0</v>
      </c>
      <c r="BI55" s="52">
        <f t="shared" si="10"/>
        <v>0</v>
      </c>
    </row>
    <row r="56" spans="1:61" x14ac:dyDescent="0.3">
      <c r="A56" s="39">
        <v>52</v>
      </c>
      <c r="B56" s="44" t="s">
        <v>238</v>
      </c>
      <c r="C56" s="44" t="s">
        <v>64</v>
      </c>
      <c r="D56" s="44" t="s">
        <v>65</v>
      </c>
      <c r="E56" s="44" t="s">
        <v>173</v>
      </c>
      <c r="F56" s="44" t="s">
        <v>252</v>
      </c>
      <c r="G56" s="36" t="s">
        <v>253</v>
      </c>
      <c r="H56" s="36" t="s">
        <v>253</v>
      </c>
      <c r="I56" s="36" t="s">
        <v>264</v>
      </c>
      <c r="J56" s="36" t="s">
        <v>264</v>
      </c>
      <c r="K56" s="33" t="s">
        <v>72</v>
      </c>
      <c r="L56" s="33" t="s">
        <v>73</v>
      </c>
      <c r="M56" s="36" t="s">
        <v>74</v>
      </c>
      <c r="N56" s="36" t="s">
        <v>255</v>
      </c>
      <c r="O56" s="36" t="s">
        <v>256</v>
      </c>
      <c r="P56" s="36" t="s">
        <v>265</v>
      </c>
      <c r="Q56" s="36" t="s">
        <v>78</v>
      </c>
      <c r="R56" s="37">
        <v>29</v>
      </c>
      <c r="S56" s="33" t="s">
        <v>79</v>
      </c>
      <c r="T56" s="39">
        <v>0</v>
      </c>
      <c r="U56" s="39">
        <v>0</v>
      </c>
      <c r="V56" s="40" t="e">
        <f t="shared" si="19"/>
        <v>#DIV/0!</v>
      </c>
      <c r="W56" s="39">
        <v>0</v>
      </c>
      <c r="X56" s="39">
        <v>0</v>
      </c>
      <c r="Y56" s="40" t="e">
        <f t="shared" si="1"/>
        <v>#DIV/0!</v>
      </c>
      <c r="Z56" s="39">
        <v>29</v>
      </c>
      <c r="AA56" s="39">
        <v>0</v>
      </c>
      <c r="AB56" s="40">
        <f t="shared" si="2"/>
        <v>0</v>
      </c>
      <c r="AC56" s="39">
        <v>0</v>
      </c>
      <c r="AD56" s="39"/>
      <c r="AE56" s="40" t="e">
        <f t="shared" si="3"/>
        <v>#DIV/0!</v>
      </c>
      <c r="AF56" s="41">
        <f t="shared" si="11"/>
        <v>29</v>
      </c>
      <c r="AG56" s="41">
        <f t="shared" si="4"/>
        <v>0</v>
      </c>
      <c r="AH56" s="42">
        <f t="shared" si="5"/>
        <v>0</v>
      </c>
      <c r="AI56" s="43">
        <v>46113</v>
      </c>
      <c r="AJ56" s="43">
        <v>46477</v>
      </c>
      <c r="AK56" s="44" t="s">
        <v>80</v>
      </c>
      <c r="AL56" s="44" t="s">
        <v>81</v>
      </c>
      <c r="AM56" s="45" t="s">
        <v>82</v>
      </c>
      <c r="AN56" s="46">
        <v>90000000</v>
      </c>
      <c r="AO56" s="46">
        <v>90000000</v>
      </c>
      <c r="AP56" s="46">
        <v>90000000</v>
      </c>
      <c r="AQ56" s="47">
        <v>0</v>
      </c>
      <c r="AR56" s="44" t="s">
        <v>266</v>
      </c>
      <c r="AS56" s="44" t="s">
        <v>80</v>
      </c>
      <c r="AT56" s="54" t="s">
        <v>246</v>
      </c>
      <c r="AU56" s="49" t="s">
        <v>831</v>
      </c>
      <c r="AV56" s="51" t="s">
        <v>832</v>
      </c>
      <c r="AW56" s="51" t="s">
        <v>838</v>
      </c>
      <c r="AZ56" s="50">
        <f t="shared" si="12"/>
        <v>29</v>
      </c>
      <c r="BA56" s="50">
        <f t="shared" si="13"/>
        <v>0</v>
      </c>
      <c r="BB56" s="117">
        <f t="shared" si="14"/>
        <v>0</v>
      </c>
      <c r="BC56" s="50">
        <f t="shared" si="15"/>
        <v>29</v>
      </c>
      <c r="BD56" s="51"/>
      <c r="BE56" s="52">
        <f t="shared" si="6"/>
        <v>8.6999999999999993</v>
      </c>
      <c r="BF56" s="52">
        <f t="shared" si="7"/>
        <v>8.6999999999999993</v>
      </c>
      <c r="BG56" s="52">
        <f t="shared" si="8"/>
        <v>8.6999999999999993</v>
      </c>
      <c r="BH56" s="52">
        <f t="shared" si="9"/>
        <v>2.9000000000000004</v>
      </c>
      <c r="BI56" s="52">
        <f t="shared" si="10"/>
        <v>29</v>
      </c>
    </row>
    <row r="57" spans="1:61" x14ac:dyDescent="0.3">
      <c r="A57" s="39">
        <v>53</v>
      </c>
      <c r="B57" s="44" t="s">
        <v>238</v>
      </c>
      <c r="C57" s="44" t="s">
        <v>101</v>
      </c>
      <c r="D57" s="44" t="s">
        <v>87</v>
      </c>
      <c r="E57" s="44" t="s">
        <v>258</v>
      </c>
      <c r="F57" s="44" t="s">
        <v>259</v>
      </c>
      <c r="G57" s="36" t="s">
        <v>253</v>
      </c>
      <c r="H57" s="36" t="s">
        <v>253</v>
      </c>
      <c r="I57" s="36" t="s">
        <v>264</v>
      </c>
      <c r="J57" s="36" t="s">
        <v>264</v>
      </c>
      <c r="K57" s="33" t="s">
        <v>72</v>
      </c>
      <c r="L57" s="33" t="s">
        <v>73</v>
      </c>
      <c r="M57" s="36" t="s">
        <v>74</v>
      </c>
      <c r="N57" s="36" t="s">
        <v>243</v>
      </c>
      <c r="O57" s="36" t="s">
        <v>262</v>
      </c>
      <c r="P57" s="36" t="s">
        <v>267</v>
      </c>
      <c r="Q57" s="36" t="s">
        <v>97</v>
      </c>
      <c r="R57" s="37">
        <v>2</v>
      </c>
      <c r="S57" s="33" t="s">
        <v>79</v>
      </c>
      <c r="T57" s="39">
        <v>0</v>
      </c>
      <c r="U57" s="39">
        <v>0</v>
      </c>
      <c r="V57" s="40" t="e">
        <f t="shared" si="19"/>
        <v>#DIV/0!</v>
      </c>
      <c r="W57" s="39">
        <v>1</v>
      </c>
      <c r="X57" s="39">
        <v>1</v>
      </c>
      <c r="Y57" s="40">
        <f t="shared" si="1"/>
        <v>100</v>
      </c>
      <c r="Z57" s="39">
        <v>1</v>
      </c>
      <c r="AA57" s="39"/>
      <c r="AB57" s="40">
        <f t="shared" si="2"/>
        <v>0</v>
      </c>
      <c r="AC57" s="39">
        <v>0</v>
      </c>
      <c r="AD57" s="39"/>
      <c r="AE57" s="40" t="e">
        <f t="shared" si="3"/>
        <v>#DIV/0!</v>
      </c>
      <c r="AF57" s="41">
        <f t="shared" si="11"/>
        <v>2</v>
      </c>
      <c r="AG57" s="41">
        <f t="shared" si="4"/>
        <v>1</v>
      </c>
      <c r="AH57" s="42">
        <f t="shared" si="5"/>
        <v>100</v>
      </c>
      <c r="AI57" s="43">
        <v>46113</v>
      </c>
      <c r="AJ57" s="43">
        <v>46477</v>
      </c>
      <c r="AK57" s="44" t="s">
        <v>80</v>
      </c>
      <c r="AL57" s="44" t="s">
        <v>81</v>
      </c>
      <c r="AM57" s="45" t="s">
        <v>82</v>
      </c>
      <c r="AN57" s="46">
        <v>60000000</v>
      </c>
      <c r="AO57" s="46">
        <v>60000000</v>
      </c>
      <c r="AP57" s="46">
        <v>60000000</v>
      </c>
      <c r="AQ57" s="47">
        <f>AO57</f>
        <v>60000000</v>
      </c>
      <c r="AR57" s="44" t="s">
        <v>175</v>
      </c>
      <c r="AS57" s="44" t="s">
        <v>80</v>
      </c>
      <c r="AT57" s="54" t="s">
        <v>246</v>
      </c>
      <c r="AU57" s="49" t="s">
        <v>831</v>
      </c>
      <c r="AV57" s="51" t="s">
        <v>832</v>
      </c>
      <c r="AW57" s="51" t="s">
        <v>838</v>
      </c>
      <c r="AZ57" s="50">
        <f t="shared" si="12"/>
        <v>2</v>
      </c>
      <c r="BA57" s="50">
        <f t="shared" si="13"/>
        <v>1</v>
      </c>
      <c r="BB57" s="117">
        <f t="shared" si="14"/>
        <v>0.5</v>
      </c>
      <c r="BC57" s="50">
        <f t="shared" si="15"/>
        <v>1</v>
      </c>
      <c r="BD57" s="51"/>
      <c r="BE57" s="52">
        <f t="shared" si="6"/>
        <v>0.3</v>
      </c>
      <c r="BF57" s="52">
        <f t="shared" si="7"/>
        <v>0.3</v>
      </c>
      <c r="BG57" s="52">
        <f t="shared" si="8"/>
        <v>0.3</v>
      </c>
      <c r="BH57" s="52">
        <f t="shared" si="9"/>
        <v>0.1</v>
      </c>
      <c r="BI57" s="52">
        <f t="shared" si="10"/>
        <v>0.99999999999999989</v>
      </c>
    </row>
    <row r="58" spans="1:61" x14ac:dyDescent="0.3">
      <c r="A58" s="39">
        <v>54</v>
      </c>
      <c r="B58" s="44" t="s">
        <v>238</v>
      </c>
      <c r="C58" s="44" t="s">
        <v>86</v>
      </c>
      <c r="D58" s="44" t="s">
        <v>87</v>
      </c>
      <c r="E58" s="44" t="s">
        <v>258</v>
      </c>
      <c r="F58" s="44" t="s">
        <v>268</v>
      </c>
      <c r="G58" s="36" t="s">
        <v>259</v>
      </c>
      <c r="H58" s="36" t="s">
        <v>269</v>
      </c>
      <c r="I58" s="36" t="s">
        <v>264</v>
      </c>
      <c r="J58" s="36" t="s">
        <v>264</v>
      </c>
      <c r="K58" s="33" t="s">
        <v>72</v>
      </c>
      <c r="L58" s="33" t="s">
        <v>73</v>
      </c>
      <c r="M58" s="36" t="s">
        <v>74</v>
      </c>
      <c r="N58" s="36" t="s">
        <v>243</v>
      </c>
      <c r="O58" s="36" t="s">
        <v>262</v>
      </c>
      <c r="P58" s="36" t="s">
        <v>270</v>
      </c>
      <c r="Q58" s="36" t="s">
        <v>97</v>
      </c>
      <c r="R58" s="37">
        <v>29</v>
      </c>
      <c r="S58" s="33" t="s">
        <v>79</v>
      </c>
      <c r="T58" s="39">
        <v>0</v>
      </c>
      <c r="U58" s="39">
        <v>0</v>
      </c>
      <c r="V58" s="40" t="e">
        <f t="shared" si="19"/>
        <v>#DIV/0!</v>
      </c>
      <c r="W58" s="39">
        <v>10</v>
      </c>
      <c r="X58" s="39">
        <v>0</v>
      </c>
      <c r="Y58" s="40">
        <f t="shared" si="1"/>
        <v>0</v>
      </c>
      <c r="Z58" s="39">
        <v>10</v>
      </c>
      <c r="AA58" s="39"/>
      <c r="AB58" s="40">
        <f t="shared" si="2"/>
        <v>0</v>
      </c>
      <c r="AC58" s="39">
        <v>9</v>
      </c>
      <c r="AD58" s="39"/>
      <c r="AE58" s="40">
        <f t="shared" si="3"/>
        <v>0</v>
      </c>
      <c r="AF58" s="41">
        <f t="shared" si="11"/>
        <v>29</v>
      </c>
      <c r="AG58" s="41">
        <f t="shared" si="4"/>
        <v>0</v>
      </c>
      <c r="AH58" s="42">
        <f t="shared" si="5"/>
        <v>0</v>
      </c>
      <c r="AI58" s="43">
        <v>46113</v>
      </c>
      <c r="AJ58" s="43">
        <v>46477</v>
      </c>
      <c r="AK58" s="44" t="s">
        <v>80</v>
      </c>
      <c r="AL58" s="44" t="s">
        <v>81</v>
      </c>
      <c r="AM58" s="45" t="s">
        <v>82</v>
      </c>
      <c r="AN58" s="46"/>
      <c r="AO58" s="46"/>
      <c r="AP58" s="46"/>
      <c r="AQ58" s="47"/>
      <c r="AR58" s="44" t="s">
        <v>271</v>
      </c>
      <c r="AS58" s="44" t="s">
        <v>80</v>
      </c>
      <c r="AT58" s="54" t="s">
        <v>272</v>
      </c>
      <c r="AU58" s="49" t="s">
        <v>831</v>
      </c>
      <c r="AV58" s="51" t="s">
        <v>832</v>
      </c>
      <c r="AZ58" s="50">
        <f t="shared" si="12"/>
        <v>29</v>
      </c>
      <c r="BA58" s="50">
        <f t="shared" si="13"/>
        <v>0</v>
      </c>
      <c r="BB58" s="117">
        <f t="shared" si="14"/>
        <v>0</v>
      </c>
      <c r="BC58" s="50">
        <f t="shared" si="15"/>
        <v>29</v>
      </c>
      <c r="BD58" s="51"/>
      <c r="BE58" s="52">
        <f t="shared" si="6"/>
        <v>8.6999999999999993</v>
      </c>
      <c r="BF58" s="52">
        <f t="shared" si="7"/>
        <v>8.6999999999999993</v>
      </c>
      <c r="BG58" s="52">
        <f t="shared" si="8"/>
        <v>8.6999999999999993</v>
      </c>
      <c r="BH58" s="52">
        <f t="shared" si="9"/>
        <v>2.9000000000000004</v>
      </c>
      <c r="BI58" s="52">
        <f t="shared" si="10"/>
        <v>29</v>
      </c>
    </row>
    <row r="59" spans="1:61" x14ac:dyDescent="0.3">
      <c r="A59" s="39">
        <v>55</v>
      </c>
      <c r="B59" s="44" t="s">
        <v>238</v>
      </c>
      <c r="C59" s="44" t="s">
        <v>86</v>
      </c>
      <c r="D59" s="44" t="s">
        <v>87</v>
      </c>
      <c r="E59" s="44" t="s">
        <v>258</v>
      </c>
      <c r="F59" s="44" t="s">
        <v>268</v>
      </c>
      <c r="G59" s="36" t="s">
        <v>259</v>
      </c>
      <c r="H59" s="36" t="s">
        <v>269</v>
      </c>
      <c r="I59" s="36" t="s">
        <v>250</v>
      </c>
      <c r="J59" s="36" t="s">
        <v>250</v>
      </c>
      <c r="K59" s="33" t="s">
        <v>72</v>
      </c>
      <c r="L59" s="33" t="s">
        <v>73</v>
      </c>
      <c r="M59" s="36" t="s">
        <v>74</v>
      </c>
      <c r="N59" s="36" t="s">
        <v>255</v>
      </c>
      <c r="O59" s="36" t="s">
        <v>262</v>
      </c>
      <c r="P59" s="36" t="s">
        <v>273</v>
      </c>
      <c r="Q59" s="36" t="s">
        <v>97</v>
      </c>
      <c r="R59" s="37">
        <v>4</v>
      </c>
      <c r="S59" s="33" t="s">
        <v>79</v>
      </c>
      <c r="T59" s="39">
        <v>1</v>
      </c>
      <c r="U59" s="39">
        <v>0</v>
      </c>
      <c r="V59" s="40">
        <f t="shared" si="19"/>
        <v>0</v>
      </c>
      <c r="W59" s="39">
        <v>1</v>
      </c>
      <c r="X59" s="39">
        <v>1</v>
      </c>
      <c r="Y59" s="40">
        <f t="shared" si="1"/>
        <v>100</v>
      </c>
      <c r="Z59" s="39">
        <v>1</v>
      </c>
      <c r="AA59" s="39"/>
      <c r="AB59" s="40">
        <f t="shared" si="2"/>
        <v>0</v>
      </c>
      <c r="AC59" s="39">
        <v>1</v>
      </c>
      <c r="AD59" s="39"/>
      <c r="AE59" s="40">
        <f t="shared" si="3"/>
        <v>0</v>
      </c>
      <c r="AF59" s="41">
        <f t="shared" si="11"/>
        <v>4</v>
      </c>
      <c r="AG59" s="41">
        <f t="shared" si="4"/>
        <v>1</v>
      </c>
      <c r="AH59" s="42">
        <f t="shared" si="5"/>
        <v>50</v>
      </c>
      <c r="AI59" s="43">
        <v>46113</v>
      </c>
      <c r="AJ59" s="43">
        <v>46477</v>
      </c>
      <c r="AK59" s="44" t="s">
        <v>80</v>
      </c>
      <c r="AL59" s="44" t="s">
        <v>81</v>
      </c>
      <c r="AM59" s="45" t="s">
        <v>82</v>
      </c>
      <c r="AN59" s="46">
        <v>20000000</v>
      </c>
      <c r="AO59" s="46">
        <v>20000000</v>
      </c>
      <c r="AP59" s="46">
        <v>20000000</v>
      </c>
      <c r="AQ59" s="47">
        <v>0</v>
      </c>
      <c r="AR59" s="44" t="s">
        <v>98</v>
      </c>
      <c r="AS59" s="44" t="s">
        <v>80</v>
      </c>
      <c r="AT59" s="54" t="s">
        <v>246</v>
      </c>
      <c r="AU59" s="49" t="s">
        <v>831</v>
      </c>
      <c r="AV59" s="51" t="s">
        <v>832</v>
      </c>
      <c r="AW59" s="51" t="s">
        <v>838</v>
      </c>
      <c r="AZ59" s="50">
        <f t="shared" si="12"/>
        <v>4</v>
      </c>
      <c r="BA59" s="50">
        <f t="shared" si="13"/>
        <v>1</v>
      </c>
      <c r="BB59" s="117">
        <f t="shared" si="14"/>
        <v>0.25</v>
      </c>
      <c r="BC59" s="50">
        <f t="shared" si="15"/>
        <v>3</v>
      </c>
      <c r="BD59" s="51"/>
      <c r="BE59" s="52">
        <f t="shared" si="6"/>
        <v>0.89999999999999991</v>
      </c>
      <c r="BF59" s="52">
        <f t="shared" si="7"/>
        <v>0.89999999999999991</v>
      </c>
      <c r="BG59" s="52">
        <f t="shared" si="8"/>
        <v>0.89999999999999991</v>
      </c>
      <c r="BH59" s="52">
        <f t="shared" si="9"/>
        <v>0.30000000000000004</v>
      </c>
      <c r="BI59" s="52">
        <f t="shared" si="10"/>
        <v>3</v>
      </c>
    </row>
    <row r="60" spans="1:61" x14ac:dyDescent="0.3">
      <c r="A60" s="39">
        <v>56</v>
      </c>
      <c r="B60" s="44" t="s">
        <v>238</v>
      </c>
      <c r="C60" s="44" t="s">
        <v>101</v>
      </c>
      <c r="D60" s="44" t="s">
        <v>87</v>
      </c>
      <c r="E60" s="44" t="s">
        <v>258</v>
      </c>
      <c r="F60" s="44" t="s">
        <v>268</v>
      </c>
      <c r="G60" s="36" t="s">
        <v>259</v>
      </c>
      <c r="H60" s="36" t="s">
        <v>269</v>
      </c>
      <c r="I60" s="36" t="s">
        <v>254</v>
      </c>
      <c r="J60" s="36" t="s">
        <v>254</v>
      </c>
      <c r="K60" s="33" t="s">
        <v>72</v>
      </c>
      <c r="L60" s="33" t="s">
        <v>73</v>
      </c>
      <c r="M60" s="36" t="s">
        <v>74</v>
      </c>
      <c r="N60" s="36" t="s">
        <v>255</v>
      </c>
      <c r="O60" s="36" t="s">
        <v>262</v>
      </c>
      <c r="P60" s="36" t="s">
        <v>274</v>
      </c>
      <c r="Q60" s="36" t="s">
        <v>97</v>
      </c>
      <c r="R60" s="37">
        <v>29</v>
      </c>
      <c r="S60" s="33" t="s">
        <v>79</v>
      </c>
      <c r="T60" s="39">
        <v>7</v>
      </c>
      <c r="U60" s="39">
        <v>0</v>
      </c>
      <c r="V60" s="40">
        <f t="shared" si="19"/>
        <v>0</v>
      </c>
      <c r="W60" s="39">
        <v>7</v>
      </c>
      <c r="X60" s="39">
        <v>0</v>
      </c>
      <c r="Y60" s="40">
        <f t="shared" si="1"/>
        <v>0</v>
      </c>
      <c r="Z60" s="39">
        <v>7</v>
      </c>
      <c r="AA60" s="39"/>
      <c r="AB60" s="40">
        <f t="shared" si="2"/>
        <v>0</v>
      </c>
      <c r="AC60" s="39">
        <v>8</v>
      </c>
      <c r="AD60" s="39"/>
      <c r="AE60" s="40">
        <f t="shared" si="3"/>
        <v>0</v>
      </c>
      <c r="AF60" s="41">
        <f t="shared" si="11"/>
        <v>29</v>
      </c>
      <c r="AG60" s="41">
        <f t="shared" si="4"/>
        <v>0</v>
      </c>
      <c r="AH60" s="42">
        <f t="shared" si="5"/>
        <v>0</v>
      </c>
      <c r="AI60" s="43">
        <v>46113</v>
      </c>
      <c r="AJ60" s="43">
        <v>46477</v>
      </c>
      <c r="AK60" s="44" t="s">
        <v>80</v>
      </c>
      <c r="AL60" s="44" t="s">
        <v>81</v>
      </c>
      <c r="AM60" s="45" t="s">
        <v>82</v>
      </c>
      <c r="AN60" s="46">
        <v>70000000</v>
      </c>
      <c r="AO60" s="46">
        <v>70000000</v>
      </c>
      <c r="AP60" s="46">
        <v>70000000</v>
      </c>
      <c r="AQ60" s="47">
        <v>0</v>
      </c>
      <c r="AR60" s="44" t="s">
        <v>275</v>
      </c>
      <c r="AS60" s="44" t="s">
        <v>80</v>
      </c>
      <c r="AT60" s="54" t="s">
        <v>246</v>
      </c>
      <c r="AU60" s="49" t="s">
        <v>831</v>
      </c>
      <c r="AV60" s="51" t="s">
        <v>832</v>
      </c>
      <c r="AW60" s="51" t="s">
        <v>838</v>
      </c>
      <c r="AZ60" s="50">
        <f t="shared" si="12"/>
        <v>29</v>
      </c>
      <c r="BA60" s="50">
        <f t="shared" si="13"/>
        <v>0</v>
      </c>
      <c r="BB60" s="117">
        <f t="shared" si="14"/>
        <v>0</v>
      </c>
      <c r="BC60" s="50">
        <f t="shared" si="15"/>
        <v>29</v>
      </c>
      <c r="BD60" s="51"/>
      <c r="BE60" s="52">
        <f t="shared" si="6"/>
        <v>8.6999999999999993</v>
      </c>
      <c r="BF60" s="52">
        <f t="shared" si="7"/>
        <v>8.6999999999999993</v>
      </c>
      <c r="BG60" s="52">
        <f t="shared" si="8"/>
        <v>8.6999999999999993</v>
      </c>
      <c r="BH60" s="52">
        <f t="shared" si="9"/>
        <v>2.9000000000000004</v>
      </c>
      <c r="BI60" s="52">
        <f t="shared" si="10"/>
        <v>29</v>
      </c>
    </row>
    <row r="61" spans="1:61" x14ac:dyDescent="0.3">
      <c r="A61" s="39">
        <v>57</v>
      </c>
      <c r="B61" s="44" t="s">
        <v>238</v>
      </c>
      <c r="C61" s="44" t="s">
        <v>101</v>
      </c>
      <c r="D61" s="44" t="s">
        <v>87</v>
      </c>
      <c r="E61" s="44" t="s">
        <v>258</v>
      </c>
      <c r="F61" s="44" t="s">
        <v>268</v>
      </c>
      <c r="G61" s="36" t="s">
        <v>259</v>
      </c>
      <c r="H61" s="36" t="s">
        <v>269</v>
      </c>
      <c r="I61" s="36" t="s">
        <v>254</v>
      </c>
      <c r="J61" s="36" t="s">
        <v>254</v>
      </c>
      <c r="K61" s="33" t="s">
        <v>72</v>
      </c>
      <c r="L61" s="33" t="s">
        <v>73</v>
      </c>
      <c r="M61" s="36" t="s">
        <v>74</v>
      </c>
      <c r="N61" s="36" t="s">
        <v>255</v>
      </c>
      <c r="O61" s="36" t="s">
        <v>262</v>
      </c>
      <c r="P61" s="36" t="s">
        <v>276</v>
      </c>
      <c r="Q61" s="36" t="s">
        <v>97</v>
      </c>
      <c r="R61" s="37">
        <v>29</v>
      </c>
      <c r="S61" s="33" t="s">
        <v>79</v>
      </c>
      <c r="T61" s="39">
        <v>0</v>
      </c>
      <c r="U61" s="39">
        <v>0</v>
      </c>
      <c r="V61" s="40" t="e">
        <f t="shared" si="19"/>
        <v>#DIV/0!</v>
      </c>
      <c r="W61" s="39">
        <v>10</v>
      </c>
      <c r="X61" s="39">
        <v>10</v>
      </c>
      <c r="Y61" s="40">
        <f t="shared" si="1"/>
        <v>100</v>
      </c>
      <c r="Z61" s="39">
        <v>10</v>
      </c>
      <c r="AA61" s="39"/>
      <c r="AB61" s="40">
        <f t="shared" si="2"/>
        <v>0</v>
      </c>
      <c r="AC61" s="39">
        <v>9</v>
      </c>
      <c r="AD61" s="39"/>
      <c r="AE61" s="40">
        <f t="shared" si="3"/>
        <v>0</v>
      </c>
      <c r="AF61" s="41">
        <f t="shared" si="11"/>
        <v>29</v>
      </c>
      <c r="AG61" s="41">
        <f t="shared" si="4"/>
        <v>10</v>
      </c>
      <c r="AH61" s="42">
        <f t="shared" si="5"/>
        <v>100</v>
      </c>
      <c r="AI61" s="43">
        <v>46113</v>
      </c>
      <c r="AJ61" s="43">
        <v>46477</v>
      </c>
      <c r="AK61" s="44" t="s">
        <v>80</v>
      </c>
      <c r="AL61" s="44" t="s">
        <v>81</v>
      </c>
      <c r="AM61" s="45" t="s">
        <v>82</v>
      </c>
      <c r="AN61" s="46">
        <v>70000000</v>
      </c>
      <c r="AO61" s="46">
        <v>70000000</v>
      </c>
      <c r="AP61" s="46">
        <v>70000000</v>
      </c>
      <c r="AQ61" s="47">
        <f>AO61</f>
        <v>70000000</v>
      </c>
      <c r="AR61" s="44" t="s">
        <v>98</v>
      </c>
      <c r="AS61" s="44" t="s">
        <v>80</v>
      </c>
      <c r="AT61" s="54" t="s">
        <v>246</v>
      </c>
      <c r="AU61" s="49" t="s">
        <v>831</v>
      </c>
      <c r="AV61" s="51" t="s">
        <v>832</v>
      </c>
      <c r="AW61" s="51" t="s">
        <v>838</v>
      </c>
      <c r="AZ61" s="50">
        <f t="shared" si="12"/>
        <v>29</v>
      </c>
      <c r="BA61" s="50">
        <f t="shared" si="13"/>
        <v>10</v>
      </c>
      <c r="BB61" s="117">
        <f t="shared" si="14"/>
        <v>0.34482758620689657</v>
      </c>
      <c r="BC61" s="50">
        <f t="shared" si="15"/>
        <v>19</v>
      </c>
      <c r="BD61" s="51"/>
      <c r="BE61" s="52">
        <f t="shared" si="6"/>
        <v>5.7</v>
      </c>
      <c r="BF61" s="52">
        <f t="shared" si="7"/>
        <v>5.7</v>
      </c>
      <c r="BG61" s="52">
        <f t="shared" si="8"/>
        <v>5.7</v>
      </c>
      <c r="BH61" s="52">
        <f t="shared" si="9"/>
        <v>1.9000000000000001</v>
      </c>
      <c r="BI61" s="52">
        <f t="shared" si="10"/>
        <v>19</v>
      </c>
    </row>
    <row r="62" spans="1:61" x14ac:dyDescent="0.3">
      <c r="A62" s="39">
        <v>58</v>
      </c>
      <c r="B62" s="44" t="s">
        <v>238</v>
      </c>
      <c r="C62" s="44" t="s">
        <v>101</v>
      </c>
      <c r="D62" s="44" t="s">
        <v>87</v>
      </c>
      <c r="E62" s="44" t="s">
        <v>258</v>
      </c>
      <c r="F62" s="44" t="s">
        <v>268</v>
      </c>
      <c r="G62" s="36" t="s">
        <v>259</v>
      </c>
      <c r="H62" s="36" t="s">
        <v>269</v>
      </c>
      <c r="I62" s="36" t="s">
        <v>254</v>
      </c>
      <c r="J62" s="36" t="s">
        <v>254</v>
      </c>
      <c r="K62" s="33" t="s">
        <v>72</v>
      </c>
      <c r="L62" s="33" t="s">
        <v>73</v>
      </c>
      <c r="M62" s="36" t="s">
        <v>74</v>
      </c>
      <c r="N62" s="36" t="s">
        <v>255</v>
      </c>
      <c r="O62" s="36" t="s">
        <v>262</v>
      </c>
      <c r="P62" s="36" t="s">
        <v>277</v>
      </c>
      <c r="Q62" s="36" t="s">
        <v>97</v>
      </c>
      <c r="R62" s="37">
        <v>4</v>
      </c>
      <c r="S62" s="33" t="s">
        <v>79</v>
      </c>
      <c r="T62" s="39">
        <v>0</v>
      </c>
      <c r="U62" s="39">
        <v>0</v>
      </c>
      <c r="V62" s="40" t="e">
        <f t="shared" si="19"/>
        <v>#DIV/0!</v>
      </c>
      <c r="W62" s="39">
        <v>2</v>
      </c>
      <c r="X62" s="39">
        <v>0</v>
      </c>
      <c r="Y62" s="40">
        <f t="shared" si="1"/>
        <v>0</v>
      </c>
      <c r="Z62" s="39">
        <v>2</v>
      </c>
      <c r="AA62" s="39"/>
      <c r="AB62" s="40">
        <f t="shared" si="2"/>
        <v>0</v>
      </c>
      <c r="AC62" s="39">
        <v>0</v>
      </c>
      <c r="AD62" s="39"/>
      <c r="AE62" s="40" t="e">
        <f t="shared" si="3"/>
        <v>#DIV/0!</v>
      </c>
      <c r="AF62" s="41">
        <f t="shared" si="11"/>
        <v>4</v>
      </c>
      <c r="AG62" s="41">
        <f t="shared" si="4"/>
        <v>0</v>
      </c>
      <c r="AH62" s="42">
        <f t="shared" si="5"/>
        <v>0</v>
      </c>
      <c r="AI62" s="43">
        <v>46113</v>
      </c>
      <c r="AJ62" s="43">
        <v>46477</v>
      </c>
      <c r="AK62" s="44" t="s">
        <v>80</v>
      </c>
      <c r="AL62" s="44" t="s">
        <v>81</v>
      </c>
      <c r="AM62" s="45" t="s">
        <v>82</v>
      </c>
      <c r="AN62" s="46">
        <v>80000000</v>
      </c>
      <c r="AO62" s="46">
        <v>80000000</v>
      </c>
      <c r="AP62" s="46">
        <v>80000000</v>
      </c>
      <c r="AQ62" s="47">
        <v>0</v>
      </c>
      <c r="AR62" s="44" t="s">
        <v>275</v>
      </c>
      <c r="AS62" s="44" t="s">
        <v>80</v>
      </c>
      <c r="AT62" s="54" t="s">
        <v>278</v>
      </c>
      <c r="AU62" s="49" t="s">
        <v>831</v>
      </c>
      <c r="AV62" s="51" t="s">
        <v>832</v>
      </c>
      <c r="AZ62" s="50">
        <f t="shared" si="12"/>
        <v>4</v>
      </c>
      <c r="BA62" s="50">
        <f t="shared" si="13"/>
        <v>0</v>
      </c>
      <c r="BB62" s="117">
        <f t="shared" si="14"/>
        <v>0</v>
      </c>
      <c r="BC62" s="50">
        <f t="shared" si="15"/>
        <v>4</v>
      </c>
      <c r="BD62" s="51"/>
      <c r="BE62" s="52">
        <f t="shared" si="6"/>
        <v>1.2</v>
      </c>
      <c r="BF62" s="52">
        <f t="shared" si="7"/>
        <v>1.2</v>
      </c>
      <c r="BG62" s="52">
        <f t="shared" si="8"/>
        <v>1.2</v>
      </c>
      <c r="BH62" s="52">
        <f t="shared" si="9"/>
        <v>0.4</v>
      </c>
      <c r="BI62" s="52">
        <f t="shared" si="10"/>
        <v>3.9999999999999996</v>
      </c>
    </row>
    <row r="63" spans="1:61" x14ac:dyDescent="0.3">
      <c r="A63" s="39">
        <v>59</v>
      </c>
      <c r="B63" s="44" t="s">
        <v>238</v>
      </c>
      <c r="C63" s="44" t="s">
        <v>86</v>
      </c>
      <c r="D63" s="44" t="s">
        <v>87</v>
      </c>
      <c r="E63" s="44" t="s">
        <v>258</v>
      </c>
      <c r="F63" s="44" t="s">
        <v>268</v>
      </c>
      <c r="G63" s="36" t="s">
        <v>259</v>
      </c>
      <c r="H63" s="36" t="s">
        <v>269</v>
      </c>
      <c r="I63" s="36" t="s">
        <v>250</v>
      </c>
      <c r="J63" s="36" t="s">
        <v>250</v>
      </c>
      <c r="K63" s="33" t="s">
        <v>72</v>
      </c>
      <c r="L63" s="33" t="s">
        <v>73</v>
      </c>
      <c r="M63" s="36" t="s">
        <v>74</v>
      </c>
      <c r="N63" s="36" t="s">
        <v>243</v>
      </c>
      <c r="O63" s="36" t="s">
        <v>262</v>
      </c>
      <c r="P63" s="36" t="s">
        <v>279</v>
      </c>
      <c r="Q63" s="36" t="s">
        <v>97</v>
      </c>
      <c r="R63" s="37">
        <v>1</v>
      </c>
      <c r="S63" s="33" t="s">
        <v>79</v>
      </c>
      <c r="T63" s="39">
        <v>1</v>
      </c>
      <c r="U63" s="39">
        <v>0</v>
      </c>
      <c r="V63" s="40">
        <f t="shared" si="19"/>
        <v>0</v>
      </c>
      <c r="W63" s="39">
        <v>0</v>
      </c>
      <c r="X63" s="39">
        <v>1</v>
      </c>
      <c r="Y63" s="40" t="e">
        <f t="shared" si="1"/>
        <v>#DIV/0!</v>
      </c>
      <c r="Z63" s="39">
        <v>1</v>
      </c>
      <c r="AA63" s="39"/>
      <c r="AB63" s="40">
        <f t="shared" si="2"/>
        <v>0</v>
      </c>
      <c r="AC63" s="39">
        <v>0</v>
      </c>
      <c r="AD63" s="39"/>
      <c r="AE63" s="40" t="e">
        <f t="shared" si="3"/>
        <v>#DIV/0!</v>
      </c>
      <c r="AF63" s="41">
        <f t="shared" si="11"/>
        <v>1</v>
      </c>
      <c r="AG63" s="41">
        <f t="shared" si="4"/>
        <v>1</v>
      </c>
      <c r="AH63" s="42">
        <f t="shared" si="5"/>
        <v>100</v>
      </c>
      <c r="AI63" s="43">
        <v>46113</v>
      </c>
      <c r="AJ63" s="43">
        <v>46477</v>
      </c>
      <c r="AK63" s="44" t="s">
        <v>80</v>
      </c>
      <c r="AL63" s="44" t="s">
        <v>81</v>
      </c>
      <c r="AM63" s="45" t="s">
        <v>82</v>
      </c>
      <c r="AN63" s="46"/>
      <c r="AO63" s="46"/>
      <c r="AP63" s="46"/>
      <c r="AQ63" s="47"/>
      <c r="AR63" s="44" t="s">
        <v>83</v>
      </c>
      <c r="AS63" s="44" t="s">
        <v>80</v>
      </c>
      <c r="AT63" s="54" t="s">
        <v>278</v>
      </c>
      <c r="AU63" s="49" t="s">
        <v>831</v>
      </c>
      <c r="AV63" s="51" t="s">
        <v>832</v>
      </c>
      <c r="AZ63" s="50">
        <f t="shared" si="12"/>
        <v>1</v>
      </c>
      <c r="BA63" s="50">
        <f t="shared" si="13"/>
        <v>1</v>
      </c>
      <c r="BB63" s="117">
        <f t="shared" si="14"/>
        <v>1</v>
      </c>
      <c r="BC63" s="50">
        <f t="shared" si="15"/>
        <v>0</v>
      </c>
      <c r="BD63" s="51"/>
      <c r="BE63" s="52">
        <f t="shared" si="6"/>
        <v>0</v>
      </c>
      <c r="BF63" s="52">
        <f t="shared" si="7"/>
        <v>0</v>
      </c>
      <c r="BG63" s="52">
        <f t="shared" si="8"/>
        <v>0</v>
      </c>
      <c r="BH63" s="52">
        <f t="shared" si="9"/>
        <v>0</v>
      </c>
      <c r="BI63" s="52">
        <f t="shared" si="10"/>
        <v>0</v>
      </c>
    </row>
    <row r="64" spans="1:61" x14ac:dyDescent="0.3">
      <c r="A64" s="39">
        <v>60</v>
      </c>
      <c r="B64" s="44" t="s">
        <v>238</v>
      </c>
      <c r="C64" s="44" t="s">
        <v>86</v>
      </c>
      <c r="D64" s="44" t="s">
        <v>87</v>
      </c>
      <c r="E64" s="44" t="s">
        <v>258</v>
      </c>
      <c r="F64" s="44" t="s">
        <v>268</v>
      </c>
      <c r="G64" s="36" t="s">
        <v>259</v>
      </c>
      <c r="H64" s="36" t="s">
        <v>269</v>
      </c>
      <c r="I64" s="36" t="s">
        <v>280</v>
      </c>
      <c r="J64" s="36" t="s">
        <v>281</v>
      </c>
      <c r="K64" s="33" t="s">
        <v>72</v>
      </c>
      <c r="L64" s="33" t="s">
        <v>73</v>
      </c>
      <c r="M64" s="36" t="s">
        <v>74</v>
      </c>
      <c r="N64" s="36" t="s">
        <v>255</v>
      </c>
      <c r="O64" s="36" t="s">
        <v>262</v>
      </c>
      <c r="P64" s="36" t="s">
        <v>282</v>
      </c>
      <c r="Q64" s="36" t="s">
        <v>97</v>
      </c>
      <c r="R64" s="37">
        <v>4</v>
      </c>
      <c r="S64" s="33" t="s">
        <v>79</v>
      </c>
      <c r="T64" s="39">
        <v>1</v>
      </c>
      <c r="U64" s="39">
        <v>1</v>
      </c>
      <c r="V64" s="40">
        <f t="shared" si="19"/>
        <v>100</v>
      </c>
      <c r="W64" s="39">
        <v>1</v>
      </c>
      <c r="X64" s="39">
        <v>0</v>
      </c>
      <c r="Y64" s="40">
        <f t="shared" si="1"/>
        <v>0</v>
      </c>
      <c r="Z64" s="39">
        <v>1</v>
      </c>
      <c r="AA64" s="39"/>
      <c r="AB64" s="40">
        <f t="shared" si="2"/>
        <v>0</v>
      </c>
      <c r="AC64" s="39">
        <v>1</v>
      </c>
      <c r="AD64" s="39"/>
      <c r="AE64" s="40">
        <f t="shared" si="3"/>
        <v>0</v>
      </c>
      <c r="AF64" s="41">
        <f t="shared" si="11"/>
        <v>4</v>
      </c>
      <c r="AG64" s="41">
        <f t="shared" si="4"/>
        <v>1</v>
      </c>
      <c r="AH64" s="42">
        <f t="shared" si="5"/>
        <v>50</v>
      </c>
      <c r="AI64" s="43">
        <v>46113</v>
      </c>
      <c r="AJ64" s="43">
        <v>46477</v>
      </c>
      <c r="AK64" s="44" t="s">
        <v>80</v>
      </c>
      <c r="AL64" s="44" t="s">
        <v>81</v>
      </c>
      <c r="AM64" s="45" t="s">
        <v>82</v>
      </c>
      <c r="AN64" s="46"/>
      <c r="AO64" s="46"/>
      <c r="AP64" s="46"/>
      <c r="AQ64" s="47"/>
      <c r="AR64" s="44" t="s">
        <v>98</v>
      </c>
      <c r="AS64" s="44"/>
      <c r="AT64" s="54" t="s">
        <v>283</v>
      </c>
      <c r="AU64" s="49" t="s">
        <v>831</v>
      </c>
      <c r="AV64" s="51" t="s">
        <v>832</v>
      </c>
      <c r="AW64" s="51" t="s">
        <v>839</v>
      </c>
      <c r="AZ64" s="50">
        <f t="shared" si="12"/>
        <v>4</v>
      </c>
      <c r="BA64" s="50">
        <f t="shared" si="13"/>
        <v>1</v>
      </c>
      <c r="BB64" s="117">
        <f t="shared" si="14"/>
        <v>0.25</v>
      </c>
      <c r="BC64" s="50">
        <f t="shared" si="15"/>
        <v>3</v>
      </c>
      <c r="BD64" s="51"/>
      <c r="BE64" s="52">
        <f t="shared" si="6"/>
        <v>0.89999999999999991</v>
      </c>
      <c r="BF64" s="52">
        <f t="shared" si="7"/>
        <v>0.89999999999999991</v>
      </c>
      <c r="BG64" s="52">
        <f t="shared" si="8"/>
        <v>0.89999999999999991</v>
      </c>
      <c r="BH64" s="52">
        <f t="shared" si="9"/>
        <v>0.30000000000000004</v>
      </c>
      <c r="BI64" s="52">
        <f t="shared" si="10"/>
        <v>3</v>
      </c>
    </row>
    <row r="65" spans="1:61" x14ac:dyDescent="0.3">
      <c r="A65" s="39">
        <v>61</v>
      </c>
      <c r="B65" s="44" t="s">
        <v>238</v>
      </c>
      <c r="C65" s="44" t="s">
        <v>64</v>
      </c>
      <c r="D65" s="44" t="s">
        <v>65</v>
      </c>
      <c r="E65" s="44" t="s">
        <v>284</v>
      </c>
      <c r="F65" s="44" t="s">
        <v>285</v>
      </c>
      <c r="G65" s="36" t="s">
        <v>286</v>
      </c>
      <c r="H65" s="36" t="s">
        <v>269</v>
      </c>
      <c r="I65" s="36" t="s">
        <v>287</v>
      </c>
      <c r="J65" s="36" t="s">
        <v>287</v>
      </c>
      <c r="K65" s="33" t="s">
        <v>72</v>
      </c>
      <c r="L65" s="33" t="s">
        <v>73</v>
      </c>
      <c r="M65" s="36" t="s">
        <v>74</v>
      </c>
      <c r="N65" s="36" t="s">
        <v>288</v>
      </c>
      <c r="O65" s="36" t="s">
        <v>76</v>
      </c>
      <c r="P65" s="36" t="s">
        <v>289</v>
      </c>
      <c r="Q65" s="36" t="s">
        <v>78</v>
      </c>
      <c r="R65" s="37">
        <v>29</v>
      </c>
      <c r="S65" s="33" t="s">
        <v>79</v>
      </c>
      <c r="T65" s="39">
        <v>5</v>
      </c>
      <c r="U65" s="39">
        <v>0</v>
      </c>
      <c r="V65" s="40">
        <f t="shared" si="19"/>
        <v>0</v>
      </c>
      <c r="W65" s="39">
        <v>10</v>
      </c>
      <c r="X65" s="39">
        <v>0</v>
      </c>
      <c r="Y65" s="40">
        <f t="shared" si="1"/>
        <v>0</v>
      </c>
      <c r="Z65" s="39">
        <v>10</v>
      </c>
      <c r="AA65" s="39"/>
      <c r="AB65" s="40">
        <f t="shared" si="2"/>
        <v>0</v>
      </c>
      <c r="AC65" s="39">
        <v>4</v>
      </c>
      <c r="AD65" s="39"/>
      <c r="AE65" s="40">
        <f t="shared" si="3"/>
        <v>0</v>
      </c>
      <c r="AF65" s="41">
        <f t="shared" si="11"/>
        <v>29</v>
      </c>
      <c r="AG65" s="41">
        <f t="shared" si="4"/>
        <v>0</v>
      </c>
      <c r="AH65" s="42">
        <f t="shared" si="5"/>
        <v>0</v>
      </c>
      <c r="AI65" s="43">
        <v>46113</v>
      </c>
      <c r="AJ65" s="43">
        <v>46477</v>
      </c>
      <c r="AK65" s="44" t="s">
        <v>80</v>
      </c>
      <c r="AL65" s="44" t="s">
        <v>81</v>
      </c>
      <c r="AM65" s="45" t="s">
        <v>82</v>
      </c>
      <c r="AN65" s="46">
        <v>100000000</v>
      </c>
      <c r="AO65" s="46">
        <v>100000000</v>
      </c>
      <c r="AP65" s="46">
        <v>100000000</v>
      </c>
      <c r="AQ65" s="47">
        <v>0</v>
      </c>
      <c r="AR65" s="44" t="s">
        <v>98</v>
      </c>
      <c r="AS65" s="44" t="s">
        <v>80</v>
      </c>
      <c r="AT65" s="54" t="s">
        <v>246</v>
      </c>
      <c r="AU65" s="49" t="s">
        <v>831</v>
      </c>
      <c r="AV65" s="51" t="s">
        <v>832</v>
      </c>
      <c r="AW65" s="51" t="s">
        <v>838</v>
      </c>
      <c r="AZ65" s="50">
        <f t="shared" si="12"/>
        <v>29</v>
      </c>
      <c r="BA65" s="50">
        <f t="shared" si="13"/>
        <v>0</v>
      </c>
      <c r="BB65" s="117">
        <f t="shared" si="14"/>
        <v>0</v>
      </c>
      <c r="BC65" s="50">
        <f t="shared" si="15"/>
        <v>29</v>
      </c>
      <c r="BD65" s="51"/>
      <c r="BE65" s="52">
        <f t="shared" si="6"/>
        <v>8.6999999999999993</v>
      </c>
      <c r="BF65" s="52">
        <f t="shared" si="7"/>
        <v>8.6999999999999993</v>
      </c>
      <c r="BG65" s="52">
        <f t="shared" si="8"/>
        <v>8.6999999999999993</v>
      </c>
      <c r="BH65" s="52">
        <f t="shared" si="9"/>
        <v>2.9000000000000004</v>
      </c>
      <c r="BI65" s="52">
        <f t="shared" si="10"/>
        <v>29</v>
      </c>
    </row>
    <row r="66" spans="1:61" x14ac:dyDescent="0.3">
      <c r="A66" s="39">
        <v>62</v>
      </c>
      <c r="B66" s="44" t="s">
        <v>238</v>
      </c>
      <c r="C66" s="44" t="s">
        <v>64</v>
      </c>
      <c r="D66" s="44" t="s">
        <v>65</v>
      </c>
      <c r="E66" s="44" t="s">
        <v>284</v>
      </c>
      <c r="F66" s="44" t="s">
        <v>290</v>
      </c>
      <c r="G66" s="36" t="s">
        <v>286</v>
      </c>
      <c r="H66" s="36" t="s">
        <v>269</v>
      </c>
      <c r="I66" s="36" t="s">
        <v>287</v>
      </c>
      <c r="J66" s="36" t="s">
        <v>287</v>
      </c>
      <c r="K66" s="33" t="s">
        <v>72</v>
      </c>
      <c r="L66" s="33" t="s">
        <v>73</v>
      </c>
      <c r="M66" s="36" t="s">
        <v>74</v>
      </c>
      <c r="N66" s="36" t="s">
        <v>288</v>
      </c>
      <c r="O66" s="36" t="s">
        <v>76</v>
      </c>
      <c r="P66" s="36" t="s">
        <v>291</v>
      </c>
      <c r="Q66" s="36" t="s">
        <v>78</v>
      </c>
      <c r="R66" s="37">
        <v>29</v>
      </c>
      <c r="S66" s="33" t="s">
        <v>79</v>
      </c>
      <c r="T66" s="39">
        <v>5</v>
      </c>
      <c r="U66" s="39">
        <v>0</v>
      </c>
      <c r="V66" s="40">
        <f t="shared" si="19"/>
        <v>0</v>
      </c>
      <c r="W66" s="39">
        <v>10</v>
      </c>
      <c r="X66" s="39">
        <v>0</v>
      </c>
      <c r="Y66" s="40">
        <f t="shared" si="1"/>
        <v>0</v>
      </c>
      <c r="Z66" s="39">
        <v>10</v>
      </c>
      <c r="AA66" s="39"/>
      <c r="AB66" s="40">
        <f t="shared" si="2"/>
        <v>0</v>
      </c>
      <c r="AC66" s="39">
        <v>4</v>
      </c>
      <c r="AD66" s="39"/>
      <c r="AE66" s="40">
        <f t="shared" si="3"/>
        <v>0</v>
      </c>
      <c r="AF66" s="41">
        <f t="shared" si="11"/>
        <v>29</v>
      </c>
      <c r="AG66" s="41">
        <f t="shared" si="4"/>
        <v>0</v>
      </c>
      <c r="AH66" s="42">
        <f t="shared" si="5"/>
        <v>0</v>
      </c>
      <c r="AI66" s="43">
        <v>46113</v>
      </c>
      <c r="AJ66" s="43">
        <v>46477</v>
      </c>
      <c r="AK66" s="44" t="s">
        <v>80</v>
      </c>
      <c r="AL66" s="44" t="s">
        <v>81</v>
      </c>
      <c r="AM66" s="45" t="s">
        <v>82</v>
      </c>
      <c r="AN66" s="46">
        <v>110000000</v>
      </c>
      <c r="AO66" s="46">
        <v>110000000</v>
      </c>
      <c r="AP66" s="46">
        <v>110000000</v>
      </c>
      <c r="AQ66" s="47">
        <v>0</v>
      </c>
      <c r="AR66" s="44" t="s">
        <v>98</v>
      </c>
      <c r="AS66" s="44" t="s">
        <v>80</v>
      </c>
      <c r="AT66" s="54" t="s">
        <v>246</v>
      </c>
      <c r="AU66" s="49" t="s">
        <v>831</v>
      </c>
      <c r="AV66" s="51" t="s">
        <v>832</v>
      </c>
      <c r="AW66" s="51" t="s">
        <v>838</v>
      </c>
      <c r="AZ66" s="50">
        <f t="shared" si="12"/>
        <v>29</v>
      </c>
      <c r="BA66" s="50">
        <f t="shared" si="13"/>
        <v>0</v>
      </c>
      <c r="BB66" s="117">
        <f t="shared" si="14"/>
        <v>0</v>
      </c>
      <c r="BC66" s="50">
        <f t="shared" si="15"/>
        <v>29</v>
      </c>
      <c r="BD66" s="51"/>
      <c r="BE66" s="52">
        <f t="shared" si="6"/>
        <v>8.6999999999999993</v>
      </c>
      <c r="BF66" s="52">
        <f t="shared" si="7"/>
        <v>8.6999999999999993</v>
      </c>
      <c r="BG66" s="52">
        <f t="shared" si="8"/>
        <v>8.6999999999999993</v>
      </c>
      <c r="BH66" s="52">
        <f t="shared" si="9"/>
        <v>2.9000000000000004</v>
      </c>
      <c r="BI66" s="52">
        <f t="shared" si="10"/>
        <v>29</v>
      </c>
    </row>
    <row r="67" spans="1:61" x14ac:dyDescent="0.3">
      <c r="A67" s="39">
        <v>63</v>
      </c>
      <c r="B67" s="44" t="s">
        <v>238</v>
      </c>
      <c r="C67" s="44" t="s">
        <v>163</v>
      </c>
      <c r="D67" s="44" t="s">
        <v>164</v>
      </c>
      <c r="E67" s="44" t="s">
        <v>247</v>
      </c>
      <c r="F67" s="44" t="s">
        <v>290</v>
      </c>
      <c r="G67" s="36" t="s">
        <v>286</v>
      </c>
      <c r="H67" s="36" t="s">
        <v>292</v>
      </c>
      <c r="I67" s="36" t="s">
        <v>293</v>
      </c>
      <c r="J67" s="36" t="s">
        <v>293</v>
      </c>
      <c r="K67" s="33" t="s">
        <v>72</v>
      </c>
      <c r="L67" s="33" t="s">
        <v>73</v>
      </c>
      <c r="M67" s="36" t="s">
        <v>74</v>
      </c>
      <c r="N67" s="36" t="s">
        <v>294</v>
      </c>
      <c r="O67" s="36" t="s">
        <v>76</v>
      </c>
      <c r="P67" s="36" t="s">
        <v>295</v>
      </c>
      <c r="Q67" s="36" t="s">
        <v>78</v>
      </c>
      <c r="R67" s="37">
        <v>4</v>
      </c>
      <c r="S67" s="33" t="s">
        <v>79</v>
      </c>
      <c r="T67" s="39">
        <v>1</v>
      </c>
      <c r="U67" s="39">
        <v>0</v>
      </c>
      <c r="V67" s="40">
        <v>0</v>
      </c>
      <c r="W67" s="39">
        <v>1</v>
      </c>
      <c r="X67" s="39">
        <v>0</v>
      </c>
      <c r="Y67" s="40">
        <f t="shared" si="1"/>
        <v>0</v>
      </c>
      <c r="Z67" s="39">
        <v>1</v>
      </c>
      <c r="AA67" s="39"/>
      <c r="AB67" s="40">
        <f t="shared" si="2"/>
        <v>0</v>
      </c>
      <c r="AC67" s="39">
        <v>1</v>
      </c>
      <c r="AD67" s="39"/>
      <c r="AE67" s="40">
        <f t="shared" si="3"/>
        <v>0</v>
      </c>
      <c r="AF67" s="41">
        <f t="shared" si="11"/>
        <v>4</v>
      </c>
      <c r="AG67" s="41">
        <f t="shared" si="4"/>
        <v>0</v>
      </c>
      <c r="AH67" s="42">
        <f t="shared" si="5"/>
        <v>0</v>
      </c>
      <c r="AI67" s="43">
        <v>46113</v>
      </c>
      <c r="AJ67" s="43">
        <v>46477</v>
      </c>
      <c r="AK67" s="44" t="s">
        <v>80</v>
      </c>
      <c r="AL67" s="44" t="s">
        <v>81</v>
      </c>
      <c r="AM67" s="45" t="s">
        <v>82</v>
      </c>
      <c r="AN67" s="46">
        <v>80000000</v>
      </c>
      <c r="AO67" s="46">
        <v>80000000</v>
      </c>
      <c r="AP67" s="46">
        <v>80000000</v>
      </c>
      <c r="AQ67" s="47">
        <v>0</v>
      </c>
      <c r="AR67" s="44" t="s">
        <v>98</v>
      </c>
      <c r="AS67" s="44" t="s">
        <v>80</v>
      </c>
      <c r="AT67" s="54" t="s">
        <v>278</v>
      </c>
      <c r="AU67" s="49" t="s">
        <v>831</v>
      </c>
      <c r="AV67" s="51" t="s">
        <v>832</v>
      </c>
      <c r="AZ67" s="50">
        <f t="shared" si="12"/>
        <v>4</v>
      </c>
      <c r="BA67" s="50">
        <f t="shared" si="13"/>
        <v>0</v>
      </c>
      <c r="BB67" s="117">
        <f t="shared" si="14"/>
        <v>0</v>
      </c>
      <c r="BC67" s="50">
        <f t="shared" si="15"/>
        <v>4</v>
      </c>
      <c r="BD67" s="51"/>
      <c r="BE67" s="52">
        <f t="shared" si="6"/>
        <v>1.2</v>
      </c>
      <c r="BF67" s="52">
        <f t="shared" si="7"/>
        <v>1.2</v>
      </c>
      <c r="BG67" s="52">
        <f t="shared" si="8"/>
        <v>1.2</v>
      </c>
      <c r="BH67" s="52">
        <f t="shared" si="9"/>
        <v>0.4</v>
      </c>
      <c r="BI67" s="52">
        <f t="shared" si="10"/>
        <v>3.9999999999999996</v>
      </c>
    </row>
    <row r="68" spans="1:61" x14ac:dyDescent="0.3">
      <c r="A68" s="39">
        <v>64</v>
      </c>
      <c r="B68" s="44" t="s">
        <v>238</v>
      </c>
      <c r="C68" s="44" t="s">
        <v>163</v>
      </c>
      <c r="D68" s="44" t="s">
        <v>164</v>
      </c>
      <c r="E68" s="44" t="s">
        <v>247</v>
      </c>
      <c r="F68" s="44" t="s">
        <v>290</v>
      </c>
      <c r="G68" s="36" t="s">
        <v>286</v>
      </c>
      <c r="H68" s="36" t="s">
        <v>292</v>
      </c>
      <c r="I68" s="36" t="s">
        <v>281</v>
      </c>
      <c r="J68" s="36" t="s">
        <v>281</v>
      </c>
      <c r="K68" s="33" t="s">
        <v>72</v>
      </c>
      <c r="L68" s="33" t="s">
        <v>73</v>
      </c>
      <c r="M68" s="36" t="s">
        <v>74</v>
      </c>
      <c r="N68" s="36" t="s">
        <v>294</v>
      </c>
      <c r="O68" s="36" t="s">
        <v>76</v>
      </c>
      <c r="P68" s="36" t="s">
        <v>296</v>
      </c>
      <c r="Q68" s="36" t="s">
        <v>78</v>
      </c>
      <c r="R68" s="37">
        <v>4</v>
      </c>
      <c r="S68" s="33" t="s">
        <v>79</v>
      </c>
      <c r="T68" s="39">
        <v>1</v>
      </c>
      <c r="U68" s="39">
        <v>0</v>
      </c>
      <c r="V68" s="40">
        <v>0</v>
      </c>
      <c r="W68" s="39">
        <v>1</v>
      </c>
      <c r="X68" s="39">
        <v>0</v>
      </c>
      <c r="Y68" s="40">
        <f t="shared" si="1"/>
        <v>0</v>
      </c>
      <c r="Z68" s="39">
        <v>1</v>
      </c>
      <c r="AA68" s="39"/>
      <c r="AB68" s="40">
        <f t="shared" si="2"/>
        <v>0</v>
      </c>
      <c r="AC68" s="39">
        <v>1</v>
      </c>
      <c r="AD68" s="39"/>
      <c r="AE68" s="40">
        <f t="shared" si="3"/>
        <v>0</v>
      </c>
      <c r="AF68" s="41">
        <f t="shared" si="11"/>
        <v>4</v>
      </c>
      <c r="AG68" s="41">
        <f t="shared" si="4"/>
        <v>0</v>
      </c>
      <c r="AH68" s="42">
        <f t="shared" si="5"/>
        <v>0</v>
      </c>
      <c r="AI68" s="43">
        <v>46113</v>
      </c>
      <c r="AJ68" s="43">
        <v>46477</v>
      </c>
      <c r="AK68" s="44" t="s">
        <v>80</v>
      </c>
      <c r="AL68" s="44" t="s">
        <v>81</v>
      </c>
      <c r="AM68" s="45" t="s">
        <v>82</v>
      </c>
      <c r="AN68" s="46">
        <v>80000000</v>
      </c>
      <c r="AO68" s="46">
        <v>80000000</v>
      </c>
      <c r="AP68" s="46">
        <v>80000000</v>
      </c>
      <c r="AQ68" s="47">
        <v>0</v>
      </c>
      <c r="AR68" s="44" t="s">
        <v>83</v>
      </c>
      <c r="AS68" s="44" t="s">
        <v>80</v>
      </c>
      <c r="AT68" s="54" t="s">
        <v>297</v>
      </c>
      <c r="AU68" s="49" t="s">
        <v>831</v>
      </c>
      <c r="AV68" s="51" t="s">
        <v>832</v>
      </c>
      <c r="AW68" s="51" t="s">
        <v>839</v>
      </c>
      <c r="AZ68" s="50">
        <f t="shared" si="12"/>
        <v>4</v>
      </c>
      <c r="BA68" s="50">
        <f t="shared" si="13"/>
        <v>0</v>
      </c>
      <c r="BB68" s="117">
        <f t="shared" si="14"/>
        <v>0</v>
      </c>
      <c r="BC68" s="50">
        <f t="shared" si="15"/>
        <v>4</v>
      </c>
      <c r="BD68" s="51"/>
      <c r="BE68" s="52">
        <f t="shared" si="6"/>
        <v>1.2</v>
      </c>
      <c r="BF68" s="52">
        <f t="shared" si="7"/>
        <v>1.2</v>
      </c>
      <c r="BG68" s="52">
        <f t="shared" si="8"/>
        <v>1.2</v>
      </c>
      <c r="BH68" s="52">
        <f t="shared" si="9"/>
        <v>0.4</v>
      </c>
      <c r="BI68" s="52">
        <f t="shared" si="10"/>
        <v>3.9999999999999996</v>
      </c>
    </row>
    <row r="69" spans="1:61" x14ac:dyDescent="0.3">
      <c r="A69" s="39">
        <v>65</v>
      </c>
      <c r="B69" s="44" t="s">
        <v>238</v>
      </c>
      <c r="C69" s="44" t="s">
        <v>101</v>
      </c>
      <c r="D69" s="44" t="s">
        <v>87</v>
      </c>
      <c r="E69" s="44" t="s">
        <v>180</v>
      </c>
      <c r="F69" s="44" t="s">
        <v>290</v>
      </c>
      <c r="G69" s="36" t="s">
        <v>286</v>
      </c>
      <c r="H69" s="36" t="s">
        <v>292</v>
      </c>
      <c r="I69" s="36" t="s">
        <v>293</v>
      </c>
      <c r="J69" s="36" t="s">
        <v>293</v>
      </c>
      <c r="K69" s="33" t="s">
        <v>72</v>
      </c>
      <c r="L69" s="33" t="s">
        <v>73</v>
      </c>
      <c r="M69" s="36" t="s">
        <v>74</v>
      </c>
      <c r="N69" s="36" t="s">
        <v>294</v>
      </c>
      <c r="O69" s="36" t="s">
        <v>95</v>
      </c>
      <c r="P69" s="36" t="s">
        <v>298</v>
      </c>
      <c r="Q69" s="36" t="s">
        <v>97</v>
      </c>
      <c r="R69" s="37">
        <v>2</v>
      </c>
      <c r="S69" s="33" t="s">
        <v>79</v>
      </c>
      <c r="T69" s="39">
        <v>0</v>
      </c>
      <c r="U69" s="39">
        <v>0</v>
      </c>
      <c r="V69" s="40" t="e">
        <f t="shared" ref="V69:V117" si="20">U69/T69*100</f>
        <v>#DIV/0!</v>
      </c>
      <c r="W69" s="39">
        <v>0</v>
      </c>
      <c r="X69" s="39">
        <v>0</v>
      </c>
      <c r="Y69" s="40" t="e">
        <f t="shared" si="1"/>
        <v>#DIV/0!</v>
      </c>
      <c r="Z69" s="39">
        <v>1</v>
      </c>
      <c r="AA69" s="39"/>
      <c r="AB69" s="40">
        <f t="shared" si="2"/>
        <v>0</v>
      </c>
      <c r="AC69" s="39">
        <v>1</v>
      </c>
      <c r="AD69" s="39"/>
      <c r="AE69" s="40">
        <f t="shared" si="3"/>
        <v>0</v>
      </c>
      <c r="AF69" s="41">
        <f t="shared" si="11"/>
        <v>2</v>
      </c>
      <c r="AG69" s="41">
        <f t="shared" ref="AG69:AG132" si="21">U69+X69+AA69+AD69</f>
        <v>0</v>
      </c>
      <c r="AH69" s="42" t="e">
        <f t="shared" si="5"/>
        <v>#DIV/0!</v>
      </c>
      <c r="AI69" s="43">
        <v>46113</v>
      </c>
      <c r="AJ69" s="43">
        <v>46477</v>
      </c>
      <c r="AK69" s="44" t="s">
        <v>80</v>
      </c>
      <c r="AL69" s="44" t="s">
        <v>81</v>
      </c>
      <c r="AM69" s="45" t="s">
        <v>82</v>
      </c>
      <c r="AN69" s="46">
        <v>100274232</v>
      </c>
      <c r="AO69" s="46">
        <v>100274232</v>
      </c>
      <c r="AP69" s="46">
        <v>100274232</v>
      </c>
      <c r="AQ69" s="47">
        <v>0</v>
      </c>
      <c r="AR69" s="44" t="s">
        <v>299</v>
      </c>
      <c r="AS69" s="44" t="s">
        <v>80</v>
      </c>
      <c r="AT69" s="54" t="s">
        <v>300</v>
      </c>
      <c r="AU69" s="49" t="s">
        <v>831</v>
      </c>
      <c r="AV69" s="51" t="s">
        <v>832</v>
      </c>
      <c r="AW69" s="51" t="s">
        <v>840</v>
      </c>
      <c r="AZ69" s="50">
        <f t="shared" si="12"/>
        <v>2</v>
      </c>
      <c r="BA69" s="50">
        <f t="shared" si="13"/>
        <v>0</v>
      </c>
      <c r="BB69" s="117">
        <f t="shared" si="14"/>
        <v>0</v>
      </c>
      <c r="BC69" s="50">
        <f t="shared" si="15"/>
        <v>2</v>
      </c>
      <c r="BD69" s="51"/>
      <c r="BE69" s="52">
        <f t="shared" ref="BE69:BE132" si="22">+BC69*$BF$3</f>
        <v>0.6</v>
      </c>
      <c r="BF69" s="52">
        <f t="shared" ref="BF69:BF132" si="23">+BC69*$BE$3</f>
        <v>0.6</v>
      </c>
      <c r="BG69" s="52">
        <f t="shared" ref="BG69:BG132" si="24">+BC69*$BG$3</f>
        <v>0.6</v>
      </c>
      <c r="BH69" s="52">
        <f t="shared" ref="BH69:BH132" si="25">+BC69*$BH$3</f>
        <v>0.2</v>
      </c>
      <c r="BI69" s="52">
        <f t="shared" ref="BI69:BI132" si="26">+BE69+BF69+BG69+BH69</f>
        <v>1.9999999999999998</v>
      </c>
    </row>
    <row r="70" spans="1:61" x14ac:dyDescent="0.3">
      <c r="A70" s="39">
        <v>66</v>
      </c>
      <c r="B70" s="44" t="s">
        <v>238</v>
      </c>
      <c r="C70" s="44" t="s">
        <v>101</v>
      </c>
      <c r="D70" s="44" t="s">
        <v>87</v>
      </c>
      <c r="E70" s="44" t="s">
        <v>180</v>
      </c>
      <c r="F70" s="44" t="s">
        <v>290</v>
      </c>
      <c r="G70" s="36" t="s">
        <v>286</v>
      </c>
      <c r="H70" s="36" t="s">
        <v>292</v>
      </c>
      <c r="I70" s="36" t="s">
        <v>222</v>
      </c>
      <c r="J70" s="36" t="s">
        <v>222</v>
      </c>
      <c r="K70" s="33" t="s">
        <v>72</v>
      </c>
      <c r="L70" s="33" t="s">
        <v>73</v>
      </c>
      <c r="M70" s="36" t="s">
        <v>74</v>
      </c>
      <c r="N70" s="36" t="s">
        <v>294</v>
      </c>
      <c r="O70" s="36" t="s">
        <v>95</v>
      </c>
      <c r="P70" s="36" t="s">
        <v>301</v>
      </c>
      <c r="Q70" s="36" t="s">
        <v>97</v>
      </c>
      <c r="R70" s="37">
        <v>1</v>
      </c>
      <c r="S70" s="33" t="s">
        <v>79</v>
      </c>
      <c r="T70" s="39">
        <v>0</v>
      </c>
      <c r="U70" s="39">
        <v>0</v>
      </c>
      <c r="V70" s="40" t="e">
        <f t="shared" si="20"/>
        <v>#DIV/0!</v>
      </c>
      <c r="W70" s="39">
        <v>0</v>
      </c>
      <c r="X70" s="39">
        <v>0</v>
      </c>
      <c r="Y70" s="40" t="e">
        <f t="shared" si="1"/>
        <v>#DIV/0!</v>
      </c>
      <c r="Z70" s="39">
        <v>1</v>
      </c>
      <c r="AA70" s="39"/>
      <c r="AB70" s="40">
        <f t="shared" si="2"/>
        <v>0</v>
      </c>
      <c r="AC70" s="39">
        <v>1</v>
      </c>
      <c r="AD70" s="39"/>
      <c r="AE70" s="40">
        <f t="shared" si="3"/>
        <v>0</v>
      </c>
      <c r="AF70" s="41">
        <f t="shared" ref="AF70:AF133" si="27">R70</f>
        <v>1</v>
      </c>
      <c r="AG70" s="41">
        <f t="shared" si="21"/>
        <v>0</v>
      </c>
      <c r="AH70" s="42" t="e">
        <f t="shared" si="5"/>
        <v>#DIV/0!</v>
      </c>
      <c r="AI70" s="43">
        <v>46113</v>
      </c>
      <c r="AJ70" s="43">
        <v>46477</v>
      </c>
      <c r="AK70" s="44" t="s">
        <v>80</v>
      </c>
      <c r="AL70" s="44" t="s">
        <v>81</v>
      </c>
      <c r="AM70" s="45" t="s">
        <v>82</v>
      </c>
      <c r="AN70" s="46">
        <v>60000000</v>
      </c>
      <c r="AO70" s="46">
        <v>60000000</v>
      </c>
      <c r="AP70" s="46">
        <v>60000000</v>
      </c>
      <c r="AQ70" s="47">
        <v>0</v>
      </c>
      <c r="AR70" s="44" t="s">
        <v>302</v>
      </c>
      <c r="AS70" s="44" t="s">
        <v>80</v>
      </c>
      <c r="AT70" s="54" t="s">
        <v>300</v>
      </c>
      <c r="AU70" s="49" t="s">
        <v>831</v>
      </c>
      <c r="AV70" s="51" t="s">
        <v>832</v>
      </c>
      <c r="AW70" s="51" t="s">
        <v>840</v>
      </c>
      <c r="AZ70" s="50">
        <f t="shared" ref="AZ70:AZ133" si="28">+R70</f>
        <v>1</v>
      </c>
      <c r="BA70" s="50">
        <f t="shared" ref="BA70:BA133" si="29">+U70+X70+AA70+AD70</f>
        <v>0</v>
      </c>
      <c r="BB70" s="117">
        <f t="shared" ref="BB70:BB133" si="30">+BA70/AZ70</f>
        <v>0</v>
      </c>
      <c r="BC70" s="50">
        <f t="shared" ref="BC70:BC133" si="31">+AZ70-BA70</f>
        <v>1</v>
      </c>
      <c r="BD70" s="51"/>
      <c r="BE70" s="52">
        <f t="shared" si="22"/>
        <v>0.3</v>
      </c>
      <c r="BF70" s="52">
        <f t="shared" si="23"/>
        <v>0.3</v>
      </c>
      <c r="BG70" s="52">
        <f t="shared" si="24"/>
        <v>0.3</v>
      </c>
      <c r="BH70" s="52">
        <f t="shared" si="25"/>
        <v>0.1</v>
      </c>
      <c r="BI70" s="52">
        <f t="shared" si="26"/>
        <v>0.99999999999999989</v>
      </c>
    </row>
    <row r="71" spans="1:61" x14ac:dyDescent="0.3">
      <c r="A71" s="39">
        <v>67</v>
      </c>
      <c r="B71" s="44" t="s">
        <v>238</v>
      </c>
      <c r="C71" s="44" t="s">
        <v>86</v>
      </c>
      <c r="D71" s="44" t="s">
        <v>87</v>
      </c>
      <c r="E71" s="44" t="s">
        <v>284</v>
      </c>
      <c r="F71" s="44" t="s">
        <v>290</v>
      </c>
      <c r="G71" s="36" t="s">
        <v>286</v>
      </c>
      <c r="H71" s="36" t="s">
        <v>292</v>
      </c>
      <c r="I71" s="36" t="s">
        <v>222</v>
      </c>
      <c r="J71" s="36" t="s">
        <v>222</v>
      </c>
      <c r="K71" s="33" t="s">
        <v>72</v>
      </c>
      <c r="L71" s="33" t="s">
        <v>73</v>
      </c>
      <c r="M71" s="36" t="s">
        <v>74</v>
      </c>
      <c r="N71" s="36" t="s">
        <v>294</v>
      </c>
      <c r="O71" s="36" t="s">
        <v>95</v>
      </c>
      <c r="P71" s="36" t="s">
        <v>303</v>
      </c>
      <c r="Q71" s="36" t="s">
        <v>97</v>
      </c>
      <c r="R71" s="37">
        <v>29</v>
      </c>
      <c r="S71" s="33" t="s">
        <v>79</v>
      </c>
      <c r="T71" s="39">
        <v>5</v>
      </c>
      <c r="U71" s="39">
        <v>0</v>
      </c>
      <c r="V71" s="40">
        <f t="shared" si="20"/>
        <v>0</v>
      </c>
      <c r="W71" s="39">
        <v>10</v>
      </c>
      <c r="X71" s="39">
        <v>4</v>
      </c>
      <c r="Y71" s="40">
        <f t="shared" si="1"/>
        <v>40</v>
      </c>
      <c r="Z71" s="39">
        <v>10</v>
      </c>
      <c r="AA71" s="39"/>
      <c r="AB71" s="40">
        <f t="shared" si="2"/>
        <v>0</v>
      </c>
      <c r="AC71" s="39">
        <v>4</v>
      </c>
      <c r="AD71" s="39"/>
      <c r="AE71" s="40">
        <f t="shared" si="3"/>
        <v>0</v>
      </c>
      <c r="AF71" s="41">
        <f t="shared" si="27"/>
        <v>29</v>
      </c>
      <c r="AG71" s="41">
        <f t="shared" si="21"/>
        <v>4</v>
      </c>
      <c r="AH71" s="42">
        <f t="shared" si="5"/>
        <v>26.666666666666668</v>
      </c>
      <c r="AI71" s="43">
        <v>46113</v>
      </c>
      <c r="AJ71" s="43">
        <v>46477</v>
      </c>
      <c r="AK71" s="44" t="s">
        <v>80</v>
      </c>
      <c r="AL71" s="44" t="s">
        <v>81</v>
      </c>
      <c r="AM71" s="45" t="s">
        <v>82</v>
      </c>
      <c r="AN71" s="46"/>
      <c r="AO71" s="46"/>
      <c r="AP71" s="46"/>
      <c r="AQ71" s="47"/>
      <c r="AR71" s="44" t="s">
        <v>175</v>
      </c>
      <c r="AS71" s="44" t="s">
        <v>80</v>
      </c>
      <c r="AT71" s="54" t="s">
        <v>300</v>
      </c>
      <c r="AU71" s="49" t="s">
        <v>831</v>
      </c>
      <c r="AV71" s="51" t="s">
        <v>832</v>
      </c>
      <c r="AW71" s="51" t="s">
        <v>840</v>
      </c>
      <c r="AZ71" s="50">
        <f t="shared" si="28"/>
        <v>29</v>
      </c>
      <c r="BA71" s="50">
        <f t="shared" si="29"/>
        <v>4</v>
      </c>
      <c r="BB71" s="117">
        <f t="shared" si="30"/>
        <v>0.13793103448275862</v>
      </c>
      <c r="BC71" s="50">
        <f t="shared" si="31"/>
        <v>25</v>
      </c>
      <c r="BD71" s="51"/>
      <c r="BE71" s="52">
        <f t="shared" si="22"/>
        <v>7.5</v>
      </c>
      <c r="BF71" s="52">
        <f t="shared" si="23"/>
        <v>7.5</v>
      </c>
      <c r="BG71" s="52">
        <f t="shared" si="24"/>
        <v>7.5</v>
      </c>
      <c r="BH71" s="52">
        <f t="shared" si="25"/>
        <v>2.5</v>
      </c>
      <c r="BI71" s="52">
        <f t="shared" si="26"/>
        <v>25</v>
      </c>
    </row>
    <row r="72" spans="1:61" x14ac:dyDescent="0.3">
      <c r="A72" s="39">
        <v>68</v>
      </c>
      <c r="B72" s="44" t="s">
        <v>238</v>
      </c>
      <c r="C72" s="44" t="s">
        <v>64</v>
      </c>
      <c r="D72" s="44" t="s">
        <v>65</v>
      </c>
      <c r="E72" s="44" t="s">
        <v>284</v>
      </c>
      <c r="F72" s="44" t="s">
        <v>285</v>
      </c>
      <c r="G72" s="36" t="s">
        <v>286</v>
      </c>
      <c r="H72" s="36" t="s">
        <v>292</v>
      </c>
      <c r="I72" s="36" t="s">
        <v>287</v>
      </c>
      <c r="J72" s="36" t="s">
        <v>287</v>
      </c>
      <c r="K72" s="33" t="s">
        <v>72</v>
      </c>
      <c r="L72" s="33" t="s">
        <v>73</v>
      </c>
      <c r="M72" s="36" t="s">
        <v>74</v>
      </c>
      <c r="N72" s="36" t="s">
        <v>288</v>
      </c>
      <c r="O72" s="36" t="s">
        <v>76</v>
      </c>
      <c r="P72" s="36" t="s">
        <v>304</v>
      </c>
      <c r="Q72" s="36" t="s">
        <v>78</v>
      </c>
      <c r="R72" s="37">
        <v>29</v>
      </c>
      <c r="S72" s="33" t="s">
        <v>79</v>
      </c>
      <c r="T72" s="39">
        <v>4</v>
      </c>
      <c r="U72" s="39">
        <v>0</v>
      </c>
      <c r="V72" s="40">
        <f t="shared" si="20"/>
        <v>0</v>
      </c>
      <c r="W72" s="39">
        <v>10</v>
      </c>
      <c r="X72" s="39">
        <v>0</v>
      </c>
      <c r="Y72" s="40">
        <f t="shared" si="1"/>
        <v>0</v>
      </c>
      <c r="Z72" s="39">
        <v>10</v>
      </c>
      <c r="AA72" s="39"/>
      <c r="AB72" s="40">
        <f t="shared" si="2"/>
        <v>0</v>
      </c>
      <c r="AC72" s="39">
        <v>5</v>
      </c>
      <c r="AD72" s="39"/>
      <c r="AE72" s="40">
        <f t="shared" si="3"/>
        <v>0</v>
      </c>
      <c r="AF72" s="41">
        <f t="shared" si="27"/>
        <v>29</v>
      </c>
      <c r="AG72" s="41">
        <f t="shared" si="21"/>
        <v>0</v>
      </c>
      <c r="AH72" s="42">
        <f t="shared" si="5"/>
        <v>0</v>
      </c>
      <c r="AI72" s="43">
        <v>46113</v>
      </c>
      <c r="AJ72" s="43">
        <v>46477</v>
      </c>
      <c r="AK72" s="44" t="s">
        <v>80</v>
      </c>
      <c r="AL72" s="44" t="s">
        <v>81</v>
      </c>
      <c r="AM72" s="45" t="s">
        <v>82</v>
      </c>
      <c r="AN72" s="46">
        <v>100000000</v>
      </c>
      <c r="AO72" s="46">
        <v>100000000</v>
      </c>
      <c r="AP72" s="46">
        <v>100000000</v>
      </c>
      <c r="AQ72" s="47">
        <v>0</v>
      </c>
      <c r="AR72" s="44" t="s">
        <v>175</v>
      </c>
      <c r="AS72" s="44" t="s">
        <v>80</v>
      </c>
      <c r="AT72" s="54" t="s">
        <v>300</v>
      </c>
      <c r="AU72" s="49" t="s">
        <v>831</v>
      </c>
      <c r="AV72" s="51" t="s">
        <v>832</v>
      </c>
      <c r="AW72" s="51" t="s">
        <v>840</v>
      </c>
      <c r="AZ72" s="50">
        <f t="shared" si="28"/>
        <v>29</v>
      </c>
      <c r="BA72" s="50">
        <f t="shared" si="29"/>
        <v>0</v>
      </c>
      <c r="BB72" s="117">
        <f t="shared" si="30"/>
        <v>0</v>
      </c>
      <c r="BC72" s="50">
        <f t="shared" si="31"/>
        <v>29</v>
      </c>
      <c r="BD72" s="51"/>
      <c r="BE72" s="52">
        <f t="shared" si="22"/>
        <v>8.6999999999999993</v>
      </c>
      <c r="BF72" s="52">
        <f t="shared" si="23"/>
        <v>8.6999999999999993</v>
      </c>
      <c r="BG72" s="52">
        <f t="shared" si="24"/>
        <v>8.6999999999999993</v>
      </c>
      <c r="BH72" s="52">
        <f t="shared" si="25"/>
        <v>2.9000000000000004</v>
      </c>
      <c r="BI72" s="52">
        <f t="shared" si="26"/>
        <v>29</v>
      </c>
    </row>
    <row r="73" spans="1:61" x14ac:dyDescent="0.3">
      <c r="A73" s="39">
        <v>69</v>
      </c>
      <c r="B73" s="44" t="s">
        <v>238</v>
      </c>
      <c r="C73" s="44" t="s">
        <v>64</v>
      </c>
      <c r="D73" s="44" t="s">
        <v>65</v>
      </c>
      <c r="E73" s="44" t="s">
        <v>284</v>
      </c>
      <c r="F73" s="44" t="s">
        <v>285</v>
      </c>
      <c r="G73" s="36" t="s">
        <v>286</v>
      </c>
      <c r="H73" s="36" t="s">
        <v>292</v>
      </c>
      <c r="I73" s="36" t="s">
        <v>305</v>
      </c>
      <c r="J73" s="36" t="s">
        <v>305</v>
      </c>
      <c r="K73" s="33" t="s">
        <v>72</v>
      </c>
      <c r="L73" s="33" t="s">
        <v>73</v>
      </c>
      <c r="M73" s="36" t="s">
        <v>74</v>
      </c>
      <c r="N73" s="36" t="s">
        <v>288</v>
      </c>
      <c r="O73" s="36" t="s">
        <v>76</v>
      </c>
      <c r="P73" s="36" t="s">
        <v>306</v>
      </c>
      <c r="Q73" s="36" t="s">
        <v>78</v>
      </c>
      <c r="R73" s="37">
        <v>29</v>
      </c>
      <c r="S73" s="33" t="s">
        <v>79</v>
      </c>
      <c r="T73" s="39">
        <v>0</v>
      </c>
      <c r="U73" s="39">
        <v>0</v>
      </c>
      <c r="V73" s="40" t="e">
        <f t="shared" si="20"/>
        <v>#DIV/0!</v>
      </c>
      <c r="W73" s="39">
        <v>0</v>
      </c>
      <c r="X73" s="39">
        <v>0</v>
      </c>
      <c r="Y73" s="40" t="e">
        <f t="shared" si="1"/>
        <v>#DIV/0!</v>
      </c>
      <c r="Z73" s="39">
        <v>14</v>
      </c>
      <c r="AA73" s="39"/>
      <c r="AB73" s="40">
        <f t="shared" si="2"/>
        <v>0</v>
      </c>
      <c r="AC73" s="39">
        <v>15</v>
      </c>
      <c r="AD73" s="39"/>
      <c r="AE73" s="40">
        <f t="shared" si="3"/>
        <v>0</v>
      </c>
      <c r="AF73" s="41">
        <f t="shared" si="27"/>
        <v>29</v>
      </c>
      <c r="AG73" s="41">
        <f t="shared" si="21"/>
        <v>0</v>
      </c>
      <c r="AH73" s="42" t="e">
        <f t="shared" si="5"/>
        <v>#DIV/0!</v>
      </c>
      <c r="AI73" s="43">
        <v>46113</v>
      </c>
      <c r="AJ73" s="43">
        <v>46477</v>
      </c>
      <c r="AK73" s="44" t="s">
        <v>80</v>
      </c>
      <c r="AL73" s="44" t="s">
        <v>81</v>
      </c>
      <c r="AM73" s="45" t="s">
        <v>82</v>
      </c>
      <c r="AN73" s="46">
        <v>100000000</v>
      </c>
      <c r="AO73" s="46">
        <v>100000000</v>
      </c>
      <c r="AP73" s="46">
        <v>100000000</v>
      </c>
      <c r="AQ73" s="47">
        <v>0</v>
      </c>
      <c r="AR73" s="44" t="s">
        <v>127</v>
      </c>
      <c r="AS73" s="44" t="s">
        <v>80</v>
      </c>
      <c r="AT73" s="54" t="s">
        <v>300</v>
      </c>
      <c r="AU73" s="49" t="s">
        <v>831</v>
      </c>
      <c r="AV73" s="51" t="s">
        <v>832</v>
      </c>
      <c r="AW73" s="51" t="s">
        <v>840</v>
      </c>
      <c r="AZ73" s="50">
        <f t="shared" si="28"/>
        <v>29</v>
      </c>
      <c r="BA73" s="50">
        <f t="shared" si="29"/>
        <v>0</v>
      </c>
      <c r="BB73" s="117">
        <f t="shared" si="30"/>
        <v>0</v>
      </c>
      <c r="BC73" s="50">
        <f t="shared" si="31"/>
        <v>29</v>
      </c>
      <c r="BD73" s="51"/>
      <c r="BE73" s="52">
        <f t="shared" si="22"/>
        <v>8.6999999999999993</v>
      </c>
      <c r="BF73" s="52">
        <f t="shared" si="23"/>
        <v>8.6999999999999993</v>
      </c>
      <c r="BG73" s="52">
        <f t="shared" si="24"/>
        <v>8.6999999999999993</v>
      </c>
      <c r="BH73" s="52">
        <f t="shared" si="25"/>
        <v>2.9000000000000004</v>
      </c>
      <c r="BI73" s="52">
        <f t="shared" si="26"/>
        <v>29</v>
      </c>
    </row>
    <row r="74" spans="1:61" x14ac:dyDescent="0.3">
      <c r="A74" s="39">
        <v>70</v>
      </c>
      <c r="B74" s="44" t="s">
        <v>238</v>
      </c>
      <c r="C74" s="44" t="s">
        <v>101</v>
      </c>
      <c r="D74" s="44" t="s">
        <v>87</v>
      </c>
      <c r="E74" s="44" t="s">
        <v>180</v>
      </c>
      <c r="F74" s="44" t="s">
        <v>290</v>
      </c>
      <c r="G74" s="36" t="s">
        <v>286</v>
      </c>
      <c r="H74" s="36" t="s">
        <v>292</v>
      </c>
      <c r="I74" s="36" t="s">
        <v>307</v>
      </c>
      <c r="J74" s="36" t="s">
        <v>307</v>
      </c>
      <c r="K74" s="33" t="s">
        <v>72</v>
      </c>
      <c r="L74" s="33" t="s">
        <v>73</v>
      </c>
      <c r="M74" s="36" t="s">
        <v>74</v>
      </c>
      <c r="N74" s="36" t="s">
        <v>294</v>
      </c>
      <c r="O74" s="36" t="s">
        <v>95</v>
      </c>
      <c r="P74" s="36" t="s">
        <v>308</v>
      </c>
      <c r="Q74" s="36" t="s">
        <v>97</v>
      </c>
      <c r="R74" s="37">
        <v>2</v>
      </c>
      <c r="S74" s="33" t="s">
        <v>79</v>
      </c>
      <c r="T74" s="39">
        <v>0</v>
      </c>
      <c r="U74" s="39">
        <v>0</v>
      </c>
      <c r="V74" s="40" t="e">
        <f t="shared" si="20"/>
        <v>#DIV/0!</v>
      </c>
      <c r="W74" s="39">
        <v>0</v>
      </c>
      <c r="X74" s="39">
        <v>0</v>
      </c>
      <c r="Y74" s="40" t="e">
        <f t="shared" si="1"/>
        <v>#DIV/0!</v>
      </c>
      <c r="Z74" s="39">
        <v>1</v>
      </c>
      <c r="AA74" s="39"/>
      <c r="AB74" s="40">
        <f t="shared" si="2"/>
        <v>0</v>
      </c>
      <c r="AC74" s="39">
        <v>1</v>
      </c>
      <c r="AD74" s="39"/>
      <c r="AE74" s="40">
        <f t="shared" si="3"/>
        <v>0</v>
      </c>
      <c r="AF74" s="41">
        <f t="shared" si="27"/>
        <v>2</v>
      </c>
      <c r="AG74" s="41">
        <f t="shared" si="21"/>
        <v>0</v>
      </c>
      <c r="AH74" s="42" t="e">
        <f t="shared" si="5"/>
        <v>#DIV/0!</v>
      </c>
      <c r="AI74" s="43">
        <v>46113</v>
      </c>
      <c r="AJ74" s="43">
        <v>46477</v>
      </c>
      <c r="AK74" s="44" t="s">
        <v>80</v>
      </c>
      <c r="AL74" s="44" t="s">
        <v>81</v>
      </c>
      <c r="AM74" s="45" t="s">
        <v>82</v>
      </c>
      <c r="AN74" s="46">
        <v>50000000</v>
      </c>
      <c r="AO74" s="46">
        <v>50000000</v>
      </c>
      <c r="AP74" s="46">
        <v>50000000</v>
      </c>
      <c r="AQ74" s="47">
        <v>0</v>
      </c>
      <c r="AR74" s="44" t="s">
        <v>127</v>
      </c>
      <c r="AS74" s="44" t="s">
        <v>80</v>
      </c>
      <c r="AT74" s="54" t="s">
        <v>300</v>
      </c>
      <c r="AU74" s="49" t="s">
        <v>831</v>
      </c>
      <c r="AV74" s="51" t="s">
        <v>832</v>
      </c>
      <c r="AW74" s="51" t="s">
        <v>840</v>
      </c>
      <c r="AZ74" s="50">
        <f t="shared" si="28"/>
        <v>2</v>
      </c>
      <c r="BA74" s="50">
        <f t="shared" si="29"/>
        <v>0</v>
      </c>
      <c r="BB74" s="117">
        <f t="shared" si="30"/>
        <v>0</v>
      </c>
      <c r="BC74" s="50">
        <f t="shared" si="31"/>
        <v>2</v>
      </c>
      <c r="BD74" s="51"/>
      <c r="BE74" s="52">
        <f t="shared" si="22"/>
        <v>0.6</v>
      </c>
      <c r="BF74" s="52">
        <f t="shared" si="23"/>
        <v>0.6</v>
      </c>
      <c r="BG74" s="52">
        <f t="shared" si="24"/>
        <v>0.6</v>
      </c>
      <c r="BH74" s="52">
        <f t="shared" si="25"/>
        <v>0.2</v>
      </c>
      <c r="BI74" s="52">
        <f t="shared" si="26"/>
        <v>1.9999999999999998</v>
      </c>
    </row>
    <row r="75" spans="1:61" x14ac:dyDescent="0.3">
      <c r="A75" s="39">
        <v>71</v>
      </c>
      <c r="B75" s="44" t="s">
        <v>100</v>
      </c>
      <c r="C75" s="44" t="s">
        <v>86</v>
      </c>
      <c r="D75" s="44" t="s">
        <v>87</v>
      </c>
      <c r="E75" s="44" t="s">
        <v>123</v>
      </c>
      <c r="F75" s="44" t="s">
        <v>128</v>
      </c>
      <c r="G75" s="36" t="s">
        <v>112</v>
      </c>
      <c r="H75" s="36" t="s">
        <v>309</v>
      </c>
      <c r="I75" s="36" t="s">
        <v>310</v>
      </c>
      <c r="J75" s="36" t="s">
        <v>310</v>
      </c>
      <c r="K75" s="33" t="s">
        <v>72</v>
      </c>
      <c r="L75" s="33" t="s">
        <v>73</v>
      </c>
      <c r="M75" s="36" t="s">
        <v>74</v>
      </c>
      <c r="N75" s="36" t="s">
        <v>311</v>
      </c>
      <c r="O75" s="36" t="s">
        <v>95</v>
      </c>
      <c r="P75" s="36" t="s">
        <v>312</v>
      </c>
      <c r="Q75" s="36" t="s">
        <v>97</v>
      </c>
      <c r="R75" s="37">
        <v>30</v>
      </c>
      <c r="S75" s="33" t="s">
        <v>126</v>
      </c>
      <c r="T75" s="39">
        <v>0</v>
      </c>
      <c r="U75" s="39">
        <v>0</v>
      </c>
      <c r="V75" s="40" t="e">
        <f t="shared" si="20"/>
        <v>#DIV/0!</v>
      </c>
      <c r="W75" s="39">
        <v>30</v>
      </c>
      <c r="X75" s="39">
        <v>0</v>
      </c>
      <c r="Y75" s="40">
        <f t="shared" si="1"/>
        <v>0</v>
      </c>
      <c r="Z75" s="39">
        <v>0</v>
      </c>
      <c r="AA75" s="39"/>
      <c r="AB75" s="40" t="e">
        <f t="shared" si="2"/>
        <v>#DIV/0!</v>
      </c>
      <c r="AC75" s="39">
        <v>0</v>
      </c>
      <c r="AD75" s="39"/>
      <c r="AE75" s="40" t="e">
        <f t="shared" si="3"/>
        <v>#DIV/0!</v>
      </c>
      <c r="AF75" s="41">
        <f t="shared" si="27"/>
        <v>30</v>
      </c>
      <c r="AG75" s="41">
        <f t="shared" si="21"/>
        <v>0</v>
      </c>
      <c r="AH75" s="42">
        <f t="shared" si="5"/>
        <v>0</v>
      </c>
      <c r="AI75" s="43">
        <v>46054</v>
      </c>
      <c r="AJ75" s="43">
        <v>46477</v>
      </c>
      <c r="AK75" s="44" t="s">
        <v>80</v>
      </c>
      <c r="AL75" s="44" t="s">
        <v>81</v>
      </c>
      <c r="AM75" s="45" t="s">
        <v>82</v>
      </c>
      <c r="AN75" s="46">
        <v>30000000</v>
      </c>
      <c r="AO75" s="46">
        <v>30000000</v>
      </c>
      <c r="AP75" s="46">
        <v>30000000</v>
      </c>
      <c r="AQ75" s="47">
        <v>0</v>
      </c>
      <c r="AR75" s="44"/>
      <c r="AS75" s="44" t="s">
        <v>80</v>
      </c>
      <c r="AT75" s="54" t="s">
        <v>313</v>
      </c>
      <c r="AU75" s="49" t="s">
        <v>831</v>
      </c>
      <c r="AV75" s="51" t="s">
        <v>832</v>
      </c>
      <c r="AW75" s="51" t="s">
        <v>841</v>
      </c>
      <c r="AZ75" s="50">
        <f t="shared" si="28"/>
        <v>30</v>
      </c>
      <c r="BA75" s="50">
        <f t="shared" si="29"/>
        <v>0</v>
      </c>
      <c r="BB75" s="117">
        <f t="shared" si="30"/>
        <v>0</v>
      </c>
      <c r="BC75" s="50">
        <f t="shared" si="31"/>
        <v>30</v>
      </c>
      <c r="BD75" s="51"/>
      <c r="BE75" s="52">
        <f t="shared" si="22"/>
        <v>9</v>
      </c>
      <c r="BF75" s="52">
        <f t="shared" si="23"/>
        <v>9</v>
      </c>
      <c r="BG75" s="52">
        <f t="shared" si="24"/>
        <v>9</v>
      </c>
      <c r="BH75" s="52">
        <f t="shared" si="25"/>
        <v>3</v>
      </c>
      <c r="BI75" s="52">
        <f t="shared" si="26"/>
        <v>30</v>
      </c>
    </row>
    <row r="76" spans="1:61" x14ac:dyDescent="0.3">
      <c r="A76" s="39">
        <v>72</v>
      </c>
      <c r="B76" s="44" t="s">
        <v>100</v>
      </c>
      <c r="C76" s="44" t="s">
        <v>86</v>
      </c>
      <c r="D76" s="44" t="s">
        <v>87</v>
      </c>
      <c r="E76" s="44" t="s">
        <v>123</v>
      </c>
      <c r="F76" s="44" t="s">
        <v>314</v>
      </c>
      <c r="G76" s="36" t="s">
        <v>315</v>
      </c>
      <c r="H76" s="36" t="s">
        <v>316</v>
      </c>
      <c r="I76" s="36" t="s">
        <v>317</v>
      </c>
      <c r="J76" s="36" t="s">
        <v>317</v>
      </c>
      <c r="K76" s="33" t="s">
        <v>72</v>
      </c>
      <c r="L76" s="33" t="s">
        <v>73</v>
      </c>
      <c r="M76" s="36" t="s">
        <v>74</v>
      </c>
      <c r="N76" s="36" t="s">
        <v>311</v>
      </c>
      <c r="O76" s="36" t="s">
        <v>95</v>
      </c>
      <c r="P76" s="36" t="s">
        <v>318</v>
      </c>
      <c r="Q76" s="36" t="s">
        <v>97</v>
      </c>
      <c r="R76" s="37">
        <v>12</v>
      </c>
      <c r="S76" s="33" t="s">
        <v>79</v>
      </c>
      <c r="T76" s="39">
        <v>3</v>
      </c>
      <c r="U76" s="39">
        <v>0</v>
      </c>
      <c r="V76" s="40">
        <f t="shared" si="20"/>
        <v>0</v>
      </c>
      <c r="W76" s="39">
        <v>3</v>
      </c>
      <c r="X76" s="39"/>
      <c r="Y76" s="40">
        <f t="shared" si="1"/>
        <v>0</v>
      </c>
      <c r="Z76" s="39">
        <v>3</v>
      </c>
      <c r="AA76" s="39"/>
      <c r="AB76" s="40">
        <f t="shared" si="2"/>
        <v>0</v>
      </c>
      <c r="AC76" s="39">
        <v>3</v>
      </c>
      <c r="AD76" s="39"/>
      <c r="AE76" s="40">
        <f t="shared" si="3"/>
        <v>0</v>
      </c>
      <c r="AF76" s="41">
        <f t="shared" si="27"/>
        <v>12</v>
      </c>
      <c r="AG76" s="41">
        <f t="shared" si="21"/>
        <v>0</v>
      </c>
      <c r="AH76" s="42">
        <f t="shared" si="5"/>
        <v>0</v>
      </c>
      <c r="AI76" s="43">
        <v>46113</v>
      </c>
      <c r="AJ76" s="43">
        <v>46477</v>
      </c>
      <c r="AK76" s="44" t="s">
        <v>80</v>
      </c>
      <c r="AL76" s="44" t="s">
        <v>81</v>
      </c>
      <c r="AM76" s="45" t="s">
        <v>82</v>
      </c>
      <c r="AN76" s="46"/>
      <c r="AO76" s="46"/>
      <c r="AP76" s="46"/>
      <c r="AQ76" s="47"/>
      <c r="AR76" s="44" t="s">
        <v>299</v>
      </c>
      <c r="AS76" s="44" t="s">
        <v>80</v>
      </c>
      <c r="AT76" s="54" t="s">
        <v>319</v>
      </c>
      <c r="AU76" s="49" t="s">
        <v>831</v>
      </c>
      <c r="AV76" s="51" t="s">
        <v>832</v>
      </c>
      <c r="AW76" s="51" t="s">
        <v>841</v>
      </c>
      <c r="AZ76" s="50">
        <f t="shared" si="28"/>
        <v>12</v>
      </c>
      <c r="BA76" s="50">
        <f t="shared" si="29"/>
        <v>0</v>
      </c>
      <c r="BB76" s="117">
        <f t="shared" si="30"/>
        <v>0</v>
      </c>
      <c r="BC76" s="50">
        <f t="shared" si="31"/>
        <v>12</v>
      </c>
      <c r="BD76" s="51"/>
      <c r="BE76" s="52">
        <f t="shared" si="22"/>
        <v>3.5999999999999996</v>
      </c>
      <c r="BF76" s="52">
        <f t="shared" si="23"/>
        <v>3.5999999999999996</v>
      </c>
      <c r="BG76" s="52">
        <f t="shared" si="24"/>
        <v>3.5999999999999996</v>
      </c>
      <c r="BH76" s="52">
        <f t="shared" si="25"/>
        <v>1.2000000000000002</v>
      </c>
      <c r="BI76" s="52">
        <f t="shared" si="26"/>
        <v>12</v>
      </c>
    </row>
    <row r="77" spans="1:61" x14ac:dyDescent="0.3">
      <c r="A77" s="39">
        <v>73</v>
      </c>
      <c r="B77" s="44" t="s">
        <v>100</v>
      </c>
      <c r="C77" s="44" t="s">
        <v>86</v>
      </c>
      <c r="D77" s="44" t="s">
        <v>87</v>
      </c>
      <c r="E77" s="44" t="s">
        <v>123</v>
      </c>
      <c r="F77" s="44" t="s">
        <v>320</v>
      </c>
      <c r="G77" s="36" t="s">
        <v>315</v>
      </c>
      <c r="H77" s="36" t="s">
        <v>316</v>
      </c>
      <c r="I77" s="36" t="s">
        <v>310</v>
      </c>
      <c r="J77" s="36" t="s">
        <v>310</v>
      </c>
      <c r="K77" s="33" t="s">
        <v>72</v>
      </c>
      <c r="L77" s="33" t="s">
        <v>73</v>
      </c>
      <c r="M77" s="36" t="s">
        <v>74</v>
      </c>
      <c r="N77" s="36" t="s">
        <v>311</v>
      </c>
      <c r="O77" s="36" t="s">
        <v>95</v>
      </c>
      <c r="P77" s="36" t="s">
        <v>321</v>
      </c>
      <c r="Q77" s="36" t="s">
        <v>97</v>
      </c>
      <c r="R77" s="37">
        <v>4</v>
      </c>
      <c r="S77" s="33" t="s">
        <v>79</v>
      </c>
      <c r="T77" s="39">
        <v>1</v>
      </c>
      <c r="U77" s="39">
        <v>0</v>
      </c>
      <c r="V77" s="40">
        <f t="shared" si="20"/>
        <v>0</v>
      </c>
      <c r="W77" s="39">
        <v>1</v>
      </c>
      <c r="X77" s="39">
        <v>2</v>
      </c>
      <c r="Y77" s="40">
        <f t="shared" si="1"/>
        <v>200</v>
      </c>
      <c r="Z77" s="39">
        <v>1</v>
      </c>
      <c r="AA77" s="39"/>
      <c r="AB77" s="40">
        <f t="shared" si="2"/>
        <v>0</v>
      </c>
      <c r="AC77" s="39">
        <v>1</v>
      </c>
      <c r="AD77" s="39"/>
      <c r="AE77" s="40">
        <f t="shared" si="3"/>
        <v>0</v>
      </c>
      <c r="AF77" s="41">
        <f t="shared" si="27"/>
        <v>4</v>
      </c>
      <c r="AG77" s="41">
        <f t="shared" si="21"/>
        <v>2</v>
      </c>
      <c r="AH77" s="42">
        <f t="shared" si="5"/>
        <v>100</v>
      </c>
      <c r="AI77" s="43">
        <v>46113</v>
      </c>
      <c r="AJ77" s="43">
        <v>46477</v>
      </c>
      <c r="AK77" s="44" t="s">
        <v>80</v>
      </c>
      <c r="AL77" s="44" t="s">
        <v>81</v>
      </c>
      <c r="AM77" s="45" t="s">
        <v>82</v>
      </c>
      <c r="AN77" s="46"/>
      <c r="AO77" s="46"/>
      <c r="AP77" s="46"/>
      <c r="AQ77" s="47"/>
      <c r="AR77" s="44" t="s">
        <v>299</v>
      </c>
      <c r="AS77" s="44" t="s">
        <v>80</v>
      </c>
      <c r="AT77" s="54" t="s">
        <v>319</v>
      </c>
      <c r="AU77" s="49" t="s">
        <v>831</v>
      </c>
      <c r="AV77" s="51" t="s">
        <v>832</v>
      </c>
      <c r="AW77" s="51" t="s">
        <v>841</v>
      </c>
      <c r="AZ77" s="50">
        <f t="shared" si="28"/>
        <v>4</v>
      </c>
      <c r="BA77" s="50">
        <f t="shared" si="29"/>
        <v>2</v>
      </c>
      <c r="BB77" s="117">
        <f t="shared" si="30"/>
        <v>0.5</v>
      </c>
      <c r="BC77" s="50">
        <f t="shared" si="31"/>
        <v>2</v>
      </c>
      <c r="BD77" s="51"/>
      <c r="BE77" s="52">
        <f t="shared" si="22"/>
        <v>0.6</v>
      </c>
      <c r="BF77" s="52">
        <f t="shared" si="23"/>
        <v>0.6</v>
      </c>
      <c r="BG77" s="52">
        <f t="shared" si="24"/>
        <v>0.6</v>
      </c>
      <c r="BH77" s="52">
        <f t="shared" si="25"/>
        <v>0.2</v>
      </c>
      <c r="BI77" s="52">
        <f t="shared" si="26"/>
        <v>1.9999999999999998</v>
      </c>
    </row>
    <row r="78" spans="1:61" x14ac:dyDescent="0.3">
      <c r="A78" s="39">
        <v>74</v>
      </c>
      <c r="B78" s="44" t="s">
        <v>100</v>
      </c>
      <c r="C78" s="44" t="s">
        <v>86</v>
      </c>
      <c r="D78" s="44" t="s">
        <v>87</v>
      </c>
      <c r="E78" s="44" t="s">
        <v>88</v>
      </c>
      <c r="F78" s="44" t="s">
        <v>322</v>
      </c>
      <c r="G78" s="36" t="s">
        <v>315</v>
      </c>
      <c r="H78" s="36" t="s">
        <v>316</v>
      </c>
      <c r="I78" s="36" t="s">
        <v>310</v>
      </c>
      <c r="J78" s="36" t="s">
        <v>310</v>
      </c>
      <c r="K78" s="33" t="s">
        <v>72</v>
      </c>
      <c r="L78" s="33" t="s">
        <v>73</v>
      </c>
      <c r="M78" s="36" t="s">
        <v>74</v>
      </c>
      <c r="N78" s="36" t="s">
        <v>311</v>
      </c>
      <c r="O78" s="36" t="s">
        <v>95</v>
      </c>
      <c r="P78" s="36" t="s">
        <v>323</v>
      </c>
      <c r="Q78" s="36" t="s">
        <v>97</v>
      </c>
      <c r="R78" s="37">
        <v>100</v>
      </c>
      <c r="S78" s="33" t="s">
        <v>126</v>
      </c>
      <c r="T78" s="39">
        <v>0</v>
      </c>
      <c r="U78" s="39">
        <v>0</v>
      </c>
      <c r="V78" s="40" t="e">
        <f t="shared" si="20"/>
        <v>#DIV/0!</v>
      </c>
      <c r="W78" s="39">
        <v>0</v>
      </c>
      <c r="X78" s="39">
        <v>0</v>
      </c>
      <c r="Y78" s="40" t="e">
        <f t="shared" si="1"/>
        <v>#DIV/0!</v>
      </c>
      <c r="Z78" s="39">
        <v>0</v>
      </c>
      <c r="AA78" s="39"/>
      <c r="AB78" s="40" t="e">
        <f t="shared" si="2"/>
        <v>#DIV/0!</v>
      </c>
      <c r="AC78" s="39">
        <v>100</v>
      </c>
      <c r="AD78" s="39"/>
      <c r="AE78" s="40">
        <f t="shared" si="3"/>
        <v>0</v>
      </c>
      <c r="AF78" s="41">
        <f t="shared" si="27"/>
        <v>100</v>
      </c>
      <c r="AG78" s="41">
        <f t="shared" si="21"/>
        <v>0</v>
      </c>
      <c r="AH78" s="42" t="e">
        <f t="shared" si="5"/>
        <v>#DIV/0!</v>
      </c>
      <c r="AI78" s="43">
        <v>46113</v>
      </c>
      <c r="AJ78" s="43">
        <v>46477</v>
      </c>
      <c r="AK78" s="44" t="s">
        <v>80</v>
      </c>
      <c r="AL78" s="44" t="s">
        <v>81</v>
      </c>
      <c r="AM78" s="45" t="s">
        <v>82</v>
      </c>
      <c r="AN78" s="46">
        <v>30000000</v>
      </c>
      <c r="AO78" s="46">
        <v>30000000</v>
      </c>
      <c r="AP78" s="46">
        <v>30000000</v>
      </c>
      <c r="AQ78" s="47">
        <v>0</v>
      </c>
      <c r="AR78" s="44" t="s">
        <v>127</v>
      </c>
      <c r="AS78" s="44" t="s">
        <v>80</v>
      </c>
      <c r="AT78" s="54" t="s">
        <v>319</v>
      </c>
      <c r="AU78" s="49" t="s">
        <v>831</v>
      </c>
      <c r="AV78" s="51" t="s">
        <v>832</v>
      </c>
      <c r="AW78" s="51" t="s">
        <v>841</v>
      </c>
      <c r="AZ78" s="50">
        <f t="shared" si="28"/>
        <v>100</v>
      </c>
      <c r="BA78" s="50">
        <f t="shared" si="29"/>
        <v>0</v>
      </c>
      <c r="BB78" s="117">
        <f t="shared" si="30"/>
        <v>0</v>
      </c>
      <c r="BC78" s="50">
        <f t="shared" si="31"/>
        <v>100</v>
      </c>
      <c r="BD78" s="51"/>
      <c r="BE78" s="52">
        <f t="shared" si="22"/>
        <v>30</v>
      </c>
      <c r="BF78" s="52">
        <f t="shared" si="23"/>
        <v>30</v>
      </c>
      <c r="BG78" s="52">
        <f t="shared" si="24"/>
        <v>30</v>
      </c>
      <c r="BH78" s="52">
        <f t="shared" si="25"/>
        <v>10</v>
      </c>
      <c r="BI78" s="52">
        <f t="shared" si="26"/>
        <v>100</v>
      </c>
    </row>
    <row r="79" spans="1:61" x14ac:dyDescent="0.3">
      <c r="A79" s="39">
        <v>75</v>
      </c>
      <c r="B79" s="44" t="s">
        <v>100</v>
      </c>
      <c r="C79" s="44" t="s">
        <v>86</v>
      </c>
      <c r="D79" s="44" t="s">
        <v>87</v>
      </c>
      <c r="E79" s="44" t="s">
        <v>88</v>
      </c>
      <c r="F79" s="44" t="s">
        <v>322</v>
      </c>
      <c r="G79" s="36" t="s">
        <v>315</v>
      </c>
      <c r="H79" s="36" t="s">
        <v>316</v>
      </c>
      <c r="I79" s="36" t="s">
        <v>310</v>
      </c>
      <c r="J79" s="36" t="s">
        <v>310</v>
      </c>
      <c r="K79" s="33" t="s">
        <v>72</v>
      </c>
      <c r="L79" s="33" t="s">
        <v>73</v>
      </c>
      <c r="M79" s="36" t="s">
        <v>74</v>
      </c>
      <c r="N79" s="36" t="s">
        <v>311</v>
      </c>
      <c r="O79" s="36" t="s">
        <v>95</v>
      </c>
      <c r="P79" s="57" t="s">
        <v>324</v>
      </c>
      <c r="Q79" s="36" t="s">
        <v>97</v>
      </c>
      <c r="R79" s="37">
        <v>2</v>
      </c>
      <c r="S79" s="33" t="s">
        <v>79</v>
      </c>
      <c r="T79" s="39">
        <v>0</v>
      </c>
      <c r="U79" s="39">
        <v>0</v>
      </c>
      <c r="V79" s="40" t="e">
        <f t="shared" si="20"/>
        <v>#DIV/0!</v>
      </c>
      <c r="W79" s="39">
        <v>0</v>
      </c>
      <c r="X79" s="39">
        <v>1</v>
      </c>
      <c r="Y79" s="40" t="e">
        <f t="shared" si="1"/>
        <v>#DIV/0!</v>
      </c>
      <c r="Z79" s="39">
        <v>0</v>
      </c>
      <c r="AA79" s="39"/>
      <c r="AB79" s="40" t="e">
        <f t="shared" si="2"/>
        <v>#DIV/0!</v>
      </c>
      <c r="AC79" s="39">
        <v>2</v>
      </c>
      <c r="AD79" s="39"/>
      <c r="AE79" s="40">
        <f t="shared" si="3"/>
        <v>0</v>
      </c>
      <c r="AF79" s="41">
        <f t="shared" si="27"/>
        <v>2</v>
      </c>
      <c r="AG79" s="41">
        <f t="shared" si="21"/>
        <v>1</v>
      </c>
      <c r="AH79" s="42" t="e">
        <f t="shared" si="5"/>
        <v>#DIV/0!</v>
      </c>
      <c r="AI79" s="43">
        <v>46113</v>
      </c>
      <c r="AJ79" s="43">
        <v>46477</v>
      </c>
      <c r="AK79" s="44" t="s">
        <v>80</v>
      </c>
      <c r="AL79" s="44" t="s">
        <v>81</v>
      </c>
      <c r="AM79" s="45" t="s">
        <v>82</v>
      </c>
      <c r="AN79" s="46">
        <v>40000000</v>
      </c>
      <c r="AO79" s="46">
        <v>40000000</v>
      </c>
      <c r="AP79" s="46">
        <v>40000000</v>
      </c>
      <c r="AQ79" s="47">
        <v>0</v>
      </c>
      <c r="AR79" s="44"/>
      <c r="AS79" s="44" t="s">
        <v>80</v>
      </c>
      <c r="AT79" s="54" t="s">
        <v>319</v>
      </c>
      <c r="AU79" s="49" t="s">
        <v>831</v>
      </c>
      <c r="AV79" s="51" t="s">
        <v>832</v>
      </c>
      <c r="AW79" s="51" t="s">
        <v>841</v>
      </c>
      <c r="AZ79" s="50">
        <f t="shared" si="28"/>
        <v>2</v>
      </c>
      <c r="BA79" s="50">
        <f t="shared" si="29"/>
        <v>1</v>
      </c>
      <c r="BB79" s="117">
        <f t="shared" si="30"/>
        <v>0.5</v>
      </c>
      <c r="BC79" s="50">
        <f t="shared" si="31"/>
        <v>1</v>
      </c>
      <c r="BD79" s="51"/>
      <c r="BE79" s="52">
        <f t="shared" si="22"/>
        <v>0.3</v>
      </c>
      <c r="BF79" s="52">
        <f t="shared" si="23"/>
        <v>0.3</v>
      </c>
      <c r="BG79" s="52">
        <f t="shared" si="24"/>
        <v>0.3</v>
      </c>
      <c r="BH79" s="52">
        <f t="shared" si="25"/>
        <v>0.1</v>
      </c>
      <c r="BI79" s="52">
        <f t="shared" si="26"/>
        <v>0.99999999999999989</v>
      </c>
    </row>
    <row r="80" spans="1:61" x14ac:dyDescent="0.3">
      <c r="A80" s="39">
        <v>76</v>
      </c>
      <c r="B80" s="44" t="s">
        <v>100</v>
      </c>
      <c r="C80" s="44" t="s">
        <v>101</v>
      </c>
      <c r="D80" s="44" t="s">
        <v>87</v>
      </c>
      <c r="E80" s="44" t="s">
        <v>180</v>
      </c>
      <c r="F80" s="44" t="s">
        <v>325</v>
      </c>
      <c r="G80" s="36" t="s">
        <v>326</v>
      </c>
      <c r="H80" s="36" t="s">
        <v>327</v>
      </c>
      <c r="I80" s="36" t="s">
        <v>310</v>
      </c>
      <c r="J80" s="36" t="s">
        <v>310</v>
      </c>
      <c r="K80" s="33" t="s">
        <v>72</v>
      </c>
      <c r="L80" s="33" t="s">
        <v>73</v>
      </c>
      <c r="M80" s="36" t="s">
        <v>74</v>
      </c>
      <c r="N80" s="36" t="s">
        <v>311</v>
      </c>
      <c r="O80" s="36" t="s">
        <v>95</v>
      </c>
      <c r="P80" s="36" t="s">
        <v>328</v>
      </c>
      <c r="Q80" s="36" t="s">
        <v>97</v>
      </c>
      <c r="R80" s="37">
        <v>1</v>
      </c>
      <c r="S80" s="33" t="s">
        <v>79</v>
      </c>
      <c r="T80" s="39">
        <v>0</v>
      </c>
      <c r="U80" s="39">
        <v>0</v>
      </c>
      <c r="V80" s="40" t="e">
        <f t="shared" si="20"/>
        <v>#DIV/0!</v>
      </c>
      <c r="W80" s="39">
        <v>1</v>
      </c>
      <c r="X80" s="39">
        <v>0.5</v>
      </c>
      <c r="Y80" s="40">
        <f t="shared" si="1"/>
        <v>50</v>
      </c>
      <c r="Z80" s="39">
        <v>0</v>
      </c>
      <c r="AA80" s="39"/>
      <c r="AB80" s="40" t="e">
        <f t="shared" si="2"/>
        <v>#DIV/0!</v>
      </c>
      <c r="AC80" s="39">
        <v>0</v>
      </c>
      <c r="AD80" s="39"/>
      <c r="AE80" s="40" t="e">
        <f t="shared" si="3"/>
        <v>#DIV/0!</v>
      </c>
      <c r="AF80" s="41">
        <f t="shared" si="27"/>
        <v>1</v>
      </c>
      <c r="AG80" s="41">
        <f t="shared" si="21"/>
        <v>0.5</v>
      </c>
      <c r="AH80" s="42">
        <f t="shared" si="5"/>
        <v>50</v>
      </c>
      <c r="AI80" s="43">
        <v>46054</v>
      </c>
      <c r="AJ80" s="43">
        <v>46477</v>
      </c>
      <c r="AK80" s="44" t="s">
        <v>80</v>
      </c>
      <c r="AL80" s="44" t="s">
        <v>81</v>
      </c>
      <c r="AM80" s="45" t="s">
        <v>82</v>
      </c>
      <c r="AN80" s="46">
        <v>50000000</v>
      </c>
      <c r="AO80" s="46">
        <v>50000000</v>
      </c>
      <c r="AP80" s="46">
        <v>50000000</v>
      </c>
      <c r="AQ80" s="47">
        <f>AO80</f>
        <v>50000000</v>
      </c>
      <c r="AR80" s="44" t="s">
        <v>127</v>
      </c>
      <c r="AS80" s="44" t="s">
        <v>80</v>
      </c>
      <c r="AT80" s="54" t="s">
        <v>319</v>
      </c>
      <c r="AU80" s="49" t="s">
        <v>831</v>
      </c>
      <c r="AV80" s="51" t="s">
        <v>832</v>
      </c>
      <c r="AW80" s="51" t="s">
        <v>841</v>
      </c>
      <c r="AZ80" s="50">
        <f t="shared" si="28"/>
        <v>1</v>
      </c>
      <c r="BA80" s="50">
        <f t="shared" si="29"/>
        <v>0.5</v>
      </c>
      <c r="BB80" s="117">
        <f t="shared" si="30"/>
        <v>0.5</v>
      </c>
      <c r="BC80" s="50">
        <f t="shared" si="31"/>
        <v>0.5</v>
      </c>
      <c r="BD80" s="51"/>
      <c r="BE80" s="52">
        <f t="shared" si="22"/>
        <v>0.15</v>
      </c>
      <c r="BF80" s="52">
        <f t="shared" si="23"/>
        <v>0.15</v>
      </c>
      <c r="BG80" s="52">
        <f t="shared" si="24"/>
        <v>0.15</v>
      </c>
      <c r="BH80" s="52">
        <f t="shared" si="25"/>
        <v>0.05</v>
      </c>
      <c r="BI80" s="52">
        <f t="shared" si="26"/>
        <v>0.49999999999999994</v>
      </c>
    </row>
    <row r="81" spans="1:61" x14ac:dyDescent="0.3">
      <c r="A81" s="39">
        <v>77</v>
      </c>
      <c r="B81" s="44" t="s">
        <v>100</v>
      </c>
      <c r="C81" s="44" t="s">
        <v>101</v>
      </c>
      <c r="D81" s="44" t="s">
        <v>87</v>
      </c>
      <c r="E81" s="44" t="s">
        <v>123</v>
      </c>
      <c r="F81" s="44" t="s">
        <v>314</v>
      </c>
      <c r="G81" s="36" t="s">
        <v>315</v>
      </c>
      <c r="H81" s="36" t="s">
        <v>316</v>
      </c>
      <c r="I81" s="36" t="s">
        <v>310</v>
      </c>
      <c r="J81" s="36" t="s">
        <v>310</v>
      </c>
      <c r="K81" s="33" t="s">
        <v>72</v>
      </c>
      <c r="L81" s="33" t="s">
        <v>73</v>
      </c>
      <c r="M81" s="36" t="s">
        <v>74</v>
      </c>
      <c r="N81" s="36" t="s">
        <v>311</v>
      </c>
      <c r="O81" s="36" t="s">
        <v>95</v>
      </c>
      <c r="P81" s="36" t="s">
        <v>329</v>
      </c>
      <c r="Q81" s="36" t="s">
        <v>97</v>
      </c>
      <c r="R81" s="37">
        <v>1</v>
      </c>
      <c r="S81" s="33" t="s">
        <v>126</v>
      </c>
      <c r="T81" s="39">
        <v>0</v>
      </c>
      <c r="U81" s="39">
        <v>0</v>
      </c>
      <c r="V81" s="40" t="e">
        <f t="shared" si="20"/>
        <v>#DIV/0!</v>
      </c>
      <c r="W81" s="39">
        <v>1</v>
      </c>
      <c r="X81" s="39">
        <v>0.5</v>
      </c>
      <c r="Y81" s="40">
        <f t="shared" si="1"/>
        <v>50</v>
      </c>
      <c r="Z81" s="39">
        <v>0</v>
      </c>
      <c r="AA81" s="39"/>
      <c r="AB81" s="40" t="e">
        <f t="shared" si="2"/>
        <v>#DIV/0!</v>
      </c>
      <c r="AC81" s="39">
        <v>0</v>
      </c>
      <c r="AD81" s="39"/>
      <c r="AE81" s="40" t="e">
        <f t="shared" si="3"/>
        <v>#DIV/0!</v>
      </c>
      <c r="AF81" s="41">
        <f t="shared" si="27"/>
        <v>1</v>
      </c>
      <c r="AG81" s="41">
        <f t="shared" si="21"/>
        <v>0.5</v>
      </c>
      <c r="AH81" s="42">
        <f t="shared" si="5"/>
        <v>50</v>
      </c>
      <c r="AI81" s="43">
        <v>46054</v>
      </c>
      <c r="AJ81" s="43">
        <v>46477</v>
      </c>
      <c r="AK81" s="44" t="s">
        <v>80</v>
      </c>
      <c r="AL81" s="44" t="s">
        <v>81</v>
      </c>
      <c r="AM81" s="45" t="s">
        <v>82</v>
      </c>
      <c r="AN81" s="46">
        <v>10000000</v>
      </c>
      <c r="AO81" s="46">
        <v>10000000</v>
      </c>
      <c r="AP81" s="46">
        <v>10000000</v>
      </c>
      <c r="AQ81" s="47">
        <f>AO81</f>
        <v>10000000</v>
      </c>
      <c r="AR81" s="44" t="s">
        <v>127</v>
      </c>
      <c r="AS81" s="44" t="s">
        <v>80</v>
      </c>
      <c r="AT81" s="54" t="s">
        <v>319</v>
      </c>
      <c r="AU81" s="49" t="s">
        <v>831</v>
      </c>
      <c r="AV81" s="51" t="s">
        <v>832</v>
      </c>
      <c r="AW81" s="51" t="s">
        <v>841</v>
      </c>
      <c r="AZ81" s="50">
        <f t="shared" si="28"/>
        <v>1</v>
      </c>
      <c r="BA81" s="50">
        <f t="shared" si="29"/>
        <v>0.5</v>
      </c>
      <c r="BB81" s="117">
        <f t="shared" si="30"/>
        <v>0.5</v>
      </c>
      <c r="BC81" s="50">
        <f t="shared" si="31"/>
        <v>0.5</v>
      </c>
      <c r="BD81" s="51"/>
      <c r="BE81" s="52">
        <f t="shared" si="22"/>
        <v>0.15</v>
      </c>
      <c r="BF81" s="52">
        <f t="shared" si="23"/>
        <v>0.15</v>
      </c>
      <c r="BG81" s="52">
        <f t="shared" si="24"/>
        <v>0.15</v>
      </c>
      <c r="BH81" s="52">
        <f t="shared" si="25"/>
        <v>0.05</v>
      </c>
      <c r="BI81" s="52">
        <f t="shared" si="26"/>
        <v>0.49999999999999994</v>
      </c>
    </row>
    <row r="82" spans="1:61" x14ac:dyDescent="0.3">
      <c r="A82" s="39">
        <v>78</v>
      </c>
      <c r="B82" s="44" t="s">
        <v>100</v>
      </c>
      <c r="C82" s="44" t="s">
        <v>101</v>
      </c>
      <c r="D82" s="44" t="s">
        <v>87</v>
      </c>
      <c r="E82" s="44" t="s">
        <v>180</v>
      </c>
      <c r="F82" s="44" t="s">
        <v>325</v>
      </c>
      <c r="G82" s="36" t="s">
        <v>330</v>
      </c>
      <c r="H82" s="36" t="s">
        <v>316</v>
      </c>
      <c r="I82" s="36" t="s">
        <v>310</v>
      </c>
      <c r="J82" s="36" t="s">
        <v>310</v>
      </c>
      <c r="K82" s="33" t="s">
        <v>72</v>
      </c>
      <c r="L82" s="33" t="s">
        <v>73</v>
      </c>
      <c r="M82" s="36" t="s">
        <v>74</v>
      </c>
      <c r="N82" s="36" t="s">
        <v>311</v>
      </c>
      <c r="O82" s="36" t="s">
        <v>95</v>
      </c>
      <c r="P82" s="36" t="s">
        <v>331</v>
      </c>
      <c r="Q82" s="36" t="s">
        <v>97</v>
      </c>
      <c r="R82" s="37">
        <v>1</v>
      </c>
      <c r="S82" s="33" t="s">
        <v>79</v>
      </c>
      <c r="T82" s="39">
        <v>0</v>
      </c>
      <c r="U82" s="39">
        <v>0</v>
      </c>
      <c r="V82" s="40" t="e">
        <f t="shared" si="20"/>
        <v>#DIV/0!</v>
      </c>
      <c r="W82" s="39">
        <v>0</v>
      </c>
      <c r="X82" s="39">
        <v>0</v>
      </c>
      <c r="Y82" s="40" t="e">
        <f t="shared" si="1"/>
        <v>#DIV/0!</v>
      </c>
      <c r="Z82" s="39">
        <v>0</v>
      </c>
      <c r="AA82" s="39"/>
      <c r="AB82" s="40" t="e">
        <f t="shared" si="2"/>
        <v>#DIV/0!</v>
      </c>
      <c r="AC82" s="39">
        <v>1</v>
      </c>
      <c r="AD82" s="39"/>
      <c r="AE82" s="40">
        <f t="shared" si="3"/>
        <v>0</v>
      </c>
      <c r="AF82" s="41">
        <f t="shared" si="27"/>
        <v>1</v>
      </c>
      <c r="AG82" s="41">
        <f t="shared" si="21"/>
        <v>0</v>
      </c>
      <c r="AH82" s="42" t="e">
        <f t="shared" si="5"/>
        <v>#DIV/0!</v>
      </c>
      <c r="AI82" s="43">
        <v>46113</v>
      </c>
      <c r="AJ82" s="43">
        <v>46477</v>
      </c>
      <c r="AK82" s="44" t="s">
        <v>80</v>
      </c>
      <c r="AL82" s="44" t="s">
        <v>81</v>
      </c>
      <c r="AM82" s="45" t="s">
        <v>82</v>
      </c>
      <c r="AN82" s="46"/>
      <c r="AO82" s="46"/>
      <c r="AP82" s="46"/>
      <c r="AQ82" s="47"/>
      <c r="AR82" s="44" t="s">
        <v>127</v>
      </c>
      <c r="AS82" s="44" t="s">
        <v>80</v>
      </c>
      <c r="AT82" s="54" t="s">
        <v>319</v>
      </c>
      <c r="AU82" s="49" t="s">
        <v>831</v>
      </c>
      <c r="AV82" s="51" t="s">
        <v>832</v>
      </c>
      <c r="AW82" s="51" t="s">
        <v>841</v>
      </c>
      <c r="AZ82" s="50">
        <f t="shared" si="28"/>
        <v>1</v>
      </c>
      <c r="BA82" s="50">
        <f t="shared" si="29"/>
        <v>0</v>
      </c>
      <c r="BB82" s="117">
        <f t="shared" si="30"/>
        <v>0</v>
      </c>
      <c r="BC82" s="50">
        <f t="shared" si="31"/>
        <v>1</v>
      </c>
      <c r="BD82" s="51"/>
      <c r="BE82" s="52">
        <f t="shared" si="22"/>
        <v>0.3</v>
      </c>
      <c r="BF82" s="52">
        <f t="shared" si="23"/>
        <v>0.3</v>
      </c>
      <c r="BG82" s="52">
        <f t="shared" si="24"/>
        <v>0.3</v>
      </c>
      <c r="BH82" s="52">
        <f t="shared" si="25"/>
        <v>0.1</v>
      </c>
      <c r="BI82" s="52">
        <f t="shared" si="26"/>
        <v>0.99999999999999989</v>
      </c>
    </row>
    <row r="83" spans="1:61" x14ac:dyDescent="0.3">
      <c r="A83" s="39">
        <v>79</v>
      </c>
      <c r="B83" s="44" t="s">
        <v>100</v>
      </c>
      <c r="C83" s="44" t="s">
        <v>86</v>
      </c>
      <c r="D83" s="44" t="s">
        <v>87</v>
      </c>
      <c r="E83" s="44" t="s">
        <v>123</v>
      </c>
      <c r="F83" s="44" t="s">
        <v>314</v>
      </c>
      <c r="G83" s="36" t="s">
        <v>332</v>
      </c>
      <c r="H83" s="36" t="s">
        <v>333</v>
      </c>
      <c r="I83" s="36" t="s">
        <v>310</v>
      </c>
      <c r="J83" s="36" t="s">
        <v>310</v>
      </c>
      <c r="K83" s="33" t="s">
        <v>72</v>
      </c>
      <c r="L83" s="33" t="s">
        <v>73</v>
      </c>
      <c r="M83" s="36" t="s">
        <v>74</v>
      </c>
      <c r="N83" s="36" t="s">
        <v>311</v>
      </c>
      <c r="O83" s="36" t="s">
        <v>95</v>
      </c>
      <c r="P83" s="36" t="s">
        <v>334</v>
      </c>
      <c r="Q83" s="36" t="s">
        <v>97</v>
      </c>
      <c r="R83" s="37">
        <v>1</v>
      </c>
      <c r="S83" s="33" t="s">
        <v>79</v>
      </c>
      <c r="T83" s="39">
        <v>0</v>
      </c>
      <c r="U83" s="39">
        <v>0</v>
      </c>
      <c r="V83" s="40" t="e">
        <f t="shared" si="20"/>
        <v>#DIV/0!</v>
      </c>
      <c r="W83" s="39">
        <v>0</v>
      </c>
      <c r="X83" s="39">
        <v>1</v>
      </c>
      <c r="Y83" s="40" t="e">
        <f t="shared" si="1"/>
        <v>#DIV/0!</v>
      </c>
      <c r="Z83" s="39">
        <v>0</v>
      </c>
      <c r="AA83" s="39"/>
      <c r="AB83" s="40" t="e">
        <f t="shared" si="2"/>
        <v>#DIV/0!</v>
      </c>
      <c r="AC83" s="39">
        <v>1</v>
      </c>
      <c r="AD83" s="39"/>
      <c r="AE83" s="40">
        <f t="shared" si="3"/>
        <v>0</v>
      </c>
      <c r="AF83" s="41">
        <f t="shared" si="27"/>
        <v>1</v>
      </c>
      <c r="AG83" s="41">
        <f t="shared" si="21"/>
        <v>1</v>
      </c>
      <c r="AH83" s="42" t="e">
        <f t="shared" si="5"/>
        <v>#DIV/0!</v>
      </c>
      <c r="AI83" s="43">
        <v>46113</v>
      </c>
      <c r="AJ83" s="43">
        <v>46477</v>
      </c>
      <c r="AK83" s="44" t="s">
        <v>80</v>
      </c>
      <c r="AL83" s="44" t="s">
        <v>81</v>
      </c>
      <c r="AM83" s="45" t="s">
        <v>82</v>
      </c>
      <c r="AN83" s="46"/>
      <c r="AO83" s="46"/>
      <c r="AP83" s="46"/>
      <c r="AQ83" s="47"/>
      <c r="AR83" s="44" t="s">
        <v>127</v>
      </c>
      <c r="AS83" s="44" t="s">
        <v>80</v>
      </c>
      <c r="AT83" s="54" t="s">
        <v>319</v>
      </c>
      <c r="AU83" s="49" t="s">
        <v>831</v>
      </c>
      <c r="AV83" s="51" t="s">
        <v>832</v>
      </c>
      <c r="AW83" s="51" t="s">
        <v>841</v>
      </c>
      <c r="AZ83" s="50">
        <f t="shared" si="28"/>
        <v>1</v>
      </c>
      <c r="BA83" s="50">
        <f t="shared" si="29"/>
        <v>1</v>
      </c>
      <c r="BB83" s="117">
        <f t="shared" si="30"/>
        <v>1</v>
      </c>
      <c r="BC83" s="50">
        <f t="shared" si="31"/>
        <v>0</v>
      </c>
      <c r="BD83" s="51"/>
      <c r="BE83" s="52">
        <f t="shared" si="22"/>
        <v>0</v>
      </c>
      <c r="BF83" s="52">
        <f t="shared" si="23"/>
        <v>0</v>
      </c>
      <c r="BG83" s="52">
        <f t="shared" si="24"/>
        <v>0</v>
      </c>
      <c r="BH83" s="52">
        <f t="shared" si="25"/>
        <v>0</v>
      </c>
      <c r="BI83" s="52">
        <f t="shared" si="26"/>
        <v>0</v>
      </c>
    </row>
    <row r="84" spans="1:61" x14ac:dyDescent="0.3">
      <c r="A84" s="39">
        <v>80</v>
      </c>
      <c r="B84" s="44" t="s">
        <v>100</v>
      </c>
      <c r="C84" s="44" t="s">
        <v>64</v>
      </c>
      <c r="D84" s="44" t="s">
        <v>65</v>
      </c>
      <c r="E84" s="44" t="s">
        <v>66</v>
      </c>
      <c r="F84" s="44" t="s">
        <v>314</v>
      </c>
      <c r="G84" s="36" t="s">
        <v>335</v>
      </c>
      <c r="H84" s="36" t="s">
        <v>336</v>
      </c>
      <c r="I84" s="36" t="s">
        <v>310</v>
      </c>
      <c r="J84" s="36" t="s">
        <v>310</v>
      </c>
      <c r="K84" s="33" t="s">
        <v>72</v>
      </c>
      <c r="L84" s="33" t="s">
        <v>73</v>
      </c>
      <c r="M84" s="36" t="s">
        <v>74</v>
      </c>
      <c r="N84" s="36" t="s">
        <v>311</v>
      </c>
      <c r="O84" s="36" t="s">
        <v>76</v>
      </c>
      <c r="P84" s="36" t="s">
        <v>337</v>
      </c>
      <c r="Q84" s="36" t="s">
        <v>78</v>
      </c>
      <c r="R84" s="37">
        <v>100</v>
      </c>
      <c r="S84" s="33" t="s">
        <v>126</v>
      </c>
      <c r="T84" s="39">
        <v>25</v>
      </c>
      <c r="U84" s="39">
        <v>0</v>
      </c>
      <c r="V84" s="40">
        <f t="shared" si="20"/>
        <v>0</v>
      </c>
      <c r="W84" s="39">
        <v>25</v>
      </c>
      <c r="X84" s="39">
        <v>0</v>
      </c>
      <c r="Y84" s="40">
        <f t="shared" si="1"/>
        <v>0</v>
      </c>
      <c r="Z84" s="39">
        <v>25</v>
      </c>
      <c r="AA84" s="39"/>
      <c r="AB84" s="40">
        <f t="shared" si="2"/>
        <v>0</v>
      </c>
      <c r="AC84" s="39">
        <v>25</v>
      </c>
      <c r="AD84" s="39"/>
      <c r="AE84" s="40">
        <f t="shared" si="3"/>
        <v>0</v>
      </c>
      <c r="AF84" s="41">
        <f t="shared" si="27"/>
        <v>100</v>
      </c>
      <c r="AG84" s="41">
        <f t="shared" si="21"/>
        <v>0</v>
      </c>
      <c r="AH84" s="42">
        <f t="shared" si="5"/>
        <v>0</v>
      </c>
      <c r="AI84" s="43">
        <v>46113</v>
      </c>
      <c r="AJ84" s="43">
        <v>46477</v>
      </c>
      <c r="AK84" s="44" t="s">
        <v>80</v>
      </c>
      <c r="AL84" s="44" t="s">
        <v>81</v>
      </c>
      <c r="AM84" s="45" t="s">
        <v>82</v>
      </c>
      <c r="AN84" s="46"/>
      <c r="AO84" s="46"/>
      <c r="AP84" s="46"/>
      <c r="AQ84" s="47"/>
      <c r="AR84" s="44" t="s">
        <v>127</v>
      </c>
      <c r="AS84" s="44" t="s">
        <v>80</v>
      </c>
      <c r="AT84" s="54" t="s">
        <v>319</v>
      </c>
      <c r="AU84" s="49" t="s">
        <v>831</v>
      </c>
      <c r="AV84" s="51" t="s">
        <v>832</v>
      </c>
      <c r="AW84" s="51" t="s">
        <v>841</v>
      </c>
      <c r="AZ84" s="50">
        <f t="shared" si="28"/>
        <v>100</v>
      </c>
      <c r="BA84" s="50">
        <f t="shared" si="29"/>
        <v>0</v>
      </c>
      <c r="BB84" s="117">
        <f t="shared" si="30"/>
        <v>0</v>
      </c>
      <c r="BC84" s="50">
        <f t="shared" si="31"/>
        <v>100</v>
      </c>
      <c r="BD84" s="51"/>
      <c r="BE84" s="52">
        <f t="shared" si="22"/>
        <v>30</v>
      </c>
      <c r="BF84" s="52">
        <f t="shared" si="23"/>
        <v>30</v>
      </c>
      <c r="BG84" s="52">
        <f t="shared" si="24"/>
        <v>30</v>
      </c>
      <c r="BH84" s="52">
        <f t="shared" si="25"/>
        <v>10</v>
      </c>
      <c r="BI84" s="52">
        <f t="shared" si="26"/>
        <v>100</v>
      </c>
    </row>
    <row r="85" spans="1:61" x14ac:dyDescent="0.3">
      <c r="A85" s="39">
        <v>81</v>
      </c>
      <c r="B85" s="44" t="s">
        <v>100</v>
      </c>
      <c r="C85" s="44" t="s">
        <v>64</v>
      </c>
      <c r="D85" s="44" t="s">
        <v>65</v>
      </c>
      <c r="E85" s="44" t="s">
        <v>66</v>
      </c>
      <c r="F85" s="44" t="s">
        <v>314</v>
      </c>
      <c r="G85" s="36" t="s">
        <v>335</v>
      </c>
      <c r="H85" s="36" t="s">
        <v>336</v>
      </c>
      <c r="I85" s="36" t="s">
        <v>310</v>
      </c>
      <c r="J85" s="36" t="s">
        <v>310</v>
      </c>
      <c r="K85" s="33" t="s">
        <v>72</v>
      </c>
      <c r="L85" s="33" t="s">
        <v>73</v>
      </c>
      <c r="M85" s="36" t="s">
        <v>74</v>
      </c>
      <c r="N85" s="36" t="s">
        <v>311</v>
      </c>
      <c r="O85" s="36" t="s">
        <v>76</v>
      </c>
      <c r="P85" s="36" t="s">
        <v>338</v>
      </c>
      <c r="Q85" s="36" t="s">
        <v>78</v>
      </c>
      <c r="R85" s="37">
        <v>29</v>
      </c>
      <c r="S85" s="33" t="s">
        <v>79</v>
      </c>
      <c r="T85" s="39">
        <v>6</v>
      </c>
      <c r="U85" s="39">
        <v>0</v>
      </c>
      <c r="V85" s="40">
        <f t="shared" si="20"/>
        <v>0</v>
      </c>
      <c r="W85" s="39">
        <v>8</v>
      </c>
      <c r="X85" s="39">
        <v>12</v>
      </c>
      <c r="Y85" s="40">
        <f t="shared" si="1"/>
        <v>150</v>
      </c>
      <c r="Z85" s="39">
        <v>9</v>
      </c>
      <c r="AA85" s="39"/>
      <c r="AB85" s="40">
        <f t="shared" si="2"/>
        <v>0</v>
      </c>
      <c r="AC85" s="39">
        <v>6</v>
      </c>
      <c r="AD85" s="39"/>
      <c r="AE85" s="40">
        <f t="shared" si="3"/>
        <v>0</v>
      </c>
      <c r="AF85" s="41">
        <f t="shared" si="27"/>
        <v>29</v>
      </c>
      <c r="AG85" s="41">
        <f t="shared" si="21"/>
        <v>12</v>
      </c>
      <c r="AH85" s="42">
        <f t="shared" si="5"/>
        <v>85.714285714285708</v>
      </c>
      <c r="AI85" s="43">
        <v>46113</v>
      </c>
      <c r="AJ85" s="43">
        <v>46477</v>
      </c>
      <c r="AK85" s="44" t="s">
        <v>80</v>
      </c>
      <c r="AL85" s="44" t="s">
        <v>81</v>
      </c>
      <c r="AM85" s="45" t="s">
        <v>82</v>
      </c>
      <c r="AN85" s="46"/>
      <c r="AO85" s="46"/>
      <c r="AP85" s="46"/>
      <c r="AQ85" s="47"/>
      <c r="AR85" s="44" t="s">
        <v>127</v>
      </c>
      <c r="AS85" s="44" t="s">
        <v>80</v>
      </c>
      <c r="AT85" s="54" t="s">
        <v>319</v>
      </c>
      <c r="AU85" s="49" t="s">
        <v>831</v>
      </c>
      <c r="AV85" s="51" t="s">
        <v>832</v>
      </c>
      <c r="AW85" s="51" t="s">
        <v>841</v>
      </c>
      <c r="AZ85" s="50">
        <f t="shared" si="28"/>
        <v>29</v>
      </c>
      <c r="BA85" s="50">
        <f t="shared" si="29"/>
        <v>12</v>
      </c>
      <c r="BB85" s="117">
        <f t="shared" si="30"/>
        <v>0.41379310344827586</v>
      </c>
      <c r="BC85" s="50">
        <f t="shared" si="31"/>
        <v>17</v>
      </c>
      <c r="BD85" s="51"/>
      <c r="BE85" s="52">
        <f t="shared" si="22"/>
        <v>5.0999999999999996</v>
      </c>
      <c r="BF85" s="52">
        <f t="shared" si="23"/>
        <v>5.0999999999999996</v>
      </c>
      <c r="BG85" s="52">
        <f t="shared" si="24"/>
        <v>5.0999999999999996</v>
      </c>
      <c r="BH85" s="52">
        <f t="shared" si="25"/>
        <v>1.7000000000000002</v>
      </c>
      <c r="BI85" s="52">
        <f t="shared" si="26"/>
        <v>17</v>
      </c>
    </row>
    <row r="86" spans="1:61" x14ac:dyDescent="0.3">
      <c r="A86" s="39">
        <v>82</v>
      </c>
      <c r="B86" s="44" t="s">
        <v>100</v>
      </c>
      <c r="C86" s="44" t="s">
        <v>64</v>
      </c>
      <c r="D86" s="44" t="s">
        <v>65</v>
      </c>
      <c r="E86" s="44" t="s">
        <v>66</v>
      </c>
      <c r="F86" s="44" t="s">
        <v>314</v>
      </c>
      <c r="G86" s="36" t="s">
        <v>335</v>
      </c>
      <c r="H86" s="36" t="s">
        <v>336</v>
      </c>
      <c r="I86" s="36" t="s">
        <v>310</v>
      </c>
      <c r="J86" s="36" t="s">
        <v>310</v>
      </c>
      <c r="K86" s="33" t="s">
        <v>72</v>
      </c>
      <c r="L86" s="33" t="s">
        <v>73</v>
      </c>
      <c r="M86" s="36" t="s">
        <v>74</v>
      </c>
      <c r="N86" s="36" t="s">
        <v>311</v>
      </c>
      <c r="O86" s="36" t="s">
        <v>76</v>
      </c>
      <c r="P86" s="36" t="s">
        <v>339</v>
      </c>
      <c r="Q86" s="36" t="s">
        <v>78</v>
      </c>
      <c r="R86" s="37">
        <v>29</v>
      </c>
      <c r="S86" s="33" t="s">
        <v>79</v>
      </c>
      <c r="T86" s="39">
        <v>7</v>
      </c>
      <c r="U86" s="39">
        <v>0</v>
      </c>
      <c r="V86" s="40">
        <f t="shared" si="20"/>
        <v>0</v>
      </c>
      <c r="W86" s="39">
        <v>7</v>
      </c>
      <c r="X86" s="39">
        <v>18</v>
      </c>
      <c r="Y86" s="40">
        <f t="shared" si="1"/>
        <v>257.14285714285717</v>
      </c>
      <c r="Z86" s="39">
        <v>8</v>
      </c>
      <c r="AA86" s="39"/>
      <c r="AB86" s="40">
        <f t="shared" si="2"/>
        <v>0</v>
      </c>
      <c r="AC86" s="39">
        <v>7</v>
      </c>
      <c r="AD86" s="39"/>
      <c r="AE86" s="40">
        <f t="shared" si="3"/>
        <v>0</v>
      </c>
      <c r="AF86" s="41">
        <f t="shared" si="27"/>
        <v>29</v>
      </c>
      <c r="AG86" s="41">
        <f t="shared" si="21"/>
        <v>18</v>
      </c>
      <c r="AH86" s="42">
        <f t="shared" si="5"/>
        <v>128.57142857142858</v>
      </c>
      <c r="AI86" s="43">
        <v>46113</v>
      </c>
      <c r="AJ86" s="43">
        <v>46477</v>
      </c>
      <c r="AK86" s="44" t="s">
        <v>80</v>
      </c>
      <c r="AL86" s="44" t="s">
        <v>81</v>
      </c>
      <c r="AM86" s="45" t="s">
        <v>82</v>
      </c>
      <c r="AN86" s="46"/>
      <c r="AO86" s="46"/>
      <c r="AP86" s="46"/>
      <c r="AQ86" s="47"/>
      <c r="AR86" s="44" t="s">
        <v>127</v>
      </c>
      <c r="AS86" s="44" t="s">
        <v>80</v>
      </c>
      <c r="AT86" s="54" t="s">
        <v>319</v>
      </c>
      <c r="AU86" s="49" t="s">
        <v>831</v>
      </c>
      <c r="AV86" s="51" t="s">
        <v>832</v>
      </c>
      <c r="AW86" s="51" t="s">
        <v>841</v>
      </c>
      <c r="AZ86" s="50">
        <f t="shared" si="28"/>
        <v>29</v>
      </c>
      <c r="BA86" s="50">
        <f t="shared" si="29"/>
        <v>18</v>
      </c>
      <c r="BB86" s="117">
        <f t="shared" si="30"/>
        <v>0.62068965517241381</v>
      </c>
      <c r="BC86" s="50">
        <f t="shared" si="31"/>
        <v>11</v>
      </c>
      <c r="BD86" s="51"/>
      <c r="BE86" s="52">
        <f t="shared" si="22"/>
        <v>3.3</v>
      </c>
      <c r="BF86" s="52">
        <f t="shared" si="23"/>
        <v>3.3</v>
      </c>
      <c r="BG86" s="52">
        <f t="shared" si="24"/>
        <v>3.3</v>
      </c>
      <c r="BH86" s="52">
        <f t="shared" si="25"/>
        <v>1.1000000000000001</v>
      </c>
      <c r="BI86" s="52">
        <f t="shared" si="26"/>
        <v>10.999999999999998</v>
      </c>
    </row>
    <row r="87" spans="1:61" x14ac:dyDescent="0.3">
      <c r="A87" s="39">
        <v>83</v>
      </c>
      <c r="B87" s="44" t="s">
        <v>100</v>
      </c>
      <c r="C87" s="44" t="s">
        <v>64</v>
      </c>
      <c r="D87" s="44" t="s">
        <v>65</v>
      </c>
      <c r="E87" s="44" t="s">
        <v>66</v>
      </c>
      <c r="F87" s="44" t="s">
        <v>314</v>
      </c>
      <c r="G87" s="36" t="s">
        <v>335</v>
      </c>
      <c r="H87" s="36" t="s">
        <v>336</v>
      </c>
      <c r="I87" s="36" t="s">
        <v>310</v>
      </c>
      <c r="J87" s="36" t="s">
        <v>310</v>
      </c>
      <c r="K87" s="33" t="s">
        <v>72</v>
      </c>
      <c r="L87" s="33" t="s">
        <v>73</v>
      </c>
      <c r="M87" s="36" t="s">
        <v>74</v>
      </c>
      <c r="N87" s="36" t="s">
        <v>311</v>
      </c>
      <c r="O87" s="36" t="s">
        <v>76</v>
      </c>
      <c r="P87" s="36" t="s">
        <v>340</v>
      </c>
      <c r="Q87" s="36" t="s">
        <v>78</v>
      </c>
      <c r="R87" s="37">
        <v>29</v>
      </c>
      <c r="S87" s="33" t="s">
        <v>79</v>
      </c>
      <c r="T87" s="39">
        <v>7</v>
      </c>
      <c r="U87" s="39">
        <v>0</v>
      </c>
      <c r="V87" s="40">
        <f t="shared" si="20"/>
        <v>0</v>
      </c>
      <c r="W87" s="39">
        <v>7</v>
      </c>
      <c r="X87" s="39">
        <v>5</v>
      </c>
      <c r="Y87" s="40">
        <f t="shared" si="1"/>
        <v>71.428571428571431</v>
      </c>
      <c r="Z87" s="39">
        <v>8</v>
      </c>
      <c r="AA87" s="39"/>
      <c r="AB87" s="40">
        <f t="shared" si="2"/>
        <v>0</v>
      </c>
      <c r="AC87" s="39">
        <v>7</v>
      </c>
      <c r="AD87" s="39"/>
      <c r="AE87" s="40">
        <f t="shared" si="3"/>
        <v>0</v>
      </c>
      <c r="AF87" s="41">
        <f t="shared" si="27"/>
        <v>29</v>
      </c>
      <c r="AG87" s="41">
        <f t="shared" si="21"/>
        <v>5</v>
      </c>
      <c r="AH87" s="42">
        <f t="shared" si="5"/>
        <v>35.714285714285715</v>
      </c>
      <c r="AI87" s="43">
        <v>46054</v>
      </c>
      <c r="AJ87" s="43">
        <v>46477</v>
      </c>
      <c r="AK87" s="44" t="s">
        <v>80</v>
      </c>
      <c r="AL87" s="44" t="s">
        <v>81</v>
      </c>
      <c r="AM87" s="45" t="s">
        <v>82</v>
      </c>
      <c r="AN87" s="46">
        <v>110000000</v>
      </c>
      <c r="AO87" s="46">
        <v>110000000</v>
      </c>
      <c r="AP87" s="46">
        <v>110000000</v>
      </c>
      <c r="AQ87" s="47">
        <v>0</v>
      </c>
      <c r="AR87" s="44" t="s">
        <v>175</v>
      </c>
      <c r="AS87" s="44" t="s">
        <v>80</v>
      </c>
      <c r="AT87" s="54" t="s">
        <v>319</v>
      </c>
      <c r="AU87" s="49" t="s">
        <v>831</v>
      </c>
      <c r="AV87" s="51" t="s">
        <v>832</v>
      </c>
      <c r="AW87" s="51" t="s">
        <v>841</v>
      </c>
      <c r="AZ87" s="50">
        <f t="shared" si="28"/>
        <v>29</v>
      </c>
      <c r="BA87" s="50">
        <f t="shared" si="29"/>
        <v>5</v>
      </c>
      <c r="BB87" s="117">
        <f t="shared" si="30"/>
        <v>0.17241379310344829</v>
      </c>
      <c r="BC87" s="50">
        <f t="shared" si="31"/>
        <v>24</v>
      </c>
      <c r="BD87" s="51"/>
      <c r="BE87" s="52">
        <f t="shared" si="22"/>
        <v>7.1999999999999993</v>
      </c>
      <c r="BF87" s="52">
        <f t="shared" si="23"/>
        <v>7.1999999999999993</v>
      </c>
      <c r="BG87" s="52">
        <f t="shared" si="24"/>
        <v>7.1999999999999993</v>
      </c>
      <c r="BH87" s="52">
        <f t="shared" si="25"/>
        <v>2.4000000000000004</v>
      </c>
      <c r="BI87" s="52">
        <f t="shared" si="26"/>
        <v>24</v>
      </c>
    </row>
    <row r="88" spans="1:61" x14ac:dyDescent="0.3">
      <c r="A88" s="39">
        <v>84</v>
      </c>
      <c r="B88" s="44" t="s">
        <v>100</v>
      </c>
      <c r="C88" s="44" t="s">
        <v>64</v>
      </c>
      <c r="D88" s="44" t="s">
        <v>65</v>
      </c>
      <c r="E88" s="44" t="s">
        <v>66</v>
      </c>
      <c r="F88" s="44" t="s">
        <v>341</v>
      </c>
      <c r="G88" s="36" t="s">
        <v>330</v>
      </c>
      <c r="H88" s="36" t="s">
        <v>342</v>
      </c>
      <c r="I88" s="36" t="s">
        <v>310</v>
      </c>
      <c r="J88" s="36" t="s">
        <v>310</v>
      </c>
      <c r="K88" s="33" t="s">
        <v>72</v>
      </c>
      <c r="L88" s="33" t="s">
        <v>73</v>
      </c>
      <c r="M88" s="36" t="s">
        <v>74</v>
      </c>
      <c r="N88" s="36" t="s">
        <v>311</v>
      </c>
      <c r="O88" s="36" t="s">
        <v>76</v>
      </c>
      <c r="P88" s="36" t="s">
        <v>343</v>
      </c>
      <c r="Q88" s="36" t="s">
        <v>78</v>
      </c>
      <c r="R88" s="37">
        <v>29</v>
      </c>
      <c r="S88" s="33" t="s">
        <v>79</v>
      </c>
      <c r="T88" s="39">
        <v>0</v>
      </c>
      <c r="U88" s="39">
        <v>0</v>
      </c>
      <c r="V88" s="40" t="e">
        <f t="shared" si="20"/>
        <v>#DIV/0!</v>
      </c>
      <c r="W88" s="39">
        <v>0</v>
      </c>
      <c r="X88" s="39">
        <v>0</v>
      </c>
      <c r="Y88" s="40" t="e">
        <f t="shared" si="1"/>
        <v>#DIV/0!</v>
      </c>
      <c r="Z88" s="39">
        <v>29</v>
      </c>
      <c r="AA88" s="39"/>
      <c r="AB88" s="40">
        <f t="shared" si="2"/>
        <v>0</v>
      </c>
      <c r="AC88" s="39">
        <v>0</v>
      </c>
      <c r="AD88" s="39"/>
      <c r="AE88" s="40" t="e">
        <f t="shared" si="3"/>
        <v>#DIV/0!</v>
      </c>
      <c r="AF88" s="41">
        <f t="shared" si="27"/>
        <v>29</v>
      </c>
      <c r="AG88" s="41">
        <f t="shared" si="21"/>
        <v>0</v>
      </c>
      <c r="AH88" s="42" t="e">
        <f t="shared" si="5"/>
        <v>#DIV/0!</v>
      </c>
      <c r="AI88" s="43">
        <v>46113</v>
      </c>
      <c r="AJ88" s="43">
        <v>46477</v>
      </c>
      <c r="AK88" s="44" t="s">
        <v>80</v>
      </c>
      <c r="AL88" s="44" t="s">
        <v>81</v>
      </c>
      <c r="AM88" s="45" t="s">
        <v>82</v>
      </c>
      <c r="AN88" s="46">
        <v>60000000</v>
      </c>
      <c r="AO88" s="46">
        <v>60000000</v>
      </c>
      <c r="AP88" s="46">
        <v>60000000</v>
      </c>
      <c r="AQ88" s="47">
        <v>0</v>
      </c>
      <c r="AR88" s="44"/>
      <c r="AS88" s="44" t="s">
        <v>80</v>
      </c>
      <c r="AT88" s="54" t="s">
        <v>319</v>
      </c>
      <c r="AU88" s="49" t="s">
        <v>831</v>
      </c>
      <c r="AV88" s="51" t="s">
        <v>832</v>
      </c>
      <c r="AW88" s="51" t="s">
        <v>841</v>
      </c>
      <c r="AZ88" s="50">
        <f t="shared" si="28"/>
        <v>29</v>
      </c>
      <c r="BA88" s="50">
        <f t="shared" si="29"/>
        <v>0</v>
      </c>
      <c r="BB88" s="117">
        <f t="shared" si="30"/>
        <v>0</v>
      </c>
      <c r="BC88" s="50">
        <f t="shared" si="31"/>
        <v>29</v>
      </c>
      <c r="BD88" s="51"/>
      <c r="BE88" s="52">
        <f t="shared" si="22"/>
        <v>8.6999999999999993</v>
      </c>
      <c r="BF88" s="52">
        <f t="shared" si="23"/>
        <v>8.6999999999999993</v>
      </c>
      <c r="BG88" s="52">
        <f t="shared" si="24"/>
        <v>8.6999999999999993</v>
      </c>
      <c r="BH88" s="52">
        <f t="shared" si="25"/>
        <v>2.9000000000000004</v>
      </c>
      <c r="BI88" s="52">
        <f t="shared" si="26"/>
        <v>29</v>
      </c>
    </row>
    <row r="89" spans="1:61" x14ac:dyDescent="0.3">
      <c r="A89" s="39">
        <v>85</v>
      </c>
      <c r="B89" s="44" t="s">
        <v>100</v>
      </c>
      <c r="C89" s="44" t="s">
        <v>86</v>
      </c>
      <c r="D89" s="44" t="s">
        <v>87</v>
      </c>
      <c r="E89" s="44" t="s">
        <v>123</v>
      </c>
      <c r="F89" s="44" t="s">
        <v>344</v>
      </c>
      <c r="G89" s="36" t="s">
        <v>315</v>
      </c>
      <c r="H89" s="36" t="s">
        <v>316</v>
      </c>
      <c r="I89" s="36" t="s">
        <v>345</v>
      </c>
      <c r="J89" s="36" t="s">
        <v>345</v>
      </c>
      <c r="K89" s="33" t="s">
        <v>72</v>
      </c>
      <c r="L89" s="33" t="s">
        <v>73</v>
      </c>
      <c r="M89" s="36" t="s">
        <v>74</v>
      </c>
      <c r="N89" s="36" t="s">
        <v>311</v>
      </c>
      <c r="O89" s="36" t="s">
        <v>95</v>
      </c>
      <c r="P89" s="36" t="s">
        <v>346</v>
      </c>
      <c r="Q89" s="36" t="s">
        <v>97</v>
      </c>
      <c r="R89" s="37">
        <v>12</v>
      </c>
      <c r="S89" s="33" t="s">
        <v>79</v>
      </c>
      <c r="T89" s="39">
        <v>3</v>
      </c>
      <c r="U89" s="39">
        <v>0</v>
      </c>
      <c r="V89" s="40">
        <f t="shared" si="20"/>
        <v>0</v>
      </c>
      <c r="W89" s="39">
        <v>3</v>
      </c>
      <c r="X89" s="39">
        <v>3</v>
      </c>
      <c r="Y89" s="40">
        <f t="shared" si="1"/>
        <v>100</v>
      </c>
      <c r="Z89" s="39">
        <v>3</v>
      </c>
      <c r="AA89" s="39"/>
      <c r="AB89" s="40">
        <f t="shared" si="2"/>
        <v>0</v>
      </c>
      <c r="AC89" s="39">
        <v>3</v>
      </c>
      <c r="AD89" s="39"/>
      <c r="AE89" s="40">
        <f t="shared" si="3"/>
        <v>0</v>
      </c>
      <c r="AF89" s="41">
        <f t="shared" si="27"/>
        <v>12</v>
      </c>
      <c r="AG89" s="41">
        <f t="shared" si="21"/>
        <v>3</v>
      </c>
      <c r="AH89" s="42">
        <f t="shared" si="5"/>
        <v>50</v>
      </c>
      <c r="AI89" s="43">
        <v>46113</v>
      </c>
      <c r="AJ89" s="43">
        <v>46477</v>
      </c>
      <c r="AK89" s="44" t="s">
        <v>80</v>
      </c>
      <c r="AL89" s="44" t="s">
        <v>81</v>
      </c>
      <c r="AM89" s="45" t="s">
        <v>82</v>
      </c>
      <c r="AN89" s="46"/>
      <c r="AO89" s="46"/>
      <c r="AP89" s="46"/>
      <c r="AQ89" s="47"/>
      <c r="AR89" s="44"/>
      <c r="AS89" s="44" t="s">
        <v>80</v>
      </c>
      <c r="AT89" s="54" t="s">
        <v>347</v>
      </c>
      <c r="AU89" s="49" t="s">
        <v>831</v>
      </c>
      <c r="AV89" s="51" t="s">
        <v>832</v>
      </c>
      <c r="AW89" s="51" t="s">
        <v>841</v>
      </c>
      <c r="AZ89" s="50">
        <f t="shared" si="28"/>
        <v>12</v>
      </c>
      <c r="BA89" s="50">
        <f t="shared" si="29"/>
        <v>3</v>
      </c>
      <c r="BB89" s="117">
        <f t="shared" si="30"/>
        <v>0.25</v>
      </c>
      <c r="BC89" s="50">
        <f t="shared" si="31"/>
        <v>9</v>
      </c>
      <c r="BD89" s="51"/>
      <c r="BE89" s="52">
        <f t="shared" si="22"/>
        <v>2.6999999999999997</v>
      </c>
      <c r="BF89" s="52">
        <f t="shared" si="23"/>
        <v>2.6999999999999997</v>
      </c>
      <c r="BG89" s="52">
        <f t="shared" si="24"/>
        <v>2.6999999999999997</v>
      </c>
      <c r="BH89" s="52">
        <f t="shared" si="25"/>
        <v>0.9</v>
      </c>
      <c r="BI89" s="52">
        <f t="shared" si="26"/>
        <v>9</v>
      </c>
    </row>
    <row r="90" spans="1:61" x14ac:dyDescent="0.3">
      <c r="A90" s="39">
        <v>86</v>
      </c>
      <c r="B90" s="44" t="s">
        <v>100</v>
      </c>
      <c r="C90" s="44" t="s">
        <v>101</v>
      </c>
      <c r="D90" s="44" t="s">
        <v>87</v>
      </c>
      <c r="E90" s="44" t="s">
        <v>180</v>
      </c>
      <c r="F90" s="44" t="s">
        <v>325</v>
      </c>
      <c r="G90" s="36" t="s">
        <v>330</v>
      </c>
      <c r="H90" s="36" t="s">
        <v>348</v>
      </c>
      <c r="I90" s="36" t="s">
        <v>310</v>
      </c>
      <c r="J90" s="36" t="s">
        <v>310</v>
      </c>
      <c r="K90" s="33" t="s">
        <v>72</v>
      </c>
      <c r="L90" s="33" t="s">
        <v>73</v>
      </c>
      <c r="M90" s="36" t="s">
        <v>74</v>
      </c>
      <c r="N90" s="36" t="s">
        <v>311</v>
      </c>
      <c r="O90" s="36" t="s">
        <v>95</v>
      </c>
      <c r="P90" s="36" t="s">
        <v>349</v>
      </c>
      <c r="Q90" s="36" t="s">
        <v>97</v>
      </c>
      <c r="R90" s="37">
        <v>1</v>
      </c>
      <c r="S90" s="33" t="s">
        <v>79</v>
      </c>
      <c r="T90" s="39">
        <v>0</v>
      </c>
      <c r="U90" s="39">
        <v>0</v>
      </c>
      <c r="V90" s="40" t="e">
        <f t="shared" si="20"/>
        <v>#DIV/0!</v>
      </c>
      <c r="W90" s="39">
        <v>1</v>
      </c>
      <c r="X90" s="39">
        <v>0</v>
      </c>
      <c r="Y90" s="40">
        <f t="shared" si="1"/>
        <v>0</v>
      </c>
      <c r="Z90" s="39">
        <v>0</v>
      </c>
      <c r="AA90" s="39"/>
      <c r="AB90" s="40" t="e">
        <f t="shared" si="2"/>
        <v>#DIV/0!</v>
      </c>
      <c r="AC90" s="39">
        <v>1</v>
      </c>
      <c r="AD90" s="39"/>
      <c r="AE90" s="40">
        <f t="shared" si="3"/>
        <v>0</v>
      </c>
      <c r="AF90" s="41">
        <f t="shared" si="27"/>
        <v>1</v>
      </c>
      <c r="AG90" s="41">
        <f t="shared" si="21"/>
        <v>0</v>
      </c>
      <c r="AH90" s="42">
        <f t="shared" si="5"/>
        <v>0</v>
      </c>
      <c r="AI90" s="43">
        <v>46113</v>
      </c>
      <c r="AJ90" s="43">
        <v>46477</v>
      </c>
      <c r="AK90" s="44" t="s">
        <v>80</v>
      </c>
      <c r="AL90" s="44" t="s">
        <v>81</v>
      </c>
      <c r="AM90" s="45" t="s">
        <v>82</v>
      </c>
      <c r="AN90" s="46">
        <v>30000000</v>
      </c>
      <c r="AO90" s="46">
        <v>30000000</v>
      </c>
      <c r="AP90" s="46">
        <v>30000000</v>
      </c>
      <c r="AQ90" s="47">
        <v>0</v>
      </c>
      <c r="AR90" s="44"/>
      <c r="AS90" s="44" t="s">
        <v>80</v>
      </c>
      <c r="AT90" s="54" t="s">
        <v>347</v>
      </c>
      <c r="AU90" s="49" t="s">
        <v>831</v>
      </c>
      <c r="AV90" s="51" t="s">
        <v>832</v>
      </c>
      <c r="AW90" s="51" t="s">
        <v>841</v>
      </c>
      <c r="AZ90" s="50">
        <f t="shared" si="28"/>
        <v>1</v>
      </c>
      <c r="BA90" s="50">
        <f t="shared" si="29"/>
        <v>0</v>
      </c>
      <c r="BB90" s="117">
        <f t="shared" si="30"/>
        <v>0</v>
      </c>
      <c r="BC90" s="50">
        <f t="shared" si="31"/>
        <v>1</v>
      </c>
      <c r="BD90" s="51"/>
      <c r="BE90" s="52">
        <f t="shared" si="22"/>
        <v>0.3</v>
      </c>
      <c r="BF90" s="52">
        <f t="shared" si="23"/>
        <v>0.3</v>
      </c>
      <c r="BG90" s="52">
        <f t="shared" si="24"/>
        <v>0.3</v>
      </c>
      <c r="BH90" s="52">
        <f t="shared" si="25"/>
        <v>0.1</v>
      </c>
      <c r="BI90" s="52">
        <f t="shared" si="26"/>
        <v>0.99999999999999989</v>
      </c>
    </row>
    <row r="91" spans="1:61" x14ac:dyDescent="0.3">
      <c r="A91" s="39">
        <v>87</v>
      </c>
      <c r="B91" s="44" t="s">
        <v>238</v>
      </c>
      <c r="C91" s="44" t="s">
        <v>64</v>
      </c>
      <c r="D91" s="44" t="s">
        <v>65</v>
      </c>
      <c r="E91" s="44" t="s">
        <v>123</v>
      </c>
      <c r="F91" s="44" t="s">
        <v>350</v>
      </c>
      <c r="G91" s="36" t="s">
        <v>66</v>
      </c>
      <c r="H91" s="36" t="s">
        <v>66</v>
      </c>
      <c r="I91" s="36" t="s">
        <v>351</v>
      </c>
      <c r="J91" s="36" t="s">
        <v>351</v>
      </c>
      <c r="K91" s="33" t="s">
        <v>72</v>
      </c>
      <c r="L91" s="33" t="s">
        <v>73</v>
      </c>
      <c r="M91" s="36" t="s">
        <v>74</v>
      </c>
      <c r="N91" s="36" t="s">
        <v>352</v>
      </c>
      <c r="O91" s="36" t="s">
        <v>76</v>
      </c>
      <c r="P91" s="36" t="s">
        <v>353</v>
      </c>
      <c r="Q91" s="36" t="s">
        <v>97</v>
      </c>
      <c r="R91" s="37">
        <v>29</v>
      </c>
      <c r="S91" s="33" t="s">
        <v>79</v>
      </c>
      <c r="T91" s="39">
        <v>0</v>
      </c>
      <c r="U91" s="39">
        <v>0</v>
      </c>
      <c r="V91" s="40" t="e">
        <f t="shared" si="20"/>
        <v>#DIV/0!</v>
      </c>
      <c r="W91" s="39">
        <v>0</v>
      </c>
      <c r="X91" s="39">
        <v>1</v>
      </c>
      <c r="Y91" s="40" t="e">
        <f t="shared" si="1"/>
        <v>#DIV/0!</v>
      </c>
      <c r="Z91" s="39">
        <v>14</v>
      </c>
      <c r="AA91" s="39"/>
      <c r="AB91" s="40">
        <f t="shared" si="2"/>
        <v>0</v>
      </c>
      <c r="AC91" s="39">
        <v>15</v>
      </c>
      <c r="AD91" s="39"/>
      <c r="AE91" s="40">
        <f t="shared" si="3"/>
        <v>0</v>
      </c>
      <c r="AF91" s="41">
        <f t="shared" si="27"/>
        <v>29</v>
      </c>
      <c r="AG91" s="41">
        <f t="shared" si="21"/>
        <v>1</v>
      </c>
      <c r="AH91" s="42" t="e">
        <f t="shared" si="5"/>
        <v>#DIV/0!</v>
      </c>
      <c r="AI91" s="43">
        <v>46113</v>
      </c>
      <c r="AJ91" s="43">
        <v>46477</v>
      </c>
      <c r="AK91" s="44" t="s">
        <v>80</v>
      </c>
      <c r="AL91" s="44" t="s">
        <v>81</v>
      </c>
      <c r="AM91" s="45" t="s">
        <v>82</v>
      </c>
      <c r="AN91" s="46">
        <v>150000000</v>
      </c>
      <c r="AO91" s="46">
        <v>150000000</v>
      </c>
      <c r="AP91" s="46">
        <v>150000000</v>
      </c>
      <c r="AQ91" s="47">
        <v>0</v>
      </c>
      <c r="AR91" s="44" t="s">
        <v>159</v>
      </c>
      <c r="AS91" s="44" t="s">
        <v>80</v>
      </c>
      <c r="AT91" s="54" t="s">
        <v>354</v>
      </c>
      <c r="AU91" s="49" t="s">
        <v>831</v>
      </c>
      <c r="AV91" s="51" t="s">
        <v>832</v>
      </c>
      <c r="AW91" s="51" t="s">
        <v>842</v>
      </c>
      <c r="AZ91" s="50">
        <f t="shared" si="28"/>
        <v>29</v>
      </c>
      <c r="BA91" s="50">
        <f t="shared" si="29"/>
        <v>1</v>
      </c>
      <c r="BB91" s="117">
        <f t="shared" si="30"/>
        <v>3.4482758620689655E-2</v>
      </c>
      <c r="BC91" s="50">
        <f t="shared" si="31"/>
        <v>28</v>
      </c>
      <c r="BD91" s="51"/>
      <c r="BE91" s="52">
        <f t="shared" si="22"/>
        <v>8.4</v>
      </c>
      <c r="BF91" s="52">
        <f t="shared" si="23"/>
        <v>8.4</v>
      </c>
      <c r="BG91" s="52">
        <f t="shared" si="24"/>
        <v>8.4</v>
      </c>
      <c r="BH91" s="52">
        <f t="shared" si="25"/>
        <v>2.8000000000000003</v>
      </c>
      <c r="BI91" s="52">
        <f t="shared" si="26"/>
        <v>28.000000000000004</v>
      </c>
    </row>
    <row r="92" spans="1:61" x14ac:dyDescent="0.3">
      <c r="A92" s="39">
        <v>88</v>
      </c>
      <c r="B92" s="44" t="s">
        <v>238</v>
      </c>
      <c r="C92" s="44" t="s">
        <v>64</v>
      </c>
      <c r="D92" s="44" t="s">
        <v>65</v>
      </c>
      <c r="E92" s="44" t="s">
        <v>123</v>
      </c>
      <c r="F92" s="44" t="s">
        <v>350</v>
      </c>
      <c r="G92" s="36" t="s">
        <v>66</v>
      </c>
      <c r="H92" s="36" t="s">
        <v>66</v>
      </c>
      <c r="I92" s="36" t="s">
        <v>355</v>
      </c>
      <c r="J92" s="36" t="s">
        <v>355</v>
      </c>
      <c r="K92" s="33" t="s">
        <v>72</v>
      </c>
      <c r="L92" s="33" t="s">
        <v>73</v>
      </c>
      <c r="M92" s="36" t="s">
        <v>74</v>
      </c>
      <c r="N92" s="36" t="s">
        <v>352</v>
      </c>
      <c r="O92" s="36" t="s">
        <v>76</v>
      </c>
      <c r="P92" s="36" t="s">
        <v>356</v>
      </c>
      <c r="Q92" s="36" t="s">
        <v>78</v>
      </c>
      <c r="R92" s="37">
        <v>29</v>
      </c>
      <c r="S92" s="33" t="s">
        <v>79</v>
      </c>
      <c r="T92" s="39">
        <v>29</v>
      </c>
      <c r="U92" s="39">
        <v>0</v>
      </c>
      <c r="V92" s="40">
        <f t="shared" si="20"/>
        <v>0</v>
      </c>
      <c r="W92" s="39">
        <v>29</v>
      </c>
      <c r="X92" s="39">
        <v>0</v>
      </c>
      <c r="Y92" s="40">
        <f t="shared" si="1"/>
        <v>0</v>
      </c>
      <c r="Z92" s="39">
        <v>29</v>
      </c>
      <c r="AA92" s="39"/>
      <c r="AB92" s="40">
        <f t="shared" si="2"/>
        <v>0</v>
      </c>
      <c r="AC92" s="39">
        <v>29</v>
      </c>
      <c r="AD92" s="39"/>
      <c r="AE92" s="40">
        <f t="shared" si="3"/>
        <v>0</v>
      </c>
      <c r="AF92" s="41">
        <f t="shared" si="27"/>
        <v>29</v>
      </c>
      <c r="AG92" s="41">
        <f t="shared" si="21"/>
        <v>0</v>
      </c>
      <c r="AH92" s="42">
        <f t="shared" si="5"/>
        <v>0</v>
      </c>
      <c r="AI92" s="43">
        <v>46113</v>
      </c>
      <c r="AJ92" s="43">
        <v>46477</v>
      </c>
      <c r="AK92" s="44" t="s">
        <v>80</v>
      </c>
      <c r="AL92" s="44" t="s">
        <v>81</v>
      </c>
      <c r="AM92" s="45" t="s">
        <v>82</v>
      </c>
      <c r="AN92" s="46">
        <v>120000000</v>
      </c>
      <c r="AO92" s="46">
        <v>120000000</v>
      </c>
      <c r="AP92" s="46">
        <v>120000000</v>
      </c>
      <c r="AQ92" s="47">
        <v>0</v>
      </c>
      <c r="AR92" s="44" t="s">
        <v>357</v>
      </c>
      <c r="AS92" s="44" t="s">
        <v>80</v>
      </c>
      <c r="AT92" s="54" t="s">
        <v>354</v>
      </c>
      <c r="AU92" s="49" t="s">
        <v>831</v>
      </c>
      <c r="AV92" s="51" t="s">
        <v>832</v>
      </c>
      <c r="AW92" s="51" t="s">
        <v>842</v>
      </c>
      <c r="AZ92" s="50">
        <f t="shared" si="28"/>
        <v>29</v>
      </c>
      <c r="BA92" s="50">
        <f t="shared" si="29"/>
        <v>0</v>
      </c>
      <c r="BB92" s="117">
        <f t="shared" si="30"/>
        <v>0</v>
      </c>
      <c r="BC92" s="50">
        <f t="shared" si="31"/>
        <v>29</v>
      </c>
      <c r="BD92" s="51"/>
      <c r="BE92" s="52">
        <f t="shared" si="22"/>
        <v>8.6999999999999993</v>
      </c>
      <c r="BF92" s="52">
        <f t="shared" si="23"/>
        <v>8.6999999999999993</v>
      </c>
      <c r="BG92" s="52">
        <f t="shared" si="24"/>
        <v>8.6999999999999993</v>
      </c>
      <c r="BH92" s="52">
        <f t="shared" si="25"/>
        <v>2.9000000000000004</v>
      </c>
      <c r="BI92" s="52">
        <f t="shared" si="26"/>
        <v>29</v>
      </c>
    </row>
    <row r="93" spans="1:61" x14ac:dyDescent="0.3">
      <c r="A93" s="39">
        <v>89</v>
      </c>
      <c r="B93" s="44" t="s">
        <v>238</v>
      </c>
      <c r="C93" s="44" t="s">
        <v>163</v>
      </c>
      <c r="D93" s="44" t="s">
        <v>164</v>
      </c>
      <c r="E93" s="44" t="s">
        <v>153</v>
      </c>
      <c r="F93" s="44" t="s">
        <v>358</v>
      </c>
      <c r="G93" s="36" t="s">
        <v>359</v>
      </c>
      <c r="H93" s="36" t="s">
        <v>360</v>
      </c>
      <c r="I93" s="36" t="s">
        <v>351</v>
      </c>
      <c r="J93" s="36" t="s">
        <v>351</v>
      </c>
      <c r="K93" s="33" t="s">
        <v>72</v>
      </c>
      <c r="L93" s="33" t="s">
        <v>73</v>
      </c>
      <c r="M93" s="36" t="s">
        <v>74</v>
      </c>
      <c r="N93" s="36" t="s">
        <v>352</v>
      </c>
      <c r="O93" s="36" t="s">
        <v>76</v>
      </c>
      <c r="P93" s="36" t="s">
        <v>361</v>
      </c>
      <c r="Q93" s="36" t="s">
        <v>78</v>
      </c>
      <c r="R93" s="37">
        <v>4</v>
      </c>
      <c r="S93" s="33" t="s">
        <v>79</v>
      </c>
      <c r="T93" s="39">
        <v>0</v>
      </c>
      <c r="U93" s="39">
        <v>0</v>
      </c>
      <c r="V93" s="40" t="e">
        <f t="shared" si="20"/>
        <v>#DIV/0!</v>
      </c>
      <c r="W93" s="39">
        <v>0</v>
      </c>
      <c r="X93" s="39">
        <v>0</v>
      </c>
      <c r="Y93" s="40" t="e">
        <f t="shared" si="1"/>
        <v>#DIV/0!</v>
      </c>
      <c r="Z93" s="39">
        <v>2</v>
      </c>
      <c r="AA93" s="39"/>
      <c r="AB93" s="40">
        <f t="shared" si="2"/>
        <v>0</v>
      </c>
      <c r="AC93" s="39">
        <v>2</v>
      </c>
      <c r="AD93" s="39"/>
      <c r="AE93" s="40">
        <f t="shared" si="3"/>
        <v>0</v>
      </c>
      <c r="AF93" s="41">
        <f t="shared" si="27"/>
        <v>4</v>
      </c>
      <c r="AG93" s="41">
        <f t="shared" si="21"/>
        <v>0</v>
      </c>
      <c r="AH93" s="42" t="e">
        <f t="shared" si="5"/>
        <v>#DIV/0!</v>
      </c>
      <c r="AI93" s="43">
        <v>46054</v>
      </c>
      <c r="AJ93" s="43">
        <v>46477</v>
      </c>
      <c r="AK93" s="44" t="s">
        <v>80</v>
      </c>
      <c r="AL93" s="44" t="s">
        <v>81</v>
      </c>
      <c r="AM93" s="45" t="s">
        <v>82</v>
      </c>
      <c r="AN93" s="46">
        <v>80000000</v>
      </c>
      <c r="AO93" s="46">
        <v>80000000</v>
      </c>
      <c r="AP93" s="46">
        <v>80000000</v>
      </c>
      <c r="AQ93" s="47">
        <v>0</v>
      </c>
      <c r="AR93" s="44" t="s">
        <v>127</v>
      </c>
      <c r="AS93" s="44" t="s">
        <v>80</v>
      </c>
      <c r="AT93" s="54" t="s">
        <v>354</v>
      </c>
      <c r="AU93" s="49" t="s">
        <v>831</v>
      </c>
      <c r="AV93" s="51" t="s">
        <v>832</v>
      </c>
      <c r="AW93" s="51" t="s">
        <v>842</v>
      </c>
      <c r="AZ93" s="50">
        <f t="shared" si="28"/>
        <v>4</v>
      </c>
      <c r="BA93" s="50">
        <f t="shared" si="29"/>
        <v>0</v>
      </c>
      <c r="BB93" s="117">
        <f t="shared" si="30"/>
        <v>0</v>
      </c>
      <c r="BC93" s="50">
        <f t="shared" si="31"/>
        <v>4</v>
      </c>
      <c r="BD93" s="51"/>
      <c r="BE93" s="52">
        <f t="shared" si="22"/>
        <v>1.2</v>
      </c>
      <c r="BF93" s="52">
        <f t="shared" si="23"/>
        <v>1.2</v>
      </c>
      <c r="BG93" s="52">
        <f t="shared" si="24"/>
        <v>1.2</v>
      </c>
      <c r="BH93" s="52">
        <f t="shared" si="25"/>
        <v>0.4</v>
      </c>
      <c r="BI93" s="52">
        <f t="shared" si="26"/>
        <v>3.9999999999999996</v>
      </c>
    </row>
    <row r="94" spans="1:61" x14ac:dyDescent="0.3">
      <c r="A94" s="39">
        <v>90</v>
      </c>
      <c r="B94" s="44" t="s">
        <v>238</v>
      </c>
      <c r="C94" s="44" t="s">
        <v>64</v>
      </c>
      <c r="D94" s="44" t="s">
        <v>65</v>
      </c>
      <c r="E94" s="44" t="s">
        <v>362</v>
      </c>
      <c r="F94" s="44" t="s">
        <v>363</v>
      </c>
      <c r="G94" s="36" t="s">
        <v>364</v>
      </c>
      <c r="H94" s="36" t="s">
        <v>365</v>
      </c>
      <c r="I94" s="36" t="s">
        <v>366</v>
      </c>
      <c r="J94" s="36" t="s">
        <v>366</v>
      </c>
      <c r="K94" s="33" t="s">
        <v>72</v>
      </c>
      <c r="L94" s="33" t="s">
        <v>73</v>
      </c>
      <c r="M94" s="36" t="s">
        <v>74</v>
      </c>
      <c r="N94" s="36" t="s">
        <v>352</v>
      </c>
      <c r="O94" s="36" t="s">
        <v>76</v>
      </c>
      <c r="P94" s="36" t="s">
        <v>367</v>
      </c>
      <c r="Q94" s="36" t="s">
        <v>78</v>
      </c>
      <c r="R94" s="37">
        <v>2</v>
      </c>
      <c r="S94" s="33" t="s">
        <v>79</v>
      </c>
      <c r="T94" s="39">
        <v>0</v>
      </c>
      <c r="U94" s="39">
        <v>0</v>
      </c>
      <c r="V94" s="40" t="e">
        <f t="shared" si="20"/>
        <v>#DIV/0!</v>
      </c>
      <c r="W94" s="39">
        <v>1</v>
      </c>
      <c r="X94" s="39">
        <v>1</v>
      </c>
      <c r="Y94" s="40">
        <f t="shared" si="1"/>
        <v>100</v>
      </c>
      <c r="Z94" s="39">
        <v>1</v>
      </c>
      <c r="AA94" s="39"/>
      <c r="AB94" s="40">
        <f t="shared" si="2"/>
        <v>0</v>
      </c>
      <c r="AC94" s="39">
        <v>0</v>
      </c>
      <c r="AD94" s="39"/>
      <c r="AE94" s="40" t="e">
        <f t="shared" si="3"/>
        <v>#DIV/0!</v>
      </c>
      <c r="AF94" s="41">
        <f t="shared" si="27"/>
        <v>2</v>
      </c>
      <c r="AG94" s="41">
        <f t="shared" si="21"/>
        <v>1</v>
      </c>
      <c r="AH94" s="42">
        <f t="shared" si="5"/>
        <v>100</v>
      </c>
      <c r="AI94" s="43">
        <v>46113</v>
      </c>
      <c r="AJ94" s="43">
        <v>46477</v>
      </c>
      <c r="AK94" s="44" t="s">
        <v>80</v>
      </c>
      <c r="AL94" s="44" t="s">
        <v>81</v>
      </c>
      <c r="AM94" s="45" t="s">
        <v>82</v>
      </c>
      <c r="AN94" s="46"/>
      <c r="AO94" s="46"/>
      <c r="AP94" s="46"/>
      <c r="AQ94" s="47"/>
      <c r="AR94" s="44"/>
      <c r="AS94" s="44" t="s">
        <v>80</v>
      </c>
      <c r="AT94" s="54" t="s">
        <v>354</v>
      </c>
      <c r="AU94" s="49" t="s">
        <v>831</v>
      </c>
      <c r="AV94" s="51" t="s">
        <v>832</v>
      </c>
      <c r="AW94" s="51" t="s">
        <v>842</v>
      </c>
      <c r="AZ94" s="50">
        <f t="shared" si="28"/>
        <v>2</v>
      </c>
      <c r="BA94" s="50">
        <f t="shared" si="29"/>
        <v>1</v>
      </c>
      <c r="BB94" s="117">
        <f t="shared" si="30"/>
        <v>0.5</v>
      </c>
      <c r="BC94" s="50">
        <f t="shared" si="31"/>
        <v>1</v>
      </c>
      <c r="BD94" s="51"/>
      <c r="BE94" s="52">
        <f t="shared" si="22"/>
        <v>0.3</v>
      </c>
      <c r="BF94" s="52">
        <f t="shared" si="23"/>
        <v>0.3</v>
      </c>
      <c r="BG94" s="52">
        <f t="shared" si="24"/>
        <v>0.3</v>
      </c>
      <c r="BH94" s="52">
        <f t="shared" si="25"/>
        <v>0.1</v>
      </c>
      <c r="BI94" s="52">
        <f t="shared" si="26"/>
        <v>0.99999999999999989</v>
      </c>
    </row>
    <row r="95" spans="1:61" x14ac:dyDescent="0.3">
      <c r="A95" s="39">
        <v>91</v>
      </c>
      <c r="B95" s="44" t="s">
        <v>238</v>
      </c>
      <c r="C95" s="44" t="s">
        <v>64</v>
      </c>
      <c r="D95" s="44" t="s">
        <v>65</v>
      </c>
      <c r="E95" s="44" t="s">
        <v>362</v>
      </c>
      <c r="F95" s="44" t="s">
        <v>363</v>
      </c>
      <c r="G95" s="36" t="s">
        <v>364</v>
      </c>
      <c r="H95" s="36" t="s">
        <v>365</v>
      </c>
      <c r="I95" s="36" t="s">
        <v>355</v>
      </c>
      <c r="J95" s="36" t="s">
        <v>355</v>
      </c>
      <c r="K95" s="33" t="s">
        <v>72</v>
      </c>
      <c r="L95" s="33" t="s">
        <v>73</v>
      </c>
      <c r="M95" s="36" t="s">
        <v>74</v>
      </c>
      <c r="N95" s="36" t="s">
        <v>352</v>
      </c>
      <c r="O95" s="36" t="s">
        <v>76</v>
      </c>
      <c r="P95" s="36" t="s">
        <v>368</v>
      </c>
      <c r="Q95" s="36" t="s">
        <v>78</v>
      </c>
      <c r="R95" s="37">
        <v>1</v>
      </c>
      <c r="S95" s="33" t="s">
        <v>126</v>
      </c>
      <c r="T95" s="58" t="s">
        <v>369</v>
      </c>
      <c r="U95" s="39">
        <v>0</v>
      </c>
      <c r="V95" s="40">
        <f t="shared" si="20"/>
        <v>0</v>
      </c>
      <c r="W95" s="58" t="s">
        <v>369</v>
      </c>
      <c r="X95" s="39">
        <v>1</v>
      </c>
      <c r="Y95" s="40">
        <f t="shared" si="1"/>
        <v>400</v>
      </c>
      <c r="Z95" s="58" t="s">
        <v>369</v>
      </c>
      <c r="AA95" s="39"/>
      <c r="AB95" s="40">
        <f t="shared" si="2"/>
        <v>0</v>
      </c>
      <c r="AC95" s="58" t="s">
        <v>369</v>
      </c>
      <c r="AD95" s="39"/>
      <c r="AE95" s="40">
        <f t="shared" si="3"/>
        <v>0</v>
      </c>
      <c r="AF95" s="41">
        <f t="shared" si="27"/>
        <v>1</v>
      </c>
      <c r="AG95" s="41">
        <f t="shared" si="21"/>
        <v>1</v>
      </c>
      <c r="AH95" s="42">
        <f t="shared" si="5"/>
        <v>200</v>
      </c>
      <c r="AI95" s="43">
        <v>46113</v>
      </c>
      <c r="AJ95" s="43">
        <v>46477</v>
      </c>
      <c r="AK95" s="44" t="s">
        <v>80</v>
      </c>
      <c r="AL95" s="44" t="s">
        <v>81</v>
      </c>
      <c r="AM95" s="45" t="s">
        <v>82</v>
      </c>
      <c r="AN95" s="46">
        <v>60000000</v>
      </c>
      <c r="AO95" s="46">
        <v>60000000</v>
      </c>
      <c r="AP95" s="46">
        <v>60000000</v>
      </c>
      <c r="AQ95" s="47">
        <v>0</v>
      </c>
      <c r="AR95" s="44" t="s">
        <v>83</v>
      </c>
      <c r="AS95" s="44" t="s">
        <v>80</v>
      </c>
      <c r="AT95" s="54" t="s">
        <v>354</v>
      </c>
      <c r="AU95" s="49" t="s">
        <v>831</v>
      </c>
      <c r="AV95" s="51" t="s">
        <v>832</v>
      </c>
      <c r="AW95" s="51" t="s">
        <v>842</v>
      </c>
      <c r="AZ95" s="50">
        <f t="shared" si="28"/>
        <v>1</v>
      </c>
      <c r="BA95" s="50">
        <f t="shared" si="29"/>
        <v>1</v>
      </c>
      <c r="BB95" s="117">
        <f t="shared" si="30"/>
        <v>1</v>
      </c>
      <c r="BC95" s="50">
        <f t="shared" si="31"/>
        <v>0</v>
      </c>
      <c r="BD95" s="51"/>
      <c r="BE95" s="52">
        <f t="shared" si="22"/>
        <v>0</v>
      </c>
      <c r="BF95" s="52">
        <f t="shared" si="23"/>
        <v>0</v>
      </c>
      <c r="BG95" s="52">
        <f t="shared" si="24"/>
        <v>0</v>
      </c>
      <c r="BH95" s="52">
        <f t="shared" si="25"/>
        <v>0</v>
      </c>
      <c r="BI95" s="52">
        <f t="shared" si="26"/>
        <v>0</v>
      </c>
    </row>
    <row r="96" spans="1:61" x14ac:dyDescent="0.3">
      <c r="A96" s="39">
        <v>92</v>
      </c>
      <c r="B96" s="44" t="s">
        <v>238</v>
      </c>
      <c r="C96" s="44" t="s">
        <v>86</v>
      </c>
      <c r="D96" s="44" t="s">
        <v>87</v>
      </c>
      <c r="E96" s="44" t="s">
        <v>123</v>
      </c>
      <c r="F96" s="44" t="s">
        <v>370</v>
      </c>
      <c r="G96" s="36" t="s">
        <v>364</v>
      </c>
      <c r="H96" s="36" t="s">
        <v>365</v>
      </c>
      <c r="I96" s="36" t="s">
        <v>351</v>
      </c>
      <c r="J96" s="36" t="s">
        <v>351</v>
      </c>
      <c r="K96" s="33" t="s">
        <v>72</v>
      </c>
      <c r="L96" s="33" t="s">
        <v>73</v>
      </c>
      <c r="M96" s="36" t="s">
        <v>74</v>
      </c>
      <c r="N96" s="36" t="s">
        <v>352</v>
      </c>
      <c r="O96" s="36" t="s">
        <v>95</v>
      </c>
      <c r="P96" s="36" t="s">
        <v>371</v>
      </c>
      <c r="Q96" s="36" t="s">
        <v>97</v>
      </c>
      <c r="R96" s="37">
        <v>4</v>
      </c>
      <c r="S96" s="33" t="s">
        <v>79</v>
      </c>
      <c r="T96" s="39">
        <v>0</v>
      </c>
      <c r="U96" s="39">
        <v>0</v>
      </c>
      <c r="V96" s="40" t="e">
        <f t="shared" si="20"/>
        <v>#DIV/0!</v>
      </c>
      <c r="W96" s="39">
        <v>0</v>
      </c>
      <c r="X96" s="39">
        <v>0</v>
      </c>
      <c r="Y96" s="40" t="e">
        <f t="shared" si="1"/>
        <v>#DIV/0!</v>
      </c>
      <c r="Z96" s="39">
        <v>4</v>
      </c>
      <c r="AA96" s="39"/>
      <c r="AB96" s="40">
        <f t="shared" si="2"/>
        <v>0</v>
      </c>
      <c r="AC96" s="39">
        <v>4</v>
      </c>
      <c r="AD96" s="39"/>
      <c r="AE96" s="40">
        <f t="shared" si="3"/>
        <v>0</v>
      </c>
      <c r="AF96" s="41">
        <f t="shared" si="27"/>
        <v>4</v>
      </c>
      <c r="AG96" s="41">
        <f t="shared" si="21"/>
        <v>0</v>
      </c>
      <c r="AH96" s="42" t="e">
        <f t="shared" si="5"/>
        <v>#DIV/0!</v>
      </c>
      <c r="AI96" s="43">
        <v>46113</v>
      </c>
      <c r="AJ96" s="43">
        <v>46477</v>
      </c>
      <c r="AK96" s="44" t="s">
        <v>80</v>
      </c>
      <c r="AL96" s="44" t="s">
        <v>81</v>
      </c>
      <c r="AM96" s="45" t="s">
        <v>82</v>
      </c>
      <c r="AN96" s="46">
        <v>100000000</v>
      </c>
      <c r="AO96" s="46">
        <v>100000000</v>
      </c>
      <c r="AP96" s="46">
        <v>100000000</v>
      </c>
      <c r="AQ96" s="47">
        <v>0</v>
      </c>
      <c r="AR96" s="44" t="s">
        <v>83</v>
      </c>
      <c r="AS96" s="44" t="s">
        <v>80</v>
      </c>
      <c r="AT96" s="54" t="s">
        <v>354</v>
      </c>
      <c r="AU96" s="49" t="s">
        <v>831</v>
      </c>
      <c r="AV96" s="51" t="s">
        <v>832</v>
      </c>
      <c r="AW96" s="51" t="s">
        <v>842</v>
      </c>
      <c r="AZ96" s="50">
        <f t="shared" si="28"/>
        <v>4</v>
      </c>
      <c r="BA96" s="50">
        <f t="shared" si="29"/>
        <v>0</v>
      </c>
      <c r="BB96" s="117">
        <f t="shared" si="30"/>
        <v>0</v>
      </c>
      <c r="BC96" s="50">
        <f t="shared" si="31"/>
        <v>4</v>
      </c>
      <c r="BD96" s="51"/>
      <c r="BE96" s="52">
        <f t="shared" si="22"/>
        <v>1.2</v>
      </c>
      <c r="BF96" s="52">
        <f t="shared" si="23"/>
        <v>1.2</v>
      </c>
      <c r="BG96" s="52">
        <f t="shared" si="24"/>
        <v>1.2</v>
      </c>
      <c r="BH96" s="52">
        <f t="shared" si="25"/>
        <v>0.4</v>
      </c>
      <c r="BI96" s="52">
        <f t="shared" si="26"/>
        <v>3.9999999999999996</v>
      </c>
    </row>
    <row r="97" spans="1:61" x14ac:dyDescent="0.3">
      <c r="A97" s="39">
        <v>93</v>
      </c>
      <c r="B97" s="44" t="s">
        <v>238</v>
      </c>
      <c r="C97" s="44" t="s">
        <v>86</v>
      </c>
      <c r="D97" s="44" t="s">
        <v>87</v>
      </c>
      <c r="E97" s="44" t="s">
        <v>123</v>
      </c>
      <c r="F97" s="44" t="s">
        <v>370</v>
      </c>
      <c r="G97" s="36" t="s">
        <v>364</v>
      </c>
      <c r="H97" s="36" t="s">
        <v>365</v>
      </c>
      <c r="I97" s="36" t="s">
        <v>372</v>
      </c>
      <c r="J97" s="36" t="s">
        <v>372</v>
      </c>
      <c r="K97" s="33" t="s">
        <v>72</v>
      </c>
      <c r="L97" s="33" t="s">
        <v>73</v>
      </c>
      <c r="M97" s="36" t="s">
        <v>74</v>
      </c>
      <c r="N97" s="36" t="s">
        <v>352</v>
      </c>
      <c r="O97" s="36" t="s">
        <v>95</v>
      </c>
      <c r="P97" s="36" t="s">
        <v>373</v>
      </c>
      <c r="Q97" s="36" t="s">
        <v>97</v>
      </c>
      <c r="R97" s="37">
        <v>1</v>
      </c>
      <c r="S97" s="33" t="s">
        <v>79</v>
      </c>
      <c r="T97" s="39">
        <v>0</v>
      </c>
      <c r="U97" s="39">
        <v>0</v>
      </c>
      <c r="V97" s="40" t="e">
        <f t="shared" si="20"/>
        <v>#DIV/0!</v>
      </c>
      <c r="W97" s="39">
        <v>0</v>
      </c>
      <c r="X97" s="39">
        <v>0</v>
      </c>
      <c r="Y97" s="40" t="e">
        <f t="shared" si="1"/>
        <v>#DIV/0!</v>
      </c>
      <c r="Z97" s="39">
        <v>1</v>
      </c>
      <c r="AA97" s="39"/>
      <c r="AB97" s="40">
        <f t="shared" si="2"/>
        <v>0</v>
      </c>
      <c r="AC97" s="39">
        <v>1</v>
      </c>
      <c r="AD97" s="39"/>
      <c r="AE97" s="40">
        <f t="shared" si="3"/>
        <v>0</v>
      </c>
      <c r="AF97" s="41">
        <f t="shared" si="27"/>
        <v>1</v>
      </c>
      <c r="AG97" s="41">
        <f t="shared" si="21"/>
        <v>0</v>
      </c>
      <c r="AH97" s="42" t="e">
        <f t="shared" si="5"/>
        <v>#DIV/0!</v>
      </c>
      <c r="AI97" s="43">
        <v>46113</v>
      </c>
      <c r="AJ97" s="43">
        <v>46477</v>
      </c>
      <c r="AK97" s="44" t="s">
        <v>80</v>
      </c>
      <c r="AL97" s="44" t="s">
        <v>81</v>
      </c>
      <c r="AM97" s="45" t="s">
        <v>82</v>
      </c>
      <c r="AN97" s="46">
        <v>50000000</v>
      </c>
      <c r="AO97" s="46">
        <v>50000000</v>
      </c>
      <c r="AP97" s="46">
        <v>50000000</v>
      </c>
      <c r="AQ97" s="47">
        <v>0</v>
      </c>
      <c r="AR97" s="44" t="s">
        <v>175</v>
      </c>
      <c r="AS97" s="44" t="s">
        <v>80</v>
      </c>
      <c r="AT97" s="54" t="s">
        <v>354</v>
      </c>
      <c r="AU97" s="49" t="s">
        <v>831</v>
      </c>
      <c r="AV97" s="51" t="s">
        <v>832</v>
      </c>
      <c r="AW97" s="51" t="s">
        <v>842</v>
      </c>
      <c r="AZ97" s="50">
        <f t="shared" si="28"/>
        <v>1</v>
      </c>
      <c r="BA97" s="50">
        <f t="shared" si="29"/>
        <v>0</v>
      </c>
      <c r="BB97" s="117">
        <f t="shared" si="30"/>
        <v>0</v>
      </c>
      <c r="BC97" s="50">
        <f t="shared" si="31"/>
        <v>1</v>
      </c>
      <c r="BD97" s="51"/>
      <c r="BE97" s="52">
        <f t="shared" si="22"/>
        <v>0.3</v>
      </c>
      <c r="BF97" s="52">
        <f t="shared" si="23"/>
        <v>0.3</v>
      </c>
      <c r="BG97" s="52">
        <f t="shared" si="24"/>
        <v>0.3</v>
      </c>
      <c r="BH97" s="52">
        <f t="shared" si="25"/>
        <v>0.1</v>
      </c>
      <c r="BI97" s="52">
        <f t="shared" si="26"/>
        <v>0.99999999999999989</v>
      </c>
    </row>
    <row r="98" spans="1:61" x14ac:dyDescent="0.3">
      <c r="A98" s="39">
        <v>94</v>
      </c>
      <c r="B98" s="44" t="s">
        <v>238</v>
      </c>
      <c r="C98" s="44" t="s">
        <v>86</v>
      </c>
      <c r="D98" s="44" t="s">
        <v>87</v>
      </c>
      <c r="E98" s="44" t="s">
        <v>123</v>
      </c>
      <c r="F98" s="44" t="s">
        <v>374</v>
      </c>
      <c r="G98" s="36" t="s">
        <v>364</v>
      </c>
      <c r="H98" s="36" t="s">
        <v>365</v>
      </c>
      <c r="I98" s="36" t="s">
        <v>372</v>
      </c>
      <c r="J98" s="36" t="s">
        <v>372</v>
      </c>
      <c r="K98" s="33" t="s">
        <v>72</v>
      </c>
      <c r="L98" s="33" t="s">
        <v>73</v>
      </c>
      <c r="M98" s="36" t="s">
        <v>74</v>
      </c>
      <c r="N98" s="36" t="s">
        <v>352</v>
      </c>
      <c r="O98" s="36" t="s">
        <v>95</v>
      </c>
      <c r="P98" s="36" t="s">
        <v>375</v>
      </c>
      <c r="Q98" s="36" t="s">
        <v>97</v>
      </c>
      <c r="R98" s="37">
        <v>29</v>
      </c>
      <c r="S98" s="33" t="s">
        <v>79</v>
      </c>
      <c r="T98" s="39">
        <v>5</v>
      </c>
      <c r="U98" s="39">
        <v>0</v>
      </c>
      <c r="V98" s="40">
        <f t="shared" si="20"/>
        <v>0</v>
      </c>
      <c r="W98" s="39">
        <v>5</v>
      </c>
      <c r="X98" s="39">
        <v>2</v>
      </c>
      <c r="Y98" s="40">
        <f t="shared" si="1"/>
        <v>40</v>
      </c>
      <c r="Z98" s="39">
        <v>9</v>
      </c>
      <c r="AA98" s="39"/>
      <c r="AB98" s="40">
        <f t="shared" si="2"/>
        <v>0</v>
      </c>
      <c r="AC98" s="39">
        <v>10</v>
      </c>
      <c r="AD98" s="39"/>
      <c r="AE98" s="40">
        <f t="shared" si="3"/>
        <v>0</v>
      </c>
      <c r="AF98" s="41">
        <f t="shared" si="27"/>
        <v>29</v>
      </c>
      <c r="AG98" s="41">
        <f t="shared" si="21"/>
        <v>2</v>
      </c>
      <c r="AH98" s="42">
        <f t="shared" si="5"/>
        <v>20</v>
      </c>
      <c r="AI98" s="43">
        <v>46113</v>
      </c>
      <c r="AJ98" s="43">
        <v>46477</v>
      </c>
      <c r="AK98" s="44" t="s">
        <v>80</v>
      </c>
      <c r="AL98" s="44" t="s">
        <v>81</v>
      </c>
      <c r="AM98" s="45" t="s">
        <v>82</v>
      </c>
      <c r="AN98" s="46"/>
      <c r="AO98" s="46"/>
      <c r="AP98" s="46"/>
      <c r="AQ98" s="47"/>
      <c r="AR98" s="44" t="s">
        <v>83</v>
      </c>
      <c r="AS98" s="44" t="s">
        <v>80</v>
      </c>
      <c r="AT98" s="54" t="s">
        <v>354</v>
      </c>
      <c r="AU98" s="49" t="s">
        <v>831</v>
      </c>
      <c r="AV98" s="51" t="s">
        <v>832</v>
      </c>
      <c r="AW98" s="51" t="s">
        <v>842</v>
      </c>
      <c r="AZ98" s="50">
        <f t="shared" si="28"/>
        <v>29</v>
      </c>
      <c r="BA98" s="50">
        <f t="shared" si="29"/>
        <v>2</v>
      </c>
      <c r="BB98" s="117">
        <f t="shared" si="30"/>
        <v>6.8965517241379309E-2</v>
      </c>
      <c r="BC98" s="50">
        <f t="shared" si="31"/>
        <v>27</v>
      </c>
      <c r="BD98" s="51"/>
      <c r="BE98" s="52">
        <f t="shared" si="22"/>
        <v>8.1</v>
      </c>
      <c r="BF98" s="52">
        <f t="shared" si="23"/>
        <v>8.1</v>
      </c>
      <c r="BG98" s="52">
        <f t="shared" si="24"/>
        <v>8.1</v>
      </c>
      <c r="BH98" s="52">
        <f t="shared" si="25"/>
        <v>2.7</v>
      </c>
      <c r="BI98" s="52">
        <f t="shared" si="26"/>
        <v>26.999999999999996</v>
      </c>
    </row>
    <row r="99" spans="1:61" x14ac:dyDescent="0.3">
      <c r="A99" s="39">
        <v>95</v>
      </c>
      <c r="B99" s="44" t="s">
        <v>238</v>
      </c>
      <c r="C99" s="44" t="s">
        <v>86</v>
      </c>
      <c r="D99" s="44" t="s">
        <v>87</v>
      </c>
      <c r="E99" s="44" t="s">
        <v>123</v>
      </c>
      <c r="F99" s="44" t="s">
        <v>376</v>
      </c>
      <c r="G99" s="36" t="s">
        <v>377</v>
      </c>
      <c r="H99" s="36" t="s">
        <v>378</v>
      </c>
      <c r="I99" s="36" t="s">
        <v>70</v>
      </c>
      <c r="J99" s="36" t="s">
        <v>70</v>
      </c>
      <c r="K99" s="33" t="s">
        <v>72</v>
      </c>
      <c r="L99" s="33" t="s">
        <v>73</v>
      </c>
      <c r="M99" s="36" t="s">
        <v>74</v>
      </c>
      <c r="N99" s="36" t="s">
        <v>352</v>
      </c>
      <c r="O99" s="36" t="s">
        <v>95</v>
      </c>
      <c r="P99" s="36" t="s">
        <v>379</v>
      </c>
      <c r="Q99" s="36" t="s">
        <v>97</v>
      </c>
      <c r="R99" s="37">
        <v>12</v>
      </c>
      <c r="S99" s="33" t="s">
        <v>126</v>
      </c>
      <c r="T99" s="39">
        <v>3</v>
      </c>
      <c r="U99" s="39">
        <v>3</v>
      </c>
      <c r="V99" s="40">
        <f t="shared" si="20"/>
        <v>100</v>
      </c>
      <c r="W99" s="39">
        <v>3</v>
      </c>
      <c r="X99" s="39">
        <v>3</v>
      </c>
      <c r="Y99" s="40">
        <f t="shared" si="1"/>
        <v>100</v>
      </c>
      <c r="Z99" s="39"/>
      <c r="AA99" s="39"/>
      <c r="AB99" s="40" t="e">
        <f t="shared" si="2"/>
        <v>#DIV/0!</v>
      </c>
      <c r="AC99" s="39"/>
      <c r="AD99" s="39"/>
      <c r="AE99" s="40" t="e">
        <f t="shared" si="3"/>
        <v>#DIV/0!</v>
      </c>
      <c r="AF99" s="41">
        <f t="shared" si="27"/>
        <v>12</v>
      </c>
      <c r="AG99" s="41">
        <f t="shared" si="21"/>
        <v>6</v>
      </c>
      <c r="AH99" s="42">
        <f t="shared" si="5"/>
        <v>100</v>
      </c>
      <c r="AI99" s="43">
        <v>46113</v>
      </c>
      <c r="AJ99" s="43">
        <v>46477</v>
      </c>
      <c r="AK99" s="44" t="s">
        <v>80</v>
      </c>
      <c r="AL99" s="44" t="s">
        <v>81</v>
      </c>
      <c r="AM99" s="45" t="s">
        <v>82</v>
      </c>
      <c r="AN99" s="46">
        <v>75000000</v>
      </c>
      <c r="AO99" s="46">
        <v>75000000</v>
      </c>
      <c r="AP99" s="46">
        <v>75000000</v>
      </c>
      <c r="AQ99" s="47">
        <f>AO99</f>
        <v>75000000</v>
      </c>
      <c r="AR99" s="44" t="s">
        <v>83</v>
      </c>
      <c r="AS99" s="44" t="s">
        <v>80</v>
      </c>
      <c r="AT99" s="54" t="s">
        <v>354</v>
      </c>
      <c r="AU99" s="49" t="s">
        <v>831</v>
      </c>
      <c r="AV99" s="51" t="s">
        <v>832</v>
      </c>
      <c r="AW99" s="51" t="s">
        <v>842</v>
      </c>
      <c r="AZ99" s="50">
        <f t="shared" si="28"/>
        <v>12</v>
      </c>
      <c r="BA99" s="50">
        <f t="shared" si="29"/>
        <v>6</v>
      </c>
      <c r="BB99" s="117">
        <f t="shared" si="30"/>
        <v>0.5</v>
      </c>
      <c r="BC99" s="50">
        <f t="shared" si="31"/>
        <v>6</v>
      </c>
      <c r="BD99" s="51"/>
      <c r="BE99" s="52">
        <f t="shared" si="22"/>
        <v>1.7999999999999998</v>
      </c>
      <c r="BF99" s="52">
        <f t="shared" si="23"/>
        <v>1.7999999999999998</v>
      </c>
      <c r="BG99" s="52">
        <f t="shared" si="24"/>
        <v>1.7999999999999998</v>
      </c>
      <c r="BH99" s="52">
        <f t="shared" si="25"/>
        <v>0.60000000000000009</v>
      </c>
      <c r="BI99" s="52">
        <f t="shared" si="26"/>
        <v>6</v>
      </c>
    </row>
    <row r="100" spans="1:61" x14ac:dyDescent="0.3">
      <c r="A100" s="39">
        <v>96</v>
      </c>
      <c r="B100" s="44" t="s">
        <v>238</v>
      </c>
      <c r="C100" s="44" t="s">
        <v>86</v>
      </c>
      <c r="D100" s="44" t="s">
        <v>87</v>
      </c>
      <c r="E100" s="44" t="s">
        <v>123</v>
      </c>
      <c r="F100" s="44" t="s">
        <v>374</v>
      </c>
      <c r="G100" s="36" t="s">
        <v>377</v>
      </c>
      <c r="H100" s="36" t="s">
        <v>378</v>
      </c>
      <c r="I100" s="36" t="s">
        <v>70</v>
      </c>
      <c r="J100" s="36" t="s">
        <v>70</v>
      </c>
      <c r="K100" s="33" t="s">
        <v>72</v>
      </c>
      <c r="L100" s="33" t="s">
        <v>73</v>
      </c>
      <c r="M100" s="36" t="s">
        <v>74</v>
      </c>
      <c r="N100" s="36" t="s">
        <v>380</v>
      </c>
      <c r="O100" s="36" t="s">
        <v>95</v>
      </c>
      <c r="P100" s="36" t="s">
        <v>381</v>
      </c>
      <c r="Q100" s="36" t="s">
        <v>97</v>
      </c>
      <c r="R100" s="37">
        <v>1</v>
      </c>
      <c r="S100" s="33" t="s">
        <v>126</v>
      </c>
      <c r="T100" s="39">
        <v>0.25</v>
      </c>
      <c r="U100" s="39">
        <v>0</v>
      </c>
      <c r="V100" s="40">
        <f t="shared" si="20"/>
        <v>0</v>
      </c>
      <c r="W100" s="39">
        <v>0.25</v>
      </c>
      <c r="X100" s="39">
        <v>1</v>
      </c>
      <c r="Y100" s="40">
        <f t="shared" si="1"/>
        <v>400</v>
      </c>
      <c r="Z100" s="39">
        <v>0.25</v>
      </c>
      <c r="AA100" s="39"/>
      <c r="AB100" s="40">
        <f t="shared" si="2"/>
        <v>0</v>
      </c>
      <c r="AC100" s="39">
        <v>0.25</v>
      </c>
      <c r="AD100" s="39"/>
      <c r="AE100" s="40">
        <f t="shared" si="3"/>
        <v>0</v>
      </c>
      <c r="AF100" s="41">
        <f t="shared" si="27"/>
        <v>1</v>
      </c>
      <c r="AG100" s="41">
        <f t="shared" si="21"/>
        <v>1</v>
      </c>
      <c r="AH100" s="42">
        <f t="shared" si="5"/>
        <v>200</v>
      </c>
      <c r="AI100" s="43">
        <v>46113</v>
      </c>
      <c r="AJ100" s="43">
        <v>46477</v>
      </c>
      <c r="AK100" s="44" t="s">
        <v>80</v>
      </c>
      <c r="AL100" s="44" t="s">
        <v>81</v>
      </c>
      <c r="AM100" s="45" t="s">
        <v>82</v>
      </c>
      <c r="AN100" s="46">
        <v>67000000</v>
      </c>
      <c r="AO100" s="46">
        <v>67000000</v>
      </c>
      <c r="AP100" s="46">
        <v>67000000</v>
      </c>
      <c r="AQ100" s="47">
        <v>0</v>
      </c>
      <c r="AR100" s="44" t="s">
        <v>127</v>
      </c>
      <c r="AS100" s="44" t="s">
        <v>80</v>
      </c>
      <c r="AT100" s="54" t="s">
        <v>354</v>
      </c>
      <c r="AU100" s="49" t="s">
        <v>831</v>
      </c>
      <c r="AV100" s="51" t="s">
        <v>832</v>
      </c>
      <c r="AW100" s="51" t="s">
        <v>842</v>
      </c>
      <c r="AZ100" s="50">
        <f t="shared" si="28"/>
        <v>1</v>
      </c>
      <c r="BA100" s="50">
        <f t="shared" si="29"/>
        <v>1</v>
      </c>
      <c r="BB100" s="117">
        <f t="shared" si="30"/>
        <v>1</v>
      </c>
      <c r="BC100" s="50">
        <f t="shared" si="31"/>
        <v>0</v>
      </c>
      <c r="BD100" s="51"/>
      <c r="BE100" s="52">
        <f t="shared" si="22"/>
        <v>0</v>
      </c>
      <c r="BF100" s="52">
        <f t="shared" si="23"/>
        <v>0</v>
      </c>
      <c r="BG100" s="52">
        <f t="shared" si="24"/>
        <v>0</v>
      </c>
      <c r="BH100" s="52">
        <f t="shared" si="25"/>
        <v>0</v>
      </c>
      <c r="BI100" s="52">
        <f t="shared" si="26"/>
        <v>0</v>
      </c>
    </row>
    <row r="101" spans="1:61" x14ac:dyDescent="0.3">
      <c r="A101" s="39">
        <v>97</v>
      </c>
      <c r="B101" s="44" t="s">
        <v>238</v>
      </c>
      <c r="C101" s="44" t="s">
        <v>86</v>
      </c>
      <c r="D101" s="44" t="s">
        <v>87</v>
      </c>
      <c r="E101" s="44" t="s">
        <v>123</v>
      </c>
      <c r="F101" s="44" t="s">
        <v>374</v>
      </c>
      <c r="G101" s="36" t="s">
        <v>377</v>
      </c>
      <c r="H101" s="36" t="s">
        <v>378</v>
      </c>
      <c r="I101" s="36" t="s">
        <v>70</v>
      </c>
      <c r="J101" s="36" t="s">
        <v>70</v>
      </c>
      <c r="K101" s="33" t="s">
        <v>72</v>
      </c>
      <c r="L101" s="33" t="s">
        <v>73</v>
      </c>
      <c r="M101" s="36" t="s">
        <v>74</v>
      </c>
      <c r="N101" s="36" t="s">
        <v>352</v>
      </c>
      <c r="O101" s="36" t="s">
        <v>95</v>
      </c>
      <c r="P101" s="36" t="s">
        <v>382</v>
      </c>
      <c r="Q101" s="36" t="s">
        <v>97</v>
      </c>
      <c r="R101" s="37">
        <v>1</v>
      </c>
      <c r="S101" s="33" t="s">
        <v>126</v>
      </c>
      <c r="T101" s="39">
        <v>0.25</v>
      </c>
      <c r="U101" s="39">
        <v>3</v>
      </c>
      <c r="V101" s="40">
        <f t="shared" si="20"/>
        <v>1200</v>
      </c>
      <c r="W101" s="39">
        <v>0.25</v>
      </c>
      <c r="X101" s="39">
        <v>3</v>
      </c>
      <c r="Y101" s="40">
        <f t="shared" si="1"/>
        <v>1200</v>
      </c>
      <c r="Z101" s="39">
        <v>1</v>
      </c>
      <c r="AA101" s="39"/>
      <c r="AB101" s="40">
        <f t="shared" si="2"/>
        <v>0</v>
      </c>
      <c r="AC101" s="39"/>
      <c r="AD101" s="39"/>
      <c r="AE101" s="40" t="e">
        <f t="shared" si="3"/>
        <v>#DIV/0!</v>
      </c>
      <c r="AF101" s="41">
        <f t="shared" si="27"/>
        <v>1</v>
      </c>
      <c r="AG101" s="41">
        <f t="shared" si="21"/>
        <v>6</v>
      </c>
      <c r="AH101" s="42">
        <f t="shared" si="5"/>
        <v>1200</v>
      </c>
      <c r="AI101" s="43">
        <v>46113</v>
      </c>
      <c r="AJ101" s="43">
        <v>46477</v>
      </c>
      <c r="AK101" s="44" t="s">
        <v>80</v>
      </c>
      <c r="AL101" s="44" t="s">
        <v>81</v>
      </c>
      <c r="AM101" s="45" t="s">
        <v>82</v>
      </c>
      <c r="AN101" s="46"/>
      <c r="AO101" s="46"/>
      <c r="AP101" s="46"/>
      <c r="AQ101" s="47"/>
      <c r="AR101" s="44" t="s">
        <v>127</v>
      </c>
      <c r="AS101" s="44" t="s">
        <v>80</v>
      </c>
      <c r="AT101" s="54" t="s">
        <v>354</v>
      </c>
      <c r="AU101" s="49" t="s">
        <v>831</v>
      </c>
      <c r="AV101" s="51" t="s">
        <v>832</v>
      </c>
      <c r="AW101" s="51" t="s">
        <v>842</v>
      </c>
      <c r="AZ101" s="50">
        <f t="shared" si="28"/>
        <v>1</v>
      </c>
      <c r="BA101" s="50">
        <f t="shared" si="29"/>
        <v>6</v>
      </c>
      <c r="BB101" s="117">
        <f t="shared" si="30"/>
        <v>6</v>
      </c>
      <c r="BC101" s="50">
        <f t="shared" si="31"/>
        <v>-5</v>
      </c>
      <c r="BD101" s="51"/>
      <c r="BE101" s="52">
        <f t="shared" si="22"/>
        <v>-1.5</v>
      </c>
      <c r="BF101" s="52">
        <f t="shared" si="23"/>
        <v>-1.5</v>
      </c>
      <c r="BG101" s="52">
        <f t="shared" si="24"/>
        <v>-1.5</v>
      </c>
      <c r="BH101" s="52">
        <f t="shared" si="25"/>
        <v>-0.5</v>
      </c>
      <c r="BI101" s="52">
        <f t="shared" si="26"/>
        <v>-5</v>
      </c>
    </row>
    <row r="102" spans="1:61" x14ac:dyDescent="0.3">
      <c r="A102" s="39">
        <v>98</v>
      </c>
      <c r="B102" s="44" t="s">
        <v>238</v>
      </c>
      <c r="C102" s="44" t="s">
        <v>86</v>
      </c>
      <c r="D102" s="44" t="s">
        <v>87</v>
      </c>
      <c r="E102" s="44" t="s">
        <v>123</v>
      </c>
      <c r="F102" s="44" t="s">
        <v>374</v>
      </c>
      <c r="G102" s="36" t="s">
        <v>377</v>
      </c>
      <c r="H102" s="36" t="s">
        <v>378</v>
      </c>
      <c r="I102" s="36" t="s">
        <v>70</v>
      </c>
      <c r="J102" s="36" t="s">
        <v>70</v>
      </c>
      <c r="K102" s="33" t="s">
        <v>72</v>
      </c>
      <c r="L102" s="33" t="s">
        <v>73</v>
      </c>
      <c r="M102" s="36" t="s">
        <v>74</v>
      </c>
      <c r="N102" s="36" t="s">
        <v>352</v>
      </c>
      <c r="O102" s="36" t="s">
        <v>95</v>
      </c>
      <c r="P102" s="36" t="s">
        <v>383</v>
      </c>
      <c r="Q102" s="36" t="s">
        <v>97</v>
      </c>
      <c r="R102" s="37">
        <v>1</v>
      </c>
      <c r="S102" s="33" t="s">
        <v>126</v>
      </c>
      <c r="T102" s="39">
        <v>1</v>
      </c>
      <c r="U102" s="39">
        <v>0</v>
      </c>
      <c r="V102" s="40">
        <f t="shared" si="20"/>
        <v>0</v>
      </c>
      <c r="W102" s="39">
        <v>1</v>
      </c>
      <c r="X102" s="39">
        <v>1</v>
      </c>
      <c r="Y102" s="40">
        <f t="shared" si="1"/>
        <v>100</v>
      </c>
      <c r="Z102" s="39"/>
      <c r="AA102" s="39"/>
      <c r="AB102" s="40" t="e">
        <f t="shared" si="2"/>
        <v>#DIV/0!</v>
      </c>
      <c r="AC102" s="39"/>
      <c r="AD102" s="39"/>
      <c r="AE102" s="40" t="e">
        <f t="shared" si="3"/>
        <v>#DIV/0!</v>
      </c>
      <c r="AF102" s="41">
        <f t="shared" si="27"/>
        <v>1</v>
      </c>
      <c r="AG102" s="41">
        <f t="shared" si="21"/>
        <v>1</v>
      </c>
      <c r="AH102" s="42">
        <f t="shared" si="5"/>
        <v>50</v>
      </c>
      <c r="AI102" s="43">
        <v>46054</v>
      </c>
      <c r="AJ102" s="43">
        <v>46477</v>
      </c>
      <c r="AK102" s="44" t="s">
        <v>80</v>
      </c>
      <c r="AL102" s="44" t="s">
        <v>81</v>
      </c>
      <c r="AM102" s="45" t="s">
        <v>82</v>
      </c>
      <c r="AN102" s="46">
        <v>100000000</v>
      </c>
      <c r="AO102" s="46">
        <v>100000000</v>
      </c>
      <c r="AP102" s="46">
        <v>100000000</v>
      </c>
      <c r="AQ102" s="47">
        <f>AO102</f>
        <v>100000000</v>
      </c>
      <c r="AR102" s="44" t="s">
        <v>127</v>
      </c>
      <c r="AS102" s="44" t="s">
        <v>80</v>
      </c>
      <c r="AT102" s="54" t="s">
        <v>354</v>
      </c>
      <c r="AU102" s="49" t="s">
        <v>831</v>
      </c>
      <c r="AV102" s="51" t="s">
        <v>832</v>
      </c>
      <c r="AW102" s="51" t="s">
        <v>842</v>
      </c>
      <c r="AZ102" s="50">
        <f t="shared" si="28"/>
        <v>1</v>
      </c>
      <c r="BA102" s="50">
        <f t="shared" si="29"/>
        <v>1</v>
      </c>
      <c r="BB102" s="117">
        <f t="shared" si="30"/>
        <v>1</v>
      </c>
      <c r="BC102" s="50">
        <f t="shared" si="31"/>
        <v>0</v>
      </c>
      <c r="BD102" s="51"/>
      <c r="BE102" s="52">
        <f t="shared" si="22"/>
        <v>0</v>
      </c>
      <c r="BF102" s="52">
        <f t="shared" si="23"/>
        <v>0</v>
      </c>
      <c r="BG102" s="52">
        <f t="shared" si="24"/>
        <v>0</v>
      </c>
      <c r="BH102" s="52">
        <f t="shared" si="25"/>
        <v>0</v>
      </c>
      <c r="BI102" s="52">
        <f t="shared" si="26"/>
        <v>0</v>
      </c>
    </row>
    <row r="103" spans="1:61" x14ac:dyDescent="0.3">
      <c r="A103" s="39">
        <v>99</v>
      </c>
      <c r="B103" s="44" t="s">
        <v>238</v>
      </c>
      <c r="C103" s="44" t="s">
        <v>86</v>
      </c>
      <c r="D103" s="44" t="s">
        <v>87</v>
      </c>
      <c r="E103" s="44" t="s">
        <v>123</v>
      </c>
      <c r="F103" s="44" t="s">
        <v>384</v>
      </c>
      <c r="G103" s="36" t="s">
        <v>377</v>
      </c>
      <c r="H103" s="36" t="s">
        <v>378</v>
      </c>
      <c r="I103" s="36" t="s">
        <v>385</v>
      </c>
      <c r="J103" s="36" t="s">
        <v>385</v>
      </c>
      <c r="K103" s="33" t="s">
        <v>72</v>
      </c>
      <c r="L103" s="33" t="s">
        <v>73</v>
      </c>
      <c r="M103" s="36" t="s">
        <v>74</v>
      </c>
      <c r="N103" s="36" t="s">
        <v>352</v>
      </c>
      <c r="O103" s="36" t="s">
        <v>95</v>
      </c>
      <c r="P103" s="36" t="s">
        <v>386</v>
      </c>
      <c r="Q103" s="36" t="s">
        <v>97</v>
      </c>
      <c r="R103" s="37">
        <v>4</v>
      </c>
      <c r="S103" s="33" t="s">
        <v>79</v>
      </c>
      <c r="T103" s="39">
        <v>0.25</v>
      </c>
      <c r="U103" s="39">
        <v>0</v>
      </c>
      <c r="V103" s="40">
        <f t="shared" si="20"/>
        <v>0</v>
      </c>
      <c r="W103" s="39">
        <v>0.25</v>
      </c>
      <c r="X103" s="39">
        <v>1</v>
      </c>
      <c r="Y103" s="40">
        <f t="shared" si="1"/>
        <v>400</v>
      </c>
      <c r="Z103" s="39">
        <v>0.25</v>
      </c>
      <c r="AA103" s="39"/>
      <c r="AB103" s="40">
        <f t="shared" si="2"/>
        <v>0</v>
      </c>
      <c r="AC103" s="39">
        <v>0.25</v>
      </c>
      <c r="AD103" s="39"/>
      <c r="AE103" s="40">
        <f t="shared" si="3"/>
        <v>0</v>
      </c>
      <c r="AF103" s="41">
        <f t="shared" si="27"/>
        <v>4</v>
      </c>
      <c r="AG103" s="41">
        <f t="shared" si="21"/>
        <v>1</v>
      </c>
      <c r="AH103" s="42">
        <f t="shared" si="5"/>
        <v>200</v>
      </c>
      <c r="AI103" s="43">
        <v>46113</v>
      </c>
      <c r="AJ103" s="43">
        <v>46477</v>
      </c>
      <c r="AK103" s="44" t="s">
        <v>80</v>
      </c>
      <c r="AL103" s="44" t="s">
        <v>81</v>
      </c>
      <c r="AM103" s="45" t="s">
        <v>82</v>
      </c>
      <c r="AN103" s="46">
        <v>32000000</v>
      </c>
      <c r="AO103" s="46">
        <v>32000000</v>
      </c>
      <c r="AP103" s="46">
        <v>32000000</v>
      </c>
      <c r="AQ103" s="47">
        <v>0</v>
      </c>
      <c r="AR103" s="44"/>
      <c r="AS103" s="44" t="s">
        <v>80</v>
      </c>
      <c r="AT103" s="54" t="s">
        <v>354</v>
      </c>
      <c r="AU103" s="49" t="s">
        <v>831</v>
      </c>
      <c r="AV103" s="51" t="s">
        <v>832</v>
      </c>
      <c r="AW103" s="51" t="s">
        <v>842</v>
      </c>
      <c r="AZ103" s="50">
        <f t="shared" si="28"/>
        <v>4</v>
      </c>
      <c r="BA103" s="50">
        <f t="shared" si="29"/>
        <v>1</v>
      </c>
      <c r="BB103" s="117">
        <f t="shared" si="30"/>
        <v>0.25</v>
      </c>
      <c r="BC103" s="50">
        <f t="shared" si="31"/>
        <v>3</v>
      </c>
      <c r="BD103" s="51"/>
      <c r="BE103" s="52">
        <f t="shared" si="22"/>
        <v>0.89999999999999991</v>
      </c>
      <c r="BF103" s="52">
        <f t="shared" si="23"/>
        <v>0.89999999999999991</v>
      </c>
      <c r="BG103" s="52">
        <f t="shared" si="24"/>
        <v>0.89999999999999991</v>
      </c>
      <c r="BH103" s="52">
        <f t="shared" si="25"/>
        <v>0.30000000000000004</v>
      </c>
      <c r="BI103" s="52">
        <f t="shared" si="26"/>
        <v>3</v>
      </c>
    </row>
    <row r="104" spans="1:61" x14ac:dyDescent="0.3">
      <c r="A104" s="39">
        <v>100</v>
      </c>
      <c r="B104" s="44" t="s">
        <v>238</v>
      </c>
      <c r="C104" s="44" t="s">
        <v>86</v>
      </c>
      <c r="D104" s="44" t="s">
        <v>87</v>
      </c>
      <c r="E104" s="44" t="s">
        <v>123</v>
      </c>
      <c r="F104" s="44" t="s">
        <v>387</v>
      </c>
      <c r="G104" s="36" t="s">
        <v>377</v>
      </c>
      <c r="H104" s="36" t="s">
        <v>378</v>
      </c>
      <c r="I104" s="36" t="s">
        <v>70</v>
      </c>
      <c r="J104" s="36" t="s">
        <v>70</v>
      </c>
      <c r="K104" s="33" t="s">
        <v>72</v>
      </c>
      <c r="L104" s="33" t="s">
        <v>73</v>
      </c>
      <c r="M104" s="36" t="s">
        <v>74</v>
      </c>
      <c r="N104" s="36" t="s">
        <v>352</v>
      </c>
      <c r="O104" s="36" t="s">
        <v>95</v>
      </c>
      <c r="P104" s="36" t="s">
        <v>388</v>
      </c>
      <c r="Q104" s="36" t="s">
        <v>97</v>
      </c>
      <c r="R104" s="37">
        <v>1</v>
      </c>
      <c r="S104" s="33" t="s">
        <v>126</v>
      </c>
      <c r="T104" s="39">
        <v>0</v>
      </c>
      <c r="U104" s="39">
        <v>0</v>
      </c>
      <c r="V104" s="40" t="e">
        <f t="shared" si="20"/>
        <v>#DIV/0!</v>
      </c>
      <c r="W104" s="39">
        <v>0.25</v>
      </c>
      <c r="X104" s="39">
        <v>1</v>
      </c>
      <c r="Y104" s="40">
        <f t="shared" si="1"/>
        <v>400</v>
      </c>
      <c r="Z104" s="39">
        <v>0.25</v>
      </c>
      <c r="AA104" s="39"/>
      <c r="AB104" s="40">
        <f t="shared" si="2"/>
        <v>0</v>
      </c>
      <c r="AC104" s="39">
        <v>0.25</v>
      </c>
      <c r="AD104" s="39"/>
      <c r="AE104" s="40">
        <f t="shared" si="3"/>
        <v>0</v>
      </c>
      <c r="AF104" s="41">
        <f t="shared" si="27"/>
        <v>1</v>
      </c>
      <c r="AG104" s="41">
        <f t="shared" si="21"/>
        <v>1</v>
      </c>
      <c r="AH104" s="42">
        <f t="shared" si="5"/>
        <v>400</v>
      </c>
      <c r="AI104" s="43">
        <v>46113</v>
      </c>
      <c r="AJ104" s="43">
        <v>46477</v>
      </c>
      <c r="AK104" s="44" t="s">
        <v>80</v>
      </c>
      <c r="AL104" s="44" t="s">
        <v>81</v>
      </c>
      <c r="AM104" s="45" t="s">
        <v>82</v>
      </c>
      <c r="AN104" s="46"/>
      <c r="AO104" s="46"/>
      <c r="AP104" s="46"/>
      <c r="AQ104" s="47"/>
      <c r="AR104" s="44"/>
      <c r="AS104" s="44" t="s">
        <v>80</v>
      </c>
      <c r="AT104" s="54" t="s">
        <v>354</v>
      </c>
      <c r="AU104" s="49" t="s">
        <v>831</v>
      </c>
      <c r="AV104" s="51" t="s">
        <v>832</v>
      </c>
      <c r="AW104" s="51" t="s">
        <v>842</v>
      </c>
      <c r="AZ104" s="50">
        <f t="shared" si="28"/>
        <v>1</v>
      </c>
      <c r="BA104" s="50">
        <f t="shared" si="29"/>
        <v>1</v>
      </c>
      <c r="BB104" s="117">
        <f t="shared" si="30"/>
        <v>1</v>
      </c>
      <c r="BC104" s="50">
        <f t="shared" si="31"/>
        <v>0</v>
      </c>
      <c r="BD104" s="51"/>
      <c r="BE104" s="52">
        <f t="shared" si="22"/>
        <v>0</v>
      </c>
      <c r="BF104" s="52">
        <f t="shared" si="23"/>
        <v>0</v>
      </c>
      <c r="BG104" s="52">
        <f t="shared" si="24"/>
        <v>0</v>
      </c>
      <c r="BH104" s="52">
        <f t="shared" si="25"/>
        <v>0</v>
      </c>
      <c r="BI104" s="52">
        <f t="shared" si="26"/>
        <v>0</v>
      </c>
    </row>
    <row r="105" spans="1:61" x14ac:dyDescent="0.3">
      <c r="A105" s="39">
        <v>101</v>
      </c>
      <c r="B105" s="44" t="s">
        <v>238</v>
      </c>
      <c r="C105" s="44" t="s">
        <v>86</v>
      </c>
      <c r="D105" s="44" t="s">
        <v>87</v>
      </c>
      <c r="E105" s="44" t="s">
        <v>123</v>
      </c>
      <c r="F105" s="44" t="s">
        <v>374</v>
      </c>
      <c r="G105" s="36" t="s">
        <v>377</v>
      </c>
      <c r="H105" s="36" t="s">
        <v>378</v>
      </c>
      <c r="I105" s="36" t="s">
        <v>70</v>
      </c>
      <c r="J105" s="36" t="s">
        <v>70</v>
      </c>
      <c r="K105" s="33" t="s">
        <v>72</v>
      </c>
      <c r="L105" s="33" t="s">
        <v>73</v>
      </c>
      <c r="M105" s="36" t="s">
        <v>74</v>
      </c>
      <c r="N105" s="36" t="s">
        <v>352</v>
      </c>
      <c r="O105" s="36" t="s">
        <v>95</v>
      </c>
      <c r="P105" s="36" t="s">
        <v>389</v>
      </c>
      <c r="Q105" s="36" t="s">
        <v>97</v>
      </c>
      <c r="R105" s="37">
        <v>29</v>
      </c>
      <c r="S105" s="33" t="s">
        <v>79</v>
      </c>
      <c r="T105" s="39">
        <v>5</v>
      </c>
      <c r="U105" s="39">
        <v>7</v>
      </c>
      <c r="V105" s="40">
        <f t="shared" si="20"/>
        <v>140</v>
      </c>
      <c r="W105" s="39">
        <v>5</v>
      </c>
      <c r="X105" s="39">
        <v>22</v>
      </c>
      <c r="Y105" s="40">
        <f t="shared" si="1"/>
        <v>440.00000000000006</v>
      </c>
      <c r="Z105" s="39">
        <v>9</v>
      </c>
      <c r="AA105" s="39"/>
      <c r="AB105" s="40">
        <f t="shared" si="2"/>
        <v>0</v>
      </c>
      <c r="AC105" s="39">
        <v>10</v>
      </c>
      <c r="AD105" s="39"/>
      <c r="AE105" s="40">
        <f t="shared" si="3"/>
        <v>0</v>
      </c>
      <c r="AF105" s="41">
        <f t="shared" si="27"/>
        <v>29</v>
      </c>
      <c r="AG105" s="41">
        <f t="shared" si="21"/>
        <v>29</v>
      </c>
      <c r="AH105" s="42">
        <f t="shared" si="5"/>
        <v>290</v>
      </c>
      <c r="AI105" s="43">
        <v>46054</v>
      </c>
      <c r="AJ105" s="43">
        <v>46477</v>
      </c>
      <c r="AK105" s="44" t="s">
        <v>80</v>
      </c>
      <c r="AL105" s="44" t="s">
        <v>81</v>
      </c>
      <c r="AM105" s="45" t="s">
        <v>82</v>
      </c>
      <c r="AN105" s="46"/>
      <c r="AO105" s="46"/>
      <c r="AP105" s="46"/>
      <c r="AQ105" s="47"/>
      <c r="AR105" s="44"/>
      <c r="AS105" s="44" t="s">
        <v>80</v>
      </c>
      <c r="AT105" s="54" t="s">
        <v>354</v>
      </c>
      <c r="AU105" s="49" t="s">
        <v>831</v>
      </c>
      <c r="AV105" s="51" t="s">
        <v>832</v>
      </c>
      <c r="AW105" s="51" t="s">
        <v>842</v>
      </c>
      <c r="AZ105" s="50">
        <f t="shared" si="28"/>
        <v>29</v>
      </c>
      <c r="BA105" s="50">
        <f t="shared" si="29"/>
        <v>29</v>
      </c>
      <c r="BB105" s="117">
        <f t="shared" si="30"/>
        <v>1</v>
      </c>
      <c r="BC105" s="50">
        <f t="shared" si="31"/>
        <v>0</v>
      </c>
      <c r="BD105" s="51"/>
      <c r="BE105" s="52">
        <f t="shared" si="22"/>
        <v>0</v>
      </c>
      <c r="BF105" s="52">
        <f t="shared" si="23"/>
        <v>0</v>
      </c>
      <c r="BG105" s="52">
        <f t="shared" si="24"/>
        <v>0</v>
      </c>
      <c r="BH105" s="52">
        <f t="shared" si="25"/>
        <v>0</v>
      </c>
      <c r="BI105" s="52">
        <f t="shared" si="26"/>
        <v>0</v>
      </c>
    </row>
    <row r="106" spans="1:61" x14ac:dyDescent="0.3">
      <c r="A106" s="39">
        <v>102</v>
      </c>
      <c r="B106" s="44" t="s">
        <v>238</v>
      </c>
      <c r="C106" s="44" t="s">
        <v>86</v>
      </c>
      <c r="D106" s="44" t="s">
        <v>87</v>
      </c>
      <c r="E106" s="44" t="s">
        <v>123</v>
      </c>
      <c r="F106" s="44" t="s">
        <v>390</v>
      </c>
      <c r="G106" s="36" t="s">
        <v>377</v>
      </c>
      <c r="H106" s="36" t="s">
        <v>378</v>
      </c>
      <c r="I106" s="36" t="s">
        <v>70</v>
      </c>
      <c r="J106" s="36" t="s">
        <v>70</v>
      </c>
      <c r="K106" s="33" t="s">
        <v>72</v>
      </c>
      <c r="L106" s="33" t="s">
        <v>73</v>
      </c>
      <c r="M106" s="36" t="s">
        <v>74</v>
      </c>
      <c r="N106" s="36" t="s">
        <v>352</v>
      </c>
      <c r="O106" s="36" t="s">
        <v>95</v>
      </c>
      <c r="P106" s="36" t="s">
        <v>391</v>
      </c>
      <c r="Q106" s="36" t="s">
        <v>97</v>
      </c>
      <c r="R106" s="37">
        <v>4</v>
      </c>
      <c r="S106" s="33" t="s">
        <v>79</v>
      </c>
      <c r="T106" s="39">
        <v>1</v>
      </c>
      <c r="U106" s="39">
        <v>1</v>
      </c>
      <c r="V106" s="40">
        <f t="shared" si="20"/>
        <v>100</v>
      </c>
      <c r="W106" s="39">
        <v>1</v>
      </c>
      <c r="X106" s="39">
        <v>1</v>
      </c>
      <c r="Y106" s="40">
        <f t="shared" si="1"/>
        <v>100</v>
      </c>
      <c r="Z106" s="39">
        <v>1</v>
      </c>
      <c r="AA106" s="39"/>
      <c r="AB106" s="40">
        <f t="shared" si="2"/>
        <v>0</v>
      </c>
      <c r="AC106" s="39">
        <v>1</v>
      </c>
      <c r="AD106" s="39"/>
      <c r="AE106" s="40">
        <f t="shared" si="3"/>
        <v>0</v>
      </c>
      <c r="AF106" s="41">
        <f t="shared" si="27"/>
        <v>4</v>
      </c>
      <c r="AG106" s="41">
        <f t="shared" si="21"/>
        <v>2</v>
      </c>
      <c r="AH106" s="42">
        <f t="shared" si="5"/>
        <v>100</v>
      </c>
      <c r="AI106" s="43">
        <v>46113</v>
      </c>
      <c r="AJ106" s="43">
        <v>46477</v>
      </c>
      <c r="AK106" s="44" t="s">
        <v>80</v>
      </c>
      <c r="AL106" s="44" t="s">
        <v>81</v>
      </c>
      <c r="AM106" s="45" t="s">
        <v>82</v>
      </c>
      <c r="AN106" s="46"/>
      <c r="AO106" s="46"/>
      <c r="AP106" s="46"/>
      <c r="AQ106" s="47"/>
      <c r="AR106" s="44"/>
      <c r="AS106" s="44" t="s">
        <v>80</v>
      </c>
      <c r="AT106" s="54" t="s">
        <v>354</v>
      </c>
      <c r="AU106" s="49" t="s">
        <v>831</v>
      </c>
      <c r="AV106" s="51" t="s">
        <v>832</v>
      </c>
      <c r="AW106" s="51" t="s">
        <v>842</v>
      </c>
      <c r="AZ106" s="50">
        <f t="shared" si="28"/>
        <v>4</v>
      </c>
      <c r="BA106" s="50">
        <f t="shared" si="29"/>
        <v>2</v>
      </c>
      <c r="BB106" s="117">
        <f t="shared" si="30"/>
        <v>0.5</v>
      </c>
      <c r="BC106" s="50">
        <f t="shared" si="31"/>
        <v>2</v>
      </c>
      <c r="BD106" s="51"/>
      <c r="BE106" s="52">
        <f t="shared" si="22"/>
        <v>0.6</v>
      </c>
      <c r="BF106" s="52">
        <f t="shared" si="23"/>
        <v>0.6</v>
      </c>
      <c r="BG106" s="52">
        <f t="shared" si="24"/>
        <v>0.6</v>
      </c>
      <c r="BH106" s="52">
        <f t="shared" si="25"/>
        <v>0.2</v>
      </c>
      <c r="BI106" s="52">
        <f t="shared" si="26"/>
        <v>1.9999999999999998</v>
      </c>
    </row>
    <row r="107" spans="1:61" x14ac:dyDescent="0.3">
      <c r="A107" s="39">
        <v>103</v>
      </c>
      <c r="B107" s="44" t="s">
        <v>238</v>
      </c>
      <c r="C107" s="44" t="s">
        <v>86</v>
      </c>
      <c r="D107" s="44" t="s">
        <v>87</v>
      </c>
      <c r="E107" s="44" t="s">
        <v>123</v>
      </c>
      <c r="F107" s="44" t="s">
        <v>392</v>
      </c>
      <c r="G107" s="36" t="s">
        <v>377</v>
      </c>
      <c r="H107" s="36" t="s">
        <v>378</v>
      </c>
      <c r="I107" s="36" t="s">
        <v>355</v>
      </c>
      <c r="J107" s="36" t="s">
        <v>355</v>
      </c>
      <c r="K107" s="33" t="s">
        <v>72</v>
      </c>
      <c r="L107" s="33" t="s">
        <v>73</v>
      </c>
      <c r="M107" s="36" t="s">
        <v>74</v>
      </c>
      <c r="N107" s="36" t="s">
        <v>352</v>
      </c>
      <c r="O107" s="36" t="s">
        <v>95</v>
      </c>
      <c r="P107" s="36" t="s">
        <v>393</v>
      </c>
      <c r="Q107" s="36" t="s">
        <v>97</v>
      </c>
      <c r="R107" s="37">
        <v>4</v>
      </c>
      <c r="S107" s="33" t="s">
        <v>126</v>
      </c>
      <c r="T107" s="39">
        <v>1</v>
      </c>
      <c r="U107" s="39">
        <v>1</v>
      </c>
      <c r="V107" s="40">
        <f t="shared" si="20"/>
        <v>100</v>
      </c>
      <c r="W107" s="39">
        <v>1</v>
      </c>
      <c r="X107" s="39">
        <v>1</v>
      </c>
      <c r="Y107" s="40">
        <f t="shared" si="1"/>
        <v>100</v>
      </c>
      <c r="Z107" s="39">
        <v>1</v>
      </c>
      <c r="AA107" s="39"/>
      <c r="AB107" s="40">
        <f t="shared" si="2"/>
        <v>0</v>
      </c>
      <c r="AC107" s="39">
        <v>1</v>
      </c>
      <c r="AD107" s="39"/>
      <c r="AE107" s="40">
        <f t="shared" si="3"/>
        <v>0</v>
      </c>
      <c r="AF107" s="41">
        <f t="shared" si="27"/>
        <v>4</v>
      </c>
      <c r="AG107" s="41">
        <f t="shared" si="21"/>
        <v>2</v>
      </c>
      <c r="AH107" s="42">
        <f t="shared" si="5"/>
        <v>100</v>
      </c>
      <c r="AI107" s="43">
        <v>46113</v>
      </c>
      <c r="AJ107" s="43">
        <v>46477</v>
      </c>
      <c r="AK107" s="44" t="s">
        <v>80</v>
      </c>
      <c r="AL107" s="44" t="s">
        <v>81</v>
      </c>
      <c r="AM107" s="45" t="s">
        <v>82</v>
      </c>
      <c r="AN107" s="46"/>
      <c r="AO107" s="46"/>
      <c r="AP107" s="46"/>
      <c r="AQ107" s="47"/>
      <c r="AR107" s="44" t="s">
        <v>127</v>
      </c>
      <c r="AS107" s="44" t="s">
        <v>80</v>
      </c>
      <c r="AT107" s="54" t="s">
        <v>354</v>
      </c>
      <c r="AU107" s="49" t="s">
        <v>831</v>
      </c>
      <c r="AV107" s="51" t="s">
        <v>832</v>
      </c>
      <c r="AW107" s="51" t="s">
        <v>842</v>
      </c>
      <c r="AZ107" s="50">
        <f t="shared" si="28"/>
        <v>4</v>
      </c>
      <c r="BA107" s="50">
        <f t="shared" si="29"/>
        <v>2</v>
      </c>
      <c r="BB107" s="117">
        <f t="shared" si="30"/>
        <v>0.5</v>
      </c>
      <c r="BC107" s="50">
        <f t="shared" si="31"/>
        <v>2</v>
      </c>
      <c r="BD107" s="51"/>
      <c r="BE107" s="52">
        <f t="shared" si="22"/>
        <v>0.6</v>
      </c>
      <c r="BF107" s="52">
        <f t="shared" si="23"/>
        <v>0.6</v>
      </c>
      <c r="BG107" s="52">
        <f t="shared" si="24"/>
        <v>0.6</v>
      </c>
      <c r="BH107" s="52">
        <f t="shared" si="25"/>
        <v>0.2</v>
      </c>
      <c r="BI107" s="52">
        <f t="shared" si="26"/>
        <v>1.9999999999999998</v>
      </c>
    </row>
    <row r="108" spans="1:61" x14ac:dyDescent="0.3">
      <c r="A108" s="39">
        <v>104</v>
      </c>
      <c r="B108" s="44" t="s">
        <v>238</v>
      </c>
      <c r="C108" s="44" t="s">
        <v>64</v>
      </c>
      <c r="D108" s="44" t="s">
        <v>65</v>
      </c>
      <c r="E108" s="44" t="s">
        <v>88</v>
      </c>
      <c r="F108" s="44" t="s">
        <v>394</v>
      </c>
      <c r="G108" s="36" t="s">
        <v>394</v>
      </c>
      <c r="H108" s="36" t="s">
        <v>394</v>
      </c>
      <c r="I108" s="36" t="s">
        <v>395</v>
      </c>
      <c r="J108" s="36" t="s">
        <v>395</v>
      </c>
      <c r="K108" s="33" t="s">
        <v>151</v>
      </c>
      <c r="L108" s="33" t="s">
        <v>396</v>
      </c>
      <c r="M108" s="36" t="s">
        <v>74</v>
      </c>
      <c r="N108" s="36" t="s">
        <v>397</v>
      </c>
      <c r="O108" s="36" t="s">
        <v>76</v>
      </c>
      <c r="P108" s="36" t="s">
        <v>398</v>
      </c>
      <c r="Q108" s="36" t="s">
        <v>78</v>
      </c>
      <c r="R108" s="37">
        <v>29</v>
      </c>
      <c r="S108" s="33" t="s">
        <v>79</v>
      </c>
      <c r="T108" s="39">
        <v>0</v>
      </c>
      <c r="U108" s="39">
        <v>0</v>
      </c>
      <c r="V108" s="40" t="e">
        <f t="shared" si="20"/>
        <v>#DIV/0!</v>
      </c>
      <c r="W108" s="39">
        <v>10</v>
      </c>
      <c r="X108" s="39">
        <v>1</v>
      </c>
      <c r="Y108" s="40">
        <f t="shared" si="1"/>
        <v>10</v>
      </c>
      <c r="Z108" s="39">
        <v>10</v>
      </c>
      <c r="AA108" s="39"/>
      <c r="AB108" s="40">
        <f t="shared" si="2"/>
        <v>0</v>
      </c>
      <c r="AC108" s="39">
        <v>9</v>
      </c>
      <c r="AD108" s="39"/>
      <c r="AE108" s="40">
        <f t="shared" si="3"/>
        <v>0</v>
      </c>
      <c r="AF108" s="41">
        <f t="shared" si="27"/>
        <v>29</v>
      </c>
      <c r="AG108" s="41">
        <f t="shared" si="21"/>
        <v>1</v>
      </c>
      <c r="AH108" s="42">
        <f t="shared" si="5"/>
        <v>10</v>
      </c>
      <c r="AI108" s="43">
        <v>46054</v>
      </c>
      <c r="AJ108" s="43">
        <v>46477</v>
      </c>
      <c r="AK108" s="44" t="s">
        <v>80</v>
      </c>
      <c r="AL108" s="44" t="s">
        <v>81</v>
      </c>
      <c r="AM108" s="45" t="s">
        <v>82</v>
      </c>
      <c r="AN108" s="46">
        <v>100000000</v>
      </c>
      <c r="AO108" s="46">
        <v>100000000</v>
      </c>
      <c r="AP108" s="46">
        <v>100000000</v>
      </c>
      <c r="AQ108" s="47">
        <v>0</v>
      </c>
      <c r="AR108" s="44" t="s">
        <v>127</v>
      </c>
      <c r="AS108" s="44" t="s">
        <v>80</v>
      </c>
      <c r="AT108" s="54" t="s">
        <v>399</v>
      </c>
      <c r="AU108" s="49" t="s">
        <v>831</v>
      </c>
      <c r="AV108" s="51" t="s">
        <v>832</v>
      </c>
      <c r="AW108" s="51" t="s">
        <v>843</v>
      </c>
      <c r="AZ108" s="50">
        <f t="shared" si="28"/>
        <v>29</v>
      </c>
      <c r="BA108" s="50">
        <f t="shared" si="29"/>
        <v>1</v>
      </c>
      <c r="BB108" s="117">
        <f t="shared" si="30"/>
        <v>3.4482758620689655E-2</v>
      </c>
      <c r="BC108" s="50">
        <f t="shared" si="31"/>
        <v>28</v>
      </c>
      <c r="BD108" s="51"/>
      <c r="BE108" s="52">
        <f t="shared" si="22"/>
        <v>8.4</v>
      </c>
      <c r="BF108" s="52">
        <f t="shared" si="23"/>
        <v>8.4</v>
      </c>
      <c r="BG108" s="52">
        <f t="shared" si="24"/>
        <v>8.4</v>
      </c>
      <c r="BH108" s="52">
        <f t="shared" si="25"/>
        <v>2.8000000000000003</v>
      </c>
      <c r="BI108" s="52">
        <f t="shared" si="26"/>
        <v>28.000000000000004</v>
      </c>
    </row>
    <row r="109" spans="1:61" x14ac:dyDescent="0.3">
      <c r="A109" s="39">
        <v>105</v>
      </c>
      <c r="B109" s="44" t="s">
        <v>238</v>
      </c>
      <c r="C109" s="44" t="s">
        <v>101</v>
      </c>
      <c r="D109" s="44" t="s">
        <v>87</v>
      </c>
      <c r="E109" s="44" t="s">
        <v>88</v>
      </c>
      <c r="F109" s="44" t="s">
        <v>400</v>
      </c>
      <c r="G109" s="36" t="s">
        <v>401</v>
      </c>
      <c r="H109" s="36" t="s">
        <v>402</v>
      </c>
      <c r="I109" s="36" t="s">
        <v>395</v>
      </c>
      <c r="J109" s="36" t="s">
        <v>395</v>
      </c>
      <c r="K109" s="33" t="s">
        <v>151</v>
      </c>
      <c r="L109" s="33" t="s">
        <v>403</v>
      </c>
      <c r="M109" s="36" t="s">
        <v>74</v>
      </c>
      <c r="N109" s="36" t="s">
        <v>397</v>
      </c>
      <c r="O109" s="36" t="s">
        <v>95</v>
      </c>
      <c r="P109" s="36" t="s">
        <v>404</v>
      </c>
      <c r="Q109" s="36" t="s">
        <v>97</v>
      </c>
      <c r="R109" s="37">
        <v>1</v>
      </c>
      <c r="S109" s="33" t="s">
        <v>79</v>
      </c>
      <c r="T109" s="39">
        <v>0</v>
      </c>
      <c r="U109" s="39">
        <v>0</v>
      </c>
      <c r="V109" s="40" t="e">
        <f t="shared" si="20"/>
        <v>#DIV/0!</v>
      </c>
      <c r="W109" s="39">
        <v>0</v>
      </c>
      <c r="X109" s="39">
        <v>0</v>
      </c>
      <c r="Y109" s="40" t="e">
        <f t="shared" si="1"/>
        <v>#DIV/0!</v>
      </c>
      <c r="Z109" s="39">
        <v>1</v>
      </c>
      <c r="AA109" s="39"/>
      <c r="AB109" s="40">
        <f t="shared" si="2"/>
        <v>0</v>
      </c>
      <c r="AC109" s="39">
        <v>0</v>
      </c>
      <c r="AD109" s="39"/>
      <c r="AE109" s="40" t="e">
        <f t="shared" si="3"/>
        <v>#DIV/0!</v>
      </c>
      <c r="AF109" s="41">
        <f t="shared" si="27"/>
        <v>1</v>
      </c>
      <c r="AG109" s="41">
        <f t="shared" si="21"/>
        <v>0</v>
      </c>
      <c r="AH109" s="42" t="e">
        <f t="shared" si="5"/>
        <v>#DIV/0!</v>
      </c>
      <c r="AI109" s="43">
        <v>46054</v>
      </c>
      <c r="AJ109" s="43">
        <v>46477</v>
      </c>
      <c r="AK109" s="44" t="s">
        <v>80</v>
      </c>
      <c r="AL109" s="44" t="s">
        <v>81</v>
      </c>
      <c r="AM109" s="45" t="s">
        <v>82</v>
      </c>
      <c r="AN109" s="46">
        <v>30000000</v>
      </c>
      <c r="AO109" s="46">
        <v>30000000</v>
      </c>
      <c r="AP109" s="46">
        <v>30000000</v>
      </c>
      <c r="AQ109" s="47">
        <v>0</v>
      </c>
      <c r="AR109" s="44" t="s">
        <v>127</v>
      </c>
      <c r="AS109" s="44" t="s">
        <v>80</v>
      </c>
      <c r="AT109" s="54" t="s">
        <v>399</v>
      </c>
      <c r="AU109" s="49" t="s">
        <v>831</v>
      </c>
      <c r="AV109" s="51" t="s">
        <v>832</v>
      </c>
      <c r="AW109" s="51" t="s">
        <v>843</v>
      </c>
      <c r="AZ109" s="50">
        <f t="shared" si="28"/>
        <v>1</v>
      </c>
      <c r="BA109" s="50">
        <f t="shared" si="29"/>
        <v>0</v>
      </c>
      <c r="BB109" s="117">
        <f t="shared" si="30"/>
        <v>0</v>
      </c>
      <c r="BC109" s="50">
        <f t="shared" si="31"/>
        <v>1</v>
      </c>
      <c r="BD109" s="51"/>
      <c r="BE109" s="52">
        <f t="shared" si="22"/>
        <v>0.3</v>
      </c>
      <c r="BF109" s="52">
        <f t="shared" si="23"/>
        <v>0.3</v>
      </c>
      <c r="BG109" s="52">
        <f t="shared" si="24"/>
        <v>0.3</v>
      </c>
      <c r="BH109" s="52">
        <f t="shared" si="25"/>
        <v>0.1</v>
      </c>
      <c r="BI109" s="52">
        <f t="shared" si="26"/>
        <v>0.99999999999999989</v>
      </c>
    </row>
    <row r="110" spans="1:61" x14ac:dyDescent="0.3">
      <c r="A110" s="39">
        <v>106</v>
      </c>
      <c r="B110" s="44" t="s">
        <v>238</v>
      </c>
      <c r="C110" s="44" t="s">
        <v>64</v>
      </c>
      <c r="D110" s="44" t="s">
        <v>65</v>
      </c>
      <c r="E110" s="44" t="s">
        <v>173</v>
      </c>
      <c r="F110" s="44" t="s">
        <v>394</v>
      </c>
      <c r="G110" s="36" t="s">
        <v>405</v>
      </c>
      <c r="H110" s="36" t="s">
        <v>402</v>
      </c>
      <c r="I110" s="36" t="s">
        <v>395</v>
      </c>
      <c r="J110" s="36" t="s">
        <v>395</v>
      </c>
      <c r="K110" s="33" t="s">
        <v>72</v>
      </c>
      <c r="L110" s="33" t="s">
        <v>73</v>
      </c>
      <c r="M110" s="36" t="s">
        <v>74</v>
      </c>
      <c r="N110" s="36" t="s">
        <v>397</v>
      </c>
      <c r="O110" s="36" t="s">
        <v>406</v>
      </c>
      <c r="P110" s="36" t="s">
        <v>407</v>
      </c>
      <c r="Q110" s="36" t="s">
        <v>78</v>
      </c>
      <c r="R110" s="37">
        <v>29</v>
      </c>
      <c r="S110" s="33" t="s">
        <v>79</v>
      </c>
      <c r="T110" s="39">
        <v>0</v>
      </c>
      <c r="U110" s="39">
        <v>0</v>
      </c>
      <c r="V110" s="40" t="e">
        <f t="shared" si="20"/>
        <v>#DIV/0!</v>
      </c>
      <c r="W110" s="39">
        <v>11</v>
      </c>
      <c r="X110" s="39">
        <v>0</v>
      </c>
      <c r="Y110" s="40">
        <f t="shared" si="1"/>
        <v>0</v>
      </c>
      <c r="Z110" s="39">
        <v>10</v>
      </c>
      <c r="AA110" s="39"/>
      <c r="AB110" s="40">
        <f t="shared" si="2"/>
        <v>0</v>
      </c>
      <c r="AC110" s="39">
        <v>8</v>
      </c>
      <c r="AD110" s="39"/>
      <c r="AE110" s="40">
        <f t="shared" si="3"/>
        <v>0</v>
      </c>
      <c r="AF110" s="41">
        <f t="shared" si="27"/>
        <v>29</v>
      </c>
      <c r="AG110" s="41">
        <f t="shared" si="21"/>
        <v>0</v>
      </c>
      <c r="AH110" s="42">
        <f t="shared" si="5"/>
        <v>0</v>
      </c>
      <c r="AI110" s="43">
        <v>46054</v>
      </c>
      <c r="AJ110" s="43">
        <v>46477</v>
      </c>
      <c r="AK110" s="44" t="s">
        <v>80</v>
      </c>
      <c r="AL110" s="44" t="s">
        <v>81</v>
      </c>
      <c r="AM110" s="45" t="s">
        <v>82</v>
      </c>
      <c r="AN110" s="46">
        <v>100000000</v>
      </c>
      <c r="AO110" s="46">
        <v>100000000</v>
      </c>
      <c r="AP110" s="46">
        <v>100000000</v>
      </c>
      <c r="AQ110" s="47">
        <v>0</v>
      </c>
      <c r="AR110" s="44" t="s">
        <v>127</v>
      </c>
      <c r="AS110" s="44" t="s">
        <v>80</v>
      </c>
      <c r="AT110" s="54" t="s">
        <v>399</v>
      </c>
      <c r="AU110" s="49" t="s">
        <v>831</v>
      </c>
      <c r="AV110" s="51" t="s">
        <v>832</v>
      </c>
      <c r="AW110" s="51" t="s">
        <v>843</v>
      </c>
      <c r="AZ110" s="50">
        <f t="shared" si="28"/>
        <v>29</v>
      </c>
      <c r="BA110" s="50">
        <f t="shared" si="29"/>
        <v>0</v>
      </c>
      <c r="BB110" s="117">
        <f t="shared" si="30"/>
        <v>0</v>
      </c>
      <c r="BC110" s="50">
        <f t="shared" si="31"/>
        <v>29</v>
      </c>
      <c r="BD110" s="51"/>
      <c r="BE110" s="52">
        <f t="shared" si="22"/>
        <v>8.6999999999999993</v>
      </c>
      <c r="BF110" s="52">
        <f t="shared" si="23"/>
        <v>8.6999999999999993</v>
      </c>
      <c r="BG110" s="52">
        <f t="shared" si="24"/>
        <v>8.6999999999999993</v>
      </c>
      <c r="BH110" s="52">
        <f t="shared" si="25"/>
        <v>2.9000000000000004</v>
      </c>
      <c r="BI110" s="52">
        <f t="shared" si="26"/>
        <v>29</v>
      </c>
    </row>
    <row r="111" spans="1:61" x14ac:dyDescent="0.3">
      <c r="A111" s="39">
        <v>107</v>
      </c>
      <c r="B111" s="44" t="s">
        <v>238</v>
      </c>
      <c r="C111" s="44" t="s">
        <v>408</v>
      </c>
      <c r="D111" s="44" t="s">
        <v>409</v>
      </c>
      <c r="E111" s="44" t="s">
        <v>88</v>
      </c>
      <c r="F111" s="44" t="s">
        <v>410</v>
      </c>
      <c r="G111" s="36" t="s">
        <v>154</v>
      </c>
      <c r="H111" s="36" t="s">
        <v>155</v>
      </c>
      <c r="I111" s="36" t="s">
        <v>411</v>
      </c>
      <c r="J111" s="36" t="s">
        <v>411</v>
      </c>
      <c r="K111" s="33" t="s">
        <v>151</v>
      </c>
      <c r="L111" s="33" t="s">
        <v>396</v>
      </c>
      <c r="M111" s="36" t="s">
        <v>74</v>
      </c>
      <c r="N111" s="36" t="s">
        <v>397</v>
      </c>
      <c r="O111" s="36" t="s">
        <v>95</v>
      </c>
      <c r="P111" s="36" t="s">
        <v>412</v>
      </c>
      <c r="Q111" s="36" t="s">
        <v>97</v>
      </c>
      <c r="R111" s="37">
        <v>29</v>
      </c>
      <c r="S111" s="33" t="s">
        <v>79</v>
      </c>
      <c r="T111" s="39">
        <v>0</v>
      </c>
      <c r="U111" s="39">
        <v>0</v>
      </c>
      <c r="V111" s="40" t="e">
        <f t="shared" si="20"/>
        <v>#DIV/0!</v>
      </c>
      <c r="W111" s="39">
        <v>10</v>
      </c>
      <c r="X111" s="39">
        <v>10</v>
      </c>
      <c r="Y111" s="40">
        <f t="shared" si="1"/>
        <v>100</v>
      </c>
      <c r="Z111" s="39">
        <v>10</v>
      </c>
      <c r="AA111" s="39"/>
      <c r="AB111" s="40">
        <f t="shared" si="2"/>
        <v>0</v>
      </c>
      <c r="AC111" s="39">
        <v>9</v>
      </c>
      <c r="AD111" s="39"/>
      <c r="AE111" s="40">
        <f t="shared" si="3"/>
        <v>0</v>
      </c>
      <c r="AF111" s="41">
        <f t="shared" si="27"/>
        <v>29</v>
      </c>
      <c r="AG111" s="41">
        <f t="shared" si="21"/>
        <v>10</v>
      </c>
      <c r="AH111" s="42">
        <f t="shared" si="5"/>
        <v>100</v>
      </c>
      <c r="AI111" s="43">
        <v>46026</v>
      </c>
      <c r="AJ111" s="43">
        <v>46477</v>
      </c>
      <c r="AK111" s="44" t="s">
        <v>80</v>
      </c>
      <c r="AL111" s="44" t="s">
        <v>81</v>
      </c>
      <c r="AM111" s="45" t="s">
        <v>82</v>
      </c>
      <c r="AN111" s="46">
        <v>126000000</v>
      </c>
      <c r="AO111" s="46">
        <v>126000000</v>
      </c>
      <c r="AP111" s="46">
        <v>126000000</v>
      </c>
      <c r="AQ111" s="47">
        <v>0</v>
      </c>
      <c r="AR111" s="44" t="s">
        <v>127</v>
      </c>
      <c r="AS111" s="44" t="s">
        <v>80</v>
      </c>
      <c r="AT111" s="54" t="s">
        <v>399</v>
      </c>
      <c r="AU111" s="49" t="s">
        <v>831</v>
      </c>
      <c r="AV111" s="51" t="s">
        <v>832</v>
      </c>
      <c r="AW111" s="51" t="s">
        <v>843</v>
      </c>
      <c r="AZ111" s="50">
        <f t="shared" si="28"/>
        <v>29</v>
      </c>
      <c r="BA111" s="50">
        <f t="shared" si="29"/>
        <v>10</v>
      </c>
      <c r="BB111" s="117">
        <f t="shared" si="30"/>
        <v>0.34482758620689657</v>
      </c>
      <c r="BC111" s="50">
        <f t="shared" si="31"/>
        <v>19</v>
      </c>
      <c r="BD111" s="51"/>
      <c r="BE111" s="52">
        <f t="shared" si="22"/>
        <v>5.7</v>
      </c>
      <c r="BF111" s="52">
        <f t="shared" si="23"/>
        <v>5.7</v>
      </c>
      <c r="BG111" s="52">
        <f t="shared" si="24"/>
        <v>5.7</v>
      </c>
      <c r="BH111" s="52">
        <f t="shared" si="25"/>
        <v>1.9000000000000001</v>
      </c>
      <c r="BI111" s="52">
        <f t="shared" si="26"/>
        <v>19</v>
      </c>
    </row>
    <row r="112" spans="1:61" x14ac:dyDescent="0.3">
      <c r="A112" s="39">
        <v>108</v>
      </c>
      <c r="B112" s="44" t="s">
        <v>238</v>
      </c>
      <c r="C112" s="44" t="s">
        <v>101</v>
      </c>
      <c r="D112" s="44" t="s">
        <v>87</v>
      </c>
      <c r="E112" s="44" t="s">
        <v>102</v>
      </c>
      <c r="F112" s="44" t="s">
        <v>410</v>
      </c>
      <c r="G112" s="36" t="s">
        <v>401</v>
      </c>
      <c r="H112" s="36" t="s">
        <v>402</v>
      </c>
      <c r="I112" s="36" t="s">
        <v>395</v>
      </c>
      <c r="J112" s="36" t="s">
        <v>395</v>
      </c>
      <c r="K112" s="33" t="s">
        <v>151</v>
      </c>
      <c r="L112" s="33" t="s">
        <v>396</v>
      </c>
      <c r="M112" s="36" t="s">
        <v>74</v>
      </c>
      <c r="N112" s="36" t="s">
        <v>397</v>
      </c>
      <c r="O112" s="36" t="s">
        <v>95</v>
      </c>
      <c r="P112" s="36" t="s">
        <v>413</v>
      </c>
      <c r="Q112" s="36" t="s">
        <v>97</v>
      </c>
      <c r="R112" s="37">
        <v>1</v>
      </c>
      <c r="S112" s="33" t="s">
        <v>79</v>
      </c>
      <c r="T112" s="39">
        <v>0</v>
      </c>
      <c r="U112" s="39">
        <v>0</v>
      </c>
      <c r="V112" s="40" t="e">
        <f t="shared" si="20"/>
        <v>#DIV/0!</v>
      </c>
      <c r="W112" s="39">
        <v>0</v>
      </c>
      <c r="X112" s="39">
        <v>0</v>
      </c>
      <c r="Y112" s="40" t="e">
        <f t="shared" si="1"/>
        <v>#DIV/0!</v>
      </c>
      <c r="Z112" s="39">
        <v>1</v>
      </c>
      <c r="AA112" s="39"/>
      <c r="AB112" s="40">
        <f t="shared" si="2"/>
        <v>0</v>
      </c>
      <c r="AC112" s="39">
        <v>0</v>
      </c>
      <c r="AD112" s="39"/>
      <c r="AE112" s="40" t="e">
        <f t="shared" si="3"/>
        <v>#DIV/0!</v>
      </c>
      <c r="AF112" s="41">
        <f t="shared" si="27"/>
        <v>1</v>
      </c>
      <c r="AG112" s="41">
        <f t="shared" si="21"/>
        <v>0</v>
      </c>
      <c r="AH112" s="42" t="e">
        <f t="shared" si="5"/>
        <v>#DIV/0!</v>
      </c>
      <c r="AI112" s="43">
        <v>46113</v>
      </c>
      <c r="AJ112" s="43">
        <v>46477</v>
      </c>
      <c r="AK112" s="44" t="s">
        <v>80</v>
      </c>
      <c r="AL112" s="44" t="s">
        <v>81</v>
      </c>
      <c r="AM112" s="45" t="s">
        <v>82</v>
      </c>
      <c r="AN112" s="46">
        <v>18000000</v>
      </c>
      <c r="AO112" s="46">
        <v>18000000</v>
      </c>
      <c r="AP112" s="46">
        <v>18000000</v>
      </c>
      <c r="AQ112" s="47">
        <v>0</v>
      </c>
      <c r="AR112" s="44" t="s">
        <v>83</v>
      </c>
      <c r="AS112" s="44" t="s">
        <v>80</v>
      </c>
      <c r="AT112" s="54" t="s">
        <v>399</v>
      </c>
      <c r="AU112" s="49" t="s">
        <v>831</v>
      </c>
      <c r="AV112" s="51" t="s">
        <v>832</v>
      </c>
      <c r="AW112" s="51" t="s">
        <v>843</v>
      </c>
      <c r="AZ112" s="50">
        <f t="shared" si="28"/>
        <v>1</v>
      </c>
      <c r="BA112" s="50">
        <f t="shared" si="29"/>
        <v>0</v>
      </c>
      <c r="BB112" s="117">
        <f t="shared" si="30"/>
        <v>0</v>
      </c>
      <c r="BC112" s="50">
        <f t="shared" si="31"/>
        <v>1</v>
      </c>
      <c r="BD112" s="51"/>
      <c r="BE112" s="52">
        <f t="shared" si="22"/>
        <v>0.3</v>
      </c>
      <c r="BF112" s="52">
        <f t="shared" si="23"/>
        <v>0.3</v>
      </c>
      <c r="BG112" s="52">
        <f t="shared" si="24"/>
        <v>0.3</v>
      </c>
      <c r="BH112" s="52">
        <f t="shared" si="25"/>
        <v>0.1</v>
      </c>
      <c r="BI112" s="52">
        <f t="shared" si="26"/>
        <v>0.99999999999999989</v>
      </c>
    </row>
    <row r="113" spans="1:61" x14ac:dyDescent="0.3">
      <c r="A113" s="39">
        <v>109</v>
      </c>
      <c r="B113" s="44" t="s">
        <v>238</v>
      </c>
      <c r="C113" s="44" t="s">
        <v>86</v>
      </c>
      <c r="D113" s="44" t="s">
        <v>87</v>
      </c>
      <c r="E113" s="44" t="s">
        <v>258</v>
      </c>
      <c r="F113" s="44" t="s">
        <v>414</v>
      </c>
      <c r="G113" s="36" t="s">
        <v>405</v>
      </c>
      <c r="H113" s="36" t="s">
        <v>415</v>
      </c>
      <c r="I113" s="36" t="s">
        <v>411</v>
      </c>
      <c r="J113" s="36" t="s">
        <v>411</v>
      </c>
      <c r="K113" s="33" t="s">
        <v>72</v>
      </c>
      <c r="L113" s="33" t="s">
        <v>73</v>
      </c>
      <c r="M113" s="36" t="s">
        <v>74</v>
      </c>
      <c r="N113" s="36" t="s">
        <v>405</v>
      </c>
      <c r="O113" s="36" t="s">
        <v>95</v>
      </c>
      <c r="P113" s="36" t="s">
        <v>416</v>
      </c>
      <c r="Q113" s="36" t="s">
        <v>97</v>
      </c>
      <c r="R113" s="37">
        <v>1</v>
      </c>
      <c r="S113" s="33" t="s">
        <v>79</v>
      </c>
      <c r="T113" s="39">
        <v>0</v>
      </c>
      <c r="U113" s="39">
        <v>0</v>
      </c>
      <c r="V113" s="40" t="e">
        <f t="shared" si="20"/>
        <v>#DIV/0!</v>
      </c>
      <c r="W113" s="39">
        <v>0</v>
      </c>
      <c r="X113" s="39">
        <v>0</v>
      </c>
      <c r="Y113" s="40" t="e">
        <f t="shared" si="1"/>
        <v>#DIV/0!</v>
      </c>
      <c r="Z113" s="39">
        <v>1</v>
      </c>
      <c r="AA113" s="39"/>
      <c r="AB113" s="40">
        <f t="shared" si="2"/>
        <v>0</v>
      </c>
      <c r="AC113" s="39">
        <v>0</v>
      </c>
      <c r="AD113" s="39"/>
      <c r="AE113" s="40" t="e">
        <f t="shared" si="3"/>
        <v>#DIV/0!</v>
      </c>
      <c r="AF113" s="41">
        <f t="shared" si="27"/>
        <v>1</v>
      </c>
      <c r="AG113" s="41">
        <f t="shared" si="21"/>
        <v>0</v>
      </c>
      <c r="AH113" s="42" t="e">
        <f t="shared" si="5"/>
        <v>#DIV/0!</v>
      </c>
      <c r="AI113" s="43">
        <v>46113</v>
      </c>
      <c r="AJ113" s="43">
        <v>46477</v>
      </c>
      <c r="AK113" s="44" t="s">
        <v>80</v>
      </c>
      <c r="AL113" s="44" t="s">
        <v>81</v>
      </c>
      <c r="AM113" s="45" t="s">
        <v>82</v>
      </c>
      <c r="AN113" s="46">
        <v>18000000</v>
      </c>
      <c r="AO113" s="46">
        <v>18000000</v>
      </c>
      <c r="AP113" s="46">
        <v>18000000</v>
      </c>
      <c r="AQ113" s="47">
        <v>0</v>
      </c>
      <c r="AR113" s="44" t="s">
        <v>127</v>
      </c>
      <c r="AS113" s="44" t="s">
        <v>80</v>
      </c>
      <c r="AT113" s="54" t="s">
        <v>399</v>
      </c>
      <c r="AU113" s="49" t="s">
        <v>831</v>
      </c>
      <c r="AV113" s="51" t="s">
        <v>832</v>
      </c>
      <c r="AW113" s="51" t="s">
        <v>843</v>
      </c>
      <c r="AZ113" s="50">
        <f t="shared" si="28"/>
        <v>1</v>
      </c>
      <c r="BA113" s="50">
        <f t="shared" si="29"/>
        <v>0</v>
      </c>
      <c r="BB113" s="117">
        <f t="shared" si="30"/>
        <v>0</v>
      </c>
      <c r="BC113" s="50">
        <f t="shared" si="31"/>
        <v>1</v>
      </c>
      <c r="BD113" s="51"/>
      <c r="BE113" s="52">
        <f t="shared" si="22"/>
        <v>0.3</v>
      </c>
      <c r="BF113" s="52">
        <f t="shared" si="23"/>
        <v>0.3</v>
      </c>
      <c r="BG113" s="52">
        <f t="shared" si="24"/>
        <v>0.3</v>
      </c>
      <c r="BH113" s="52">
        <f t="shared" si="25"/>
        <v>0.1</v>
      </c>
      <c r="BI113" s="52">
        <f t="shared" si="26"/>
        <v>0.99999999999999989</v>
      </c>
    </row>
    <row r="114" spans="1:61" x14ac:dyDescent="0.3">
      <c r="A114" s="39">
        <v>110</v>
      </c>
      <c r="B114" s="44" t="s">
        <v>238</v>
      </c>
      <c r="C114" s="44" t="s">
        <v>101</v>
      </c>
      <c r="D114" s="44" t="s">
        <v>87</v>
      </c>
      <c r="E114" s="44" t="s">
        <v>102</v>
      </c>
      <c r="F114" s="44" t="s">
        <v>410</v>
      </c>
      <c r="G114" s="36" t="s">
        <v>401</v>
      </c>
      <c r="H114" s="36" t="s">
        <v>402</v>
      </c>
      <c r="I114" s="36" t="s">
        <v>395</v>
      </c>
      <c r="J114" s="36" t="s">
        <v>395</v>
      </c>
      <c r="K114" s="33" t="s">
        <v>151</v>
      </c>
      <c r="L114" s="33" t="s">
        <v>396</v>
      </c>
      <c r="M114" s="36" t="s">
        <v>74</v>
      </c>
      <c r="N114" s="36" t="s">
        <v>397</v>
      </c>
      <c r="O114" s="36" t="s">
        <v>95</v>
      </c>
      <c r="P114" s="36" t="s">
        <v>413</v>
      </c>
      <c r="Q114" s="36" t="s">
        <v>97</v>
      </c>
      <c r="R114" s="37">
        <v>1</v>
      </c>
      <c r="S114" s="33" t="s">
        <v>79</v>
      </c>
      <c r="T114" s="39">
        <v>0</v>
      </c>
      <c r="U114" s="39">
        <v>0</v>
      </c>
      <c r="V114" s="40" t="e">
        <f t="shared" si="20"/>
        <v>#DIV/0!</v>
      </c>
      <c r="W114" s="39">
        <v>0</v>
      </c>
      <c r="X114" s="39"/>
      <c r="Y114" s="40" t="e">
        <f t="shared" si="1"/>
        <v>#DIV/0!</v>
      </c>
      <c r="Z114" s="39">
        <v>1</v>
      </c>
      <c r="AA114" s="39"/>
      <c r="AB114" s="40">
        <f t="shared" si="2"/>
        <v>0</v>
      </c>
      <c r="AC114" s="39">
        <v>0</v>
      </c>
      <c r="AD114" s="39"/>
      <c r="AE114" s="40" t="e">
        <f t="shared" si="3"/>
        <v>#DIV/0!</v>
      </c>
      <c r="AF114" s="41">
        <f t="shared" si="27"/>
        <v>1</v>
      </c>
      <c r="AG114" s="41">
        <f t="shared" si="21"/>
        <v>0</v>
      </c>
      <c r="AH114" s="42" t="e">
        <f t="shared" si="5"/>
        <v>#DIV/0!</v>
      </c>
      <c r="AI114" s="43">
        <v>46113</v>
      </c>
      <c r="AJ114" s="43">
        <v>46477</v>
      </c>
      <c r="AK114" s="44" t="s">
        <v>80</v>
      </c>
      <c r="AL114" s="44" t="s">
        <v>81</v>
      </c>
      <c r="AM114" s="45" t="s">
        <v>82</v>
      </c>
      <c r="AN114" s="46">
        <v>20000000</v>
      </c>
      <c r="AO114" s="46">
        <v>20000000</v>
      </c>
      <c r="AP114" s="46">
        <v>20000000</v>
      </c>
      <c r="AQ114" s="47">
        <v>0</v>
      </c>
      <c r="AR114" s="44" t="s">
        <v>83</v>
      </c>
      <c r="AS114" s="44" t="s">
        <v>80</v>
      </c>
      <c r="AT114" s="54" t="s">
        <v>399</v>
      </c>
      <c r="AU114" s="49" t="s">
        <v>831</v>
      </c>
      <c r="AV114" s="51" t="s">
        <v>832</v>
      </c>
      <c r="AW114" s="51" t="s">
        <v>843</v>
      </c>
      <c r="AZ114" s="50">
        <f t="shared" si="28"/>
        <v>1</v>
      </c>
      <c r="BA114" s="50">
        <f t="shared" si="29"/>
        <v>0</v>
      </c>
      <c r="BB114" s="117">
        <f t="shared" si="30"/>
        <v>0</v>
      </c>
      <c r="BC114" s="50">
        <f t="shared" si="31"/>
        <v>1</v>
      </c>
      <c r="BD114" s="51"/>
      <c r="BE114" s="52">
        <f t="shared" si="22"/>
        <v>0.3</v>
      </c>
      <c r="BF114" s="52">
        <f t="shared" si="23"/>
        <v>0.3</v>
      </c>
      <c r="BG114" s="52">
        <f t="shared" si="24"/>
        <v>0.3</v>
      </c>
      <c r="BH114" s="52">
        <f t="shared" si="25"/>
        <v>0.1</v>
      </c>
      <c r="BI114" s="52">
        <f t="shared" si="26"/>
        <v>0.99999999999999989</v>
      </c>
    </row>
    <row r="115" spans="1:61" x14ac:dyDescent="0.3">
      <c r="A115" s="39">
        <v>111</v>
      </c>
      <c r="B115" s="44" t="s">
        <v>238</v>
      </c>
      <c r="C115" s="44" t="s">
        <v>64</v>
      </c>
      <c r="D115" s="44" t="s">
        <v>65</v>
      </c>
      <c r="E115" s="44" t="s">
        <v>88</v>
      </c>
      <c r="F115" s="44" t="s">
        <v>394</v>
      </c>
      <c r="G115" s="36" t="s">
        <v>401</v>
      </c>
      <c r="H115" s="36" t="s">
        <v>402</v>
      </c>
      <c r="I115" s="36" t="s">
        <v>395</v>
      </c>
      <c r="J115" s="36" t="s">
        <v>395</v>
      </c>
      <c r="K115" s="33" t="s">
        <v>151</v>
      </c>
      <c r="L115" s="33" t="s">
        <v>396</v>
      </c>
      <c r="M115" s="36" t="s">
        <v>74</v>
      </c>
      <c r="N115" s="36" t="s">
        <v>397</v>
      </c>
      <c r="O115" s="36" t="s">
        <v>76</v>
      </c>
      <c r="P115" s="36" t="s">
        <v>417</v>
      </c>
      <c r="Q115" s="36" t="s">
        <v>78</v>
      </c>
      <c r="R115" s="37">
        <v>29</v>
      </c>
      <c r="S115" s="33" t="s">
        <v>79</v>
      </c>
      <c r="T115" s="39">
        <v>0</v>
      </c>
      <c r="U115" s="39">
        <v>0</v>
      </c>
      <c r="V115" s="40" t="e">
        <f t="shared" si="20"/>
        <v>#DIV/0!</v>
      </c>
      <c r="W115" s="39">
        <v>10</v>
      </c>
      <c r="X115" s="39">
        <v>0</v>
      </c>
      <c r="Y115" s="40">
        <f t="shared" si="1"/>
        <v>0</v>
      </c>
      <c r="Z115" s="39">
        <v>10</v>
      </c>
      <c r="AA115" s="39"/>
      <c r="AB115" s="40">
        <f t="shared" si="2"/>
        <v>0</v>
      </c>
      <c r="AC115" s="39">
        <v>9</v>
      </c>
      <c r="AD115" s="39"/>
      <c r="AE115" s="40">
        <f t="shared" si="3"/>
        <v>0</v>
      </c>
      <c r="AF115" s="41">
        <f t="shared" si="27"/>
        <v>29</v>
      </c>
      <c r="AG115" s="41">
        <f t="shared" si="21"/>
        <v>0</v>
      </c>
      <c r="AH115" s="42">
        <f t="shared" si="5"/>
        <v>0</v>
      </c>
      <c r="AI115" s="43">
        <v>46054</v>
      </c>
      <c r="AJ115" s="43">
        <v>46477</v>
      </c>
      <c r="AK115" s="44" t="s">
        <v>80</v>
      </c>
      <c r="AL115" s="44" t="s">
        <v>81</v>
      </c>
      <c r="AM115" s="45" t="s">
        <v>82</v>
      </c>
      <c r="AN115" s="46">
        <v>100000000</v>
      </c>
      <c r="AO115" s="46">
        <v>100000000</v>
      </c>
      <c r="AP115" s="46">
        <v>100000000</v>
      </c>
      <c r="AQ115" s="47">
        <v>0</v>
      </c>
      <c r="AR115" s="44" t="s">
        <v>127</v>
      </c>
      <c r="AS115" s="44" t="s">
        <v>80</v>
      </c>
      <c r="AT115" s="54" t="s">
        <v>399</v>
      </c>
      <c r="AU115" s="49" t="s">
        <v>831</v>
      </c>
      <c r="AV115" s="51" t="s">
        <v>832</v>
      </c>
      <c r="AW115" s="51" t="s">
        <v>843</v>
      </c>
      <c r="AZ115" s="50">
        <f t="shared" si="28"/>
        <v>29</v>
      </c>
      <c r="BA115" s="50">
        <f t="shared" si="29"/>
        <v>0</v>
      </c>
      <c r="BB115" s="117">
        <f t="shared" si="30"/>
        <v>0</v>
      </c>
      <c r="BC115" s="50">
        <f t="shared" si="31"/>
        <v>29</v>
      </c>
      <c r="BD115" s="51"/>
      <c r="BE115" s="52">
        <f t="shared" si="22"/>
        <v>8.6999999999999993</v>
      </c>
      <c r="BF115" s="52">
        <f t="shared" si="23"/>
        <v>8.6999999999999993</v>
      </c>
      <c r="BG115" s="52">
        <f t="shared" si="24"/>
        <v>8.6999999999999993</v>
      </c>
      <c r="BH115" s="52">
        <f t="shared" si="25"/>
        <v>2.9000000000000004</v>
      </c>
      <c r="BI115" s="52">
        <f t="shared" si="26"/>
        <v>29</v>
      </c>
    </row>
    <row r="116" spans="1:61" x14ac:dyDescent="0.3">
      <c r="A116" s="39">
        <v>112</v>
      </c>
      <c r="B116" s="44" t="s">
        <v>238</v>
      </c>
      <c r="C116" s="44" t="s">
        <v>64</v>
      </c>
      <c r="D116" s="44" t="s">
        <v>65</v>
      </c>
      <c r="E116" s="44" t="s">
        <v>66</v>
      </c>
      <c r="F116" s="44" t="s">
        <v>350</v>
      </c>
      <c r="G116" s="36" t="s">
        <v>240</v>
      </c>
      <c r="H116" s="36" t="s">
        <v>418</v>
      </c>
      <c r="I116" s="36" t="s">
        <v>141</v>
      </c>
      <c r="J116" s="36" t="s">
        <v>141</v>
      </c>
      <c r="K116" s="33" t="s">
        <v>72</v>
      </c>
      <c r="L116" s="33" t="s">
        <v>396</v>
      </c>
      <c r="M116" s="36" t="s">
        <v>74</v>
      </c>
      <c r="N116" s="36" t="s">
        <v>419</v>
      </c>
      <c r="O116" s="36" t="s">
        <v>76</v>
      </c>
      <c r="P116" s="36" t="s">
        <v>420</v>
      </c>
      <c r="Q116" s="36" t="s">
        <v>78</v>
      </c>
      <c r="R116" s="37">
        <v>29</v>
      </c>
      <c r="S116" s="33" t="s">
        <v>79</v>
      </c>
      <c r="T116" s="39">
        <v>0</v>
      </c>
      <c r="U116" s="39">
        <v>0</v>
      </c>
      <c r="V116" s="40" t="e">
        <f t="shared" si="20"/>
        <v>#DIV/0!</v>
      </c>
      <c r="W116" s="39">
        <v>9</v>
      </c>
      <c r="X116" s="39"/>
      <c r="Y116" s="40">
        <f t="shared" si="1"/>
        <v>0</v>
      </c>
      <c r="Z116" s="39">
        <v>10</v>
      </c>
      <c r="AA116" s="39"/>
      <c r="AB116" s="40">
        <f t="shared" si="2"/>
        <v>0</v>
      </c>
      <c r="AC116" s="39">
        <v>10</v>
      </c>
      <c r="AD116" s="39"/>
      <c r="AE116" s="40">
        <f t="shared" si="3"/>
        <v>0</v>
      </c>
      <c r="AF116" s="41">
        <f t="shared" si="27"/>
        <v>29</v>
      </c>
      <c r="AG116" s="41">
        <f t="shared" si="21"/>
        <v>0</v>
      </c>
      <c r="AH116" s="42" t="e">
        <f t="shared" si="5"/>
        <v>#DIV/0!</v>
      </c>
      <c r="AI116" s="43">
        <v>46113</v>
      </c>
      <c r="AJ116" s="43">
        <v>46477</v>
      </c>
      <c r="AK116" s="44" t="s">
        <v>80</v>
      </c>
      <c r="AL116" s="44" t="s">
        <v>81</v>
      </c>
      <c r="AM116" s="45" t="s">
        <v>82</v>
      </c>
      <c r="AN116" s="46">
        <v>200000000</v>
      </c>
      <c r="AO116" s="46">
        <v>200000000</v>
      </c>
      <c r="AP116" s="46">
        <v>200000000</v>
      </c>
      <c r="AQ116" s="47">
        <v>0</v>
      </c>
      <c r="AR116" s="44" t="s">
        <v>127</v>
      </c>
      <c r="AS116" s="44" t="s">
        <v>80</v>
      </c>
      <c r="AT116" s="54" t="s">
        <v>421</v>
      </c>
      <c r="AU116" s="49" t="s">
        <v>831</v>
      </c>
      <c r="AV116" s="51" t="s">
        <v>832</v>
      </c>
      <c r="AW116" s="51" t="s">
        <v>844</v>
      </c>
      <c r="AZ116" s="50">
        <f t="shared" si="28"/>
        <v>29</v>
      </c>
      <c r="BA116" s="50">
        <f t="shared" si="29"/>
        <v>0</v>
      </c>
      <c r="BB116" s="117">
        <f t="shared" si="30"/>
        <v>0</v>
      </c>
      <c r="BC116" s="50">
        <f t="shared" si="31"/>
        <v>29</v>
      </c>
      <c r="BD116" s="51"/>
      <c r="BE116" s="52">
        <f t="shared" si="22"/>
        <v>8.6999999999999993</v>
      </c>
      <c r="BF116" s="52">
        <f t="shared" si="23"/>
        <v>8.6999999999999993</v>
      </c>
      <c r="BG116" s="52">
        <f t="shared" si="24"/>
        <v>8.6999999999999993</v>
      </c>
      <c r="BH116" s="52">
        <f t="shared" si="25"/>
        <v>2.9000000000000004</v>
      </c>
      <c r="BI116" s="52">
        <f t="shared" si="26"/>
        <v>29</v>
      </c>
    </row>
    <row r="117" spans="1:61" x14ac:dyDescent="0.3">
      <c r="A117" s="39">
        <v>113</v>
      </c>
      <c r="B117" s="44" t="s">
        <v>238</v>
      </c>
      <c r="C117" s="44" t="s">
        <v>64</v>
      </c>
      <c r="D117" s="44" t="s">
        <v>65</v>
      </c>
      <c r="E117" s="44" t="s">
        <v>66</v>
      </c>
      <c r="F117" s="44" t="s">
        <v>208</v>
      </c>
      <c r="G117" s="36" t="s">
        <v>422</v>
      </c>
      <c r="H117" s="36" t="s">
        <v>348</v>
      </c>
      <c r="I117" s="36" t="s">
        <v>423</v>
      </c>
      <c r="J117" s="36" t="s">
        <v>423</v>
      </c>
      <c r="K117" s="33" t="s">
        <v>72</v>
      </c>
      <c r="L117" s="33" t="s">
        <v>396</v>
      </c>
      <c r="M117" s="36" t="s">
        <v>74</v>
      </c>
      <c r="N117" s="36" t="s">
        <v>352</v>
      </c>
      <c r="O117" s="36" t="s">
        <v>76</v>
      </c>
      <c r="P117" s="36" t="s">
        <v>424</v>
      </c>
      <c r="Q117" s="36" t="s">
        <v>78</v>
      </c>
      <c r="R117" s="37">
        <v>58</v>
      </c>
      <c r="S117" s="33" t="s">
        <v>79</v>
      </c>
      <c r="T117" s="39">
        <v>0</v>
      </c>
      <c r="U117" s="39">
        <v>0</v>
      </c>
      <c r="V117" s="40" t="e">
        <f t="shared" si="20"/>
        <v>#DIV/0!</v>
      </c>
      <c r="W117" s="39">
        <v>29</v>
      </c>
      <c r="X117" s="39">
        <v>0</v>
      </c>
      <c r="Y117" s="40">
        <f t="shared" si="1"/>
        <v>0</v>
      </c>
      <c r="Z117" s="39">
        <v>29</v>
      </c>
      <c r="AA117" s="39"/>
      <c r="AB117" s="40">
        <f t="shared" si="2"/>
        <v>0</v>
      </c>
      <c r="AC117" s="39">
        <v>29</v>
      </c>
      <c r="AD117" s="39"/>
      <c r="AE117" s="40">
        <f t="shared" si="3"/>
        <v>0</v>
      </c>
      <c r="AF117" s="41">
        <f t="shared" si="27"/>
        <v>58</v>
      </c>
      <c r="AG117" s="41">
        <f t="shared" si="21"/>
        <v>0</v>
      </c>
      <c r="AH117" s="42">
        <f t="shared" si="5"/>
        <v>0</v>
      </c>
      <c r="AI117" s="43">
        <v>46113</v>
      </c>
      <c r="AJ117" s="43">
        <v>46477</v>
      </c>
      <c r="AK117" s="44" t="s">
        <v>80</v>
      </c>
      <c r="AL117" s="44" t="s">
        <v>81</v>
      </c>
      <c r="AM117" s="45" t="s">
        <v>82</v>
      </c>
      <c r="AN117" s="46">
        <v>100000000</v>
      </c>
      <c r="AO117" s="46">
        <v>100000000</v>
      </c>
      <c r="AP117" s="46">
        <v>100000000</v>
      </c>
      <c r="AQ117" s="47">
        <v>0</v>
      </c>
      <c r="AR117" s="44" t="s">
        <v>127</v>
      </c>
      <c r="AS117" s="44" t="s">
        <v>80</v>
      </c>
      <c r="AT117" s="54" t="s">
        <v>421</v>
      </c>
      <c r="AU117" s="49" t="s">
        <v>831</v>
      </c>
      <c r="AV117" s="51" t="s">
        <v>832</v>
      </c>
      <c r="AW117" s="51" t="s">
        <v>844</v>
      </c>
      <c r="AZ117" s="50">
        <f t="shared" si="28"/>
        <v>58</v>
      </c>
      <c r="BA117" s="50">
        <f t="shared" si="29"/>
        <v>0</v>
      </c>
      <c r="BB117" s="117">
        <f t="shared" si="30"/>
        <v>0</v>
      </c>
      <c r="BC117" s="50">
        <f t="shared" si="31"/>
        <v>58</v>
      </c>
      <c r="BD117" s="51"/>
      <c r="BE117" s="52">
        <f t="shared" si="22"/>
        <v>17.399999999999999</v>
      </c>
      <c r="BF117" s="52">
        <f t="shared" si="23"/>
        <v>17.399999999999999</v>
      </c>
      <c r="BG117" s="52">
        <f t="shared" si="24"/>
        <v>17.399999999999999</v>
      </c>
      <c r="BH117" s="52">
        <f t="shared" si="25"/>
        <v>5.8000000000000007</v>
      </c>
      <c r="BI117" s="52">
        <f t="shared" si="26"/>
        <v>58</v>
      </c>
    </row>
    <row r="118" spans="1:61" x14ac:dyDescent="0.3">
      <c r="A118" s="39">
        <v>114</v>
      </c>
      <c r="B118" s="44" t="s">
        <v>238</v>
      </c>
      <c r="C118" s="44" t="s">
        <v>163</v>
      </c>
      <c r="D118" s="44" t="s">
        <v>164</v>
      </c>
      <c r="E118" s="44" t="s">
        <v>66</v>
      </c>
      <c r="F118" s="44" t="s">
        <v>425</v>
      </c>
      <c r="G118" s="36" t="s">
        <v>422</v>
      </c>
      <c r="H118" s="36" t="s">
        <v>348</v>
      </c>
      <c r="I118" s="36" t="s">
        <v>423</v>
      </c>
      <c r="J118" s="36" t="s">
        <v>423</v>
      </c>
      <c r="K118" s="33" t="s">
        <v>72</v>
      </c>
      <c r="L118" s="33" t="s">
        <v>73</v>
      </c>
      <c r="M118" s="36" t="s">
        <v>74</v>
      </c>
      <c r="N118" s="36" t="s">
        <v>352</v>
      </c>
      <c r="O118" s="36" t="s">
        <v>76</v>
      </c>
      <c r="P118" s="36" t="s">
        <v>426</v>
      </c>
      <c r="Q118" s="36" t="s">
        <v>78</v>
      </c>
      <c r="R118" s="37">
        <v>4</v>
      </c>
      <c r="S118" s="33" t="s">
        <v>79</v>
      </c>
      <c r="T118" s="39">
        <v>0</v>
      </c>
      <c r="U118" s="39">
        <v>0</v>
      </c>
      <c r="V118" s="40">
        <v>0</v>
      </c>
      <c r="W118" s="39"/>
      <c r="X118" s="39"/>
      <c r="Y118" s="40" t="e">
        <f t="shared" si="1"/>
        <v>#DIV/0!</v>
      </c>
      <c r="Z118" s="39">
        <v>1</v>
      </c>
      <c r="AA118" s="39"/>
      <c r="AB118" s="40">
        <f t="shared" si="2"/>
        <v>0</v>
      </c>
      <c r="AC118" s="39"/>
      <c r="AD118" s="39"/>
      <c r="AE118" s="40" t="e">
        <f t="shared" si="3"/>
        <v>#DIV/0!</v>
      </c>
      <c r="AF118" s="41">
        <f t="shared" si="27"/>
        <v>4</v>
      </c>
      <c r="AG118" s="41">
        <f t="shared" si="21"/>
        <v>0</v>
      </c>
      <c r="AH118" s="42" t="e">
        <f t="shared" si="5"/>
        <v>#DIV/0!</v>
      </c>
      <c r="AI118" s="43">
        <v>46113</v>
      </c>
      <c r="AJ118" s="43">
        <v>46477</v>
      </c>
      <c r="AK118" s="44" t="s">
        <v>80</v>
      </c>
      <c r="AL118" s="44" t="s">
        <v>81</v>
      </c>
      <c r="AM118" s="45" t="s">
        <v>82</v>
      </c>
      <c r="AN118" s="46">
        <v>80000000</v>
      </c>
      <c r="AO118" s="46">
        <v>80000000</v>
      </c>
      <c r="AP118" s="46">
        <v>80000000</v>
      </c>
      <c r="AQ118" s="47">
        <v>0</v>
      </c>
      <c r="AR118" s="44" t="s">
        <v>127</v>
      </c>
      <c r="AS118" s="44" t="s">
        <v>80</v>
      </c>
      <c r="AT118" s="54" t="s">
        <v>421</v>
      </c>
      <c r="AU118" s="49" t="s">
        <v>831</v>
      </c>
      <c r="AV118" s="51" t="s">
        <v>832</v>
      </c>
      <c r="AW118" s="51" t="s">
        <v>844</v>
      </c>
      <c r="AZ118" s="50">
        <f t="shared" si="28"/>
        <v>4</v>
      </c>
      <c r="BA118" s="50">
        <f t="shared" si="29"/>
        <v>0</v>
      </c>
      <c r="BB118" s="117">
        <f t="shared" si="30"/>
        <v>0</v>
      </c>
      <c r="BC118" s="50">
        <f t="shared" si="31"/>
        <v>4</v>
      </c>
      <c r="BD118" s="51"/>
      <c r="BE118" s="52">
        <f t="shared" si="22"/>
        <v>1.2</v>
      </c>
      <c r="BF118" s="52">
        <f t="shared" si="23"/>
        <v>1.2</v>
      </c>
      <c r="BG118" s="52">
        <f t="shared" si="24"/>
        <v>1.2</v>
      </c>
      <c r="BH118" s="52">
        <f t="shared" si="25"/>
        <v>0.4</v>
      </c>
      <c r="BI118" s="52">
        <f t="shared" si="26"/>
        <v>3.9999999999999996</v>
      </c>
    </row>
    <row r="119" spans="1:61" x14ac:dyDescent="0.3">
      <c r="A119" s="39">
        <v>115</v>
      </c>
      <c r="B119" s="44" t="s">
        <v>238</v>
      </c>
      <c r="C119" s="44" t="s">
        <v>101</v>
      </c>
      <c r="D119" s="44" t="s">
        <v>87</v>
      </c>
      <c r="E119" s="44" t="s">
        <v>102</v>
      </c>
      <c r="F119" s="44" t="s">
        <v>427</v>
      </c>
      <c r="G119" s="36" t="s">
        <v>428</v>
      </c>
      <c r="H119" s="36" t="s">
        <v>348</v>
      </c>
      <c r="I119" s="36" t="s">
        <v>250</v>
      </c>
      <c r="J119" s="36" t="s">
        <v>250</v>
      </c>
      <c r="K119" s="33" t="s">
        <v>72</v>
      </c>
      <c r="L119" s="33" t="s">
        <v>73</v>
      </c>
      <c r="M119" s="36" t="s">
        <v>74</v>
      </c>
      <c r="N119" s="36" t="s">
        <v>352</v>
      </c>
      <c r="O119" s="36" t="s">
        <v>95</v>
      </c>
      <c r="P119" s="36" t="s">
        <v>429</v>
      </c>
      <c r="Q119" s="36" t="s">
        <v>97</v>
      </c>
      <c r="R119" s="37">
        <v>1</v>
      </c>
      <c r="S119" s="33" t="s">
        <v>79</v>
      </c>
      <c r="T119" s="39">
        <v>0</v>
      </c>
      <c r="U119" s="39">
        <v>0</v>
      </c>
      <c r="V119" s="40" t="e">
        <f t="shared" ref="V119:V132" si="32">U119/T119*100</f>
        <v>#DIV/0!</v>
      </c>
      <c r="W119" s="39">
        <v>0</v>
      </c>
      <c r="X119" s="39"/>
      <c r="Y119" s="40" t="e">
        <f t="shared" si="1"/>
        <v>#DIV/0!</v>
      </c>
      <c r="Z119" s="39">
        <v>1</v>
      </c>
      <c r="AA119" s="39"/>
      <c r="AB119" s="40">
        <f t="shared" si="2"/>
        <v>0</v>
      </c>
      <c r="AC119" s="39">
        <v>0</v>
      </c>
      <c r="AD119" s="39"/>
      <c r="AE119" s="40" t="e">
        <f t="shared" si="3"/>
        <v>#DIV/0!</v>
      </c>
      <c r="AF119" s="41">
        <f t="shared" si="27"/>
        <v>1</v>
      </c>
      <c r="AG119" s="41">
        <f t="shared" si="21"/>
        <v>0</v>
      </c>
      <c r="AH119" s="42" t="e">
        <f t="shared" si="5"/>
        <v>#DIV/0!</v>
      </c>
      <c r="AI119" s="43">
        <v>46113</v>
      </c>
      <c r="AJ119" s="43">
        <v>46477</v>
      </c>
      <c r="AK119" s="44" t="s">
        <v>80</v>
      </c>
      <c r="AL119" s="44" t="s">
        <v>81</v>
      </c>
      <c r="AM119" s="45" t="s">
        <v>82</v>
      </c>
      <c r="AN119" s="46">
        <v>20000000</v>
      </c>
      <c r="AO119" s="46">
        <v>20000000</v>
      </c>
      <c r="AP119" s="46">
        <v>20000000</v>
      </c>
      <c r="AQ119" s="47">
        <v>0</v>
      </c>
      <c r="AR119" s="44" t="s">
        <v>430</v>
      </c>
      <c r="AS119" s="44" t="s">
        <v>80</v>
      </c>
      <c r="AT119" s="54" t="s">
        <v>421</v>
      </c>
      <c r="AU119" s="49" t="s">
        <v>831</v>
      </c>
      <c r="AV119" s="51" t="s">
        <v>832</v>
      </c>
      <c r="AW119" s="51" t="s">
        <v>844</v>
      </c>
      <c r="AZ119" s="50">
        <f t="shared" si="28"/>
        <v>1</v>
      </c>
      <c r="BA119" s="50">
        <f t="shared" si="29"/>
        <v>0</v>
      </c>
      <c r="BB119" s="117">
        <f t="shared" si="30"/>
        <v>0</v>
      </c>
      <c r="BC119" s="50">
        <f t="shared" si="31"/>
        <v>1</v>
      </c>
      <c r="BD119" s="51"/>
      <c r="BE119" s="52">
        <f t="shared" si="22"/>
        <v>0.3</v>
      </c>
      <c r="BF119" s="52">
        <f t="shared" si="23"/>
        <v>0.3</v>
      </c>
      <c r="BG119" s="52">
        <f t="shared" si="24"/>
        <v>0.3</v>
      </c>
      <c r="BH119" s="52">
        <f t="shared" si="25"/>
        <v>0.1</v>
      </c>
      <c r="BI119" s="52">
        <f t="shared" si="26"/>
        <v>0.99999999999999989</v>
      </c>
    </row>
    <row r="120" spans="1:61" x14ac:dyDescent="0.3">
      <c r="A120" s="39">
        <v>116</v>
      </c>
      <c r="B120" s="44" t="s">
        <v>238</v>
      </c>
      <c r="C120" s="44" t="s">
        <v>101</v>
      </c>
      <c r="D120" s="44" t="s">
        <v>87</v>
      </c>
      <c r="E120" s="44" t="s">
        <v>102</v>
      </c>
      <c r="F120" s="44" t="s">
        <v>431</v>
      </c>
      <c r="G120" s="36" t="s">
        <v>428</v>
      </c>
      <c r="H120" s="36" t="s">
        <v>348</v>
      </c>
      <c r="I120" s="36" t="s">
        <v>307</v>
      </c>
      <c r="J120" s="36" t="s">
        <v>307</v>
      </c>
      <c r="K120" s="33" t="s">
        <v>72</v>
      </c>
      <c r="L120" s="33" t="s">
        <v>73</v>
      </c>
      <c r="M120" s="36" t="s">
        <v>74</v>
      </c>
      <c r="N120" s="36" t="s">
        <v>352</v>
      </c>
      <c r="O120" s="36" t="s">
        <v>95</v>
      </c>
      <c r="P120" s="36" t="s">
        <v>432</v>
      </c>
      <c r="Q120" s="36" t="s">
        <v>97</v>
      </c>
      <c r="R120" s="37">
        <v>1</v>
      </c>
      <c r="S120" s="33" t="s">
        <v>79</v>
      </c>
      <c r="T120" s="39"/>
      <c r="U120" s="39"/>
      <c r="V120" s="40" t="e">
        <f t="shared" si="32"/>
        <v>#DIV/0!</v>
      </c>
      <c r="W120" s="39">
        <v>0</v>
      </c>
      <c r="X120" s="39"/>
      <c r="Y120" s="40" t="e">
        <f t="shared" si="1"/>
        <v>#DIV/0!</v>
      </c>
      <c r="Z120" s="39">
        <v>1</v>
      </c>
      <c r="AA120" s="39"/>
      <c r="AB120" s="40">
        <f t="shared" si="2"/>
        <v>0</v>
      </c>
      <c r="AC120" s="39">
        <v>0</v>
      </c>
      <c r="AD120" s="39"/>
      <c r="AE120" s="40" t="e">
        <f t="shared" si="3"/>
        <v>#DIV/0!</v>
      </c>
      <c r="AF120" s="41">
        <f t="shared" si="27"/>
        <v>1</v>
      </c>
      <c r="AG120" s="41">
        <f t="shared" si="21"/>
        <v>0</v>
      </c>
      <c r="AH120" s="42">
        <f t="shared" si="5"/>
        <v>0</v>
      </c>
      <c r="AI120" s="43">
        <v>46113</v>
      </c>
      <c r="AJ120" s="43">
        <v>46477</v>
      </c>
      <c r="AK120" s="44" t="s">
        <v>80</v>
      </c>
      <c r="AL120" s="44" t="s">
        <v>81</v>
      </c>
      <c r="AM120" s="45" t="s">
        <v>82</v>
      </c>
      <c r="AN120" s="46">
        <v>50000000</v>
      </c>
      <c r="AO120" s="46">
        <v>50000000</v>
      </c>
      <c r="AP120" s="46">
        <v>50000000</v>
      </c>
      <c r="AQ120" s="47">
        <v>0</v>
      </c>
      <c r="AR120" s="44" t="s">
        <v>433</v>
      </c>
      <c r="AS120" s="44" t="s">
        <v>80</v>
      </c>
      <c r="AT120" s="54" t="s">
        <v>421</v>
      </c>
      <c r="AU120" s="49" t="s">
        <v>831</v>
      </c>
      <c r="AV120" s="51" t="s">
        <v>832</v>
      </c>
      <c r="AW120" s="51" t="s">
        <v>844</v>
      </c>
      <c r="AZ120" s="50">
        <f t="shared" si="28"/>
        <v>1</v>
      </c>
      <c r="BA120" s="50">
        <f t="shared" si="29"/>
        <v>0</v>
      </c>
      <c r="BB120" s="117">
        <f t="shared" si="30"/>
        <v>0</v>
      </c>
      <c r="BC120" s="50">
        <f t="shared" si="31"/>
        <v>1</v>
      </c>
      <c r="BD120" s="51"/>
      <c r="BE120" s="52">
        <f t="shared" si="22"/>
        <v>0.3</v>
      </c>
      <c r="BF120" s="52">
        <f t="shared" si="23"/>
        <v>0.3</v>
      </c>
      <c r="BG120" s="52">
        <f t="shared" si="24"/>
        <v>0.3</v>
      </c>
      <c r="BH120" s="52">
        <f t="shared" si="25"/>
        <v>0.1</v>
      </c>
      <c r="BI120" s="52">
        <f t="shared" si="26"/>
        <v>0.99999999999999989</v>
      </c>
    </row>
    <row r="121" spans="1:61" x14ac:dyDescent="0.3">
      <c r="A121" s="39">
        <v>117</v>
      </c>
      <c r="B121" s="44" t="s">
        <v>238</v>
      </c>
      <c r="C121" s="44" t="s">
        <v>86</v>
      </c>
      <c r="D121" s="44" t="s">
        <v>87</v>
      </c>
      <c r="E121" s="44" t="s">
        <v>88</v>
      </c>
      <c r="F121" s="44" t="s">
        <v>434</v>
      </c>
      <c r="G121" s="36" t="s">
        <v>428</v>
      </c>
      <c r="H121" s="36" t="s">
        <v>348</v>
      </c>
      <c r="I121" s="36" t="s">
        <v>423</v>
      </c>
      <c r="J121" s="36" t="s">
        <v>423</v>
      </c>
      <c r="K121" s="33" t="s">
        <v>72</v>
      </c>
      <c r="L121" s="33" t="s">
        <v>73</v>
      </c>
      <c r="M121" s="36" t="s">
        <v>74</v>
      </c>
      <c r="N121" s="36" t="s">
        <v>352</v>
      </c>
      <c r="O121" s="36" t="s">
        <v>95</v>
      </c>
      <c r="P121" s="36" t="s">
        <v>435</v>
      </c>
      <c r="Q121" s="36" t="s">
        <v>97</v>
      </c>
      <c r="R121" s="37">
        <v>4</v>
      </c>
      <c r="S121" s="33" t="s">
        <v>79</v>
      </c>
      <c r="T121" s="39">
        <v>0</v>
      </c>
      <c r="U121" s="39">
        <v>0</v>
      </c>
      <c r="V121" s="40" t="e">
        <f t="shared" si="32"/>
        <v>#DIV/0!</v>
      </c>
      <c r="W121" s="39">
        <v>1</v>
      </c>
      <c r="X121" s="39"/>
      <c r="Y121" s="40">
        <f t="shared" si="1"/>
        <v>0</v>
      </c>
      <c r="Z121" s="39">
        <v>1</v>
      </c>
      <c r="AA121" s="39"/>
      <c r="AB121" s="40">
        <f t="shared" si="2"/>
        <v>0</v>
      </c>
      <c r="AC121" s="39">
        <v>2</v>
      </c>
      <c r="AD121" s="39"/>
      <c r="AE121" s="40">
        <f t="shared" si="3"/>
        <v>0</v>
      </c>
      <c r="AF121" s="41">
        <f t="shared" si="27"/>
        <v>4</v>
      </c>
      <c r="AG121" s="41">
        <f t="shared" si="21"/>
        <v>0</v>
      </c>
      <c r="AH121" s="42" t="e">
        <f t="shared" si="5"/>
        <v>#DIV/0!</v>
      </c>
      <c r="AI121" s="43">
        <v>46113</v>
      </c>
      <c r="AJ121" s="43">
        <v>46477</v>
      </c>
      <c r="AK121" s="44" t="s">
        <v>80</v>
      </c>
      <c r="AL121" s="44" t="s">
        <v>81</v>
      </c>
      <c r="AM121" s="45" t="s">
        <v>82</v>
      </c>
      <c r="AN121" s="46"/>
      <c r="AO121" s="46"/>
      <c r="AP121" s="46"/>
      <c r="AQ121" s="47"/>
      <c r="AR121" s="44" t="s">
        <v>436</v>
      </c>
      <c r="AS121" s="44" t="s">
        <v>80</v>
      </c>
      <c r="AT121" s="54" t="s">
        <v>421</v>
      </c>
      <c r="AU121" s="49" t="s">
        <v>831</v>
      </c>
      <c r="AV121" s="51" t="s">
        <v>832</v>
      </c>
      <c r="AW121" s="51" t="s">
        <v>844</v>
      </c>
      <c r="AZ121" s="50">
        <f t="shared" si="28"/>
        <v>4</v>
      </c>
      <c r="BA121" s="50">
        <f t="shared" si="29"/>
        <v>0</v>
      </c>
      <c r="BB121" s="117">
        <f t="shared" si="30"/>
        <v>0</v>
      </c>
      <c r="BC121" s="50">
        <f t="shared" si="31"/>
        <v>4</v>
      </c>
      <c r="BD121" s="51"/>
      <c r="BE121" s="52">
        <f t="shared" si="22"/>
        <v>1.2</v>
      </c>
      <c r="BF121" s="52">
        <f t="shared" si="23"/>
        <v>1.2</v>
      </c>
      <c r="BG121" s="52">
        <f t="shared" si="24"/>
        <v>1.2</v>
      </c>
      <c r="BH121" s="52">
        <f t="shared" si="25"/>
        <v>0.4</v>
      </c>
      <c r="BI121" s="52">
        <f t="shared" si="26"/>
        <v>3.9999999999999996</v>
      </c>
    </row>
    <row r="122" spans="1:61" x14ac:dyDescent="0.3">
      <c r="A122" s="39">
        <v>118</v>
      </c>
      <c r="B122" s="44" t="s">
        <v>238</v>
      </c>
      <c r="C122" s="44" t="s">
        <v>101</v>
      </c>
      <c r="D122" s="44" t="s">
        <v>87</v>
      </c>
      <c r="E122" s="44" t="s">
        <v>437</v>
      </c>
      <c r="F122" s="44" t="s">
        <v>438</v>
      </c>
      <c r="G122" s="36" t="s">
        <v>428</v>
      </c>
      <c r="H122" s="36" t="s">
        <v>348</v>
      </c>
      <c r="I122" s="36" t="s">
        <v>439</v>
      </c>
      <c r="J122" s="36" t="s">
        <v>439</v>
      </c>
      <c r="K122" s="33" t="s">
        <v>72</v>
      </c>
      <c r="L122" s="33" t="s">
        <v>73</v>
      </c>
      <c r="M122" s="36" t="s">
        <v>74</v>
      </c>
      <c r="N122" s="36" t="s">
        <v>440</v>
      </c>
      <c r="O122" s="36" t="s">
        <v>441</v>
      </c>
      <c r="P122" s="36" t="s">
        <v>442</v>
      </c>
      <c r="Q122" s="36" t="s">
        <v>97</v>
      </c>
      <c r="R122" s="37">
        <v>1</v>
      </c>
      <c r="S122" s="33" t="s">
        <v>79</v>
      </c>
      <c r="T122" s="39">
        <v>0</v>
      </c>
      <c r="U122" s="39">
        <v>0</v>
      </c>
      <c r="V122" s="40" t="e">
        <f t="shared" si="32"/>
        <v>#DIV/0!</v>
      </c>
      <c r="W122" s="39">
        <v>0</v>
      </c>
      <c r="X122" s="39"/>
      <c r="Y122" s="40" t="e">
        <f t="shared" si="1"/>
        <v>#DIV/0!</v>
      </c>
      <c r="Z122" s="39">
        <v>1</v>
      </c>
      <c r="AA122" s="39"/>
      <c r="AB122" s="40">
        <f t="shared" si="2"/>
        <v>0</v>
      </c>
      <c r="AC122" s="39">
        <v>0</v>
      </c>
      <c r="AD122" s="39"/>
      <c r="AE122" s="40" t="e">
        <f t="shared" si="3"/>
        <v>#DIV/0!</v>
      </c>
      <c r="AF122" s="41">
        <f t="shared" si="27"/>
        <v>1</v>
      </c>
      <c r="AG122" s="41">
        <f t="shared" si="21"/>
        <v>0</v>
      </c>
      <c r="AH122" s="42" t="e">
        <f t="shared" si="5"/>
        <v>#DIV/0!</v>
      </c>
      <c r="AI122" s="43">
        <v>46113</v>
      </c>
      <c r="AJ122" s="43">
        <v>46477</v>
      </c>
      <c r="AK122" s="44" t="s">
        <v>80</v>
      </c>
      <c r="AL122" s="44" t="s">
        <v>81</v>
      </c>
      <c r="AM122" s="45" t="s">
        <v>82</v>
      </c>
      <c r="AN122" s="46">
        <v>20000000</v>
      </c>
      <c r="AO122" s="46">
        <v>20000000</v>
      </c>
      <c r="AP122" s="46">
        <v>20000000</v>
      </c>
      <c r="AQ122" s="47">
        <v>0</v>
      </c>
      <c r="AR122" s="44" t="s">
        <v>175</v>
      </c>
      <c r="AS122" s="44" t="s">
        <v>80</v>
      </c>
      <c r="AT122" s="54" t="s">
        <v>443</v>
      </c>
      <c r="AU122" s="118" t="s">
        <v>831</v>
      </c>
      <c r="AV122" s="51" t="s">
        <v>832</v>
      </c>
      <c r="AZ122" s="50">
        <f t="shared" si="28"/>
        <v>1</v>
      </c>
      <c r="BA122" s="50">
        <f t="shared" si="29"/>
        <v>0</v>
      </c>
      <c r="BB122" s="117">
        <f t="shared" si="30"/>
        <v>0</v>
      </c>
      <c r="BC122" s="50">
        <f t="shared" si="31"/>
        <v>1</v>
      </c>
      <c r="BD122" s="51"/>
      <c r="BE122" s="52">
        <f t="shared" si="22"/>
        <v>0.3</v>
      </c>
      <c r="BF122" s="52">
        <f t="shared" si="23"/>
        <v>0.3</v>
      </c>
      <c r="BG122" s="52">
        <f t="shared" si="24"/>
        <v>0.3</v>
      </c>
      <c r="BH122" s="52">
        <f t="shared" si="25"/>
        <v>0.1</v>
      </c>
      <c r="BI122" s="52">
        <f t="shared" si="26"/>
        <v>0.99999999999999989</v>
      </c>
    </row>
    <row r="123" spans="1:61" x14ac:dyDescent="0.3">
      <c r="A123" s="39">
        <v>119</v>
      </c>
      <c r="B123" s="44" t="s">
        <v>238</v>
      </c>
      <c r="C123" s="44" t="s">
        <v>64</v>
      </c>
      <c r="D123" s="44" t="s">
        <v>65</v>
      </c>
      <c r="E123" s="44" t="s">
        <v>66</v>
      </c>
      <c r="F123" s="44" t="s">
        <v>208</v>
      </c>
      <c r="G123" s="36" t="s">
        <v>422</v>
      </c>
      <c r="H123" s="36" t="s">
        <v>348</v>
      </c>
      <c r="I123" s="36" t="s">
        <v>385</v>
      </c>
      <c r="J123" s="36" t="s">
        <v>444</v>
      </c>
      <c r="K123" s="33" t="s">
        <v>72</v>
      </c>
      <c r="L123" s="33" t="s">
        <v>396</v>
      </c>
      <c r="M123" s="36" t="s">
        <v>74</v>
      </c>
      <c r="N123" s="36" t="s">
        <v>352</v>
      </c>
      <c r="O123" s="36" t="s">
        <v>76</v>
      </c>
      <c r="P123" s="36" t="s">
        <v>445</v>
      </c>
      <c r="Q123" s="36" t="s">
        <v>78</v>
      </c>
      <c r="R123" s="37">
        <v>29</v>
      </c>
      <c r="S123" s="33" t="s">
        <v>79</v>
      </c>
      <c r="T123" s="39">
        <v>0</v>
      </c>
      <c r="U123" s="39">
        <v>0</v>
      </c>
      <c r="V123" s="40" t="e">
        <f t="shared" si="32"/>
        <v>#DIV/0!</v>
      </c>
      <c r="W123" s="39">
        <v>10</v>
      </c>
      <c r="X123" s="39"/>
      <c r="Y123" s="40">
        <f t="shared" si="1"/>
        <v>0</v>
      </c>
      <c r="Z123" s="39">
        <v>10</v>
      </c>
      <c r="AA123" s="39"/>
      <c r="AB123" s="40">
        <f t="shared" si="2"/>
        <v>0</v>
      </c>
      <c r="AC123" s="39">
        <v>9</v>
      </c>
      <c r="AD123" s="39"/>
      <c r="AE123" s="40">
        <f t="shared" si="3"/>
        <v>0</v>
      </c>
      <c r="AF123" s="41">
        <f t="shared" si="27"/>
        <v>29</v>
      </c>
      <c r="AG123" s="41">
        <f t="shared" si="21"/>
        <v>0</v>
      </c>
      <c r="AH123" s="42" t="e">
        <f t="shared" si="5"/>
        <v>#DIV/0!</v>
      </c>
      <c r="AI123" s="43">
        <v>46113</v>
      </c>
      <c r="AJ123" s="43">
        <v>46477</v>
      </c>
      <c r="AK123" s="44" t="s">
        <v>80</v>
      </c>
      <c r="AL123" s="44" t="s">
        <v>81</v>
      </c>
      <c r="AM123" s="45" t="s">
        <v>82</v>
      </c>
      <c r="AN123" s="46">
        <v>50000000</v>
      </c>
      <c r="AO123" s="46">
        <v>50000000</v>
      </c>
      <c r="AP123" s="46">
        <v>50000000</v>
      </c>
      <c r="AQ123" s="47">
        <v>0</v>
      </c>
      <c r="AR123" s="44" t="s">
        <v>127</v>
      </c>
      <c r="AS123" s="44" t="s">
        <v>80</v>
      </c>
      <c r="AT123" s="54" t="s">
        <v>421</v>
      </c>
      <c r="AU123" s="49" t="s">
        <v>831</v>
      </c>
      <c r="AV123" s="51" t="s">
        <v>832</v>
      </c>
      <c r="AW123" s="51" t="s">
        <v>844</v>
      </c>
      <c r="AZ123" s="50">
        <f t="shared" si="28"/>
        <v>29</v>
      </c>
      <c r="BA123" s="50">
        <f t="shared" si="29"/>
        <v>0</v>
      </c>
      <c r="BB123" s="117">
        <f t="shared" si="30"/>
        <v>0</v>
      </c>
      <c r="BC123" s="50">
        <f t="shared" si="31"/>
        <v>29</v>
      </c>
      <c r="BD123" s="51"/>
      <c r="BE123" s="52">
        <f t="shared" si="22"/>
        <v>8.6999999999999993</v>
      </c>
      <c r="BF123" s="52">
        <f t="shared" si="23"/>
        <v>8.6999999999999993</v>
      </c>
      <c r="BG123" s="52">
        <f t="shared" si="24"/>
        <v>8.6999999999999993</v>
      </c>
      <c r="BH123" s="52">
        <f t="shared" si="25"/>
        <v>2.9000000000000004</v>
      </c>
      <c r="BI123" s="52">
        <f t="shared" si="26"/>
        <v>29</v>
      </c>
    </row>
    <row r="124" spans="1:61" x14ac:dyDescent="0.3">
      <c r="A124" s="39">
        <v>120</v>
      </c>
      <c r="B124" s="44" t="s">
        <v>238</v>
      </c>
      <c r="C124" s="44" t="s">
        <v>64</v>
      </c>
      <c r="D124" s="44" t="s">
        <v>65</v>
      </c>
      <c r="E124" s="44" t="s">
        <v>66</v>
      </c>
      <c r="F124" s="44" t="s">
        <v>394</v>
      </c>
      <c r="G124" s="36" t="s">
        <v>401</v>
      </c>
      <c r="H124" s="36" t="s">
        <v>402</v>
      </c>
      <c r="I124" s="36" t="s">
        <v>446</v>
      </c>
      <c r="J124" s="36" t="s">
        <v>446</v>
      </c>
      <c r="K124" s="33" t="s">
        <v>151</v>
      </c>
      <c r="L124" s="33" t="s">
        <v>396</v>
      </c>
      <c r="M124" s="36" t="s">
        <v>74</v>
      </c>
      <c r="N124" s="36" t="s">
        <v>75</v>
      </c>
      <c r="O124" s="36" t="s">
        <v>76</v>
      </c>
      <c r="P124" s="36" t="s">
        <v>447</v>
      </c>
      <c r="Q124" s="36" t="s">
        <v>78</v>
      </c>
      <c r="R124" s="37">
        <v>29</v>
      </c>
      <c r="S124" s="33" t="s">
        <v>79</v>
      </c>
      <c r="T124" s="39">
        <v>0</v>
      </c>
      <c r="U124" s="39">
        <v>0</v>
      </c>
      <c r="V124" s="40" t="e">
        <f t="shared" si="32"/>
        <v>#DIV/0!</v>
      </c>
      <c r="W124" s="39">
        <v>10</v>
      </c>
      <c r="X124" s="39"/>
      <c r="Y124" s="40">
        <f t="shared" si="1"/>
        <v>0</v>
      </c>
      <c r="Z124" s="39">
        <v>10</v>
      </c>
      <c r="AA124" s="39"/>
      <c r="AB124" s="40">
        <f t="shared" si="2"/>
        <v>0</v>
      </c>
      <c r="AC124" s="39">
        <v>9</v>
      </c>
      <c r="AD124" s="39"/>
      <c r="AE124" s="40">
        <f t="shared" si="3"/>
        <v>0</v>
      </c>
      <c r="AF124" s="41">
        <f t="shared" si="27"/>
        <v>29</v>
      </c>
      <c r="AG124" s="41">
        <f t="shared" si="21"/>
        <v>0</v>
      </c>
      <c r="AH124" s="42" t="e">
        <f t="shared" si="5"/>
        <v>#DIV/0!</v>
      </c>
      <c r="AI124" s="43">
        <v>46113</v>
      </c>
      <c r="AJ124" s="43">
        <v>46477</v>
      </c>
      <c r="AK124" s="44" t="s">
        <v>80</v>
      </c>
      <c r="AL124" s="44" t="s">
        <v>81</v>
      </c>
      <c r="AM124" s="45" t="s">
        <v>82</v>
      </c>
      <c r="AN124" s="46">
        <v>120000000</v>
      </c>
      <c r="AO124" s="46">
        <v>120000000</v>
      </c>
      <c r="AP124" s="46">
        <v>120000000</v>
      </c>
      <c r="AQ124" s="47">
        <v>0</v>
      </c>
      <c r="AR124" s="44" t="s">
        <v>127</v>
      </c>
      <c r="AS124" s="44" t="s">
        <v>80</v>
      </c>
      <c r="AT124" s="54" t="s">
        <v>421</v>
      </c>
      <c r="AU124" s="49" t="s">
        <v>831</v>
      </c>
      <c r="AV124" s="51" t="s">
        <v>832</v>
      </c>
      <c r="AW124" s="51" t="s">
        <v>844</v>
      </c>
      <c r="AZ124" s="50">
        <f t="shared" si="28"/>
        <v>29</v>
      </c>
      <c r="BA124" s="50">
        <f t="shared" si="29"/>
        <v>0</v>
      </c>
      <c r="BB124" s="117">
        <f t="shared" si="30"/>
        <v>0</v>
      </c>
      <c r="BC124" s="50">
        <f t="shared" si="31"/>
        <v>29</v>
      </c>
      <c r="BD124" s="51"/>
      <c r="BE124" s="52">
        <f t="shared" si="22"/>
        <v>8.6999999999999993</v>
      </c>
      <c r="BF124" s="52">
        <f t="shared" si="23"/>
        <v>8.6999999999999993</v>
      </c>
      <c r="BG124" s="52">
        <f t="shared" si="24"/>
        <v>8.6999999999999993</v>
      </c>
      <c r="BH124" s="52">
        <f t="shared" si="25"/>
        <v>2.9000000000000004</v>
      </c>
      <c r="BI124" s="52">
        <f t="shared" si="26"/>
        <v>29</v>
      </c>
    </row>
    <row r="125" spans="1:61" x14ac:dyDescent="0.3">
      <c r="A125" s="39">
        <v>121</v>
      </c>
      <c r="B125" s="44" t="s">
        <v>238</v>
      </c>
      <c r="C125" s="44" t="s">
        <v>64</v>
      </c>
      <c r="D125" s="44" t="s">
        <v>65</v>
      </c>
      <c r="E125" s="44" t="s">
        <v>66</v>
      </c>
      <c r="F125" s="44" t="s">
        <v>394</v>
      </c>
      <c r="G125" s="36" t="s">
        <v>401</v>
      </c>
      <c r="H125" s="36" t="s">
        <v>402</v>
      </c>
      <c r="I125" s="36" t="s">
        <v>446</v>
      </c>
      <c r="J125" s="36" t="s">
        <v>446</v>
      </c>
      <c r="K125" s="33" t="s">
        <v>151</v>
      </c>
      <c r="L125" s="33" t="s">
        <v>396</v>
      </c>
      <c r="M125" s="36" t="s">
        <v>74</v>
      </c>
      <c r="N125" s="36" t="s">
        <v>75</v>
      </c>
      <c r="O125" s="36" t="s">
        <v>76</v>
      </c>
      <c r="P125" s="36" t="s">
        <v>448</v>
      </c>
      <c r="Q125" s="36" t="s">
        <v>78</v>
      </c>
      <c r="R125" s="37">
        <v>29</v>
      </c>
      <c r="S125" s="33" t="s">
        <v>79</v>
      </c>
      <c r="T125" s="39">
        <v>0</v>
      </c>
      <c r="U125" s="39">
        <v>0</v>
      </c>
      <c r="V125" s="40" t="e">
        <f t="shared" si="32"/>
        <v>#DIV/0!</v>
      </c>
      <c r="W125" s="39">
        <v>0</v>
      </c>
      <c r="X125" s="39"/>
      <c r="Y125" s="40" t="e">
        <f t="shared" si="1"/>
        <v>#DIV/0!</v>
      </c>
      <c r="Z125" s="39">
        <v>0</v>
      </c>
      <c r="AA125" s="39"/>
      <c r="AB125" s="40" t="e">
        <f t="shared" si="2"/>
        <v>#DIV/0!</v>
      </c>
      <c r="AC125" s="39">
        <v>29</v>
      </c>
      <c r="AD125" s="39"/>
      <c r="AE125" s="40">
        <f t="shared" si="3"/>
        <v>0</v>
      </c>
      <c r="AF125" s="41">
        <f t="shared" si="27"/>
        <v>29</v>
      </c>
      <c r="AG125" s="41">
        <f t="shared" si="21"/>
        <v>0</v>
      </c>
      <c r="AH125" s="42" t="e">
        <f t="shared" si="5"/>
        <v>#DIV/0!</v>
      </c>
      <c r="AI125" s="43">
        <v>46054</v>
      </c>
      <c r="AJ125" s="43">
        <v>46477</v>
      </c>
      <c r="AK125" s="44" t="s">
        <v>80</v>
      </c>
      <c r="AL125" s="44" t="s">
        <v>81</v>
      </c>
      <c r="AM125" s="45" t="s">
        <v>82</v>
      </c>
      <c r="AN125" s="46">
        <v>9239653</v>
      </c>
      <c r="AO125" s="46">
        <v>9239653</v>
      </c>
      <c r="AP125" s="46">
        <v>9239653</v>
      </c>
      <c r="AQ125" s="47">
        <v>0</v>
      </c>
      <c r="AR125" s="44"/>
      <c r="AS125" s="44" t="s">
        <v>80</v>
      </c>
      <c r="AT125" s="54" t="s">
        <v>421</v>
      </c>
      <c r="AU125" s="49" t="s">
        <v>831</v>
      </c>
      <c r="AV125" s="51" t="s">
        <v>832</v>
      </c>
      <c r="AW125" s="51" t="s">
        <v>844</v>
      </c>
      <c r="AZ125" s="50">
        <f t="shared" si="28"/>
        <v>29</v>
      </c>
      <c r="BA125" s="50">
        <f t="shared" si="29"/>
        <v>0</v>
      </c>
      <c r="BB125" s="117">
        <f t="shared" si="30"/>
        <v>0</v>
      </c>
      <c r="BC125" s="50">
        <f t="shared" si="31"/>
        <v>29</v>
      </c>
      <c r="BD125" s="51"/>
      <c r="BE125" s="52">
        <f t="shared" si="22"/>
        <v>8.6999999999999993</v>
      </c>
      <c r="BF125" s="52">
        <f t="shared" si="23"/>
        <v>8.6999999999999993</v>
      </c>
      <c r="BG125" s="52">
        <f t="shared" si="24"/>
        <v>8.6999999999999993</v>
      </c>
      <c r="BH125" s="52">
        <f t="shared" si="25"/>
        <v>2.9000000000000004</v>
      </c>
      <c r="BI125" s="52">
        <f t="shared" si="26"/>
        <v>29</v>
      </c>
    </row>
    <row r="126" spans="1:61" x14ac:dyDescent="0.3">
      <c r="A126" s="39">
        <v>122</v>
      </c>
      <c r="B126" s="44" t="s">
        <v>238</v>
      </c>
      <c r="C126" s="44" t="s">
        <v>64</v>
      </c>
      <c r="D126" s="44" t="s">
        <v>65</v>
      </c>
      <c r="E126" s="44" t="s">
        <v>66</v>
      </c>
      <c r="F126" s="44" t="s">
        <v>394</v>
      </c>
      <c r="G126" s="36" t="s">
        <v>401</v>
      </c>
      <c r="H126" s="36" t="s">
        <v>402</v>
      </c>
      <c r="I126" s="36" t="s">
        <v>446</v>
      </c>
      <c r="J126" s="36" t="s">
        <v>446</v>
      </c>
      <c r="K126" s="33" t="s">
        <v>151</v>
      </c>
      <c r="L126" s="33" t="s">
        <v>396</v>
      </c>
      <c r="M126" s="36" t="s">
        <v>74</v>
      </c>
      <c r="N126" s="36" t="s">
        <v>75</v>
      </c>
      <c r="O126" s="36" t="s">
        <v>76</v>
      </c>
      <c r="P126" s="36" t="s">
        <v>448</v>
      </c>
      <c r="Q126" s="36" t="s">
        <v>78</v>
      </c>
      <c r="R126" s="37">
        <v>29</v>
      </c>
      <c r="S126" s="33" t="s">
        <v>79</v>
      </c>
      <c r="T126" s="39">
        <v>0</v>
      </c>
      <c r="U126" s="39">
        <v>0</v>
      </c>
      <c r="V126" s="40" t="e">
        <f t="shared" si="32"/>
        <v>#DIV/0!</v>
      </c>
      <c r="W126" s="39">
        <v>0</v>
      </c>
      <c r="X126" s="39"/>
      <c r="Y126" s="40" t="e">
        <f t="shared" si="1"/>
        <v>#DIV/0!</v>
      </c>
      <c r="Z126" s="39">
        <v>0</v>
      </c>
      <c r="AA126" s="39"/>
      <c r="AB126" s="40" t="e">
        <f t="shared" si="2"/>
        <v>#DIV/0!</v>
      </c>
      <c r="AC126" s="39">
        <v>29</v>
      </c>
      <c r="AD126" s="39"/>
      <c r="AE126" s="40">
        <f t="shared" si="3"/>
        <v>0</v>
      </c>
      <c r="AF126" s="41">
        <f t="shared" si="27"/>
        <v>29</v>
      </c>
      <c r="AG126" s="41">
        <f t="shared" si="21"/>
        <v>0</v>
      </c>
      <c r="AH126" s="42" t="e">
        <f t="shared" si="5"/>
        <v>#DIV/0!</v>
      </c>
      <c r="AI126" s="43">
        <v>46113</v>
      </c>
      <c r="AJ126" s="43">
        <v>46477</v>
      </c>
      <c r="AK126" s="44" t="s">
        <v>80</v>
      </c>
      <c r="AL126" s="44" t="s">
        <v>81</v>
      </c>
      <c r="AM126" s="45" t="s">
        <v>82</v>
      </c>
      <c r="AN126" s="46">
        <v>92000000</v>
      </c>
      <c r="AO126" s="46">
        <v>92000000</v>
      </c>
      <c r="AP126" s="46">
        <v>92000000</v>
      </c>
      <c r="AQ126" s="47">
        <v>0</v>
      </c>
      <c r="AR126" s="44" t="s">
        <v>127</v>
      </c>
      <c r="AS126" s="44" t="s">
        <v>80</v>
      </c>
      <c r="AT126" s="54" t="s">
        <v>421</v>
      </c>
      <c r="AU126" s="49" t="s">
        <v>831</v>
      </c>
      <c r="AV126" s="51" t="s">
        <v>832</v>
      </c>
      <c r="AW126" s="51" t="s">
        <v>844</v>
      </c>
      <c r="AZ126" s="50">
        <f t="shared" si="28"/>
        <v>29</v>
      </c>
      <c r="BA126" s="50">
        <f t="shared" si="29"/>
        <v>0</v>
      </c>
      <c r="BB126" s="117">
        <f t="shared" si="30"/>
        <v>0</v>
      </c>
      <c r="BC126" s="50">
        <f t="shared" si="31"/>
        <v>29</v>
      </c>
      <c r="BD126" s="51"/>
      <c r="BE126" s="52">
        <f t="shared" si="22"/>
        <v>8.6999999999999993</v>
      </c>
      <c r="BF126" s="52">
        <f t="shared" si="23"/>
        <v>8.6999999999999993</v>
      </c>
      <c r="BG126" s="52">
        <f t="shared" si="24"/>
        <v>8.6999999999999993</v>
      </c>
      <c r="BH126" s="52">
        <f t="shared" si="25"/>
        <v>2.9000000000000004</v>
      </c>
      <c r="BI126" s="52">
        <f t="shared" si="26"/>
        <v>29</v>
      </c>
    </row>
    <row r="127" spans="1:61" x14ac:dyDescent="0.3">
      <c r="A127" s="39">
        <v>123</v>
      </c>
      <c r="B127" s="44" t="s">
        <v>238</v>
      </c>
      <c r="C127" s="44" t="s">
        <v>101</v>
      </c>
      <c r="D127" s="44" t="s">
        <v>87</v>
      </c>
      <c r="E127" s="44" t="s">
        <v>88</v>
      </c>
      <c r="F127" s="44" t="s">
        <v>400</v>
      </c>
      <c r="G127" s="36" t="s">
        <v>401</v>
      </c>
      <c r="H127" s="36" t="s">
        <v>402</v>
      </c>
      <c r="I127" s="36" t="s">
        <v>446</v>
      </c>
      <c r="J127" s="36" t="s">
        <v>446</v>
      </c>
      <c r="K127" s="33" t="s">
        <v>151</v>
      </c>
      <c r="L127" s="33" t="s">
        <v>403</v>
      </c>
      <c r="M127" s="36" t="s">
        <v>74</v>
      </c>
      <c r="N127" s="36" t="s">
        <v>401</v>
      </c>
      <c r="O127" s="36" t="s">
        <v>95</v>
      </c>
      <c r="P127" s="36" t="s">
        <v>449</v>
      </c>
      <c r="Q127" s="36" t="s">
        <v>97</v>
      </c>
      <c r="R127" s="37">
        <v>1</v>
      </c>
      <c r="S127" s="33" t="s">
        <v>79</v>
      </c>
      <c r="T127" s="39">
        <v>0</v>
      </c>
      <c r="U127" s="39">
        <v>0</v>
      </c>
      <c r="V127" s="40" t="e">
        <f t="shared" si="32"/>
        <v>#DIV/0!</v>
      </c>
      <c r="W127" s="39">
        <v>0</v>
      </c>
      <c r="X127" s="39"/>
      <c r="Y127" s="40" t="e">
        <f t="shared" si="1"/>
        <v>#DIV/0!</v>
      </c>
      <c r="Z127" s="39">
        <v>0</v>
      </c>
      <c r="AA127" s="39"/>
      <c r="AB127" s="40" t="e">
        <f t="shared" si="2"/>
        <v>#DIV/0!</v>
      </c>
      <c r="AC127" s="39">
        <v>1</v>
      </c>
      <c r="AD127" s="39"/>
      <c r="AE127" s="40">
        <f t="shared" si="3"/>
        <v>0</v>
      </c>
      <c r="AF127" s="41">
        <f t="shared" si="27"/>
        <v>1</v>
      </c>
      <c r="AG127" s="41">
        <f t="shared" si="21"/>
        <v>0</v>
      </c>
      <c r="AH127" s="42" t="e">
        <f t="shared" si="5"/>
        <v>#DIV/0!</v>
      </c>
      <c r="AI127" s="43">
        <v>46113</v>
      </c>
      <c r="AJ127" s="43">
        <v>46477</v>
      </c>
      <c r="AK127" s="44" t="s">
        <v>80</v>
      </c>
      <c r="AL127" s="44" t="s">
        <v>81</v>
      </c>
      <c r="AM127" s="45" t="s">
        <v>82</v>
      </c>
      <c r="AN127" s="46">
        <v>9239653</v>
      </c>
      <c r="AO127" s="46">
        <v>9239653</v>
      </c>
      <c r="AP127" s="46">
        <v>9239653</v>
      </c>
      <c r="AQ127" s="47">
        <v>0</v>
      </c>
      <c r="AR127" s="44" t="s">
        <v>433</v>
      </c>
      <c r="AS127" s="44" t="s">
        <v>80</v>
      </c>
      <c r="AT127" s="54" t="s">
        <v>421</v>
      </c>
      <c r="AU127" s="49" t="s">
        <v>831</v>
      </c>
      <c r="AV127" s="51" t="s">
        <v>832</v>
      </c>
      <c r="AW127" s="51" t="s">
        <v>844</v>
      </c>
      <c r="AZ127" s="50">
        <f t="shared" si="28"/>
        <v>1</v>
      </c>
      <c r="BA127" s="50">
        <f t="shared" si="29"/>
        <v>0</v>
      </c>
      <c r="BB127" s="117">
        <f t="shared" si="30"/>
        <v>0</v>
      </c>
      <c r="BC127" s="50">
        <f t="shared" si="31"/>
        <v>1</v>
      </c>
      <c r="BD127" s="51"/>
      <c r="BE127" s="52">
        <f t="shared" si="22"/>
        <v>0.3</v>
      </c>
      <c r="BF127" s="52">
        <f t="shared" si="23"/>
        <v>0.3</v>
      </c>
      <c r="BG127" s="52">
        <f t="shared" si="24"/>
        <v>0.3</v>
      </c>
      <c r="BH127" s="52">
        <f t="shared" si="25"/>
        <v>0.1</v>
      </c>
      <c r="BI127" s="52">
        <f t="shared" si="26"/>
        <v>0.99999999999999989</v>
      </c>
    </row>
    <row r="128" spans="1:61" x14ac:dyDescent="0.3">
      <c r="A128" s="39">
        <v>124</v>
      </c>
      <c r="B128" s="44" t="s">
        <v>238</v>
      </c>
      <c r="C128" s="44" t="s">
        <v>101</v>
      </c>
      <c r="D128" s="44" t="s">
        <v>87</v>
      </c>
      <c r="E128" s="44" t="s">
        <v>88</v>
      </c>
      <c r="F128" s="44" t="s">
        <v>400</v>
      </c>
      <c r="G128" s="36" t="s">
        <v>401</v>
      </c>
      <c r="H128" s="36" t="s">
        <v>402</v>
      </c>
      <c r="I128" s="36" t="s">
        <v>446</v>
      </c>
      <c r="J128" s="36" t="s">
        <v>446</v>
      </c>
      <c r="K128" s="33" t="s">
        <v>151</v>
      </c>
      <c r="L128" s="33" t="s">
        <v>403</v>
      </c>
      <c r="M128" s="36" t="s">
        <v>74</v>
      </c>
      <c r="N128" s="36" t="s">
        <v>401</v>
      </c>
      <c r="O128" s="36" t="s">
        <v>95</v>
      </c>
      <c r="P128" s="36" t="s">
        <v>449</v>
      </c>
      <c r="Q128" s="36" t="s">
        <v>97</v>
      </c>
      <c r="R128" s="37">
        <v>1</v>
      </c>
      <c r="S128" s="33" t="s">
        <v>79</v>
      </c>
      <c r="T128" s="39">
        <v>0</v>
      </c>
      <c r="U128" s="39">
        <v>0</v>
      </c>
      <c r="V128" s="40" t="e">
        <f t="shared" si="32"/>
        <v>#DIV/0!</v>
      </c>
      <c r="W128" s="39">
        <v>0</v>
      </c>
      <c r="X128" s="39"/>
      <c r="Y128" s="40" t="e">
        <f t="shared" si="1"/>
        <v>#DIV/0!</v>
      </c>
      <c r="Z128" s="39">
        <v>0</v>
      </c>
      <c r="AA128" s="39"/>
      <c r="AB128" s="40" t="e">
        <f t="shared" si="2"/>
        <v>#DIV/0!</v>
      </c>
      <c r="AC128" s="39">
        <v>1</v>
      </c>
      <c r="AD128" s="39"/>
      <c r="AE128" s="40">
        <f t="shared" si="3"/>
        <v>0</v>
      </c>
      <c r="AF128" s="41">
        <f t="shared" si="27"/>
        <v>1</v>
      </c>
      <c r="AG128" s="41">
        <f t="shared" si="21"/>
        <v>0</v>
      </c>
      <c r="AH128" s="42" t="e">
        <f t="shared" si="5"/>
        <v>#DIV/0!</v>
      </c>
      <c r="AI128" s="43">
        <v>46113</v>
      </c>
      <c r="AJ128" s="43">
        <v>46477</v>
      </c>
      <c r="AK128" s="44" t="s">
        <v>80</v>
      </c>
      <c r="AL128" s="44" t="s">
        <v>81</v>
      </c>
      <c r="AM128" s="45" t="s">
        <v>82</v>
      </c>
      <c r="AN128" s="46">
        <v>15000000</v>
      </c>
      <c r="AO128" s="46">
        <v>15000000</v>
      </c>
      <c r="AP128" s="46">
        <v>15000000</v>
      </c>
      <c r="AQ128" s="47">
        <v>0</v>
      </c>
      <c r="AR128" s="44" t="s">
        <v>83</v>
      </c>
      <c r="AS128" s="44" t="s">
        <v>80</v>
      </c>
      <c r="AT128" s="54" t="s">
        <v>450</v>
      </c>
      <c r="AU128" s="49" t="s">
        <v>831</v>
      </c>
      <c r="AV128" s="51" t="s">
        <v>832</v>
      </c>
      <c r="AW128" s="51" t="s">
        <v>845</v>
      </c>
      <c r="AZ128" s="50">
        <f t="shared" si="28"/>
        <v>1</v>
      </c>
      <c r="BA128" s="50">
        <f t="shared" si="29"/>
        <v>0</v>
      </c>
      <c r="BB128" s="117">
        <f t="shared" si="30"/>
        <v>0</v>
      </c>
      <c r="BC128" s="50">
        <f t="shared" si="31"/>
        <v>1</v>
      </c>
      <c r="BD128" s="51"/>
      <c r="BE128" s="52">
        <f t="shared" si="22"/>
        <v>0.3</v>
      </c>
      <c r="BF128" s="52">
        <f t="shared" si="23"/>
        <v>0.3</v>
      </c>
      <c r="BG128" s="52">
        <f t="shared" si="24"/>
        <v>0.3</v>
      </c>
      <c r="BH128" s="52">
        <f t="shared" si="25"/>
        <v>0.1</v>
      </c>
      <c r="BI128" s="52">
        <f t="shared" si="26"/>
        <v>0.99999999999999989</v>
      </c>
    </row>
    <row r="129" spans="1:61" x14ac:dyDescent="0.3">
      <c r="A129" s="39">
        <v>125</v>
      </c>
      <c r="B129" s="44" t="s">
        <v>238</v>
      </c>
      <c r="C129" s="44" t="s">
        <v>408</v>
      </c>
      <c r="D129" s="44" t="s">
        <v>409</v>
      </c>
      <c r="E129" s="44" t="s">
        <v>88</v>
      </c>
      <c r="F129" s="44" t="s">
        <v>451</v>
      </c>
      <c r="G129" s="36" t="s">
        <v>452</v>
      </c>
      <c r="H129" s="36" t="s">
        <v>453</v>
      </c>
      <c r="I129" s="36" t="s">
        <v>446</v>
      </c>
      <c r="J129" s="36" t="s">
        <v>446</v>
      </c>
      <c r="K129" s="33" t="s">
        <v>72</v>
      </c>
      <c r="L129" s="33" t="s">
        <v>73</v>
      </c>
      <c r="M129" s="36" t="s">
        <v>74</v>
      </c>
      <c r="N129" s="36" t="s">
        <v>454</v>
      </c>
      <c r="O129" s="36" t="s">
        <v>95</v>
      </c>
      <c r="P129" s="36" t="s">
        <v>455</v>
      </c>
      <c r="Q129" s="36" t="s">
        <v>97</v>
      </c>
      <c r="R129" s="37">
        <v>100</v>
      </c>
      <c r="S129" s="33" t="s">
        <v>126</v>
      </c>
      <c r="T129" s="39">
        <v>25</v>
      </c>
      <c r="U129" s="39">
        <v>0</v>
      </c>
      <c r="V129" s="40">
        <f t="shared" si="32"/>
        <v>0</v>
      </c>
      <c r="W129" s="39">
        <v>25</v>
      </c>
      <c r="X129" s="39">
        <v>0</v>
      </c>
      <c r="Y129" s="40">
        <f t="shared" si="1"/>
        <v>0</v>
      </c>
      <c r="Z129" s="39">
        <v>25</v>
      </c>
      <c r="AA129" s="39"/>
      <c r="AB129" s="40">
        <f t="shared" si="2"/>
        <v>0</v>
      </c>
      <c r="AC129" s="39">
        <v>25</v>
      </c>
      <c r="AD129" s="39"/>
      <c r="AE129" s="40">
        <f t="shared" si="3"/>
        <v>0</v>
      </c>
      <c r="AF129" s="41">
        <f t="shared" si="27"/>
        <v>100</v>
      </c>
      <c r="AG129" s="41">
        <f t="shared" si="21"/>
        <v>0</v>
      </c>
      <c r="AH129" s="42">
        <f t="shared" si="5"/>
        <v>0</v>
      </c>
      <c r="AI129" s="43">
        <v>46113</v>
      </c>
      <c r="AJ129" s="43">
        <v>46477</v>
      </c>
      <c r="AK129" s="44" t="s">
        <v>80</v>
      </c>
      <c r="AL129" s="44" t="s">
        <v>81</v>
      </c>
      <c r="AM129" s="45" t="s">
        <v>82</v>
      </c>
      <c r="AN129" s="46">
        <v>58261013</v>
      </c>
      <c r="AO129" s="46">
        <v>58261013</v>
      </c>
      <c r="AP129" s="46">
        <v>58261013</v>
      </c>
      <c r="AQ129" s="47">
        <v>0</v>
      </c>
      <c r="AR129" s="44" t="s">
        <v>83</v>
      </c>
      <c r="AS129" s="44" t="s">
        <v>80</v>
      </c>
      <c r="AT129" s="54" t="s">
        <v>450</v>
      </c>
      <c r="AU129" s="49" t="s">
        <v>831</v>
      </c>
      <c r="AV129" s="51" t="s">
        <v>832</v>
      </c>
      <c r="AW129" s="51" t="s">
        <v>845</v>
      </c>
      <c r="AZ129" s="50">
        <f t="shared" si="28"/>
        <v>100</v>
      </c>
      <c r="BA129" s="50">
        <f t="shared" si="29"/>
        <v>0</v>
      </c>
      <c r="BB129" s="117">
        <f t="shared" si="30"/>
        <v>0</v>
      </c>
      <c r="BC129" s="50">
        <f t="shared" si="31"/>
        <v>100</v>
      </c>
      <c r="BD129" s="51"/>
      <c r="BE129" s="52">
        <f t="shared" si="22"/>
        <v>30</v>
      </c>
      <c r="BF129" s="52">
        <f t="shared" si="23"/>
        <v>30</v>
      </c>
      <c r="BG129" s="52">
        <f t="shared" si="24"/>
        <v>30</v>
      </c>
      <c r="BH129" s="52">
        <f t="shared" si="25"/>
        <v>10</v>
      </c>
      <c r="BI129" s="52">
        <f t="shared" si="26"/>
        <v>100</v>
      </c>
    </row>
    <row r="130" spans="1:61" x14ac:dyDescent="0.3">
      <c r="A130" s="39">
        <v>126</v>
      </c>
      <c r="B130" s="44" t="s">
        <v>238</v>
      </c>
      <c r="C130" s="44" t="s">
        <v>64</v>
      </c>
      <c r="D130" s="44" t="s">
        <v>65</v>
      </c>
      <c r="E130" s="44" t="s">
        <v>258</v>
      </c>
      <c r="F130" s="44" t="s">
        <v>456</v>
      </c>
      <c r="G130" s="36" t="s">
        <v>457</v>
      </c>
      <c r="H130" s="36" t="s">
        <v>457</v>
      </c>
      <c r="I130" s="36" t="s">
        <v>457</v>
      </c>
      <c r="J130" s="36" t="s">
        <v>457</v>
      </c>
      <c r="K130" s="33" t="s">
        <v>72</v>
      </c>
      <c r="L130" s="33" t="s">
        <v>73</v>
      </c>
      <c r="M130" s="36" t="s">
        <v>74</v>
      </c>
      <c r="N130" s="36" t="s">
        <v>454</v>
      </c>
      <c r="O130" s="36" t="s">
        <v>406</v>
      </c>
      <c r="P130" s="36" t="s">
        <v>458</v>
      </c>
      <c r="Q130" s="36" t="s">
        <v>78</v>
      </c>
      <c r="R130" s="37">
        <v>29</v>
      </c>
      <c r="S130" s="33" t="s">
        <v>79</v>
      </c>
      <c r="T130" s="39">
        <v>0</v>
      </c>
      <c r="U130" s="39">
        <v>0</v>
      </c>
      <c r="V130" s="40" t="e">
        <f t="shared" si="32"/>
        <v>#DIV/0!</v>
      </c>
      <c r="W130" s="39">
        <v>10</v>
      </c>
      <c r="X130" s="39"/>
      <c r="Y130" s="40">
        <f t="shared" si="1"/>
        <v>0</v>
      </c>
      <c r="Z130" s="39">
        <v>10</v>
      </c>
      <c r="AA130" s="39"/>
      <c r="AB130" s="40">
        <f t="shared" si="2"/>
        <v>0</v>
      </c>
      <c r="AC130" s="39">
        <v>9</v>
      </c>
      <c r="AD130" s="39"/>
      <c r="AE130" s="40">
        <f t="shared" si="3"/>
        <v>0</v>
      </c>
      <c r="AF130" s="41">
        <f t="shared" si="27"/>
        <v>29</v>
      </c>
      <c r="AG130" s="41">
        <f t="shared" si="21"/>
        <v>0</v>
      </c>
      <c r="AH130" s="42" t="e">
        <f t="shared" si="5"/>
        <v>#DIV/0!</v>
      </c>
      <c r="AI130" s="43">
        <v>46113</v>
      </c>
      <c r="AJ130" s="43">
        <v>46477</v>
      </c>
      <c r="AK130" s="44" t="s">
        <v>80</v>
      </c>
      <c r="AL130" s="44" t="s">
        <v>81</v>
      </c>
      <c r="AM130" s="45" t="s">
        <v>82</v>
      </c>
      <c r="AN130" s="46">
        <v>100000000</v>
      </c>
      <c r="AO130" s="46">
        <v>100000000</v>
      </c>
      <c r="AP130" s="46">
        <v>100000000</v>
      </c>
      <c r="AQ130" s="47">
        <v>0</v>
      </c>
      <c r="AR130" s="44" t="s">
        <v>83</v>
      </c>
      <c r="AS130" s="44" t="s">
        <v>80</v>
      </c>
      <c r="AT130" s="54" t="s">
        <v>450</v>
      </c>
      <c r="AU130" s="49" t="s">
        <v>831</v>
      </c>
      <c r="AV130" s="51" t="s">
        <v>832</v>
      </c>
      <c r="AW130" s="51" t="s">
        <v>845</v>
      </c>
      <c r="AZ130" s="50">
        <f t="shared" si="28"/>
        <v>29</v>
      </c>
      <c r="BA130" s="50">
        <f t="shared" si="29"/>
        <v>0</v>
      </c>
      <c r="BB130" s="117">
        <f t="shared" si="30"/>
        <v>0</v>
      </c>
      <c r="BC130" s="50">
        <f t="shared" si="31"/>
        <v>29</v>
      </c>
      <c r="BD130" s="51"/>
      <c r="BE130" s="52">
        <f t="shared" si="22"/>
        <v>8.6999999999999993</v>
      </c>
      <c r="BF130" s="52">
        <f t="shared" si="23"/>
        <v>8.6999999999999993</v>
      </c>
      <c r="BG130" s="52">
        <f t="shared" si="24"/>
        <v>8.6999999999999993</v>
      </c>
      <c r="BH130" s="52">
        <f t="shared" si="25"/>
        <v>2.9000000000000004</v>
      </c>
      <c r="BI130" s="52">
        <f t="shared" si="26"/>
        <v>29</v>
      </c>
    </row>
    <row r="131" spans="1:61" x14ac:dyDescent="0.3">
      <c r="A131" s="39">
        <v>127</v>
      </c>
      <c r="B131" s="44" t="s">
        <v>238</v>
      </c>
      <c r="C131" s="44" t="s">
        <v>163</v>
      </c>
      <c r="D131" s="44" t="s">
        <v>164</v>
      </c>
      <c r="E131" s="44" t="s">
        <v>459</v>
      </c>
      <c r="F131" s="44" t="s">
        <v>460</v>
      </c>
      <c r="G131" s="36" t="s">
        <v>461</v>
      </c>
      <c r="H131" s="36" t="s">
        <v>269</v>
      </c>
      <c r="I131" s="36" t="s">
        <v>446</v>
      </c>
      <c r="J131" s="36" t="s">
        <v>446</v>
      </c>
      <c r="K131" s="33" t="s">
        <v>72</v>
      </c>
      <c r="L131" s="33" t="s">
        <v>73</v>
      </c>
      <c r="M131" s="36" t="s">
        <v>74</v>
      </c>
      <c r="N131" s="36" t="s">
        <v>462</v>
      </c>
      <c r="O131" s="36" t="s">
        <v>463</v>
      </c>
      <c r="P131" s="59" t="s">
        <v>464</v>
      </c>
      <c r="Q131" s="36" t="s">
        <v>97</v>
      </c>
      <c r="R131" s="37">
        <v>29</v>
      </c>
      <c r="S131" s="33" t="s">
        <v>79</v>
      </c>
      <c r="T131" s="39">
        <v>0</v>
      </c>
      <c r="U131" s="60">
        <v>0</v>
      </c>
      <c r="V131" s="40" t="e">
        <f t="shared" si="32"/>
        <v>#DIV/0!</v>
      </c>
      <c r="W131" s="39">
        <v>10</v>
      </c>
      <c r="X131" s="39"/>
      <c r="Y131" s="40">
        <f t="shared" si="1"/>
        <v>0</v>
      </c>
      <c r="Z131" s="39">
        <v>10</v>
      </c>
      <c r="AA131" s="39"/>
      <c r="AB131" s="40">
        <f t="shared" si="2"/>
        <v>0</v>
      </c>
      <c r="AC131" s="39">
        <v>9</v>
      </c>
      <c r="AD131" s="39"/>
      <c r="AE131" s="40">
        <f t="shared" si="3"/>
        <v>0</v>
      </c>
      <c r="AF131" s="41">
        <f t="shared" si="27"/>
        <v>29</v>
      </c>
      <c r="AG131" s="41">
        <f t="shared" si="21"/>
        <v>0</v>
      </c>
      <c r="AH131" s="42" t="e">
        <f t="shared" si="5"/>
        <v>#DIV/0!</v>
      </c>
      <c r="AI131" s="43">
        <v>46113</v>
      </c>
      <c r="AJ131" s="43">
        <v>46477</v>
      </c>
      <c r="AK131" s="44" t="s">
        <v>80</v>
      </c>
      <c r="AL131" s="44" t="s">
        <v>81</v>
      </c>
      <c r="AM131" s="45" t="s">
        <v>82</v>
      </c>
      <c r="AN131" s="46">
        <v>60000000</v>
      </c>
      <c r="AO131" s="46">
        <v>60000000</v>
      </c>
      <c r="AP131" s="46">
        <v>60000000</v>
      </c>
      <c r="AQ131" s="47">
        <v>0</v>
      </c>
      <c r="AR131" s="44" t="s">
        <v>127</v>
      </c>
      <c r="AS131" s="44" t="s">
        <v>80</v>
      </c>
      <c r="AT131" s="54" t="s">
        <v>450</v>
      </c>
      <c r="AU131" s="49" t="s">
        <v>831</v>
      </c>
      <c r="AV131" s="51" t="s">
        <v>832</v>
      </c>
      <c r="AW131" s="51" t="s">
        <v>845</v>
      </c>
      <c r="AZ131" s="50">
        <f t="shared" si="28"/>
        <v>29</v>
      </c>
      <c r="BA131" s="50">
        <f t="shared" si="29"/>
        <v>0</v>
      </c>
      <c r="BB131" s="117">
        <f t="shared" si="30"/>
        <v>0</v>
      </c>
      <c r="BC131" s="50">
        <f t="shared" si="31"/>
        <v>29</v>
      </c>
      <c r="BD131" s="51"/>
      <c r="BE131" s="52">
        <f t="shared" si="22"/>
        <v>8.6999999999999993</v>
      </c>
      <c r="BF131" s="52">
        <f t="shared" si="23"/>
        <v>8.6999999999999993</v>
      </c>
      <c r="BG131" s="52">
        <f t="shared" si="24"/>
        <v>8.6999999999999993</v>
      </c>
      <c r="BH131" s="52">
        <f t="shared" si="25"/>
        <v>2.9000000000000004</v>
      </c>
      <c r="BI131" s="52">
        <f t="shared" si="26"/>
        <v>29</v>
      </c>
    </row>
    <row r="132" spans="1:61" x14ac:dyDescent="0.3">
      <c r="A132" s="39">
        <v>128</v>
      </c>
      <c r="B132" s="44" t="s">
        <v>238</v>
      </c>
      <c r="C132" s="44" t="s">
        <v>101</v>
      </c>
      <c r="D132" s="44" t="s">
        <v>87</v>
      </c>
      <c r="E132" s="44" t="s">
        <v>258</v>
      </c>
      <c r="F132" s="44" t="s">
        <v>465</v>
      </c>
      <c r="G132" s="36" t="s">
        <v>461</v>
      </c>
      <c r="H132" s="36" t="s">
        <v>269</v>
      </c>
      <c r="I132" s="36" t="s">
        <v>70</v>
      </c>
      <c r="J132" s="36" t="s">
        <v>70</v>
      </c>
      <c r="K132" s="33" t="s">
        <v>72</v>
      </c>
      <c r="L132" s="33" t="s">
        <v>73</v>
      </c>
      <c r="M132" s="36" t="s">
        <v>74</v>
      </c>
      <c r="N132" s="36" t="s">
        <v>466</v>
      </c>
      <c r="O132" s="36" t="s">
        <v>467</v>
      </c>
      <c r="P132" s="59" t="s">
        <v>468</v>
      </c>
      <c r="Q132" s="36" t="s">
        <v>97</v>
      </c>
      <c r="R132" s="37">
        <v>1</v>
      </c>
      <c r="S132" s="33" t="s">
        <v>79</v>
      </c>
      <c r="T132" s="39">
        <v>0</v>
      </c>
      <c r="U132" s="39">
        <v>0</v>
      </c>
      <c r="V132" s="61" t="e">
        <f t="shared" si="32"/>
        <v>#DIV/0!</v>
      </c>
      <c r="W132" s="39">
        <v>0</v>
      </c>
      <c r="X132" s="39"/>
      <c r="Y132" s="40" t="e">
        <f t="shared" si="1"/>
        <v>#DIV/0!</v>
      </c>
      <c r="Z132" s="39">
        <v>1</v>
      </c>
      <c r="AA132" s="39"/>
      <c r="AB132" s="40">
        <f t="shared" si="2"/>
        <v>0</v>
      </c>
      <c r="AC132" s="39">
        <v>0</v>
      </c>
      <c r="AD132" s="39"/>
      <c r="AE132" s="40" t="e">
        <f t="shared" si="3"/>
        <v>#DIV/0!</v>
      </c>
      <c r="AF132" s="41">
        <f t="shared" si="27"/>
        <v>1</v>
      </c>
      <c r="AG132" s="41">
        <f t="shared" si="21"/>
        <v>0</v>
      </c>
      <c r="AH132" s="42" t="e">
        <f t="shared" si="5"/>
        <v>#DIV/0!</v>
      </c>
      <c r="AI132" s="43">
        <v>46113</v>
      </c>
      <c r="AJ132" s="43">
        <v>46477</v>
      </c>
      <c r="AK132" s="44" t="s">
        <v>80</v>
      </c>
      <c r="AL132" s="44" t="s">
        <v>81</v>
      </c>
      <c r="AM132" s="45" t="s">
        <v>82</v>
      </c>
      <c r="AN132" s="46">
        <v>30000000</v>
      </c>
      <c r="AO132" s="46">
        <v>30000000</v>
      </c>
      <c r="AP132" s="46">
        <v>30000000</v>
      </c>
      <c r="AQ132" s="47">
        <v>0</v>
      </c>
      <c r="AR132" s="44" t="s">
        <v>127</v>
      </c>
      <c r="AS132" s="44" t="s">
        <v>80</v>
      </c>
      <c r="AT132" s="54" t="s">
        <v>450</v>
      </c>
      <c r="AU132" s="49" t="s">
        <v>831</v>
      </c>
      <c r="AV132" s="51" t="s">
        <v>832</v>
      </c>
      <c r="AW132" s="51" t="s">
        <v>845</v>
      </c>
      <c r="AZ132" s="50">
        <f t="shared" si="28"/>
        <v>1</v>
      </c>
      <c r="BA132" s="50">
        <f t="shared" si="29"/>
        <v>0</v>
      </c>
      <c r="BB132" s="117">
        <f t="shared" si="30"/>
        <v>0</v>
      </c>
      <c r="BC132" s="50">
        <f t="shared" si="31"/>
        <v>1</v>
      </c>
      <c r="BD132" s="51"/>
      <c r="BE132" s="52">
        <f t="shared" si="22"/>
        <v>0.3</v>
      </c>
      <c r="BF132" s="52">
        <f t="shared" si="23"/>
        <v>0.3</v>
      </c>
      <c r="BG132" s="52">
        <f t="shared" si="24"/>
        <v>0.3</v>
      </c>
      <c r="BH132" s="52">
        <f t="shared" si="25"/>
        <v>0.1</v>
      </c>
      <c r="BI132" s="52">
        <f t="shared" si="26"/>
        <v>0.99999999999999989</v>
      </c>
    </row>
    <row r="133" spans="1:61" x14ac:dyDescent="0.3">
      <c r="A133" s="39">
        <v>129</v>
      </c>
      <c r="B133" s="44" t="s">
        <v>238</v>
      </c>
      <c r="C133" s="44" t="s">
        <v>86</v>
      </c>
      <c r="D133" s="44" t="s">
        <v>87</v>
      </c>
      <c r="E133" s="44" t="s">
        <v>88</v>
      </c>
      <c r="F133" s="44" t="s">
        <v>469</v>
      </c>
      <c r="G133" s="36" t="s">
        <v>461</v>
      </c>
      <c r="H133" s="36" t="s">
        <v>269</v>
      </c>
      <c r="I133" s="36" t="s">
        <v>121</v>
      </c>
      <c r="J133" s="36" t="s">
        <v>121</v>
      </c>
      <c r="K133" s="33" t="s">
        <v>72</v>
      </c>
      <c r="L133" s="33" t="s">
        <v>73</v>
      </c>
      <c r="M133" s="36" t="s">
        <v>74</v>
      </c>
      <c r="N133" s="36" t="s">
        <v>470</v>
      </c>
      <c r="O133" s="36" t="s">
        <v>262</v>
      </c>
      <c r="P133" s="59" t="s">
        <v>471</v>
      </c>
      <c r="Q133" s="36" t="s">
        <v>97</v>
      </c>
      <c r="R133" s="37">
        <v>1</v>
      </c>
      <c r="S133" s="33" t="s">
        <v>79</v>
      </c>
      <c r="T133" s="39">
        <v>0</v>
      </c>
      <c r="U133" s="39">
        <v>0</v>
      </c>
      <c r="V133" s="62">
        <v>0</v>
      </c>
      <c r="W133" s="39">
        <v>0</v>
      </c>
      <c r="X133" s="39"/>
      <c r="Y133" s="40" t="e">
        <f t="shared" si="1"/>
        <v>#DIV/0!</v>
      </c>
      <c r="Z133" s="39">
        <v>0</v>
      </c>
      <c r="AA133" s="39"/>
      <c r="AB133" s="40" t="e">
        <f t="shared" si="2"/>
        <v>#DIV/0!</v>
      </c>
      <c r="AC133" s="39">
        <v>1</v>
      </c>
      <c r="AD133" s="39"/>
      <c r="AE133" s="40">
        <f t="shared" si="3"/>
        <v>0</v>
      </c>
      <c r="AF133" s="41">
        <f t="shared" si="27"/>
        <v>1</v>
      </c>
      <c r="AG133" s="41">
        <f t="shared" ref="AG133:AG196" si="33">U133+X133+AA133+AD133</f>
        <v>0</v>
      </c>
      <c r="AH133" s="42" t="e">
        <f t="shared" si="5"/>
        <v>#DIV/0!</v>
      </c>
      <c r="AI133" s="43">
        <v>46113</v>
      </c>
      <c r="AJ133" s="43">
        <v>46477</v>
      </c>
      <c r="AK133" s="44" t="s">
        <v>80</v>
      </c>
      <c r="AL133" s="44" t="s">
        <v>81</v>
      </c>
      <c r="AM133" s="45" t="s">
        <v>82</v>
      </c>
      <c r="AN133" s="46"/>
      <c r="AO133" s="46"/>
      <c r="AP133" s="46"/>
      <c r="AQ133" s="47"/>
      <c r="AR133" s="44" t="s">
        <v>127</v>
      </c>
      <c r="AS133" s="44" t="s">
        <v>80</v>
      </c>
      <c r="AT133" s="54" t="s">
        <v>450</v>
      </c>
      <c r="AU133" s="49" t="s">
        <v>831</v>
      </c>
      <c r="AV133" s="51" t="s">
        <v>832</v>
      </c>
      <c r="AW133" s="51" t="s">
        <v>845</v>
      </c>
      <c r="AZ133" s="50">
        <f t="shared" si="28"/>
        <v>1</v>
      </c>
      <c r="BA133" s="50">
        <f t="shared" si="29"/>
        <v>0</v>
      </c>
      <c r="BB133" s="117">
        <f t="shared" si="30"/>
        <v>0</v>
      </c>
      <c r="BC133" s="50">
        <f t="shared" si="31"/>
        <v>1</v>
      </c>
      <c r="BD133" s="51"/>
      <c r="BE133" s="52">
        <f t="shared" ref="BE133:BE196" si="34">+BC133*$BF$3</f>
        <v>0.3</v>
      </c>
      <c r="BF133" s="52">
        <f t="shared" ref="BF133:BF196" si="35">+BC133*$BE$3</f>
        <v>0.3</v>
      </c>
      <c r="BG133" s="52">
        <f t="shared" ref="BG133:BG196" si="36">+BC133*$BG$3</f>
        <v>0.3</v>
      </c>
      <c r="BH133" s="52">
        <f t="shared" ref="BH133:BH196" si="37">+BC133*$BH$3</f>
        <v>0.1</v>
      </c>
      <c r="BI133" s="52">
        <f t="shared" ref="BI133:BI196" si="38">+BE133+BF133+BG133+BH133</f>
        <v>0.99999999999999989</v>
      </c>
    </row>
    <row r="134" spans="1:61" x14ac:dyDescent="0.3">
      <c r="A134" s="39">
        <v>130</v>
      </c>
      <c r="B134" s="44" t="s">
        <v>238</v>
      </c>
      <c r="C134" s="44" t="s">
        <v>101</v>
      </c>
      <c r="D134" s="44" t="s">
        <v>87</v>
      </c>
      <c r="E134" s="44" t="s">
        <v>258</v>
      </c>
      <c r="F134" s="44" t="s">
        <v>472</v>
      </c>
      <c r="G134" s="36" t="s">
        <v>461</v>
      </c>
      <c r="H134" s="36" t="s">
        <v>269</v>
      </c>
      <c r="I134" s="36" t="s">
        <v>70</v>
      </c>
      <c r="J134" s="36" t="s">
        <v>70</v>
      </c>
      <c r="K134" s="33" t="s">
        <v>72</v>
      </c>
      <c r="L134" s="33" t="s">
        <v>73</v>
      </c>
      <c r="M134" s="36" t="s">
        <v>74</v>
      </c>
      <c r="N134" s="36" t="s">
        <v>473</v>
      </c>
      <c r="O134" s="36" t="s">
        <v>467</v>
      </c>
      <c r="P134" s="59" t="s">
        <v>474</v>
      </c>
      <c r="Q134" s="36" t="s">
        <v>97</v>
      </c>
      <c r="R134" s="37">
        <v>1</v>
      </c>
      <c r="S134" s="33" t="s">
        <v>79</v>
      </c>
      <c r="T134" s="39">
        <v>0</v>
      </c>
      <c r="U134" s="39">
        <v>0</v>
      </c>
      <c r="V134" s="40" t="e">
        <f>U134/T134*100</f>
        <v>#DIV/0!</v>
      </c>
      <c r="W134" s="39">
        <v>1</v>
      </c>
      <c r="X134" s="39"/>
      <c r="Y134" s="40">
        <f t="shared" si="1"/>
        <v>0</v>
      </c>
      <c r="Z134" s="39">
        <v>0</v>
      </c>
      <c r="AA134" s="39"/>
      <c r="AB134" s="40" t="e">
        <f t="shared" si="2"/>
        <v>#DIV/0!</v>
      </c>
      <c r="AC134" s="39">
        <v>0</v>
      </c>
      <c r="AD134" s="39"/>
      <c r="AE134" s="40" t="e">
        <f t="shared" si="3"/>
        <v>#DIV/0!</v>
      </c>
      <c r="AF134" s="41">
        <f t="shared" ref="AF134:AF197" si="39">R134</f>
        <v>1</v>
      </c>
      <c r="AG134" s="41">
        <f t="shared" si="33"/>
        <v>0</v>
      </c>
      <c r="AH134" s="42" t="e">
        <f t="shared" si="5"/>
        <v>#DIV/0!</v>
      </c>
      <c r="AI134" s="43">
        <v>46113</v>
      </c>
      <c r="AJ134" s="43">
        <v>46387</v>
      </c>
      <c r="AK134" s="44" t="s">
        <v>80</v>
      </c>
      <c r="AL134" s="44" t="s">
        <v>81</v>
      </c>
      <c r="AM134" s="45" t="s">
        <v>82</v>
      </c>
      <c r="AN134" s="46">
        <v>30000000</v>
      </c>
      <c r="AO134" s="46">
        <v>30000000</v>
      </c>
      <c r="AP134" s="46">
        <v>30000000</v>
      </c>
      <c r="AQ134" s="47">
        <v>0</v>
      </c>
      <c r="AR134" s="44" t="s">
        <v>83</v>
      </c>
      <c r="AS134" s="44" t="s">
        <v>80</v>
      </c>
      <c r="AT134" s="54" t="s">
        <v>450</v>
      </c>
      <c r="AU134" s="49" t="s">
        <v>831</v>
      </c>
      <c r="AV134" s="51" t="s">
        <v>832</v>
      </c>
      <c r="AW134" s="51" t="s">
        <v>845</v>
      </c>
      <c r="AZ134" s="50">
        <f t="shared" ref="AZ134:AZ197" si="40">+R134</f>
        <v>1</v>
      </c>
      <c r="BA134" s="50">
        <f t="shared" ref="BA134:BA197" si="41">+U134+X134+AA134+AD134</f>
        <v>0</v>
      </c>
      <c r="BB134" s="117">
        <f t="shared" ref="BB134:BB197" si="42">+BA134/AZ134</f>
        <v>0</v>
      </c>
      <c r="BC134" s="50">
        <f t="shared" ref="BC134:BC197" si="43">+AZ134-BA134</f>
        <v>1</v>
      </c>
      <c r="BD134" s="51"/>
      <c r="BE134" s="52">
        <f t="shared" si="34"/>
        <v>0.3</v>
      </c>
      <c r="BF134" s="52">
        <f t="shared" si="35"/>
        <v>0.3</v>
      </c>
      <c r="BG134" s="52">
        <f t="shared" si="36"/>
        <v>0.3</v>
      </c>
      <c r="BH134" s="52">
        <f t="shared" si="37"/>
        <v>0.1</v>
      </c>
      <c r="BI134" s="52">
        <f t="shared" si="38"/>
        <v>0.99999999999999989</v>
      </c>
    </row>
    <row r="135" spans="1:61" x14ac:dyDescent="0.3">
      <c r="A135" s="39">
        <v>131</v>
      </c>
      <c r="B135" s="44" t="s">
        <v>238</v>
      </c>
      <c r="C135" s="44" t="s">
        <v>86</v>
      </c>
      <c r="D135" s="44" t="s">
        <v>87</v>
      </c>
      <c r="E135" s="44" t="s">
        <v>258</v>
      </c>
      <c r="F135" s="44" t="s">
        <v>465</v>
      </c>
      <c r="G135" s="36" t="s">
        <v>475</v>
      </c>
      <c r="H135" s="36" t="s">
        <v>476</v>
      </c>
      <c r="I135" s="36" t="s">
        <v>70</v>
      </c>
      <c r="J135" s="36" t="s">
        <v>70</v>
      </c>
      <c r="K135" s="33" t="s">
        <v>72</v>
      </c>
      <c r="L135" s="33" t="s">
        <v>73</v>
      </c>
      <c r="M135" s="36" t="s">
        <v>74</v>
      </c>
      <c r="N135" s="36" t="s">
        <v>477</v>
      </c>
      <c r="O135" s="36" t="s">
        <v>478</v>
      </c>
      <c r="P135" s="59" t="s">
        <v>479</v>
      </c>
      <c r="Q135" s="36" t="s">
        <v>97</v>
      </c>
      <c r="R135" s="37">
        <v>29</v>
      </c>
      <c r="S135" s="119" t="s">
        <v>79</v>
      </c>
      <c r="T135" s="39">
        <v>0</v>
      </c>
      <c r="U135" s="39">
        <v>0</v>
      </c>
      <c r="V135" s="40" t="e">
        <f t="shared" ref="V135:V157" si="44">U135/T135*100</f>
        <v>#DIV/0!</v>
      </c>
      <c r="W135" s="39">
        <v>10</v>
      </c>
      <c r="X135" s="39">
        <v>10</v>
      </c>
      <c r="Y135" s="40">
        <f t="shared" si="1"/>
        <v>100</v>
      </c>
      <c r="Z135" s="39">
        <v>10</v>
      </c>
      <c r="AA135" s="39"/>
      <c r="AB135" s="40">
        <f t="shared" si="2"/>
        <v>0</v>
      </c>
      <c r="AC135" s="39">
        <v>9</v>
      </c>
      <c r="AD135" s="39"/>
      <c r="AE135" s="40">
        <f t="shared" si="3"/>
        <v>0</v>
      </c>
      <c r="AF135" s="41">
        <f t="shared" si="39"/>
        <v>29</v>
      </c>
      <c r="AG135" s="41">
        <f t="shared" si="33"/>
        <v>10</v>
      </c>
      <c r="AH135" s="42" t="e">
        <f>IF(COUNT(U135,X135,AA135,AD135)=1,(U135/#REF!*100),IF(COUNT(U135,X135,AA135,AD135)=2,((U135+X135)/(#REF!+W135)*100),IF(COUNT(U135,X135,AA135,AD135)=3,((U135+X135+AA135)/(#REF!+W135+Z135)*100),(AG135/AF135*100))))</f>
        <v>#REF!</v>
      </c>
      <c r="AI135" s="43">
        <v>46113</v>
      </c>
      <c r="AJ135" s="43">
        <v>46447</v>
      </c>
      <c r="AK135" s="44" t="s">
        <v>80</v>
      </c>
      <c r="AL135" s="44" t="s">
        <v>81</v>
      </c>
      <c r="AM135" s="45" t="s">
        <v>82</v>
      </c>
      <c r="AN135" s="46"/>
      <c r="AO135" s="46"/>
      <c r="AP135" s="46"/>
      <c r="AQ135" s="47"/>
      <c r="AR135" s="44" t="s">
        <v>480</v>
      </c>
      <c r="AS135" s="44" t="s">
        <v>80</v>
      </c>
      <c r="AT135" s="54" t="s">
        <v>481</v>
      </c>
      <c r="AU135" s="49" t="s">
        <v>831</v>
      </c>
      <c r="AV135" s="51" t="s">
        <v>832</v>
      </c>
      <c r="AZ135" s="50">
        <f t="shared" si="40"/>
        <v>29</v>
      </c>
      <c r="BA135" s="50">
        <f t="shared" si="41"/>
        <v>10</v>
      </c>
      <c r="BB135" s="117">
        <f t="shared" si="42"/>
        <v>0.34482758620689657</v>
      </c>
      <c r="BC135" s="50">
        <f t="shared" si="43"/>
        <v>19</v>
      </c>
      <c r="BD135" s="51"/>
      <c r="BE135" s="52">
        <f t="shared" si="34"/>
        <v>5.7</v>
      </c>
      <c r="BF135" s="52">
        <f t="shared" si="35"/>
        <v>5.7</v>
      </c>
      <c r="BG135" s="52">
        <f t="shared" si="36"/>
        <v>5.7</v>
      </c>
      <c r="BH135" s="52">
        <f t="shared" si="37"/>
        <v>1.9000000000000001</v>
      </c>
      <c r="BI135" s="52">
        <f t="shared" si="38"/>
        <v>19</v>
      </c>
    </row>
    <row r="136" spans="1:61" x14ac:dyDescent="0.3">
      <c r="A136" s="39">
        <v>132</v>
      </c>
      <c r="B136" s="44" t="s">
        <v>238</v>
      </c>
      <c r="C136" s="44" t="s">
        <v>86</v>
      </c>
      <c r="D136" s="44" t="s">
        <v>87</v>
      </c>
      <c r="E136" s="44" t="s">
        <v>123</v>
      </c>
      <c r="F136" s="44" t="s">
        <v>465</v>
      </c>
      <c r="G136" s="36" t="s">
        <v>482</v>
      </c>
      <c r="H136" s="36" t="s">
        <v>269</v>
      </c>
      <c r="I136" s="36" t="s">
        <v>307</v>
      </c>
      <c r="J136" s="36" t="s">
        <v>307</v>
      </c>
      <c r="K136" s="33" t="s">
        <v>72</v>
      </c>
      <c r="L136" s="33" t="s">
        <v>73</v>
      </c>
      <c r="M136" s="36" t="s">
        <v>74</v>
      </c>
      <c r="N136" s="36" t="s">
        <v>75</v>
      </c>
      <c r="O136" s="36" t="s">
        <v>95</v>
      </c>
      <c r="P136" s="36" t="s">
        <v>483</v>
      </c>
      <c r="Q136" s="36" t="s">
        <v>97</v>
      </c>
      <c r="R136" s="37">
        <v>29</v>
      </c>
      <c r="S136" s="33" t="s">
        <v>79</v>
      </c>
      <c r="T136" s="39">
        <v>0</v>
      </c>
      <c r="U136" s="39">
        <v>4</v>
      </c>
      <c r="V136" s="40" t="e">
        <f t="shared" si="44"/>
        <v>#DIV/0!</v>
      </c>
      <c r="W136" s="39">
        <v>10</v>
      </c>
      <c r="X136" s="39"/>
      <c r="Y136" s="40">
        <f t="shared" si="1"/>
        <v>0</v>
      </c>
      <c r="Z136" s="39">
        <v>10</v>
      </c>
      <c r="AA136" s="39"/>
      <c r="AB136" s="40">
        <f t="shared" si="2"/>
        <v>0</v>
      </c>
      <c r="AC136" s="39">
        <v>9</v>
      </c>
      <c r="AD136" s="39"/>
      <c r="AE136" s="40">
        <f t="shared" si="3"/>
        <v>0</v>
      </c>
      <c r="AF136" s="41">
        <f t="shared" si="39"/>
        <v>29</v>
      </c>
      <c r="AG136" s="41">
        <f t="shared" si="33"/>
        <v>4</v>
      </c>
      <c r="AH136" s="42" t="e">
        <f t="shared" ref="AH136:AH281" si="45">IF(COUNT(U136,X136,AA136,AD136)=1,(U136/T136*100),IF(COUNT(U136,X136,AA136,AD136)=2,((U136+X136)/(T136+W136)*100),IF(COUNT(U136,X136,AA136,AD136)=3,((U136+X136+AA136)/(T136+W136+Z136)*100),(AG136/AF136*100))))</f>
        <v>#DIV/0!</v>
      </c>
      <c r="AI136" s="43">
        <v>46082</v>
      </c>
      <c r="AJ136" s="43">
        <v>46447</v>
      </c>
      <c r="AK136" s="44" t="s">
        <v>80</v>
      </c>
      <c r="AL136" s="44" t="s">
        <v>81</v>
      </c>
      <c r="AM136" s="45" t="s">
        <v>82</v>
      </c>
      <c r="AN136" s="46"/>
      <c r="AO136" s="46"/>
      <c r="AP136" s="46"/>
      <c r="AQ136" s="47"/>
      <c r="AR136" s="44" t="s">
        <v>480</v>
      </c>
      <c r="AS136" s="44" t="s">
        <v>80</v>
      </c>
      <c r="AT136" s="54" t="s">
        <v>481</v>
      </c>
      <c r="AU136" s="49" t="s">
        <v>831</v>
      </c>
      <c r="AV136" s="51" t="s">
        <v>832</v>
      </c>
      <c r="AZ136" s="50">
        <f t="shared" si="40"/>
        <v>29</v>
      </c>
      <c r="BA136" s="50">
        <f t="shared" si="41"/>
        <v>4</v>
      </c>
      <c r="BB136" s="117">
        <f t="shared" si="42"/>
        <v>0.13793103448275862</v>
      </c>
      <c r="BC136" s="50">
        <f t="shared" si="43"/>
        <v>25</v>
      </c>
      <c r="BD136" s="51"/>
      <c r="BE136" s="52">
        <f t="shared" si="34"/>
        <v>7.5</v>
      </c>
      <c r="BF136" s="52">
        <f t="shared" si="35"/>
        <v>7.5</v>
      </c>
      <c r="BG136" s="52">
        <f t="shared" si="36"/>
        <v>7.5</v>
      </c>
      <c r="BH136" s="52">
        <f t="shared" si="37"/>
        <v>2.5</v>
      </c>
      <c r="BI136" s="52">
        <f t="shared" si="38"/>
        <v>25</v>
      </c>
    </row>
    <row r="137" spans="1:61" x14ac:dyDescent="0.3">
      <c r="A137" s="39">
        <v>133</v>
      </c>
      <c r="B137" s="44" t="s">
        <v>238</v>
      </c>
      <c r="C137" s="44" t="s">
        <v>86</v>
      </c>
      <c r="D137" s="44" t="s">
        <v>87</v>
      </c>
      <c r="E137" s="44" t="s">
        <v>123</v>
      </c>
      <c r="F137" s="44" t="s">
        <v>484</v>
      </c>
      <c r="G137" s="36" t="s">
        <v>482</v>
      </c>
      <c r="H137" s="36" t="s">
        <v>269</v>
      </c>
      <c r="I137" s="36" t="s">
        <v>307</v>
      </c>
      <c r="J137" s="36" t="s">
        <v>307</v>
      </c>
      <c r="K137" s="33" t="s">
        <v>72</v>
      </c>
      <c r="L137" s="33" t="s">
        <v>73</v>
      </c>
      <c r="M137" s="36" t="s">
        <v>74</v>
      </c>
      <c r="N137" s="36" t="s">
        <v>75</v>
      </c>
      <c r="O137" s="36" t="s">
        <v>95</v>
      </c>
      <c r="P137" s="36" t="s">
        <v>485</v>
      </c>
      <c r="Q137" s="36" t="s">
        <v>97</v>
      </c>
      <c r="R137" s="37">
        <v>29</v>
      </c>
      <c r="S137" s="33" t="s">
        <v>79</v>
      </c>
      <c r="T137" s="39">
        <v>0</v>
      </c>
      <c r="U137" s="39">
        <v>4</v>
      </c>
      <c r="V137" s="40" t="e">
        <f t="shared" si="44"/>
        <v>#DIV/0!</v>
      </c>
      <c r="W137" s="39">
        <v>10</v>
      </c>
      <c r="X137" s="39">
        <v>8</v>
      </c>
      <c r="Y137" s="40">
        <f t="shared" si="1"/>
        <v>80</v>
      </c>
      <c r="Z137" s="39">
        <v>10</v>
      </c>
      <c r="AA137" s="39"/>
      <c r="AB137" s="40">
        <f t="shared" si="2"/>
        <v>0</v>
      </c>
      <c r="AC137" s="39">
        <v>9</v>
      </c>
      <c r="AD137" s="39"/>
      <c r="AE137" s="40">
        <f t="shared" si="3"/>
        <v>0</v>
      </c>
      <c r="AF137" s="41">
        <f t="shared" si="39"/>
        <v>29</v>
      </c>
      <c r="AG137" s="41">
        <f t="shared" si="33"/>
        <v>12</v>
      </c>
      <c r="AH137" s="42">
        <f t="shared" si="45"/>
        <v>120</v>
      </c>
      <c r="AI137" s="43">
        <v>46082</v>
      </c>
      <c r="AJ137" s="43">
        <v>46447</v>
      </c>
      <c r="AK137" s="44" t="s">
        <v>80</v>
      </c>
      <c r="AL137" s="44" t="s">
        <v>81</v>
      </c>
      <c r="AM137" s="45" t="s">
        <v>82</v>
      </c>
      <c r="AN137" s="46"/>
      <c r="AO137" s="46"/>
      <c r="AP137" s="46"/>
      <c r="AQ137" s="47"/>
      <c r="AR137" s="44" t="s">
        <v>480</v>
      </c>
      <c r="AS137" s="44" t="s">
        <v>80</v>
      </c>
      <c r="AT137" s="54" t="s">
        <v>481</v>
      </c>
      <c r="AU137" s="49" t="s">
        <v>831</v>
      </c>
      <c r="AV137" s="51" t="s">
        <v>832</v>
      </c>
      <c r="AZ137" s="50">
        <f t="shared" si="40"/>
        <v>29</v>
      </c>
      <c r="BA137" s="50">
        <f t="shared" si="41"/>
        <v>12</v>
      </c>
      <c r="BB137" s="117">
        <f t="shared" si="42"/>
        <v>0.41379310344827586</v>
      </c>
      <c r="BC137" s="50">
        <f t="shared" si="43"/>
        <v>17</v>
      </c>
      <c r="BD137" s="51"/>
      <c r="BE137" s="52">
        <f t="shared" si="34"/>
        <v>5.0999999999999996</v>
      </c>
      <c r="BF137" s="52">
        <f t="shared" si="35"/>
        <v>5.0999999999999996</v>
      </c>
      <c r="BG137" s="52">
        <f t="shared" si="36"/>
        <v>5.0999999999999996</v>
      </c>
      <c r="BH137" s="52">
        <f t="shared" si="37"/>
        <v>1.7000000000000002</v>
      </c>
      <c r="BI137" s="52">
        <f t="shared" si="38"/>
        <v>17</v>
      </c>
    </row>
    <row r="138" spans="1:61" x14ac:dyDescent="0.3">
      <c r="A138" s="39">
        <v>134</v>
      </c>
      <c r="B138" s="44" t="s">
        <v>238</v>
      </c>
      <c r="C138" s="44" t="s">
        <v>86</v>
      </c>
      <c r="D138" s="44" t="s">
        <v>87</v>
      </c>
      <c r="E138" s="44" t="s">
        <v>88</v>
      </c>
      <c r="F138" s="44" t="s">
        <v>486</v>
      </c>
      <c r="G138" s="36" t="s">
        <v>461</v>
      </c>
      <c r="H138" s="36" t="s">
        <v>269</v>
      </c>
      <c r="I138" s="36" t="s">
        <v>254</v>
      </c>
      <c r="J138" s="36" t="s">
        <v>254</v>
      </c>
      <c r="K138" s="33" t="s">
        <v>72</v>
      </c>
      <c r="L138" s="33" t="s">
        <v>73</v>
      </c>
      <c r="M138" s="36" t="s">
        <v>74</v>
      </c>
      <c r="N138" s="36" t="s">
        <v>75</v>
      </c>
      <c r="O138" s="36" t="s">
        <v>95</v>
      </c>
      <c r="P138" s="36" t="s">
        <v>487</v>
      </c>
      <c r="Q138" s="36" t="s">
        <v>97</v>
      </c>
      <c r="R138" s="37">
        <v>1</v>
      </c>
      <c r="S138" s="33" t="s">
        <v>79</v>
      </c>
      <c r="T138" s="39">
        <v>1</v>
      </c>
      <c r="U138" s="39">
        <v>0</v>
      </c>
      <c r="V138" s="40" t="e">
        <f>V135=U138/T138*100=U138/T138*100</f>
        <v>#DIV/0!</v>
      </c>
      <c r="W138" s="39">
        <v>0</v>
      </c>
      <c r="X138" s="39">
        <v>1</v>
      </c>
      <c r="Y138" s="40" t="e">
        <f t="shared" si="1"/>
        <v>#DIV/0!</v>
      </c>
      <c r="Z138" s="39">
        <v>1</v>
      </c>
      <c r="AA138" s="39"/>
      <c r="AB138" s="40">
        <f t="shared" si="2"/>
        <v>0</v>
      </c>
      <c r="AC138" s="39"/>
      <c r="AD138" s="39"/>
      <c r="AE138" s="40" t="e">
        <f t="shared" si="3"/>
        <v>#DIV/0!</v>
      </c>
      <c r="AF138" s="41">
        <f t="shared" si="39"/>
        <v>1</v>
      </c>
      <c r="AG138" s="41">
        <f t="shared" si="33"/>
        <v>1</v>
      </c>
      <c r="AH138" s="42">
        <f t="shared" si="45"/>
        <v>100</v>
      </c>
      <c r="AI138" s="43">
        <v>46082</v>
      </c>
      <c r="AJ138" s="43">
        <v>46447</v>
      </c>
      <c r="AK138" s="44" t="s">
        <v>80</v>
      </c>
      <c r="AL138" s="44" t="s">
        <v>81</v>
      </c>
      <c r="AM138" s="45" t="s">
        <v>82</v>
      </c>
      <c r="AN138" s="46">
        <v>10000000</v>
      </c>
      <c r="AO138" s="46">
        <v>10000000</v>
      </c>
      <c r="AP138" s="46">
        <v>10000000</v>
      </c>
      <c r="AQ138" s="47">
        <f>AO138</f>
        <v>10000000</v>
      </c>
      <c r="AR138" s="44" t="s">
        <v>480</v>
      </c>
      <c r="AS138" s="44" t="s">
        <v>80</v>
      </c>
      <c r="AT138" s="54" t="s">
        <v>481</v>
      </c>
      <c r="AU138" s="49" t="s">
        <v>831</v>
      </c>
      <c r="AV138" s="51" t="s">
        <v>832</v>
      </c>
      <c r="AZ138" s="50">
        <f t="shared" si="40"/>
        <v>1</v>
      </c>
      <c r="BA138" s="50">
        <f t="shared" si="41"/>
        <v>1</v>
      </c>
      <c r="BB138" s="117">
        <f t="shared" si="42"/>
        <v>1</v>
      </c>
      <c r="BC138" s="50">
        <f t="shared" si="43"/>
        <v>0</v>
      </c>
      <c r="BD138" s="51"/>
      <c r="BE138" s="52">
        <f t="shared" si="34"/>
        <v>0</v>
      </c>
      <c r="BF138" s="52">
        <f t="shared" si="35"/>
        <v>0</v>
      </c>
      <c r="BG138" s="52">
        <f t="shared" si="36"/>
        <v>0</v>
      </c>
      <c r="BH138" s="52">
        <f t="shared" si="37"/>
        <v>0</v>
      </c>
      <c r="BI138" s="52">
        <f t="shared" si="38"/>
        <v>0</v>
      </c>
    </row>
    <row r="139" spans="1:61" x14ac:dyDescent="0.3">
      <c r="A139" s="39">
        <v>135</v>
      </c>
      <c r="B139" s="44" t="s">
        <v>238</v>
      </c>
      <c r="C139" s="44" t="s">
        <v>86</v>
      </c>
      <c r="D139" s="44" t="s">
        <v>87</v>
      </c>
      <c r="E139" s="44" t="s">
        <v>123</v>
      </c>
      <c r="F139" s="44" t="s">
        <v>488</v>
      </c>
      <c r="G139" s="36" t="s">
        <v>489</v>
      </c>
      <c r="H139" s="36" t="s">
        <v>269</v>
      </c>
      <c r="I139" s="36" t="s">
        <v>192</v>
      </c>
      <c r="J139" s="36" t="s">
        <v>192</v>
      </c>
      <c r="K139" s="33" t="s">
        <v>72</v>
      </c>
      <c r="L139" s="33" t="s">
        <v>73</v>
      </c>
      <c r="M139" s="36" t="s">
        <v>74</v>
      </c>
      <c r="N139" s="36" t="s">
        <v>490</v>
      </c>
      <c r="O139" s="36" t="s">
        <v>95</v>
      </c>
      <c r="P139" s="36" t="s">
        <v>491</v>
      </c>
      <c r="Q139" s="36" t="s">
        <v>97</v>
      </c>
      <c r="R139" s="37">
        <v>29</v>
      </c>
      <c r="S139" s="33" t="s">
        <v>79</v>
      </c>
      <c r="T139" s="39">
        <v>0</v>
      </c>
      <c r="U139" s="39">
        <v>16</v>
      </c>
      <c r="V139" s="40" t="e">
        <f t="shared" si="44"/>
        <v>#DIV/0!</v>
      </c>
      <c r="W139" s="39">
        <v>0</v>
      </c>
      <c r="X139" s="39">
        <v>6</v>
      </c>
      <c r="Y139" s="40" t="e">
        <f t="shared" si="1"/>
        <v>#DIV/0!</v>
      </c>
      <c r="Z139" s="39">
        <v>10</v>
      </c>
      <c r="AA139" s="39"/>
      <c r="AB139" s="40">
        <f t="shared" si="2"/>
        <v>0</v>
      </c>
      <c r="AC139" s="39">
        <v>19</v>
      </c>
      <c r="AD139" s="39"/>
      <c r="AE139" s="40">
        <f t="shared" si="3"/>
        <v>0</v>
      </c>
      <c r="AF139" s="41">
        <f t="shared" si="39"/>
        <v>29</v>
      </c>
      <c r="AG139" s="41">
        <f t="shared" si="33"/>
        <v>22</v>
      </c>
      <c r="AH139" s="42" t="e">
        <f t="shared" si="45"/>
        <v>#DIV/0!</v>
      </c>
      <c r="AI139" s="43">
        <v>46032</v>
      </c>
      <c r="AJ139" s="43">
        <v>46387</v>
      </c>
      <c r="AK139" s="44" t="s">
        <v>80</v>
      </c>
      <c r="AL139" s="44" t="s">
        <v>81</v>
      </c>
      <c r="AM139" s="45" t="s">
        <v>82</v>
      </c>
      <c r="AN139" s="46"/>
      <c r="AO139" s="46"/>
      <c r="AP139" s="46"/>
      <c r="AQ139" s="47"/>
      <c r="AR139" s="44" t="s">
        <v>480</v>
      </c>
      <c r="AS139" s="44" t="s">
        <v>80</v>
      </c>
      <c r="AT139" s="54" t="s">
        <v>481</v>
      </c>
      <c r="AU139" s="49" t="s">
        <v>831</v>
      </c>
      <c r="AV139" s="51" t="s">
        <v>832</v>
      </c>
      <c r="AZ139" s="50">
        <f t="shared" si="40"/>
        <v>29</v>
      </c>
      <c r="BA139" s="50">
        <f t="shared" si="41"/>
        <v>22</v>
      </c>
      <c r="BB139" s="117">
        <f t="shared" si="42"/>
        <v>0.75862068965517238</v>
      </c>
      <c r="BC139" s="50">
        <f t="shared" si="43"/>
        <v>7</v>
      </c>
      <c r="BD139" s="51"/>
      <c r="BE139" s="52">
        <f t="shared" si="34"/>
        <v>2.1</v>
      </c>
      <c r="BF139" s="52">
        <f t="shared" si="35"/>
        <v>2.1</v>
      </c>
      <c r="BG139" s="52">
        <f t="shared" si="36"/>
        <v>2.1</v>
      </c>
      <c r="BH139" s="52">
        <f t="shared" si="37"/>
        <v>0.70000000000000007</v>
      </c>
      <c r="BI139" s="52">
        <f t="shared" si="38"/>
        <v>7.0000000000000009</v>
      </c>
    </row>
    <row r="140" spans="1:61" x14ac:dyDescent="0.3">
      <c r="A140" s="39">
        <v>136</v>
      </c>
      <c r="B140" s="44" t="s">
        <v>238</v>
      </c>
      <c r="C140" s="44" t="s">
        <v>86</v>
      </c>
      <c r="D140" s="44" t="s">
        <v>87</v>
      </c>
      <c r="E140" s="44" t="s">
        <v>123</v>
      </c>
      <c r="F140" s="44" t="s">
        <v>492</v>
      </c>
      <c r="G140" s="36" t="s">
        <v>461</v>
      </c>
      <c r="H140" s="36" t="s">
        <v>269</v>
      </c>
      <c r="I140" s="36" t="s">
        <v>70</v>
      </c>
      <c r="J140" s="36" t="s">
        <v>70</v>
      </c>
      <c r="K140" s="33" t="s">
        <v>72</v>
      </c>
      <c r="L140" s="33" t="s">
        <v>73</v>
      </c>
      <c r="M140" s="36" t="s">
        <v>74</v>
      </c>
      <c r="N140" s="36" t="s">
        <v>490</v>
      </c>
      <c r="O140" s="36" t="s">
        <v>95</v>
      </c>
      <c r="P140" s="36" t="s">
        <v>493</v>
      </c>
      <c r="Q140" s="36" t="s">
        <v>97</v>
      </c>
      <c r="R140" s="37">
        <v>15</v>
      </c>
      <c r="S140" s="33" t="s">
        <v>79</v>
      </c>
      <c r="T140" s="39">
        <v>0</v>
      </c>
      <c r="U140" s="39">
        <v>1</v>
      </c>
      <c r="V140" s="40" t="e">
        <f t="shared" si="44"/>
        <v>#DIV/0!</v>
      </c>
      <c r="W140" s="39">
        <v>0</v>
      </c>
      <c r="X140" s="39">
        <v>4</v>
      </c>
      <c r="Y140" s="40" t="e">
        <f t="shared" si="1"/>
        <v>#DIV/0!</v>
      </c>
      <c r="Z140" s="39">
        <v>7</v>
      </c>
      <c r="AA140" s="39"/>
      <c r="AB140" s="40">
        <f t="shared" si="2"/>
        <v>0</v>
      </c>
      <c r="AC140" s="39">
        <v>8</v>
      </c>
      <c r="AD140" s="39"/>
      <c r="AE140" s="40">
        <f t="shared" si="3"/>
        <v>0</v>
      </c>
      <c r="AF140" s="41">
        <f t="shared" si="39"/>
        <v>15</v>
      </c>
      <c r="AG140" s="41">
        <f t="shared" si="33"/>
        <v>5</v>
      </c>
      <c r="AH140" s="42" t="e">
        <f t="shared" si="45"/>
        <v>#DIV/0!</v>
      </c>
      <c r="AI140" s="43">
        <v>46054</v>
      </c>
      <c r="AJ140" s="43">
        <v>46477</v>
      </c>
      <c r="AK140" s="44" t="s">
        <v>80</v>
      </c>
      <c r="AL140" s="44" t="s">
        <v>81</v>
      </c>
      <c r="AM140" s="45" t="s">
        <v>82</v>
      </c>
      <c r="AN140" s="46"/>
      <c r="AO140" s="46"/>
      <c r="AP140" s="46"/>
      <c r="AQ140" s="47"/>
      <c r="AR140" s="44"/>
      <c r="AS140" s="44" t="s">
        <v>80</v>
      </c>
      <c r="AT140" s="54" t="s">
        <v>481</v>
      </c>
      <c r="AU140" s="49" t="s">
        <v>831</v>
      </c>
      <c r="AV140" s="51" t="s">
        <v>832</v>
      </c>
      <c r="AZ140" s="50">
        <f t="shared" si="40"/>
        <v>15</v>
      </c>
      <c r="BA140" s="50">
        <f t="shared" si="41"/>
        <v>5</v>
      </c>
      <c r="BB140" s="117">
        <f t="shared" si="42"/>
        <v>0.33333333333333331</v>
      </c>
      <c r="BC140" s="50">
        <f t="shared" si="43"/>
        <v>10</v>
      </c>
      <c r="BD140" s="51"/>
      <c r="BE140" s="52">
        <f t="shared" si="34"/>
        <v>3</v>
      </c>
      <c r="BF140" s="52">
        <f t="shared" si="35"/>
        <v>3</v>
      </c>
      <c r="BG140" s="52">
        <f t="shared" si="36"/>
        <v>3</v>
      </c>
      <c r="BH140" s="52">
        <f t="shared" si="37"/>
        <v>1</v>
      </c>
      <c r="BI140" s="52">
        <f t="shared" si="38"/>
        <v>10</v>
      </c>
    </row>
    <row r="141" spans="1:61" x14ac:dyDescent="0.3">
      <c r="A141" s="39">
        <v>137</v>
      </c>
      <c r="B141" s="44" t="s">
        <v>238</v>
      </c>
      <c r="C141" s="44" t="s">
        <v>86</v>
      </c>
      <c r="D141" s="44" t="s">
        <v>87</v>
      </c>
      <c r="E141" s="44" t="s">
        <v>123</v>
      </c>
      <c r="F141" s="44" t="s">
        <v>465</v>
      </c>
      <c r="G141" s="36" t="s">
        <v>461</v>
      </c>
      <c r="H141" s="36" t="s">
        <v>269</v>
      </c>
      <c r="I141" s="36" t="s">
        <v>70</v>
      </c>
      <c r="J141" s="36" t="s">
        <v>70</v>
      </c>
      <c r="K141" s="33" t="s">
        <v>72</v>
      </c>
      <c r="L141" s="33" t="s">
        <v>73</v>
      </c>
      <c r="M141" s="36" t="s">
        <v>74</v>
      </c>
      <c r="N141" s="36" t="s">
        <v>490</v>
      </c>
      <c r="O141" s="36" t="s">
        <v>95</v>
      </c>
      <c r="P141" s="36" t="s">
        <v>494</v>
      </c>
      <c r="Q141" s="36" t="s">
        <v>97</v>
      </c>
      <c r="R141" s="37">
        <v>2</v>
      </c>
      <c r="S141" s="33" t="s">
        <v>79</v>
      </c>
      <c r="T141" s="39">
        <v>0</v>
      </c>
      <c r="U141" s="39">
        <v>0</v>
      </c>
      <c r="V141" s="40" t="e">
        <f t="shared" si="44"/>
        <v>#DIV/0!</v>
      </c>
      <c r="W141" s="39">
        <v>0</v>
      </c>
      <c r="X141" s="39">
        <v>0</v>
      </c>
      <c r="Y141" s="40" t="e">
        <f t="shared" si="1"/>
        <v>#DIV/0!</v>
      </c>
      <c r="Z141" s="39">
        <v>1</v>
      </c>
      <c r="AA141" s="39"/>
      <c r="AB141" s="40">
        <f t="shared" si="2"/>
        <v>0</v>
      </c>
      <c r="AC141" s="39">
        <v>1</v>
      </c>
      <c r="AD141" s="39"/>
      <c r="AE141" s="40">
        <f t="shared" si="3"/>
        <v>0</v>
      </c>
      <c r="AF141" s="41">
        <f t="shared" si="39"/>
        <v>2</v>
      </c>
      <c r="AG141" s="41">
        <f t="shared" si="33"/>
        <v>0</v>
      </c>
      <c r="AH141" s="42" t="e">
        <f t="shared" si="45"/>
        <v>#DIV/0!</v>
      </c>
      <c r="AI141" s="43">
        <v>46054</v>
      </c>
      <c r="AJ141" s="43">
        <v>46477</v>
      </c>
      <c r="AK141" s="44" t="s">
        <v>80</v>
      </c>
      <c r="AL141" s="44" t="s">
        <v>81</v>
      </c>
      <c r="AM141" s="45" t="s">
        <v>82</v>
      </c>
      <c r="AN141" s="46"/>
      <c r="AO141" s="46"/>
      <c r="AP141" s="46"/>
      <c r="AQ141" s="47"/>
      <c r="AR141" s="44"/>
      <c r="AS141" s="44" t="s">
        <v>80</v>
      </c>
      <c r="AT141" s="54" t="s">
        <v>481</v>
      </c>
      <c r="AU141" s="49" t="s">
        <v>831</v>
      </c>
      <c r="AV141" s="51" t="s">
        <v>832</v>
      </c>
      <c r="AZ141" s="50">
        <f t="shared" si="40"/>
        <v>2</v>
      </c>
      <c r="BA141" s="50">
        <f t="shared" si="41"/>
        <v>0</v>
      </c>
      <c r="BB141" s="117">
        <f t="shared" si="42"/>
        <v>0</v>
      </c>
      <c r="BC141" s="50">
        <f t="shared" si="43"/>
        <v>2</v>
      </c>
      <c r="BD141" s="51"/>
      <c r="BE141" s="52">
        <f t="shared" si="34"/>
        <v>0.6</v>
      </c>
      <c r="BF141" s="52">
        <f t="shared" si="35"/>
        <v>0.6</v>
      </c>
      <c r="BG141" s="52">
        <f t="shared" si="36"/>
        <v>0.6</v>
      </c>
      <c r="BH141" s="52">
        <f t="shared" si="37"/>
        <v>0.2</v>
      </c>
      <c r="BI141" s="52">
        <f t="shared" si="38"/>
        <v>1.9999999999999998</v>
      </c>
    </row>
    <row r="142" spans="1:61" x14ac:dyDescent="0.3">
      <c r="A142" s="39">
        <v>138</v>
      </c>
      <c r="B142" s="44" t="s">
        <v>238</v>
      </c>
      <c r="C142" s="44" t="s">
        <v>86</v>
      </c>
      <c r="D142" s="44" t="s">
        <v>87</v>
      </c>
      <c r="E142" s="44" t="s">
        <v>123</v>
      </c>
      <c r="F142" s="44" t="s">
        <v>465</v>
      </c>
      <c r="G142" s="36" t="s">
        <v>461</v>
      </c>
      <c r="H142" s="36" t="s">
        <v>269</v>
      </c>
      <c r="I142" s="36" t="s">
        <v>192</v>
      </c>
      <c r="J142" s="36" t="s">
        <v>192</v>
      </c>
      <c r="K142" s="33" t="s">
        <v>72</v>
      </c>
      <c r="L142" s="33" t="s">
        <v>73</v>
      </c>
      <c r="M142" s="36" t="s">
        <v>74</v>
      </c>
      <c r="N142" s="36" t="s">
        <v>490</v>
      </c>
      <c r="O142" s="36" t="s">
        <v>95</v>
      </c>
      <c r="P142" s="36" t="s">
        <v>495</v>
      </c>
      <c r="Q142" s="36" t="s">
        <v>97</v>
      </c>
      <c r="R142" s="37">
        <v>29</v>
      </c>
      <c r="S142" s="33" t="s">
        <v>79</v>
      </c>
      <c r="T142" s="39">
        <v>0</v>
      </c>
      <c r="U142" s="39">
        <v>16</v>
      </c>
      <c r="V142" s="40" t="e">
        <f t="shared" si="44"/>
        <v>#DIV/0!</v>
      </c>
      <c r="W142" s="39">
        <v>0</v>
      </c>
      <c r="X142" s="39">
        <v>6</v>
      </c>
      <c r="Y142" s="40" t="e">
        <f t="shared" si="1"/>
        <v>#DIV/0!</v>
      </c>
      <c r="Z142" s="39">
        <v>12</v>
      </c>
      <c r="AA142" s="39"/>
      <c r="AB142" s="40">
        <f t="shared" si="2"/>
        <v>0</v>
      </c>
      <c r="AC142" s="39">
        <v>17</v>
      </c>
      <c r="AD142" s="39"/>
      <c r="AE142" s="40">
        <f t="shared" si="3"/>
        <v>0</v>
      </c>
      <c r="AF142" s="41">
        <f t="shared" si="39"/>
        <v>29</v>
      </c>
      <c r="AG142" s="41">
        <f t="shared" si="33"/>
        <v>22</v>
      </c>
      <c r="AH142" s="42" t="e">
        <f t="shared" si="45"/>
        <v>#DIV/0!</v>
      </c>
      <c r="AI142" s="43">
        <v>46113</v>
      </c>
      <c r="AJ142" s="43">
        <v>46477</v>
      </c>
      <c r="AK142" s="44" t="s">
        <v>80</v>
      </c>
      <c r="AL142" s="44" t="s">
        <v>81</v>
      </c>
      <c r="AM142" s="45" t="s">
        <v>82</v>
      </c>
      <c r="AN142" s="46"/>
      <c r="AO142" s="46"/>
      <c r="AP142" s="46"/>
      <c r="AQ142" s="47"/>
      <c r="AR142" s="44" t="s">
        <v>127</v>
      </c>
      <c r="AS142" s="44" t="s">
        <v>80</v>
      </c>
      <c r="AT142" s="54" t="s">
        <v>481</v>
      </c>
      <c r="AU142" s="49" t="s">
        <v>831</v>
      </c>
      <c r="AV142" s="51" t="s">
        <v>832</v>
      </c>
      <c r="AZ142" s="50">
        <f t="shared" si="40"/>
        <v>29</v>
      </c>
      <c r="BA142" s="50">
        <f t="shared" si="41"/>
        <v>22</v>
      </c>
      <c r="BB142" s="117">
        <f t="shared" si="42"/>
        <v>0.75862068965517238</v>
      </c>
      <c r="BC142" s="50">
        <f t="shared" si="43"/>
        <v>7</v>
      </c>
      <c r="BD142" s="51"/>
      <c r="BE142" s="52">
        <f t="shared" si="34"/>
        <v>2.1</v>
      </c>
      <c r="BF142" s="52">
        <f t="shared" si="35"/>
        <v>2.1</v>
      </c>
      <c r="BG142" s="52">
        <f t="shared" si="36"/>
        <v>2.1</v>
      </c>
      <c r="BH142" s="52">
        <f t="shared" si="37"/>
        <v>0.70000000000000007</v>
      </c>
      <c r="BI142" s="52">
        <f t="shared" si="38"/>
        <v>7.0000000000000009</v>
      </c>
    </row>
    <row r="143" spans="1:61" x14ac:dyDescent="0.3">
      <c r="A143" s="39">
        <v>139</v>
      </c>
      <c r="B143" s="44" t="s">
        <v>238</v>
      </c>
      <c r="C143" s="44" t="s">
        <v>86</v>
      </c>
      <c r="D143" s="44" t="s">
        <v>87</v>
      </c>
      <c r="E143" s="44" t="s">
        <v>123</v>
      </c>
      <c r="F143" s="44" t="s">
        <v>465</v>
      </c>
      <c r="G143" s="36" t="s">
        <v>461</v>
      </c>
      <c r="H143" s="36" t="s">
        <v>269</v>
      </c>
      <c r="I143" s="36" t="s">
        <v>70</v>
      </c>
      <c r="J143" s="36" t="s">
        <v>70</v>
      </c>
      <c r="K143" s="33" t="s">
        <v>151</v>
      </c>
      <c r="L143" s="33" t="s">
        <v>396</v>
      </c>
      <c r="M143" s="36" t="s">
        <v>74</v>
      </c>
      <c r="N143" s="36" t="s">
        <v>490</v>
      </c>
      <c r="O143" s="36" t="s">
        <v>95</v>
      </c>
      <c r="P143" s="36" t="s">
        <v>496</v>
      </c>
      <c r="Q143" s="36" t="s">
        <v>97</v>
      </c>
      <c r="R143" s="37">
        <v>4</v>
      </c>
      <c r="S143" s="33" t="s">
        <v>79</v>
      </c>
      <c r="T143" s="39">
        <v>0</v>
      </c>
      <c r="U143" s="39">
        <v>0</v>
      </c>
      <c r="V143" s="40" t="e">
        <f t="shared" si="44"/>
        <v>#DIV/0!</v>
      </c>
      <c r="W143" s="39">
        <v>0</v>
      </c>
      <c r="X143" s="39"/>
      <c r="Y143" s="40" t="e">
        <f t="shared" si="1"/>
        <v>#DIV/0!</v>
      </c>
      <c r="Z143" s="39">
        <v>2</v>
      </c>
      <c r="AA143" s="39"/>
      <c r="AB143" s="40">
        <f t="shared" si="2"/>
        <v>0</v>
      </c>
      <c r="AC143" s="39">
        <v>2</v>
      </c>
      <c r="AD143" s="39"/>
      <c r="AE143" s="40">
        <f t="shared" si="3"/>
        <v>0</v>
      </c>
      <c r="AF143" s="41">
        <f t="shared" si="39"/>
        <v>4</v>
      </c>
      <c r="AG143" s="41">
        <f t="shared" si="33"/>
        <v>0</v>
      </c>
      <c r="AH143" s="42" t="e">
        <f t="shared" si="45"/>
        <v>#DIV/0!</v>
      </c>
      <c r="AI143" s="43">
        <v>46054</v>
      </c>
      <c r="AJ143" s="43">
        <v>46477</v>
      </c>
      <c r="AK143" s="44" t="s">
        <v>80</v>
      </c>
      <c r="AL143" s="44" t="s">
        <v>81</v>
      </c>
      <c r="AM143" s="45" t="s">
        <v>82</v>
      </c>
      <c r="AN143" s="46">
        <v>40000000</v>
      </c>
      <c r="AO143" s="46">
        <v>40000000</v>
      </c>
      <c r="AP143" s="46">
        <v>40000000</v>
      </c>
      <c r="AQ143" s="47">
        <v>0</v>
      </c>
      <c r="AR143" s="44"/>
      <c r="AS143" s="44" t="s">
        <v>80</v>
      </c>
      <c r="AT143" s="54" t="s">
        <v>481</v>
      </c>
      <c r="AU143" s="49" t="s">
        <v>831</v>
      </c>
      <c r="AV143" s="51" t="s">
        <v>832</v>
      </c>
      <c r="AZ143" s="50">
        <f t="shared" si="40"/>
        <v>4</v>
      </c>
      <c r="BA143" s="50">
        <f t="shared" si="41"/>
        <v>0</v>
      </c>
      <c r="BB143" s="117">
        <f t="shared" si="42"/>
        <v>0</v>
      </c>
      <c r="BC143" s="50">
        <f t="shared" si="43"/>
        <v>4</v>
      </c>
      <c r="BD143" s="51"/>
      <c r="BE143" s="52">
        <f t="shared" si="34"/>
        <v>1.2</v>
      </c>
      <c r="BF143" s="52">
        <f t="shared" si="35"/>
        <v>1.2</v>
      </c>
      <c r="BG143" s="52">
        <f t="shared" si="36"/>
        <v>1.2</v>
      </c>
      <c r="BH143" s="52">
        <f t="shared" si="37"/>
        <v>0.4</v>
      </c>
      <c r="BI143" s="52">
        <f t="shared" si="38"/>
        <v>3.9999999999999996</v>
      </c>
    </row>
    <row r="144" spans="1:61" x14ac:dyDescent="0.3">
      <c r="A144" s="39">
        <v>140</v>
      </c>
      <c r="B144" s="44" t="s">
        <v>238</v>
      </c>
      <c r="C144" s="44" t="s">
        <v>101</v>
      </c>
      <c r="D144" s="44" t="s">
        <v>87</v>
      </c>
      <c r="E144" s="44" t="s">
        <v>123</v>
      </c>
      <c r="F144" s="44" t="s">
        <v>465</v>
      </c>
      <c r="G144" s="36" t="s">
        <v>461</v>
      </c>
      <c r="H144" s="36" t="s">
        <v>269</v>
      </c>
      <c r="I144" s="36" t="s">
        <v>192</v>
      </c>
      <c r="J144" s="36" t="s">
        <v>192</v>
      </c>
      <c r="K144" s="33" t="s">
        <v>72</v>
      </c>
      <c r="L144" s="33" t="s">
        <v>73</v>
      </c>
      <c r="M144" s="36" t="s">
        <v>74</v>
      </c>
      <c r="N144" s="36" t="s">
        <v>490</v>
      </c>
      <c r="O144" s="36" t="s">
        <v>95</v>
      </c>
      <c r="P144" s="36" t="s">
        <v>497</v>
      </c>
      <c r="Q144" s="36" t="s">
        <v>97</v>
      </c>
      <c r="R144" s="37">
        <v>1</v>
      </c>
      <c r="S144" s="33" t="s">
        <v>79</v>
      </c>
      <c r="T144" s="39">
        <v>0</v>
      </c>
      <c r="U144" s="39">
        <v>0</v>
      </c>
      <c r="V144" s="40" t="e">
        <f t="shared" si="44"/>
        <v>#DIV/0!</v>
      </c>
      <c r="W144" s="39">
        <v>0</v>
      </c>
      <c r="X144" s="39">
        <v>0</v>
      </c>
      <c r="Y144" s="40" t="e">
        <f t="shared" si="1"/>
        <v>#DIV/0!</v>
      </c>
      <c r="Z144" s="39">
        <v>1</v>
      </c>
      <c r="AA144" s="39"/>
      <c r="AB144" s="40">
        <f t="shared" si="2"/>
        <v>0</v>
      </c>
      <c r="AC144" s="39">
        <v>0</v>
      </c>
      <c r="AD144" s="39"/>
      <c r="AE144" s="40" t="e">
        <f t="shared" si="3"/>
        <v>#DIV/0!</v>
      </c>
      <c r="AF144" s="41">
        <f t="shared" si="39"/>
        <v>1</v>
      </c>
      <c r="AG144" s="41">
        <f t="shared" si="33"/>
        <v>0</v>
      </c>
      <c r="AH144" s="42" t="e">
        <f t="shared" si="45"/>
        <v>#DIV/0!</v>
      </c>
      <c r="AI144" s="43">
        <v>46054</v>
      </c>
      <c r="AJ144" s="43">
        <v>46477</v>
      </c>
      <c r="AK144" s="44" t="s">
        <v>80</v>
      </c>
      <c r="AL144" s="44" t="s">
        <v>81</v>
      </c>
      <c r="AM144" s="45" t="s">
        <v>82</v>
      </c>
      <c r="AN144" s="46">
        <v>20000000</v>
      </c>
      <c r="AO144" s="46">
        <v>20000000</v>
      </c>
      <c r="AP144" s="46">
        <v>20000000</v>
      </c>
      <c r="AQ144" s="47">
        <v>0</v>
      </c>
      <c r="AR144" s="44"/>
      <c r="AS144" s="44" t="s">
        <v>80</v>
      </c>
      <c r="AT144" s="54" t="s">
        <v>481</v>
      </c>
      <c r="AU144" s="49" t="s">
        <v>831</v>
      </c>
      <c r="AV144" s="51" t="s">
        <v>832</v>
      </c>
      <c r="AZ144" s="50">
        <f t="shared" si="40"/>
        <v>1</v>
      </c>
      <c r="BA144" s="50">
        <f t="shared" si="41"/>
        <v>0</v>
      </c>
      <c r="BB144" s="117">
        <f t="shared" si="42"/>
        <v>0</v>
      </c>
      <c r="BC144" s="50">
        <f t="shared" si="43"/>
        <v>1</v>
      </c>
      <c r="BD144" s="51"/>
      <c r="BE144" s="52">
        <f t="shared" si="34"/>
        <v>0.3</v>
      </c>
      <c r="BF144" s="52">
        <f t="shared" si="35"/>
        <v>0.3</v>
      </c>
      <c r="BG144" s="52">
        <f t="shared" si="36"/>
        <v>0.3</v>
      </c>
      <c r="BH144" s="52">
        <f t="shared" si="37"/>
        <v>0.1</v>
      </c>
      <c r="BI144" s="52">
        <f t="shared" si="38"/>
        <v>0.99999999999999989</v>
      </c>
    </row>
    <row r="145" spans="1:61" x14ac:dyDescent="0.3">
      <c r="A145" s="39">
        <v>141</v>
      </c>
      <c r="B145" s="44" t="s">
        <v>238</v>
      </c>
      <c r="C145" s="44" t="s">
        <v>163</v>
      </c>
      <c r="D145" s="44" t="s">
        <v>164</v>
      </c>
      <c r="E145" s="44" t="s">
        <v>459</v>
      </c>
      <c r="F145" s="44" t="s">
        <v>498</v>
      </c>
      <c r="G145" s="36" t="s">
        <v>499</v>
      </c>
      <c r="H145" s="36" t="s">
        <v>269</v>
      </c>
      <c r="I145" s="36" t="s">
        <v>70</v>
      </c>
      <c r="J145" s="36" t="s">
        <v>70</v>
      </c>
      <c r="K145" s="33" t="s">
        <v>72</v>
      </c>
      <c r="L145" s="33" t="s">
        <v>73</v>
      </c>
      <c r="M145" s="36" t="s">
        <v>74</v>
      </c>
      <c r="N145" s="36" t="s">
        <v>75</v>
      </c>
      <c r="O145" s="36" t="s">
        <v>76</v>
      </c>
      <c r="P145" s="36" t="s">
        <v>500</v>
      </c>
      <c r="Q145" s="36" t="s">
        <v>78</v>
      </c>
      <c r="R145" s="37">
        <v>29</v>
      </c>
      <c r="S145" s="33" t="s">
        <v>79</v>
      </c>
      <c r="T145" s="39">
        <v>0</v>
      </c>
      <c r="U145" s="39">
        <v>0</v>
      </c>
      <c r="V145" s="40" t="e">
        <f t="shared" si="44"/>
        <v>#DIV/0!</v>
      </c>
      <c r="W145" s="39">
        <v>9</v>
      </c>
      <c r="X145" s="39">
        <v>0</v>
      </c>
      <c r="Y145" s="40">
        <f t="shared" si="1"/>
        <v>0</v>
      </c>
      <c r="Z145" s="39">
        <v>10</v>
      </c>
      <c r="AA145" s="39"/>
      <c r="AB145" s="40">
        <f t="shared" si="2"/>
        <v>0</v>
      </c>
      <c r="AC145" s="39">
        <v>10</v>
      </c>
      <c r="AD145" s="39"/>
      <c r="AE145" s="40">
        <f t="shared" si="3"/>
        <v>0</v>
      </c>
      <c r="AF145" s="41">
        <f t="shared" si="39"/>
        <v>29</v>
      </c>
      <c r="AG145" s="41">
        <f t="shared" si="33"/>
        <v>0</v>
      </c>
      <c r="AH145" s="42">
        <f t="shared" si="45"/>
        <v>0</v>
      </c>
      <c r="AI145" s="43">
        <v>46054</v>
      </c>
      <c r="AJ145" s="43">
        <v>46477</v>
      </c>
      <c r="AK145" s="44" t="s">
        <v>80</v>
      </c>
      <c r="AL145" s="44" t="s">
        <v>81</v>
      </c>
      <c r="AM145" s="45" t="s">
        <v>82</v>
      </c>
      <c r="AN145" s="46">
        <v>60000000</v>
      </c>
      <c r="AO145" s="46">
        <v>60000000</v>
      </c>
      <c r="AP145" s="46">
        <v>60000000</v>
      </c>
      <c r="AQ145" s="47">
        <v>0</v>
      </c>
      <c r="AR145" s="44"/>
      <c r="AS145" s="44" t="s">
        <v>80</v>
      </c>
      <c r="AT145" s="54" t="s">
        <v>481</v>
      </c>
      <c r="AU145" s="49" t="s">
        <v>831</v>
      </c>
      <c r="AV145" s="51" t="s">
        <v>832</v>
      </c>
      <c r="AZ145" s="50">
        <f t="shared" si="40"/>
        <v>29</v>
      </c>
      <c r="BA145" s="50">
        <f t="shared" si="41"/>
        <v>0</v>
      </c>
      <c r="BB145" s="117">
        <f t="shared" si="42"/>
        <v>0</v>
      </c>
      <c r="BC145" s="50">
        <f t="shared" si="43"/>
        <v>29</v>
      </c>
      <c r="BD145" s="51"/>
      <c r="BE145" s="52">
        <f t="shared" si="34"/>
        <v>8.6999999999999993</v>
      </c>
      <c r="BF145" s="52">
        <f t="shared" si="35"/>
        <v>8.6999999999999993</v>
      </c>
      <c r="BG145" s="52">
        <f t="shared" si="36"/>
        <v>8.6999999999999993</v>
      </c>
      <c r="BH145" s="52">
        <f t="shared" si="37"/>
        <v>2.9000000000000004</v>
      </c>
      <c r="BI145" s="52">
        <f t="shared" si="38"/>
        <v>29</v>
      </c>
    </row>
    <row r="146" spans="1:61" x14ac:dyDescent="0.3">
      <c r="A146" s="39">
        <v>142</v>
      </c>
      <c r="B146" s="44" t="s">
        <v>238</v>
      </c>
      <c r="C146" s="44" t="s">
        <v>86</v>
      </c>
      <c r="D146" s="44" t="s">
        <v>87</v>
      </c>
      <c r="E146" s="44" t="s">
        <v>88</v>
      </c>
      <c r="F146" s="44" t="s">
        <v>501</v>
      </c>
      <c r="G146" s="36" t="s">
        <v>428</v>
      </c>
      <c r="H146" s="36" t="s">
        <v>269</v>
      </c>
      <c r="I146" s="36" t="s">
        <v>70</v>
      </c>
      <c r="J146" s="36" t="s">
        <v>70</v>
      </c>
      <c r="K146" s="33" t="s">
        <v>72</v>
      </c>
      <c r="L146" s="33" t="s">
        <v>73</v>
      </c>
      <c r="M146" s="36" t="s">
        <v>74</v>
      </c>
      <c r="N146" s="36" t="s">
        <v>502</v>
      </c>
      <c r="O146" s="36" t="s">
        <v>95</v>
      </c>
      <c r="P146" s="36" t="s">
        <v>503</v>
      </c>
      <c r="Q146" s="36" t="s">
        <v>97</v>
      </c>
      <c r="R146" s="37">
        <v>29</v>
      </c>
      <c r="S146" s="33" t="s">
        <v>79</v>
      </c>
      <c r="T146" s="39">
        <v>0</v>
      </c>
      <c r="U146" s="39">
        <v>3</v>
      </c>
      <c r="V146" s="40" t="e">
        <f t="shared" si="44"/>
        <v>#DIV/0!</v>
      </c>
      <c r="W146" s="39">
        <v>0</v>
      </c>
      <c r="X146" s="39">
        <v>14</v>
      </c>
      <c r="Y146" s="40" t="e">
        <f t="shared" si="1"/>
        <v>#DIV/0!</v>
      </c>
      <c r="Z146" s="39">
        <v>10</v>
      </c>
      <c r="AA146" s="39"/>
      <c r="AB146" s="40">
        <f t="shared" si="2"/>
        <v>0</v>
      </c>
      <c r="AC146" s="39">
        <v>19</v>
      </c>
      <c r="AD146" s="39"/>
      <c r="AE146" s="40">
        <f t="shared" si="3"/>
        <v>0</v>
      </c>
      <c r="AF146" s="41">
        <f t="shared" si="39"/>
        <v>29</v>
      </c>
      <c r="AG146" s="41">
        <f t="shared" si="33"/>
        <v>17</v>
      </c>
      <c r="AH146" s="42" t="e">
        <f t="shared" si="45"/>
        <v>#DIV/0!</v>
      </c>
      <c r="AI146" s="43">
        <v>46054</v>
      </c>
      <c r="AJ146" s="43">
        <v>46477</v>
      </c>
      <c r="AK146" s="44" t="s">
        <v>80</v>
      </c>
      <c r="AL146" s="44" t="s">
        <v>81</v>
      </c>
      <c r="AM146" s="45" t="s">
        <v>82</v>
      </c>
      <c r="AN146" s="46"/>
      <c r="AO146" s="46"/>
      <c r="AP146" s="46"/>
      <c r="AQ146" s="47"/>
      <c r="AR146" s="44"/>
      <c r="AS146" s="44" t="s">
        <v>80</v>
      </c>
      <c r="AT146" s="54" t="s">
        <v>481</v>
      </c>
      <c r="AU146" s="49" t="s">
        <v>831</v>
      </c>
      <c r="AV146" s="51" t="s">
        <v>832</v>
      </c>
      <c r="AZ146" s="50">
        <f t="shared" si="40"/>
        <v>29</v>
      </c>
      <c r="BA146" s="50">
        <f t="shared" si="41"/>
        <v>17</v>
      </c>
      <c r="BB146" s="117">
        <f t="shared" si="42"/>
        <v>0.58620689655172409</v>
      </c>
      <c r="BC146" s="50">
        <f t="shared" si="43"/>
        <v>12</v>
      </c>
      <c r="BD146" s="51"/>
      <c r="BE146" s="52">
        <f t="shared" si="34"/>
        <v>3.5999999999999996</v>
      </c>
      <c r="BF146" s="52">
        <f t="shared" si="35"/>
        <v>3.5999999999999996</v>
      </c>
      <c r="BG146" s="52">
        <f t="shared" si="36"/>
        <v>3.5999999999999996</v>
      </c>
      <c r="BH146" s="52">
        <f t="shared" si="37"/>
        <v>1.2000000000000002</v>
      </c>
      <c r="BI146" s="52">
        <f t="shared" si="38"/>
        <v>12</v>
      </c>
    </row>
    <row r="147" spans="1:61" x14ac:dyDescent="0.3">
      <c r="A147" s="39">
        <v>143</v>
      </c>
      <c r="B147" s="44" t="s">
        <v>238</v>
      </c>
      <c r="C147" s="44" t="s">
        <v>86</v>
      </c>
      <c r="D147" s="44" t="s">
        <v>87</v>
      </c>
      <c r="E147" s="44" t="s">
        <v>123</v>
      </c>
      <c r="F147" s="44" t="s">
        <v>465</v>
      </c>
      <c r="G147" s="36" t="s">
        <v>428</v>
      </c>
      <c r="H147" s="36" t="s">
        <v>269</v>
      </c>
      <c r="I147" s="36" t="s">
        <v>70</v>
      </c>
      <c r="J147" s="36" t="s">
        <v>70</v>
      </c>
      <c r="K147" s="33" t="s">
        <v>72</v>
      </c>
      <c r="L147" s="33" t="s">
        <v>73</v>
      </c>
      <c r="M147" s="36" t="s">
        <v>74</v>
      </c>
      <c r="N147" s="36" t="s">
        <v>502</v>
      </c>
      <c r="O147" s="36" t="s">
        <v>95</v>
      </c>
      <c r="P147" s="36" t="s">
        <v>504</v>
      </c>
      <c r="Q147" s="36" t="s">
        <v>97</v>
      </c>
      <c r="R147" s="37">
        <v>29</v>
      </c>
      <c r="S147" s="33" t="s">
        <v>79</v>
      </c>
      <c r="T147" s="39">
        <v>0</v>
      </c>
      <c r="U147" s="39">
        <v>3</v>
      </c>
      <c r="V147" s="40" t="e">
        <f t="shared" si="44"/>
        <v>#DIV/0!</v>
      </c>
      <c r="W147" s="39">
        <v>0</v>
      </c>
      <c r="X147" s="39">
        <v>14</v>
      </c>
      <c r="Y147" s="40" t="e">
        <f t="shared" si="1"/>
        <v>#DIV/0!</v>
      </c>
      <c r="Z147" s="39">
        <v>10</v>
      </c>
      <c r="AA147" s="39"/>
      <c r="AB147" s="40">
        <f t="shared" si="2"/>
        <v>0</v>
      </c>
      <c r="AC147" s="39">
        <v>19</v>
      </c>
      <c r="AD147" s="39"/>
      <c r="AE147" s="40">
        <f t="shared" si="3"/>
        <v>0</v>
      </c>
      <c r="AF147" s="41">
        <f t="shared" si="39"/>
        <v>29</v>
      </c>
      <c r="AG147" s="41">
        <f t="shared" si="33"/>
        <v>17</v>
      </c>
      <c r="AH147" s="42" t="e">
        <f t="shared" si="45"/>
        <v>#DIV/0!</v>
      </c>
      <c r="AI147" s="43">
        <v>46113</v>
      </c>
      <c r="AJ147" s="43">
        <v>46477</v>
      </c>
      <c r="AK147" s="44" t="s">
        <v>80</v>
      </c>
      <c r="AL147" s="44" t="s">
        <v>81</v>
      </c>
      <c r="AM147" s="45" t="s">
        <v>82</v>
      </c>
      <c r="AN147" s="46"/>
      <c r="AO147" s="46"/>
      <c r="AP147" s="46"/>
      <c r="AQ147" s="47"/>
      <c r="AR147" s="44" t="s">
        <v>505</v>
      </c>
      <c r="AS147" s="44" t="s">
        <v>80</v>
      </c>
      <c r="AT147" s="54" t="s">
        <v>481</v>
      </c>
      <c r="AU147" s="49" t="s">
        <v>831</v>
      </c>
      <c r="AV147" s="51" t="s">
        <v>832</v>
      </c>
      <c r="AZ147" s="50">
        <f t="shared" si="40"/>
        <v>29</v>
      </c>
      <c r="BA147" s="50">
        <f t="shared" si="41"/>
        <v>17</v>
      </c>
      <c r="BB147" s="117">
        <f t="shared" si="42"/>
        <v>0.58620689655172409</v>
      </c>
      <c r="BC147" s="50">
        <f t="shared" si="43"/>
        <v>12</v>
      </c>
      <c r="BD147" s="51"/>
      <c r="BE147" s="52">
        <f t="shared" si="34"/>
        <v>3.5999999999999996</v>
      </c>
      <c r="BF147" s="52">
        <f t="shared" si="35"/>
        <v>3.5999999999999996</v>
      </c>
      <c r="BG147" s="52">
        <f t="shared" si="36"/>
        <v>3.5999999999999996</v>
      </c>
      <c r="BH147" s="52">
        <f t="shared" si="37"/>
        <v>1.2000000000000002</v>
      </c>
      <c r="BI147" s="52">
        <f t="shared" si="38"/>
        <v>12</v>
      </c>
    </row>
    <row r="148" spans="1:61" x14ac:dyDescent="0.3">
      <c r="A148" s="39">
        <v>144</v>
      </c>
      <c r="B148" s="44" t="s">
        <v>238</v>
      </c>
      <c r="C148" s="44" t="s">
        <v>86</v>
      </c>
      <c r="D148" s="44" t="s">
        <v>87</v>
      </c>
      <c r="E148" s="44" t="s">
        <v>123</v>
      </c>
      <c r="F148" s="44" t="s">
        <v>506</v>
      </c>
      <c r="G148" s="36" t="s">
        <v>428</v>
      </c>
      <c r="H148" s="36" t="s">
        <v>269</v>
      </c>
      <c r="I148" s="36" t="s">
        <v>70</v>
      </c>
      <c r="J148" s="36" t="s">
        <v>70</v>
      </c>
      <c r="K148" s="33" t="s">
        <v>72</v>
      </c>
      <c r="L148" s="33" t="s">
        <v>73</v>
      </c>
      <c r="M148" s="36" t="s">
        <v>74</v>
      </c>
      <c r="N148" s="36" t="s">
        <v>502</v>
      </c>
      <c r="O148" s="36" t="s">
        <v>95</v>
      </c>
      <c r="P148" s="63" t="s">
        <v>507</v>
      </c>
      <c r="Q148" s="36" t="s">
        <v>97</v>
      </c>
      <c r="R148" s="37">
        <v>1</v>
      </c>
      <c r="S148" s="33" t="s">
        <v>79</v>
      </c>
      <c r="T148" s="39">
        <v>0</v>
      </c>
      <c r="U148" s="39">
        <v>0</v>
      </c>
      <c r="V148" s="40" t="e">
        <f t="shared" si="44"/>
        <v>#DIV/0!</v>
      </c>
      <c r="W148" s="39">
        <v>0</v>
      </c>
      <c r="X148" s="39">
        <v>1</v>
      </c>
      <c r="Y148" s="40" t="e">
        <f t="shared" si="1"/>
        <v>#DIV/0!</v>
      </c>
      <c r="Z148" s="39">
        <v>1</v>
      </c>
      <c r="AA148" s="39"/>
      <c r="AB148" s="40">
        <f t="shared" si="2"/>
        <v>0</v>
      </c>
      <c r="AC148" s="39">
        <v>1</v>
      </c>
      <c r="AD148" s="39"/>
      <c r="AE148" s="40">
        <f t="shared" si="3"/>
        <v>0</v>
      </c>
      <c r="AF148" s="41">
        <f t="shared" si="39"/>
        <v>1</v>
      </c>
      <c r="AG148" s="41">
        <f t="shared" si="33"/>
        <v>1</v>
      </c>
      <c r="AH148" s="42" t="e">
        <f t="shared" si="45"/>
        <v>#DIV/0!</v>
      </c>
      <c r="AI148" s="43">
        <v>46113</v>
      </c>
      <c r="AJ148" s="43">
        <v>46477</v>
      </c>
      <c r="AK148" s="44" t="s">
        <v>80</v>
      </c>
      <c r="AL148" s="44" t="s">
        <v>81</v>
      </c>
      <c r="AM148" s="45" t="s">
        <v>82</v>
      </c>
      <c r="AN148" s="46">
        <v>10000000</v>
      </c>
      <c r="AO148" s="46">
        <v>10000000</v>
      </c>
      <c r="AP148" s="46">
        <v>10000000</v>
      </c>
      <c r="AQ148" s="47">
        <v>0</v>
      </c>
      <c r="AR148" s="44" t="s">
        <v>127</v>
      </c>
      <c r="AS148" s="44" t="s">
        <v>80</v>
      </c>
      <c r="AT148" s="54" t="s">
        <v>481</v>
      </c>
      <c r="AU148" s="49" t="s">
        <v>831</v>
      </c>
      <c r="AV148" s="51" t="s">
        <v>832</v>
      </c>
      <c r="AZ148" s="50">
        <f t="shared" si="40"/>
        <v>1</v>
      </c>
      <c r="BA148" s="50">
        <f t="shared" si="41"/>
        <v>1</v>
      </c>
      <c r="BB148" s="117">
        <f t="shared" si="42"/>
        <v>1</v>
      </c>
      <c r="BC148" s="50">
        <f t="shared" si="43"/>
        <v>0</v>
      </c>
      <c r="BD148" s="51"/>
      <c r="BE148" s="52">
        <f t="shared" si="34"/>
        <v>0</v>
      </c>
      <c r="BF148" s="52">
        <f t="shared" si="35"/>
        <v>0</v>
      </c>
      <c r="BG148" s="52">
        <f t="shared" si="36"/>
        <v>0</v>
      </c>
      <c r="BH148" s="52">
        <f t="shared" si="37"/>
        <v>0</v>
      </c>
      <c r="BI148" s="52">
        <f t="shared" si="38"/>
        <v>0</v>
      </c>
    </row>
    <row r="149" spans="1:61" x14ac:dyDescent="0.3">
      <c r="A149" s="39">
        <v>145</v>
      </c>
      <c r="B149" s="44" t="s">
        <v>238</v>
      </c>
      <c r="C149" s="44" t="s">
        <v>163</v>
      </c>
      <c r="D149" s="44" t="s">
        <v>164</v>
      </c>
      <c r="E149" s="44" t="s">
        <v>508</v>
      </c>
      <c r="F149" s="44" t="s">
        <v>509</v>
      </c>
      <c r="G149" s="36" t="s">
        <v>510</v>
      </c>
      <c r="H149" s="36" t="s">
        <v>511</v>
      </c>
      <c r="I149" s="36" t="s">
        <v>70</v>
      </c>
      <c r="J149" s="36" t="s">
        <v>70</v>
      </c>
      <c r="K149" s="33" t="s">
        <v>72</v>
      </c>
      <c r="L149" s="33" t="s">
        <v>73</v>
      </c>
      <c r="M149" s="36" t="s">
        <v>74</v>
      </c>
      <c r="N149" s="36" t="s">
        <v>75</v>
      </c>
      <c r="O149" s="36" t="s">
        <v>76</v>
      </c>
      <c r="P149" s="36" t="s">
        <v>512</v>
      </c>
      <c r="Q149" s="36" t="s">
        <v>78</v>
      </c>
      <c r="R149" s="37">
        <v>29</v>
      </c>
      <c r="S149" s="33" t="s">
        <v>79</v>
      </c>
      <c r="T149" s="39">
        <v>0</v>
      </c>
      <c r="U149" s="39">
        <v>0</v>
      </c>
      <c r="V149" s="40" t="e">
        <f t="shared" si="44"/>
        <v>#DIV/0!</v>
      </c>
      <c r="W149" s="39">
        <v>10</v>
      </c>
      <c r="X149" s="39">
        <v>0</v>
      </c>
      <c r="Y149" s="40">
        <f t="shared" si="1"/>
        <v>0</v>
      </c>
      <c r="Z149" s="39">
        <v>10</v>
      </c>
      <c r="AA149" s="39"/>
      <c r="AB149" s="40">
        <f t="shared" si="2"/>
        <v>0</v>
      </c>
      <c r="AC149" s="39">
        <v>9</v>
      </c>
      <c r="AD149" s="39"/>
      <c r="AE149" s="40">
        <f t="shared" si="3"/>
        <v>0</v>
      </c>
      <c r="AF149" s="41">
        <f t="shared" si="39"/>
        <v>29</v>
      </c>
      <c r="AG149" s="41">
        <f t="shared" si="33"/>
        <v>0</v>
      </c>
      <c r="AH149" s="42">
        <f t="shared" si="45"/>
        <v>0</v>
      </c>
      <c r="AI149" s="43">
        <v>46113</v>
      </c>
      <c r="AJ149" s="43">
        <v>46477</v>
      </c>
      <c r="AK149" s="44" t="s">
        <v>80</v>
      </c>
      <c r="AL149" s="44" t="s">
        <v>81</v>
      </c>
      <c r="AM149" s="45" t="s">
        <v>82</v>
      </c>
      <c r="AN149" s="46">
        <v>60000000</v>
      </c>
      <c r="AO149" s="46">
        <v>60000000</v>
      </c>
      <c r="AP149" s="46">
        <v>60000000</v>
      </c>
      <c r="AQ149" s="47">
        <v>0</v>
      </c>
      <c r="AR149" s="44" t="s">
        <v>505</v>
      </c>
      <c r="AS149" s="44" t="s">
        <v>80</v>
      </c>
      <c r="AT149" s="54" t="s">
        <v>481</v>
      </c>
      <c r="AU149" s="49" t="s">
        <v>831</v>
      </c>
      <c r="AV149" s="51" t="s">
        <v>832</v>
      </c>
      <c r="AZ149" s="50">
        <f t="shared" si="40"/>
        <v>29</v>
      </c>
      <c r="BA149" s="50">
        <f t="shared" si="41"/>
        <v>0</v>
      </c>
      <c r="BB149" s="117">
        <f t="shared" si="42"/>
        <v>0</v>
      </c>
      <c r="BC149" s="50">
        <f t="shared" si="43"/>
        <v>29</v>
      </c>
      <c r="BD149" s="51"/>
      <c r="BE149" s="52">
        <f t="shared" si="34"/>
        <v>8.6999999999999993</v>
      </c>
      <c r="BF149" s="52">
        <f t="shared" si="35"/>
        <v>8.6999999999999993</v>
      </c>
      <c r="BG149" s="52">
        <f t="shared" si="36"/>
        <v>8.6999999999999993</v>
      </c>
      <c r="BH149" s="52">
        <f t="shared" si="37"/>
        <v>2.9000000000000004</v>
      </c>
      <c r="BI149" s="52">
        <f t="shared" si="38"/>
        <v>29</v>
      </c>
    </row>
    <row r="150" spans="1:61" x14ac:dyDescent="0.3">
      <c r="A150" s="39">
        <v>146</v>
      </c>
      <c r="B150" s="44" t="s">
        <v>238</v>
      </c>
      <c r="C150" s="44" t="s">
        <v>86</v>
      </c>
      <c r="D150" s="44" t="s">
        <v>87</v>
      </c>
      <c r="E150" s="44" t="s">
        <v>123</v>
      </c>
      <c r="F150" s="44" t="s">
        <v>465</v>
      </c>
      <c r="G150" s="36" t="s">
        <v>428</v>
      </c>
      <c r="H150" s="36" t="s">
        <v>348</v>
      </c>
      <c r="I150" s="36" t="s">
        <v>222</v>
      </c>
      <c r="J150" s="36" t="s">
        <v>222</v>
      </c>
      <c r="K150" s="33" t="s">
        <v>72</v>
      </c>
      <c r="L150" s="33" t="s">
        <v>73</v>
      </c>
      <c r="M150" s="36" t="s">
        <v>74</v>
      </c>
      <c r="N150" s="36" t="s">
        <v>502</v>
      </c>
      <c r="O150" s="36" t="s">
        <v>95</v>
      </c>
      <c r="P150" s="36" t="s">
        <v>513</v>
      </c>
      <c r="Q150" s="36" t="s">
        <v>97</v>
      </c>
      <c r="R150" s="37">
        <v>29</v>
      </c>
      <c r="S150" s="33" t="s">
        <v>79</v>
      </c>
      <c r="T150" s="39">
        <v>0</v>
      </c>
      <c r="U150" s="39">
        <v>4</v>
      </c>
      <c r="V150" s="40" t="e">
        <f t="shared" si="44"/>
        <v>#DIV/0!</v>
      </c>
      <c r="W150" s="39">
        <v>10</v>
      </c>
      <c r="X150" s="39">
        <v>11</v>
      </c>
      <c r="Y150" s="40">
        <f t="shared" si="1"/>
        <v>110.00000000000001</v>
      </c>
      <c r="Z150" s="39">
        <v>10</v>
      </c>
      <c r="AA150" s="39"/>
      <c r="AB150" s="40">
        <f t="shared" si="2"/>
        <v>0</v>
      </c>
      <c r="AC150" s="39">
        <v>9</v>
      </c>
      <c r="AD150" s="39"/>
      <c r="AE150" s="40">
        <f t="shared" si="3"/>
        <v>0</v>
      </c>
      <c r="AF150" s="41">
        <f t="shared" si="39"/>
        <v>29</v>
      </c>
      <c r="AG150" s="41">
        <f t="shared" si="33"/>
        <v>15</v>
      </c>
      <c r="AH150" s="42">
        <f t="shared" si="45"/>
        <v>150</v>
      </c>
      <c r="AI150" s="43">
        <v>46054</v>
      </c>
      <c r="AJ150" s="43">
        <v>46477</v>
      </c>
      <c r="AK150" s="44" t="s">
        <v>80</v>
      </c>
      <c r="AL150" s="44" t="s">
        <v>81</v>
      </c>
      <c r="AM150" s="45" t="s">
        <v>82</v>
      </c>
      <c r="AN150" s="46"/>
      <c r="AO150" s="46"/>
      <c r="AP150" s="46"/>
      <c r="AQ150" s="47"/>
      <c r="AR150" s="44"/>
      <c r="AS150" s="44" t="s">
        <v>80</v>
      </c>
      <c r="AT150" s="54" t="s">
        <v>481</v>
      </c>
      <c r="AU150" s="49" t="s">
        <v>831</v>
      </c>
      <c r="AV150" s="51" t="s">
        <v>832</v>
      </c>
      <c r="AZ150" s="50">
        <f t="shared" si="40"/>
        <v>29</v>
      </c>
      <c r="BA150" s="50">
        <f t="shared" si="41"/>
        <v>15</v>
      </c>
      <c r="BB150" s="117">
        <f t="shared" si="42"/>
        <v>0.51724137931034486</v>
      </c>
      <c r="BC150" s="50">
        <f t="shared" si="43"/>
        <v>14</v>
      </c>
      <c r="BD150" s="51"/>
      <c r="BE150" s="52">
        <f t="shared" si="34"/>
        <v>4.2</v>
      </c>
      <c r="BF150" s="52">
        <f t="shared" si="35"/>
        <v>4.2</v>
      </c>
      <c r="BG150" s="52">
        <f t="shared" si="36"/>
        <v>4.2</v>
      </c>
      <c r="BH150" s="52">
        <f t="shared" si="37"/>
        <v>1.4000000000000001</v>
      </c>
      <c r="BI150" s="52">
        <f t="shared" si="38"/>
        <v>14.000000000000002</v>
      </c>
    </row>
    <row r="151" spans="1:61" x14ac:dyDescent="0.3">
      <c r="A151" s="39">
        <v>147</v>
      </c>
      <c r="B151" s="44" t="s">
        <v>238</v>
      </c>
      <c r="C151" s="44" t="s">
        <v>86</v>
      </c>
      <c r="D151" s="44" t="s">
        <v>87</v>
      </c>
      <c r="E151" s="44" t="s">
        <v>123</v>
      </c>
      <c r="F151" s="44" t="s">
        <v>465</v>
      </c>
      <c r="G151" s="36" t="s">
        <v>428</v>
      </c>
      <c r="H151" s="36" t="s">
        <v>348</v>
      </c>
      <c r="I151" s="36" t="s">
        <v>70</v>
      </c>
      <c r="J151" s="36" t="s">
        <v>70</v>
      </c>
      <c r="K151" s="33" t="s">
        <v>72</v>
      </c>
      <c r="L151" s="33" t="s">
        <v>73</v>
      </c>
      <c r="M151" s="36" t="s">
        <v>74</v>
      </c>
      <c r="N151" s="36" t="s">
        <v>502</v>
      </c>
      <c r="O151" s="36" t="s">
        <v>95</v>
      </c>
      <c r="P151" s="36" t="s">
        <v>514</v>
      </c>
      <c r="Q151" s="36" t="s">
        <v>97</v>
      </c>
      <c r="R151" s="37">
        <v>29</v>
      </c>
      <c r="S151" s="33" t="s">
        <v>79</v>
      </c>
      <c r="T151" s="39">
        <v>0</v>
      </c>
      <c r="U151" s="39">
        <v>4</v>
      </c>
      <c r="V151" s="40" t="e">
        <f t="shared" si="44"/>
        <v>#DIV/0!</v>
      </c>
      <c r="W151" s="39">
        <v>10</v>
      </c>
      <c r="X151" s="39">
        <v>12</v>
      </c>
      <c r="Y151" s="40">
        <f t="shared" si="1"/>
        <v>120</v>
      </c>
      <c r="Z151" s="39">
        <v>10</v>
      </c>
      <c r="AA151" s="39"/>
      <c r="AB151" s="40">
        <f t="shared" si="2"/>
        <v>0</v>
      </c>
      <c r="AC151" s="39">
        <v>9</v>
      </c>
      <c r="AD151" s="39"/>
      <c r="AE151" s="40">
        <f t="shared" si="3"/>
        <v>0</v>
      </c>
      <c r="AF151" s="41">
        <f t="shared" si="39"/>
        <v>29</v>
      </c>
      <c r="AG151" s="41">
        <f t="shared" si="33"/>
        <v>16</v>
      </c>
      <c r="AH151" s="42">
        <f t="shared" si="45"/>
        <v>160</v>
      </c>
      <c r="AI151" s="43">
        <v>46054</v>
      </c>
      <c r="AJ151" s="43">
        <v>46477</v>
      </c>
      <c r="AK151" s="44" t="s">
        <v>80</v>
      </c>
      <c r="AL151" s="44" t="s">
        <v>81</v>
      </c>
      <c r="AM151" s="45" t="s">
        <v>82</v>
      </c>
      <c r="AN151" s="46"/>
      <c r="AO151" s="46"/>
      <c r="AP151" s="46"/>
      <c r="AQ151" s="47"/>
      <c r="AR151" s="44"/>
      <c r="AS151" s="44" t="s">
        <v>80</v>
      </c>
      <c r="AT151" s="54" t="s">
        <v>481</v>
      </c>
      <c r="AU151" s="49" t="s">
        <v>831</v>
      </c>
      <c r="AV151" s="51" t="s">
        <v>832</v>
      </c>
      <c r="AZ151" s="50">
        <f t="shared" si="40"/>
        <v>29</v>
      </c>
      <c r="BA151" s="50">
        <f t="shared" si="41"/>
        <v>16</v>
      </c>
      <c r="BB151" s="117">
        <f t="shared" si="42"/>
        <v>0.55172413793103448</v>
      </c>
      <c r="BC151" s="50">
        <f t="shared" si="43"/>
        <v>13</v>
      </c>
      <c r="BD151" s="51"/>
      <c r="BE151" s="52">
        <f t="shared" si="34"/>
        <v>3.9</v>
      </c>
      <c r="BF151" s="52">
        <f t="shared" si="35"/>
        <v>3.9</v>
      </c>
      <c r="BG151" s="52">
        <f t="shared" si="36"/>
        <v>3.9</v>
      </c>
      <c r="BH151" s="52">
        <f t="shared" si="37"/>
        <v>1.3</v>
      </c>
      <c r="BI151" s="52">
        <f t="shared" si="38"/>
        <v>13</v>
      </c>
    </row>
    <row r="152" spans="1:61" x14ac:dyDescent="0.3">
      <c r="A152" s="39">
        <v>148</v>
      </c>
      <c r="B152" s="44" t="s">
        <v>238</v>
      </c>
      <c r="C152" s="44" t="s">
        <v>163</v>
      </c>
      <c r="D152" s="44" t="s">
        <v>164</v>
      </c>
      <c r="E152" s="44" t="s">
        <v>508</v>
      </c>
      <c r="F152" s="44" t="s">
        <v>509</v>
      </c>
      <c r="G152" s="36" t="s">
        <v>428</v>
      </c>
      <c r="H152" s="36" t="s">
        <v>348</v>
      </c>
      <c r="I152" s="36" t="s">
        <v>222</v>
      </c>
      <c r="J152" s="36" t="s">
        <v>222</v>
      </c>
      <c r="K152" s="33" t="s">
        <v>72</v>
      </c>
      <c r="L152" s="33" t="s">
        <v>73</v>
      </c>
      <c r="M152" s="36" t="s">
        <v>74</v>
      </c>
      <c r="N152" s="36" t="s">
        <v>502</v>
      </c>
      <c r="O152" s="36" t="s">
        <v>76</v>
      </c>
      <c r="P152" s="36" t="s">
        <v>515</v>
      </c>
      <c r="Q152" s="36" t="s">
        <v>78</v>
      </c>
      <c r="R152" s="37">
        <v>1</v>
      </c>
      <c r="S152" s="33" t="s">
        <v>79</v>
      </c>
      <c r="T152" s="39">
        <v>0</v>
      </c>
      <c r="U152" s="39">
        <v>0</v>
      </c>
      <c r="V152" s="40" t="e">
        <f t="shared" si="44"/>
        <v>#DIV/0!</v>
      </c>
      <c r="W152" s="39">
        <v>0</v>
      </c>
      <c r="X152" s="39">
        <v>0</v>
      </c>
      <c r="Y152" s="40" t="e">
        <f t="shared" si="1"/>
        <v>#DIV/0!</v>
      </c>
      <c r="Z152" s="39">
        <v>1</v>
      </c>
      <c r="AA152" s="39"/>
      <c r="AB152" s="40">
        <f t="shared" si="2"/>
        <v>0</v>
      </c>
      <c r="AC152" s="39">
        <v>0</v>
      </c>
      <c r="AD152" s="39"/>
      <c r="AE152" s="40" t="e">
        <f t="shared" si="3"/>
        <v>#DIV/0!</v>
      </c>
      <c r="AF152" s="41">
        <f t="shared" si="39"/>
        <v>1</v>
      </c>
      <c r="AG152" s="41">
        <f t="shared" si="33"/>
        <v>0</v>
      </c>
      <c r="AH152" s="42" t="e">
        <f t="shared" si="45"/>
        <v>#DIV/0!</v>
      </c>
      <c r="AI152" s="43">
        <v>46113</v>
      </c>
      <c r="AJ152" s="43">
        <v>46477</v>
      </c>
      <c r="AK152" s="44" t="s">
        <v>80</v>
      </c>
      <c r="AL152" s="44" t="s">
        <v>81</v>
      </c>
      <c r="AM152" s="45" t="s">
        <v>82</v>
      </c>
      <c r="AN152" s="46">
        <v>80000000</v>
      </c>
      <c r="AO152" s="46">
        <v>80000000</v>
      </c>
      <c r="AP152" s="46">
        <v>80000000</v>
      </c>
      <c r="AQ152" s="47">
        <v>0</v>
      </c>
      <c r="AR152" s="44" t="s">
        <v>127</v>
      </c>
      <c r="AS152" s="44" t="s">
        <v>80</v>
      </c>
      <c r="AT152" s="54" t="s">
        <v>481</v>
      </c>
      <c r="AU152" s="49" t="s">
        <v>831</v>
      </c>
      <c r="AV152" s="51" t="s">
        <v>832</v>
      </c>
      <c r="AZ152" s="50">
        <f t="shared" si="40"/>
        <v>1</v>
      </c>
      <c r="BA152" s="50">
        <f t="shared" si="41"/>
        <v>0</v>
      </c>
      <c r="BB152" s="117">
        <f t="shared" si="42"/>
        <v>0</v>
      </c>
      <c r="BC152" s="50">
        <f t="shared" si="43"/>
        <v>1</v>
      </c>
      <c r="BD152" s="51"/>
      <c r="BE152" s="52">
        <f t="shared" si="34"/>
        <v>0.3</v>
      </c>
      <c r="BF152" s="52">
        <f t="shared" si="35"/>
        <v>0.3</v>
      </c>
      <c r="BG152" s="52">
        <f t="shared" si="36"/>
        <v>0.3</v>
      </c>
      <c r="BH152" s="52">
        <f t="shared" si="37"/>
        <v>0.1</v>
      </c>
      <c r="BI152" s="52">
        <f t="shared" si="38"/>
        <v>0.99999999999999989</v>
      </c>
    </row>
    <row r="153" spans="1:61" x14ac:dyDescent="0.3">
      <c r="A153" s="39">
        <v>149</v>
      </c>
      <c r="B153" s="44" t="s">
        <v>238</v>
      </c>
      <c r="C153" s="44" t="s">
        <v>163</v>
      </c>
      <c r="D153" s="44" t="s">
        <v>164</v>
      </c>
      <c r="E153" s="44" t="s">
        <v>508</v>
      </c>
      <c r="F153" s="44" t="s">
        <v>509</v>
      </c>
      <c r="G153" s="36" t="s">
        <v>510</v>
      </c>
      <c r="H153" s="36" t="s">
        <v>516</v>
      </c>
      <c r="I153" s="36" t="s">
        <v>222</v>
      </c>
      <c r="J153" s="36" t="s">
        <v>222</v>
      </c>
      <c r="K153" s="33" t="s">
        <v>72</v>
      </c>
      <c r="L153" s="33" t="s">
        <v>73</v>
      </c>
      <c r="M153" s="36" t="s">
        <v>74</v>
      </c>
      <c r="N153" s="36" t="s">
        <v>75</v>
      </c>
      <c r="O153" s="36" t="s">
        <v>76</v>
      </c>
      <c r="P153" s="36" t="s">
        <v>517</v>
      </c>
      <c r="Q153" s="36" t="s">
        <v>97</v>
      </c>
      <c r="R153" s="37">
        <v>29</v>
      </c>
      <c r="S153" s="33" t="s">
        <v>79</v>
      </c>
      <c r="T153" s="39">
        <v>0</v>
      </c>
      <c r="U153" s="39">
        <v>0</v>
      </c>
      <c r="V153" s="40" t="e">
        <f t="shared" si="44"/>
        <v>#DIV/0!</v>
      </c>
      <c r="W153" s="39">
        <v>0</v>
      </c>
      <c r="X153" s="39">
        <v>0</v>
      </c>
      <c r="Y153" s="40" t="e">
        <f t="shared" si="1"/>
        <v>#DIV/0!</v>
      </c>
      <c r="Z153" s="39">
        <v>14</v>
      </c>
      <c r="AA153" s="39">
        <v>15</v>
      </c>
      <c r="AB153" s="40">
        <f t="shared" si="2"/>
        <v>107.14285714285714</v>
      </c>
      <c r="AC153" s="39">
        <v>29</v>
      </c>
      <c r="AD153" s="39"/>
      <c r="AE153" s="40">
        <f t="shared" si="3"/>
        <v>0</v>
      </c>
      <c r="AF153" s="41">
        <f t="shared" si="39"/>
        <v>29</v>
      </c>
      <c r="AG153" s="41">
        <f t="shared" si="33"/>
        <v>15</v>
      </c>
      <c r="AH153" s="42">
        <f t="shared" si="45"/>
        <v>107.14285714285714</v>
      </c>
      <c r="AI153" s="43">
        <v>46113</v>
      </c>
      <c r="AJ153" s="43">
        <v>46477</v>
      </c>
      <c r="AK153" s="44" t="s">
        <v>80</v>
      </c>
      <c r="AL153" s="44" t="s">
        <v>81</v>
      </c>
      <c r="AM153" s="45" t="s">
        <v>82</v>
      </c>
      <c r="AN153" s="46">
        <v>60000000</v>
      </c>
      <c r="AO153" s="46">
        <v>60000000</v>
      </c>
      <c r="AP153" s="46">
        <v>60000000</v>
      </c>
      <c r="AQ153" s="47">
        <v>0</v>
      </c>
      <c r="AR153" s="44" t="s">
        <v>518</v>
      </c>
      <c r="AS153" s="44" t="s">
        <v>80</v>
      </c>
      <c r="AT153" s="54" t="s">
        <v>481</v>
      </c>
      <c r="AU153" s="49" t="s">
        <v>831</v>
      </c>
      <c r="AV153" s="51" t="s">
        <v>832</v>
      </c>
      <c r="AZ153" s="50">
        <f t="shared" si="40"/>
        <v>29</v>
      </c>
      <c r="BA153" s="50">
        <f t="shared" si="41"/>
        <v>15</v>
      </c>
      <c r="BB153" s="117">
        <f t="shared" si="42"/>
        <v>0.51724137931034486</v>
      </c>
      <c r="BC153" s="50">
        <f t="shared" si="43"/>
        <v>14</v>
      </c>
      <c r="BD153" s="51"/>
      <c r="BE153" s="52">
        <f t="shared" si="34"/>
        <v>4.2</v>
      </c>
      <c r="BF153" s="52">
        <f t="shared" si="35"/>
        <v>4.2</v>
      </c>
      <c r="BG153" s="52">
        <f t="shared" si="36"/>
        <v>4.2</v>
      </c>
      <c r="BH153" s="52">
        <f t="shared" si="37"/>
        <v>1.4000000000000001</v>
      </c>
      <c r="BI153" s="52">
        <f t="shared" si="38"/>
        <v>14.000000000000002</v>
      </c>
    </row>
    <row r="154" spans="1:61" x14ac:dyDescent="0.3">
      <c r="A154" s="39">
        <v>150</v>
      </c>
      <c r="B154" s="44" t="s">
        <v>238</v>
      </c>
      <c r="C154" s="44" t="s">
        <v>86</v>
      </c>
      <c r="D154" s="44" t="s">
        <v>87</v>
      </c>
      <c r="E154" s="44" t="s">
        <v>519</v>
      </c>
      <c r="F154" s="44" t="s">
        <v>520</v>
      </c>
      <c r="G154" s="36" t="s">
        <v>521</v>
      </c>
      <c r="H154" s="36" t="s">
        <v>522</v>
      </c>
      <c r="I154" s="36" t="s">
        <v>70</v>
      </c>
      <c r="J154" s="36" t="s">
        <v>70</v>
      </c>
      <c r="K154" s="33" t="s">
        <v>72</v>
      </c>
      <c r="L154" s="33" t="s">
        <v>73</v>
      </c>
      <c r="M154" s="36" t="s">
        <v>74</v>
      </c>
      <c r="N154" s="36" t="s">
        <v>75</v>
      </c>
      <c r="O154" s="36" t="s">
        <v>95</v>
      </c>
      <c r="P154" s="36" t="s">
        <v>523</v>
      </c>
      <c r="Q154" s="36" t="s">
        <v>97</v>
      </c>
      <c r="R154" s="37">
        <v>1</v>
      </c>
      <c r="S154" s="33" t="s">
        <v>79</v>
      </c>
      <c r="T154" s="39">
        <v>0</v>
      </c>
      <c r="U154" s="39">
        <v>0</v>
      </c>
      <c r="V154" s="40" t="e">
        <f t="shared" si="44"/>
        <v>#DIV/0!</v>
      </c>
      <c r="W154" s="39">
        <v>0</v>
      </c>
      <c r="X154" s="39">
        <v>0</v>
      </c>
      <c r="Y154" s="40" t="e">
        <f t="shared" si="1"/>
        <v>#DIV/0!</v>
      </c>
      <c r="Z154" s="39">
        <v>0</v>
      </c>
      <c r="AA154" s="39"/>
      <c r="AB154" s="40" t="e">
        <f t="shared" si="2"/>
        <v>#DIV/0!</v>
      </c>
      <c r="AC154" s="39">
        <v>1</v>
      </c>
      <c r="AD154" s="39"/>
      <c r="AE154" s="40">
        <f t="shared" si="3"/>
        <v>0</v>
      </c>
      <c r="AF154" s="41">
        <f t="shared" si="39"/>
        <v>1</v>
      </c>
      <c r="AG154" s="41">
        <f t="shared" si="33"/>
        <v>0</v>
      </c>
      <c r="AH154" s="42" t="e">
        <f t="shared" si="45"/>
        <v>#DIV/0!</v>
      </c>
      <c r="AI154" s="43">
        <v>46054</v>
      </c>
      <c r="AJ154" s="43">
        <v>46477</v>
      </c>
      <c r="AK154" s="44" t="s">
        <v>80</v>
      </c>
      <c r="AL154" s="44" t="s">
        <v>81</v>
      </c>
      <c r="AM154" s="45" t="s">
        <v>82</v>
      </c>
      <c r="AN154" s="46"/>
      <c r="AO154" s="46"/>
      <c r="AP154" s="46"/>
      <c r="AQ154" s="47"/>
      <c r="AR154" s="44"/>
      <c r="AS154" s="44" t="s">
        <v>80</v>
      </c>
      <c r="AT154" s="54" t="s">
        <v>481</v>
      </c>
      <c r="AU154" s="49" t="s">
        <v>831</v>
      </c>
      <c r="AV154" s="51" t="s">
        <v>832</v>
      </c>
      <c r="AZ154" s="50">
        <f t="shared" si="40"/>
        <v>1</v>
      </c>
      <c r="BA154" s="50">
        <f t="shared" si="41"/>
        <v>0</v>
      </c>
      <c r="BB154" s="117">
        <f t="shared" si="42"/>
        <v>0</v>
      </c>
      <c r="BC154" s="50">
        <f t="shared" si="43"/>
        <v>1</v>
      </c>
      <c r="BD154" s="51"/>
      <c r="BE154" s="52">
        <f t="shared" si="34"/>
        <v>0.3</v>
      </c>
      <c r="BF154" s="52">
        <f t="shared" si="35"/>
        <v>0.3</v>
      </c>
      <c r="BG154" s="52">
        <f t="shared" si="36"/>
        <v>0.3</v>
      </c>
      <c r="BH154" s="52">
        <f t="shared" si="37"/>
        <v>0.1</v>
      </c>
      <c r="BI154" s="52">
        <f t="shared" si="38"/>
        <v>0.99999999999999989</v>
      </c>
    </row>
    <row r="155" spans="1:61" x14ac:dyDescent="0.3">
      <c r="A155" s="39">
        <v>151</v>
      </c>
      <c r="B155" s="44" t="s">
        <v>238</v>
      </c>
      <c r="C155" s="44" t="s">
        <v>163</v>
      </c>
      <c r="D155" s="44" t="s">
        <v>164</v>
      </c>
      <c r="E155" s="44" t="s">
        <v>508</v>
      </c>
      <c r="F155" s="44" t="s">
        <v>239</v>
      </c>
      <c r="G155" s="36" t="s">
        <v>248</v>
      </c>
      <c r="H155" s="36" t="s">
        <v>249</v>
      </c>
      <c r="I155" s="36" t="s">
        <v>254</v>
      </c>
      <c r="J155" s="36" t="s">
        <v>254</v>
      </c>
      <c r="K155" s="33" t="s">
        <v>72</v>
      </c>
      <c r="L155" s="33" t="s">
        <v>73</v>
      </c>
      <c r="M155" s="36" t="s">
        <v>74</v>
      </c>
      <c r="N155" s="36" t="s">
        <v>243</v>
      </c>
      <c r="O155" s="36" t="s">
        <v>76</v>
      </c>
      <c r="P155" s="36" t="s">
        <v>524</v>
      </c>
      <c r="Q155" s="36" t="s">
        <v>78</v>
      </c>
      <c r="R155" s="37">
        <v>12</v>
      </c>
      <c r="S155" s="33" t="s">
        <v>79</v>
      </c>
      <c r="T155" s="39">
        <v>3</v>
      </c>
      <c r="U155" s="39">
        <v>0</v>
      </c>
      <c r="V155" s="40">
        <f t="shared" si="44"/>
        <v>0</v>
      </c>
      <c r="W155" s="39">
        <v>3</v>
      </c>
      <c r="X155" s="39">
        <v>0</v>
      </c>
      <c r="Y155" s="40">
        <f t="shared" si="1"/>
        <v>0</v>
      </c>
      <c r="Z155" s="39">
        <v>3</v>
      </c>
      <c r="AA155" s="39"/>
      <c r="AB155" s="40">
        <f t="shared" si="2"/>
        <v>0</v>
      </c>
      <c r="AC155" s="39">
        <v>3</v>
      </c>
      <c r="AD155" s="39"/>
      <c r="AE155" s="40">
        <f t="shared" si="3"/>
        <v>0</v>
      </c>
      <c r="AF155" s="41">
        <f t="shared" si="39"/>
        <v>12</v>
      </c>
      <c r="AG155" s="41">
        <f t="shared" si="33"/>
        <v>0</v>
      </c>
      <c r="AH155" s="42">
        <f t="shared" si="45"/>
        <v>0</v>
      </c>
      <c r="AI155" s="43">
        <v>46054</v>
      </c>
      <c r="AJ155" s="43">
        <v>46477</v>
      </c>
      <c r="AK155" s="44" t="s">
        <v>80</v>
      </c>
      <c r="AL155" s="44" t="s">
        <v>81</v>
      </c>
      <c r="AM155" s="45" t="s">
        <v>82</v>
      </c>
      <c r="AN155" s="46">
        <v>40000000</v>
      </c>
      <c r="AO155" s="46">
        <v>40000000</v>
      </c>
      <c r="AP155" s="46">
        <v>40000000</v>
      </c>
      <c r="AQ155" s="47">
        <v>0</v>
      </c>
      <c r="AR155" s="44"/>
      <c r="AS155" s="44" t="s">
        <v>80</v>
      </c>
      <c r="AT155" s="54" t="s">
        <v>481</v>
      </c>
      <c r="AU155" s="49" t="s">
        <v>831</v>
      </c>
      <c r="AV155" s="51" t="s">
        <v>832</v>
      </c>
      <c r="AZ155" s="50">
        <f t="shared" si="40"/>
        <v>12</v>
      </c>
      <c r="BA155" s="50">
        <f t="shared" si="41"/>
        <v>0</v>
      </c>
      <c r="BB155" s="117">
        <f t="shared" si="42"/>
        <v>0</v>
      </c>
      <c r="BC155" s="50">
        <f t="shared" si="43"/>
        <v>12</v>
      </c>
      <c r="BD155" s="51"/>
      <c r="BE155" s="52">
        <f t="shared" si="34"/>
        <v>3.5999999999999996</v>
      </c>
      <c r="BF155" s="52">
        <f t="shared" si="35"/>
        <v>3.5999999999999996</v>
      </c>
      <c r="BG155" s="52">
        <f t="shared" si="36"/>
        <v>3.5999999999999996</v>
      </c>
      <c r="BH155" s="52">
        <f t="shared" si="37"/>
        <v>1.2000000000000002</v>
      </c>
      <c r="BI155" s="52">
        <f t="shared" si="38"/>
        <v>12</v>
      </c>
    </row>
    <row r="156" spans="1:61" x14ac:dyDescent="0.3">
      <c r="A156" s="39">
        <v>152</v>
      </c>
      <c r="B156" s="44" t="s">
        <v>238</v>
      </c>
      <c r="C156" s="44" t="s">
        <v>86</v>
      </c>
      <c r="D156" s="44" t="s">
        <v>87</v>
      </c>
      <c r="E156" s="44" t="s">
        <v>508</v>
      </c>
      <c r="F156" s="44" t="s">
        <v>520</v>
      </c>
      <c r="G156" s="36" t="s">
        <v>521</v>
      </c>
      <c r="H156" s="36" t="s">
        <v>522</v>
      </c>
      <c r="I156" s="36" t="s">
        <v>70</v>
      </c>
      <c r="J156" s="36" t="s">
        <v>70</v>
      </c>
      <c r="K156" s="33" t="s">
        <v>72</v>
      </c>
      <c r="L156" s="33" t="s">
        <v>73</v>
      </c>
      <c r="M156" s="36" t="s">
        <v>74</v>
      </c>
      <c r="N156" s="36" t="s">
        <v>75</v>
      </c>
      <c r="O156" s="36" t="s">
        <v>76</v>
      </c>
      <c r="P156" s="36" t="s">
        <v>525</v>
      </c>
      <c r="Q156" s="36" t="s">
        <v>78</v>
      </c>
      <c r="R156" s="37">
        <v>4</v>
      </c>
      <c r="S156" s="33" t="s">
        <v>79</v>
      </c>
      <c r="T156" s="39">
        <v>0</v>
      </c>
      <c r="U156" s="39">
        <v>0</v>
      </c>
      <c r="V156" s="40" t="e">
        <f t="shared" si="44"/>
        <v>#DIV/0!</v>
      </c>
      <c r="W156" s="39">
        <v>0</v>
      </c>
      <c r="X156" s="39">
        <v>4</v>
      </c>
      <c r="Y156" s="40" t="e">
        <f t="shared" si="1"/>
        <v>#DIV/0!</v>
      </c>
      <c r="Z156" s="39">
        <v>2</v>
      </c>
      <c r="AA156" s="39"/>
      <c r="AB156" s="40">
        <f t="shared" si="2"/>
        <v>0</v>
      </c>
      <c r="AC156" s="39">
        <v>2</v>
      </c>
      <c r="AD156" s="39"/>
      <c r="AE156" s="40">
        <f t="shared" si="3"/>
        <v>0</v>
      </c>
      <c r="AF156" s="41">
        <f t="shared" si="39"/>
        <v>4</v>
      </c>
      <c r="AG156" s="41">
        <f t="shared" si="33"/>
        <v>4</v>
      </c>
      <c r="AH156" s="42" t="e">
        <f t="shared" si="45"/>
        <v>#DIV/0!</v>
      </c>
      <c r="AI156" s="43">
        <v>46113</v>
      </c>
      <c r="AJ156" s="43">
        <v>46477</v>
      </c>
      <c r="AK156" s="44" t="s">
        <v>80</v>
      </c>
      <c r="AL156" s="44" t="s">
        <v>81</v>
      </c>
      <c r="AM156" s="45" t="s">
        <v>82</v>
      </c>
      <c r="AN156" s="46">
        <v>40000000</v>
      </c>
      <c r="AO156" s="46">
        <v>40000000</v>
      </c>
      <c r="AP156" s="46">
        <v>40000000</v>
      </c>
      <c r="AQ156" s="47">
        <v>0</v>
      </c>
      <c r="AR156" s="44" t="s">
        <v>83</v>
      </c>
      <c r="AS156" s="44" t="s">
        <v>80</v>
      </c>
      <c r="AT156" s="54" t="s">
        <v>481</v>
      </c>
      <c r="AU156" s="49" t="s">
        <v>831</v>
      </c>
      <c r="AV156" s="51" t="s">
        <v>832</v>
      </c>
      <c r="AZ156" s="50">
        <f t="shared" si="40"/>
        <v>4</v>
      </c>
      <c r="BA156" s="50">
        <f t="shared" si="41"/>
        <v>4</v>
      </c>
      <c r="BB156" s="117">
        <f t="shared" si="42"/>
        <v>1</v>
      </c>
      <c r="BC156" s="50">
        <f t="shared" si="43"/>
        <v>0</v>
      </c>
      <c r="BD156" s="51"/>
      <c r="BE156" s="52">
        <f t="shared" si="34"/>
        <v>0</v>
      </c>
      <c r="BF156" s="52">
        <f t="shared" si="35"/>
        <v>0</v>
      </c>
      <c r="BG156" s="52">
        <f t="shared" si="36"/>
        <v>0</v>
      </c>
      <c r="BH156" s="52">
        <f t="shared" si="37"/>
        <v>0</v>
      </c>
      <c r="BI156" s="52">
        <f t="shared" si="38"/>
        <v>0</v>
      </c>
    </row>
    <row r="157" spans="1:61" x14ac:dyDescent="0.3">
      <c r="A157" s="39">
        <v>153</v>
      </c>
      <c r="B157" s="44" t="s">
        <v>238</v>
      </c>
      <c r="C157" s="44" t="s">
        <v>163</v>
      </c>
      <c r="D157" s="44" t="s">
        <v>164</v>
      </c>
      <c r="E157" s="44" t="s">
        <v>508</v>
      </c>
      <c r="F157" s="44" t="s">
        <v>239</v>
      </c>
      <c r="G157" s="36" t="s">
        <v>248</v>
      </c>
      <c r="H157" s="36" t="s">
        <v>526</v>
      </c>
      <c r="I157" s="36" t="s">
        <v>70</v>
      </c>
      <c r="J157" s="36" t="s">
        <v>70</v>
      </c>
      <c r="K157" s="33" t="s">
        <v>72</v>
      </c>
      <c r="L157" s="33" t="s">
        <v>73</v>
      </c>
      <c r="M157" s="36" t="s">
        <v>74</v>
      </c>
      <c r="N157" s="36" t="s">
        <v>75</v>
      </c>
      <c r="O157" s="36" t="s">
        <v>76</v>
      </c>
      <c r="P157" s="36" t="s">
        <v>527</v>
      </c>
      <c r="Q157" s="36" t="s">
        <v>78</v>
      </c>
      <c r="R157" s="37">
        <v>2</v>
      </c>
      <c r="S157" s="33" t="s">
        <v>79</v>
      </c>
      <c r="T157" s="39">
        <v>0</v>
      </c>
      <c r="U157" s="39">
        <v>0</v>
      </c>
      <c r="V157" s="40" t="e">
        <f t="shared" si="44"/>
        <v>#DIV/0!</v>
      </c>
      <c r="W157" s="39">
        <v>0</v>
      </c>
      <c r="X157" s="39">
        <v>0</v>
      </c>
      <c r="Y157" s="40" t="e">
        <f t="shared" si="1"/>
        <v>#DIV/0!</v>
      </c>
      <c r="Z157" s="39">
        <v>1</v>
      </c>
      <c r="AA157" s="39"/>
      <c r="AB157" s="40">
        <f t="shared" si="2"/>
        <v>0</v>
      </c>
      <c r="AC157" s="39">
        <v>1</v>
      </c>
      <c r="AD157" s="39"/>
      <c r="AE157" s="40">
        <f t="shared" si="3"/>
        <v>0</v>
      </c>
      <c r="AF157" s="41">
        <f t="shared" si="39"/>
        <v>2</v>
      </c>
      <c r="AG157" s="41">
        <f t="shared" si="33"/>
        <v>0</v>
      </c>
      <c r="AH157" s="42" t="e">
        <f t="shared" si="45"/>
        <v>#DIV/0!</v>
      </c>
      <c r="AI157" s="43">
        <v>46113</v>
      </c>
      <c r="AJ157" s="43">
        <v>46477</v>
      </c>
      <c r="AK157" s="44" t="s">
        <v>80</v>
      </c>
      <c r="AL157" s="44" t="s">
        <v>81</v>
      </c>
      <c r="AM157" s="45" t="s">
        <v>82</v>
      </c>
      <c r="AN157" s="46">
        <v>40000000</v>
      </c>
      <c r="AO157" s="46">
        <v>40000000</v>
      </c>
      <c r="AP157" s="46">
        <v>40000000</v>
      </c>
      <c r="AQ157" s="47">
        <v>0</v>
      </c>
      <c r="AR157" s="44" t="s">
        <v>83</v>
      </c>
      <c r="AS157" s="44" t="s">
        <v>80</v>
      </c>
      <c r="AT157" s="54" t="s">
        <v>481</v>
      </c>
      <c r="AU157" s="49" t="s">
        <v>831</v>
      </c>
      <c r="AV157" s="51" t="s">
        <v>832</v>
      </c>
      <c r="AZ157" s="50">
        <f t="shared" si="40"/>
        <v>2</v>
      </c>
      <c r="BA157" s="50">
        <f t="shared" si="41"/>
        <v>0</v>
      </c>
      <c r="BB157" s="117">
        <f t="shared" si="42"/>
        <v>0</v>
      </c>
      <c r="BC157" s="50">
        <f t="shared" si="43"/>
        <v>2</v>
      </c>
      <c r="BD157" s="51"/>
      <c r="BE157" s="52">
        <f t="shared" si="34"/>
        <v>0.6</v>
      </c>
      <c r="BF157" s="52">
        <f t="shared" si="35"/>
        <v>0.6</v>
      </c>
      <c r="BG157" s="52">
        <f t="shared" si="36"/>
        <v>0.6</v>
      </c>
      <c r="BH157" s="52">
        <f t="shared" si="37"/>
        <v>0.2</v>
      </c>
      <c r="BI157" s="52">
        <f t="shared" si="38"/>
        <v>1.9999999999999998</v>
      </c>
    </row>
    <row r="158" spans="1:61" x14ac:dyDescent="0.3">
      <c r="A158" s="39">
        <v>154</v>
      </c>
      <c r="B158" s="44" t="s">
        <v>238</v>
      </c>
      <c r="C158" s="44" t="s">
        <v>163</v>
      </c>
      <c r="D158" s="44" t="s">
        <v>164</v>
      </c>
      <c r="E158" s="44" t="s">
        <v>508</v>
      </c>
      <c r="F158" s="44" t="s">
        <v>239</v>
      </c>
      <c r="G158" s="36" t="s">
        <v>248</v>
      </c>
      <c r="H158" s="36" t="s">
        <v>526</v>
      </c>
      <c r="I158" s="36" t="s">
        <v>70</v>
      </c>
      <c r="J158" s="36" t="s">
        <v>70</v>
      </c>
      <c r="K158" s="33" t="s">
        <v>72</v>
      </c>
      <c r="L158" s="33" t="s">
        <v>73</v>
      </c>
      <c r="M158" s="36" t="s">
        <v>74</v>
      </c>
      <c r="N158" s="36" t="s">
        <v>75</v>
      </c>
      <c r="O158" s="36" t="s">
        <v>76</v>
      </c>
      <c r="P158" s="36" t="s">
        <v>528</v>
      </c>
      <c r="Q158" s="36" t="s">
        <v>78</v>
      </c>
      <c r="R158" s="37">
        <v>2</v>
      </c>
      <c r="S158" s="33" t="s">
        <v>79</v>
      </c>
      <c r="T158" s="39">
        <v>0</v>
      </c>
      <c r="U158" s="39">
        <v>0</v>
      </c>
      <c r="V158" s="40">
        <v>0</v>
      </c>
      <c r="W158" s="39">
        <v>0</v>
      </c>
      <c r="X158" s="39">
        <v>0</v>
      </c>
      <c r="Y158" s="40" t="e">
        <f t="shared" si="1"/>
        <v>#DIV/0!</v>
      </c>
      <c r="Z158" s="39">
        <v>0</v>
      </c>
      <c r="AA158" s="39"/>
      <c r="AB158" s="40" t="e">
        <f t="shared" si="2"/>
        <v>#DIV/0!</v>
      </c>
      <c r="AC158" s="39">
        <v>1</v>
      </c>
      <c r="AD158" s="39"/>
      <c r="AE158" s="40">
        <f t="shared" si="3"/>
        <v>0</v>
      </c>
      <c r="AF158" s="41">
        <f t="shared" si="39"/>
        <v>2</v>
      </c>
      <c r="AG158" s="41">
        <f t="shared" si="33"/>
        <v>0</v>
      </c>
      <c r="AH158" s="42" t="e">
        <f t="shared" si="45"/>
        <v>#DIV/0!</v>
      </c>
      <c r="AI158" s="43">
        <v>46054</v>
      </c>
      <c r="AJ158" s="43">
        <v>46477</v>
      </c>
      <c r="AK158" s="44" t="s">
        <v>80</v>
      </c>
      <c r="AL158" s="44" t="s">
        <v>81</v>
      </c>
      <c r="AM158" s="45" t="s">
        <v>82</v>
      </c>
      <c r="AN158" s="46">
        <v>40000000</v>
      </c>
      <c r="AO158" s="46">
        <v>40000000</v>
      </c>
      <c r="AP158" s="46">
        <v>40000000</v>
      </c>
      <c r="AQ158" s="47">
        <v>0</v>
      </c>
      <c r="AR158" s="44" t="s">
        <v>127</v>
      </c>
      <c r="AS158" s="44" t="s">
        <v>80</v>
      </c>
      <c r="AT158" s="54" t="s">
        <v>481</v>
      </c>
      <c r="AU158" s="49" t="s">
        <v>831</v>
      </c>
      <c r="AV158" s="51" t="s">
        <v>832</v>
      </c>
      <c r="AZ158" s="50">
        <f t="shared" si="40"/>
        <v>2</v>
      </c>
      <c r="BA158" s="50">
        <f t="shared" si="41"/>
        <v>0</v>
      </c>
      <c r="BB158" s="117">
        <f t="shared" si="42"/>
        <v>0</v>
      </c>
      <c r="BC158" s="50">
        <f t="shared" si="43"/>
        <v>2</v>
      </c>
      <c r="BD158" s="51"/>
      <c r="BE158" s="52">
        <f t="shared" si="34"/>
        <v>0.6</v>
      </c>
      <c r="BF158" s="52">
        <f t="shared" si="35"/>
        <v>0.6</v>
      </c>
      <c r="BG158" s="52">
        <f t="shared" si="36"/>
        <v>0.6</v>
      </c>
      <c r="BH158" s="52">
        <f t="shared" si="37"/>
        <v>0.2</v>
      </c>
      <c r="BI158" s="52">
        <f t="shared" si="38"/>
        <v>1.9999999999999998</v>
      </c>
    </row>
    <row r="159" spans="1:61" x14ac:dyDescent="0.3">
      <c r="A159" s="39">
        <v>155</v>
      </c>
      <c r="B159" s="44" t="s">
        <v>238</v>
      </c>
      <c r="C159" s="44" t="s">
        <v>163</v>
      </c>
      <c r="D159" s="44" t="s">
        <v>164</v>
      </c>
      <c r="E159" s="44" t="s">
        <v>508</v>
      </c>
      <c r="F159" s="44" t="s">
        <v>239</v>
      </c>
      <c r="G159" s="36" t="s">
        <v>248</v>
      </c>
      <c r="H159" s="36" t="s">
        <v>526</v>
      </c>
      <c r="I159" s="36" t="s">
        <v>70</v>
      </c>
      <c r="J159" s="36" t="s">
        <v>70</v>
      </c>
      <c r="K159" s="33" t="s">
        <v>72</v>
      </c>
      <c r="L159" s="33" t="s">
        <v>73</v>
      </c>
      <c r="M159" s="36" t="s">
        <v>74</v>
      </c>
      <c r="N159" s="36" t="s">
        <v>75</v>
      </c>
      <c r="O159" s="36" t="s">
        <v>76</v>
      </c>
      <c r="P159" s="36" t="s">
        <v>529</v>
      </c>
      <c r="Q159" s="36" t="s">
        <v>78</v>
      </c>
      <c r="R159" s="37">
        <v>2</v>
      </c>
      <c r="S159" s="33" t="s">
        <v>79</v>
      </c>
      <c r="T159" s="39">
        <v>0</v>
      </c>
      <c r="U159" s="39">
        <v>0</v>
      </c>
      <c r="V159" s="40" t="e">
        <f t="shared" ref="V159:V163" si="46">U159/T159*100</f>
        <v>#DIV/0!</v>
      </c>
      <c r="W159" s="39">
        <v>0</v>
      </c>
      <c r="X159" s="39">
        <v>0</v>
      </c>
      <c r="Y159" s="40" t="e">
        <f t="shared" si="1"/>
        <v>#DIV/0!</v>
      </c>
      <c r="Z159" s="39">
        <v>1</v>
      </c>
      <c r="AA159" s="39"/>
      <c r="AB159" s="40">
        <f t="shared" si="2"/>
        <v>0</v>
      </c>
      <c r="AC159" s="39">
        <v>1</v>
      </c>
      <c r="AD159" s="39"/>
      <c r="AE159" s="40">
        <f t="shared" si="3"/>
        <v>0</v>
      </c>
      <c r="AF159" s="41">
        <f t="shared" si="39"/>
        <v>2</v>
      </c>
      <c r="AG159" s="41">
        <f t="shared" si="33"/>
        <v>0</v>
      </c>
      <c r="AH159" s="42" t="e">
        <f t="shared" si="45"/>
        <v>#DIV/0!</v>
      </c>
      <c r="AI159" s="43">
        <v>46113</v>
      </c>
      <c r="AJ159" s="43">
        <v>46477</v>
      </c>
      <c r="AK159" s="44" t="s">
        <v>80</v>
      </c>
      <c r="AL159" s="44" t="s">
        <v>81</v>
      </c>
      <c r="AM159" s="45" t="s">
        <v>82</v>
      </c>
      <c r="AN159" s="46">
        <v>40000000</v>
      </c>
      <c r="AO159" s="46">
        <v>40000000</v>
      </c>
      <c r="AP159" s="46">
        <v>40000000</v>
      </c>
      <c r="AQ159" s="47">
        <v>0</v>
      </c>
      <c r="AR159" s="44" t="s">
        <v>530</v>
      </c>
      <c r="AS159" s="44" t="s">
        <v>80</v>
      </c>
      <c r="AT159" s="54" t="s">
        <v>481</v>
      </c>
      <c r="AU159" s="49" t="s">
        <v>831</v>
      </c>
      <c r="AV159" s="51" t="s">
        <v>832</v>
      </c>
      <c r="AZ159" s="50">
        <f t="shared" si="40"/>
        <v>2</v>
      </c>
      <c r="BA159" s="50">
        <f t="shared" si="41"/>
        <v>0</v>
      </c>
      <c r="BB159" s="117">
        <f t="shared" si="42"/>
        <v>0</v>
      </c>
      <c r="BC159" s="50">
        <f t="shared" si="43"/>
        <v>2</v>
      </c>
      <c r="BD159" s="51"/>
      <c r="BE159" s="52">
        <f t="shared" si="34"/>
        <v>0.6</v>
      </c>
      <c r="BF159" s="52">
        <f t="shared" si="35"/>
        <v>0.6</v>
      </c>
      <c r="BG159" s="52">
        <f t="shared" si="36"/>
        <v>0.6</v>
      </c>
      <c r="BH159" s="52">
        <f t="shared" si="37"/>
        <v>0.2</v>
      </c>
      <c r="BI159" s="52">
        <f t="shared" si="38"/>
        <v>1.9999999999999998</v>
      </c>
    </row>
    <row r="160" spans="1:61" x14ac:dyDescent="0.3">
      <c r="A160" s="39">
        <v>156</v>
      </c>
      <c r="B160" s="44" t="s">
        <v>238</v>
      </c>
      <c r="C160" s="44" t="s">
        <v>163</v>
      </c>
      <c r="D160" s="44" t="s">
        <v>164</v>
      </c>
      <c r="E160" s="44" t="s">
        <v>508</v>
      </c>
      <c r="F160" s="44" t="s">
        <v>239</v>
      </c>
      <c r="G160" s="36" t="s">
        <v>248</v>
      </c>
      <c r="H160" s="36" t="s">
        <v>526</v>
      </c>
      <c r="I160" s="36" t="s">
        <v>70</v>
      </c>
      <c r="J160" s="36" t="s">
        <v>70</v>
      </c>
      <c r="K160" s="33" t="s">
        <v>72</v>
      </c>
      <c r="L160" s="33" t="s">
        <v>73</v>
      </c>
      <c r="M160" s="36" t="s">
        <v>74</v>
      </c>
      <c r="N160" s="36" t="s">
        <v>75</v>
      </c>
      <c r="O160" s="36" t="s">
        <v>76</v>
      </c>
      <c r="P160" s="36" t="s">
        <v>531</v>
      </c>
      <c r="Q160" s="36" t="s">
        <v>78</v>
      </c>
      <c r="R160" s="37">
        <v>2</v>
      </c>
      <c r="S160" s="33" t="s">
        <v>79</v>
      </c>
      <c r="T160" s="39">
        <v>1</v>
      </c>
      <c r="U160" s="39">
        <v>0</v>
      </c>
      <c r="V160" s="40">
        <f t="shared" si="46"/>
        <v>0</v>
      </c>
      <c r="W160" s="39">
        <v>1</v>
      </c>
      <c r="X160" s="39"/>
      <c r="Y160" s="40">
        <f t="shared" si="1"/>
        <v>0</v>
      </c>
      <c r="Z160" s="39">
        <v>0</v>
      </c>
      <c r="AA160" s="39"/>
      <c r="AB160" s="40" t="e">
        <f t="shared" si="2"/>
        <v>#DIV/0!</v>
      </c>
      <c r="AC160" s="39">
        <v>1</v>
      </c>
      <c r="AD160" s="39"/>
      <c r="AE160" s="40">
        <f t="shared" si="3"/>
        <v>0</v>
      </c>
      <c r="AF160" s="41">
        <f t="shared" si="39"/>
        <v>2</v>
      </c>
      <c r="AG160" s="41">
        <f t="shared" si="33"/>
        <v>0</v>
      </c>
      <c r="AH160" s="42">
        <f t="shared" si="45"/>
        <v>0</v>
      </c>
      <c r="AI160" s="43">
        <v>46113</v>
      </c>
      <c r="AJ160" s="43">
        <v>46477</v>
      </c>
      <c r="AK160" s="44" t="s">
        <v>80</v>
      </c>
      <c r="AL160" s="44" t="s">
        <v>81</v>
      </c>
      <c r="AM160" s="45" t="s">
        <v>82</v>
      </c>
      <c r="AN160" s="46">
        <v>40000000</v>
      </c>
      <c r="AO160" s="46">
        <v>40000000</v>
      </c>
      <c r="AP160" s="46">
        <v>40000000</v>
      </c>
      <c r="AQ160" s="47">
        <v>0</v>
      </c>
      <c r="AR160" s="44" t="s">
        <v>530</v>
      </c>
      <c r="AS160" s="44" t="s">
        <v>80</v>
      </c>
      <c r="AT160" s="54" t="s">
        <v>481</v>
      </c>
      <c r="AU160" s="49" t="s">
        <v>831</v>
      </c>
      <c r="AV160" s="51" t="s">
        <v>832</v>
      </c>
      <c r="AZ160" s="50">
        <f t="shared" si="40"/>
        <v>2</v>
      </c>
      <c r="BA160" s="50">
        <f t="shared" si="41"/>
        <v>0</v>
      </c>
      <c r="BB160" s="117">
        <f t="shared" si="42"/>
        <v>0</v>
      </c>
      <c r="BC160" s="50">
        <f t="shared" si="43"/>
        <v>2</v>
      </c>
      <c r="BD160" s="51"/>
      <c r="BE160" s="52">
        <f t="shared" si="34"/>
        <v>0.6</v>
      </c>
      <c r="BF160" s="52">
        <f t="shared" si="35"/>
        <v>0.6</v>
      </c>
      <c r="BG160" s="52">
        <f t="shared" si="36"/>
        <v>0.6</v>
      </c>
      <c r="BH160" s="52">
        <f t="shared" si="37"/>
        <v>0.2</v>
      </c>
      <c r="BI160" s="52">
        <f t="shared" si="38"/>
        <v>1.9999999999999998</v>
      </c>
    </row>
    <row r="161" spans="1:61" x14ac:dyDescent="0.3">
      <c r="A161" s="39">
        <v>157</v>
      </c>
      <c r="B161" s="44" t="s">
        <v>238</v>
      </c>
      <c r="C161" s="44" t="s">
        <v>163</v>
      </c>
      <c r="D161" s="44" t="s">
        <v>164</v>
      </c>
      <c r="E161" s="44" t="s">
        <v>508</v>
      </c>
      <c r="F161" s="44" t="s">
        <v>532</v>
      </c>
      <c r="G161" s="36" t="s">
        <v>521</v>
      </c>
      <c r="H161" s="36" t="s">
        <v>526</v>
      </c>
      <c r="I161" s="36" t="s">
        <v>70</v>
      </c>
      <c r="J161" s="36" t="s">
        <v>70</v>
      </c>
      <c r="K161" s="33" t="s">
        <v>72</v>
      </c>
      <c r="L161" s="33" t="s">
        <v>73</v>
      </c>
      <c r="M161" s="36" t="s">
        <v>74</v>
      </c>
      <c r="N161" s="36" t="s">
        <v>75</v>
      </c>
      <c r="O161" s="36" t="s">
        <v>76</v>
      </c>
      <c r="P161" s="36" t="s">
        <v>533</v>
      </c>
      <c r="Q161" s="36" t="s">
        <v>78</v>
      </c>
      <c r="R161" s="37">
        <v>1</v>
      </c>
      <c r="S161" s="33" t="s">
        <v>79</v>
      </c>
      <c r="T161" s="39">
        <v>0</v>
      </c>
      <c r="U161" s="39">
        <v>0</v>
      </c>
      <c r="V161" s="40" t="e">
        <f t="shared" si="46"/>
        <v>#DIV/0!</v>
      </c>
      <c r="W161" s="39">
        <v>0</v>
      </c>
      <c r="X161" s="39">
        <v>0</v>
      </c>
      <c r="Y161" s="40" t="e">
        <f t="shared" si="1"/>
        <v>#DIV/0!</v>
      </c>
      <c r="Z161" s="39">
        <v>0</v>
      </c>
      <c r="AA161" s="39">
        <v>0</v>
      </c>
      <c r="AB161" s="40" t="e">
        <f t="shared" si="2"/>
        <v>#DIV/0!</v>
      </c>
      <c r="AC161" s="39">
        <v>1</v>
      </c>
      <c r="AD161" s="39"/>
      <c r="AE161" s="40">
        <f t="shared" si="3"/>
        <v>0</v>
      </c>
      <c r="AF161" s="41">
        <f t="shared" si="39"/>
        <v>1</v>
      </c>
      <c r="AG161" s="41">
        <f t="shared" si="33"/>
        <v>0</v>
      </c>
      <c r="AH161" s="42" t="e">
        <f t="shared" si="45"/>
        <v>#DIV/0!</v>
      </c>
      <c r="AI161" s="43">
        <v>46113</v>
      </c>
      <c r="AJ161" s="43">
        <v>46477</v>
      </c>
      <c r="AK161" s="44" t="s">
        <v>80</v>
      </c>
      <c r="AL161" s="44" t="s">
        <v>81</v>
      </c>
      <c r="AM161" s="45" t="s">
        <v>82</v>
      </c>
      <c r="AN161" s="46">
        <v>129400000</v>
      </c>
      <c r="AO161" s="46">
        <v>129400000</v>
      </c>
      <c r="AP161" s="46">
        <v>129400000</v>
      </c>
      <c r="AQ161" s="47">
        <v>0</v>
      </c>
      <c r="AR161" s="44" t="s">
        <v>530</v>
      </c>
      <c r="AS161" s="44" t="s">
        <v>80</v>
      </c>
      <c r="AT161" s="54" t="s">
        <v>481</v>
      </c>
      <c r="AU161" s="49" t="s">
        <v>831</v>
      </c>
      <c r="AV161" s="51" t="s">
        <v>832</v>
      </c>
      <c r="AZ161" s="50">
        <f t="shared" si="40"/>
        <v>1</v>
      </c>
      <c r="BA161" s="50">
        <f t="shared" si="41"/>
        <v>0</v>
      </c>
      <c r="BB161" s="117">
        <f t="shared" si="42"/>
        <v>0</v>
      </c>
      <c r="BC161" s="50">
        <f t="shared" si="43"/>
        <v>1</v>
      </c>
      <c r="BD161" s="51"/>
      <c r="BE161" s="52">
        <f t="shared" si="34"/>
        <v>0.3</v>
      </c>
      <c r="BF161" s="52">
        <f t="shared" si="35"/>
        <v>0.3</v>
      </c>
      <c r="BG161" s="52">
        <f t="shared" si="36"/>
        <v>0.3</v>
      </c>
      <c r="BH161" s="52">
        <f t="shared" si="37"/>
        <v>0.1</v>
      </c>
      <c r="BI161" s="52">
        <f t="shared" si="38"/>
        <v>0.99999999999999989</v>
      </c>
    </row>
    <row r="162" spans="1:61" x14ac:dyDescent="0.3">
      <c r="A162" s="39">
        <v>158</v>
      </c>
      <c r="B162" s="44" t="s">
        <v>238</v>
      </c>
      <c r="C162" s="44" t="s">
        <v>101</v>
      </c>
      <c r="D162" s="44" t="s">
        <v>87</v>
      </c>
      <c r="E162" s="44" t="s">
        <v>534</v>
      </c>
      <c r="F162" s="44" t="s">
        <v>535</v>
      </c>
      <c r="G162" s="36" t="s">
        <v>521</v>
      </c>
      <c r="H162" s="36" t="s">
        <v>522</v>
      </c>
      <c r="I162" s="36" t="s">
        <v>70</v>
      </c>
      <c r="J162" s="36" t="s">
        <v>70</v>
      </c>
      <c r="K162" s="33" t="s">
        <v>72</v>
      </c>
      <c r="L162" s="33" t="s">
        <v>73</v>
      </c>
      <c r="M162" s="36" t="s">
        <v>74</v>
      </c>
      <c r="N162" s="36" t="s">
        <v>75</v>
      </c>
      <c r="O162" s="36" t="s">
        <v>95</v>
      </c>
      <c r="P162" s="36" t="s">
        <v>536</v>
      </c>
      <c r="Q162" s="36" t="s">
        <v>97</v>
      </c>
      <c r="R162" s="37">
        <v>1</v>
      </c>
      <c r="S162" s="33" t="s">
        <v>79</v>
      </c>
      <c r="T162" s="39">
        <v>0</v>
      </c>
      <c r="U162" s="39">
        <v>1</v>
      </c>
      <c r="V162" s="40" t="e">
        <f t="shared" si="46"/>
        <v>#DIV/0!</v>
      </c>
      <c r="W162" s="39">
        <v>0</v>
      </c>
      <c r="X162" s="39">
        <v>1</v>
      </c>
      <c r="Y162" s="40" t="e">
        <f t="shared" si="1"/>
        <v>#DIV/0!</v>
      </c>
      <c r="Z162" s="39">
        <v>1</v>
      </c>
      <c r="AA162" s="39"/>
      <c r="AB162" s="40">
        <f t="shared" si="2"/>
        <v>0</v>
      </c>
      <c r="AC162" s="39">
        <v>0</v>
      </c>
      <c r="AD162" s="39"/>
      <c r="AE162" s="40" t="e">
        <f t="shared" si="3"/>
        <v>#DIV/0!</v>
      </c>
      <c r="AF162" s="41">
        <f t="shared" si="39"/>
        <v>1</v>
      </c>
      <c r="AG162" s="41">
        <f t="shared" si="33"/>
        <v>2</v>
      </c>
      <c r="AH162" s="42" t="e">
        <f t="shared" si="45"/>
        <v>#DIV/0!</v>
      </c>
      <c r="AI162" s="43">
        <v>46113</v>
      </c>
      <c r="AJ162" s="43">
        <v>46477</v>
      </c>
      <c r="AK162" s="44" t="s">
        <v>80</v>
      </c>
      <c r="AL162" s="44" t="s">
        <v>81</v>
      </c>
      <c r="AM162" s="45" t="s">
        <v>82</v>
      </c>
      <c r="AN162" s="46"/>
      <c r="AO162" s="46"/>
      <c r="AP162" s="46"/>
      <c r="AQ162" s="47"/>
      <c r="AR162" s="44" t="s">
        <v>530</v>
      </c>
      <c r="AS162" s="44" t="s">
        <v>80</v>
      </c>
      <c r="AT162" s="54" t="s">
        <v>481</v>
      </c>
      <c r="AU162" s="49" t="s">
        <v>831</v>
      </c>
      <c r="AV162" s="51" t="s">
        <v>832</v>
      </c>
      <c r="AZ162" s="50">
        <f t="shared" si="40"/>
        <v>1</v>
      </c>
      <c r="BA162" s="50">
        <f t="shared" si="41"/>
        <v>2</v>
      </c>
      <c r="BB162" s="117">
        <f t="shared" si="42"/>
        <v>2</v>
      </c>
      <c r="BC162" s="50">
        <f t="shared" si="43"/>
        <v>-1</v>
      </c>
      <c r="BD162" s="51"/>
      <c r="BE162" s="52">
        <f t="shared" si="34"/>
        <v>-0.3</v>
      </c>
      <c r="BF162" s="52">
        <f t="shared" si="35"/>
        <v>-0.3</v>
      </c>
      <c r="BG162" s="52">
        <f t="shared" si="36"/>
        <v>-0.3</v>
      </c>
      <c r="BH162" s="52">
        <f t="shared" si="37"/>
        <v>-0.1</v>
      </c>
      <c r="BI162" s="52">
        <f t="shared" si="38"/>
        <v>-0.99999999999999989</v>
      </c>
    </row>
    <row r="163" spans="1:61" x14ac:dyDescent="0.3">
      <c r="A163" s="39">
        <v>159</v>
      </c>
      <c r="B163" s="44" t="s">
        <v>238</v>
      </c>
      <c r="C163" s="44" t="s">
        <v>86</v>
      </c>
      <c r="D163" s="44" t="s">
        <v>87</v>
      </c>
      <c r="E163" s="44" t="s">
        <v>123</v>
      </c>
      <c r="F163" s="44" t="s">
        <v>535</v>
      </c>
      <c r="G163" s="36" t="s">
        <v>521</v>
      </c>
      <c r="H163" s="36" t="s">
        <v>522</v>
      </c>
      <c r="I163" s="36" t="s">
        <v>70</v>
      </c>
      <c r="J163" s="36" t="s">
        <v>70</v>
      </c>
      <c r="K163" s="33" t="s">
        <v>72</v>
      </c>
      <c r="L163" s="33" t="s">
        <v>73</v>
      </c>
      <c r="M163" s="36" t="s">
        <v>74</v>
      </c>
      <c r="N163" s="36" t="s">
        <v>75</v>
      </c>
      <c r="O163" s="36" t="s">
        <v>95</v>
      </c>
      <c r="P163" s="36" t="s">
        <v>537</v>
      </c>
      <c r="Q163" s="36" t="s">
        <v>97</v>
      </c>
      <c r="R163" s="37">
        <v>2</v>
      </c>
      <c r="S163" s="33" t="s">
        <v>79</v>
      </c>
      <c r="T163" s="39">
        <v>0</v>
      </c>
      <c r="U163" s="39">
        <v>0</v>
      </c>
      <c r="V163" s="40" t="e">
        <f t="shared" si="46"/>
        <v>#DIV/0!</v>
      </c>
      <c r="W163" s="39">
        <v>1</v>
      </c>
      <c r="X163" s="39">
        <v>0</v>
      </c>
      <c r="Y163" s="40">
        <f t="shared" si="1"/>
        <v>0</v>
      </c>
      <c r="Z163" s="39">
        <v>1</v>
      </c>
      <c r="AA163" s="39"/>
      <c r="AB163" s="40">
        <f t="shared" si="2"/>
        <v>0</v>
      </c>
      <c r="AC163" s="39">
        <v>0</v>
      </c>
      <c r="AD163" s="39"/>
      <c r="AE163" s="40" t="e">
        <f t="shared" si="3"/>
        <v>#DIV/0!</v>
      </c>
      <c r="AF163" s="41">
        <f t="shared" si="39"/>
        <v>2</v>
      </c>
      <c r="AG163" s="41">
        <f t="shared" si="33"/>
        <v>0</v>
      </c>
      <c r="AH163" s="42">
        <f t="shared" si="45"/>
        <v>0</v>
      </c>
      <c r="AI163" s="43">
        <v>46113</v>
      </c>
      <c r="AJ163" s="43">
        <v>46477</v>
      </c>
      <c r="AK163" s="44" t="s">
        <v>80</v>
      </c>
      <c r="AL163" s="44" t="s">
        <v>81</v>
      </c>
      <c r="AM163" s="45" t="s">
        <v>82</v>
      </c>
      <c r="AN163" s="46">
        <v>10000000</v>
      </c>
      <c r="AO163" s="46">
        <v>10000000</v>
      </c>
      <c r="AP163" s="46">
        <v>10000000</v>
      </c>
      <c r="AQ163" s="47">
        <v>0</v>
      </c>
      <c r="AR163" s="44" t="s">
        <v>530</v>
      </c>
      <c r="AS163" s="44" t="s">
        <v>80</v>
      </c>
      <c r="AT163" s="54" t="s">
        <v>481</v>
      </c>
      <c r="AU163" s="49" t="s">
        <v>831</v>
      </c>
      <c r="AV163" s="51" t="s">
        <v>832</v>
      </c>
      <c r="AZ163" s="50">
        <f t="shared" si="40"/>
        <v>2</v>
      </c>
      <c r="BA163" s="50">
        <f t="shared" si="41"/>
        <v>0</v>
      </c>
      <c r="BB163" s="117">
        <f t="shared" si="42"/>
        <v>0</v>
      </c>
      <c r="BC163" s="50">
        <f t="shared" si="43"/>
        <v>2</v>
      </c>
      <c r="BD163" s="51"/>
      <c r="BE163" s="52">
        <f t="shared" si="34"/>
        <v>0.6</v>
      </c>
      <c r="BF163" s="52">
        <f t="shared" si="35"/>
        <v>0.6</v>
      </c>
      <c r="BG163" s="52">
        <f t="shared" si="36"/>
        <v>0.6</v>
      </c>
      <c r="BH163" s="52">
        <f t="shared" si="37"/>
        <v>0.2</v>
      </c>
      <c r="BI163" s="52">
        <f t="shared" si="38"/>
        <v>1.9999999999999998</v>
      </c>
    </row>
    <row r="164" spans="1:61" x14ac:dyDescent="0.3">
      <c r="A164" s="39">
        <v>160</v>
      </c>
      <c r="B164" s="44" t="s">
        <v>238</v>
      </c>
      <c r="C164" s="44" t="s">
        <v>101</v>
      </c>
      <c r="D164" s="44" t="s">
        <v>87</v>
      </c>
      <c r="E164" s="44" t="s">
        <v>534</v>
      </c>
      <c r="F164" s="44" t="s">
        <v>538</v>
      </c>
      <c r="G164" s="36" t="s">
        <v>521</v>
      </c>
      <c r="H164" s="36" t="s">
        <v>522</v>
      </c>
      <c r="I164" s="36" t="s">
        <v>70</v>
      </c>
      <c r="J164" s="36" t="s">
        <v>70</v>
      </c>
      <c r="K164" s="33" t="s">
        <v>72</v>
      </c>
      <c r="L164" s="33" t="s">
        <v>73</v>
      </c>
      <c r="M164" s="36" t="s">
        <v>74</v>
      </c>
      <c r="N164" s="36" t="s">
        <v>539</v>
      </c>
      <c r="O164" s="36" t="s">
        <v>95</v>
      </c>
      <c r="P164" s="36" t="s">
        <v>540</v>
      </c>
      <c r="Q164" s="36" t="s">
        <v>97</v>
      </c>
      <c r="R164" s="37">
        <v>1</v>
      </c>
      <c r="S164" s="33" t="s">
        <v>79</v>
      </c>
      <c r="T164" s="39">
        <v>0</v>
      </c>
      <c r="U164" s="39">
        <v>0</v>
      </c>
      <c r="V164" s="40">
        <v>0</v>
      </c>
      <c r="W164" s="39">
        <v>0</v>
      </c>
      <c r="X164" s="39">
        <v>0</v>
      </c>
      <c r="Y164" s="40" t="e">
        <f t="shared" si="1"/>
        <v>#DIV/0!</v>
      </c>
      <c r="Z164" s="39">
        <v>1</v>
      </c>
      <c r="AA164" s="39"/>
      <c r="AB164" s="40">
        <f t="shared" si="2"/>
        <v>0</v>
      </c>
      <c r="AC164" s="39">
        <v>1</v>
      </c>
      <c r="AD164" s="39"/>
      <c r="AE164" s="40">
        <f t="shared" si="3"/>
        <v>0</v>
      </c>
      <c r="AF164" s="41">
        <f t="shared" si="39"/>
        <v>1</v>
      </c>
      <c r="AG164" s="41">
        <f t="shared" si="33"/>
        <v>0</v>
      </c>
      <c r="AH164" s="42" t="e">
        <f t="shared" si="45"/>
        <v>#DIV/0!</v>
      </c>
      <c r="AI164" s="43">
        <v>46113</v>
      </c>
      <c r="AJ164" s="43">
        <v>46477</v>
      </c>
      <c r="AK164" s="44" t="s">
        <v>80</v>
      </c>
      <c r="AL164" s="44" t="s">
        <v>81</v>
      </c>
      <c r="AM164" s="45" t="s">
        <v>82</v>
      </c>
      <c r="AN164" s="46">
        <v>30000000</v>
      </c>
      <c r="AO164" s="46">
        <v>30000000</v>
      </c>
      <c r="AP164" s="46">
        <v>30000000</v>
      </c>
      <c r="AQ164" s="47">
        <v>0</v>
      </c>
      <c r="AR164" s="44" t="s">
        <v>530</v>
      </c>
      <c r="AS164" s="44" t="s">
        <v>80</v>
      </c>
      <c r="AT164" s="54" t="s">
        <v>481</v>
      </c>
      <c r="AU164" s="49" t="s">
        <v>831</v>
      </c>
      <c r="AV164" s="51" t="s">
        <v>832</v>
      </c>
      <c r="AZ164" s="50">
        <f t="shared" si="40"/>
        <v>1</v>
      </c>
      <c r="BA164" s="50">
        <f t="shared" si="41"/>
        <v>0</v>
      </c>
      <c r="BB164" s="117">
        <f t="shared" si="42"/>
        <v>0</v>
      </c>
      <c r="BC164" s="50">
        <f t="shared" si="43"/>
        <v>1</v>
      </c>
      <c r="BD164" s="51"/>
      <c r="BE164" s="52">
        <f t="shared" si="34"/>
        <v>0.3</v>
      </c>
      <c r="BF164" s="52">
        <f t="shared" si="35"/>
        <v>0.3</v>
      </c>
      <c r="BG164" s="52">
        <f t="shared" si="36"/>
        <v>0.3</v>
      </c>
      <c r="BH164" s="52">
        <f t="shared" si="37"/>
        <v>0.1</v>
      </c>
      <c r="BI164" s="52">
        <f t="shared" si="38"/>
        <v>0.99999999999999989</v>
      </c>
    </row>
    <row r="165" spans="1:61" x14ac:dyDescent="0.3">
      <c r="A165" s="39">
        <v>161</v>
      </c>
      <c r="B165" s="44" t="s">
        <v>238</v>
      </c>
      <c r="C165" s="44" t="s">
        <v>86</v>
      </c>
      <c r="D165" s="44" t="s">
        <v>87</v>
      </c>
      <c r="E165" s="44" t="s">
        <v>123</v>
      </c>
      <c r="F165" s="44" t="s">
        <v>520</v>
      </c>
      <c r="G165" s="36" t="s">
        <v>541</v>
      </c>
      <c r="H165" s="36" t="s">
        <v>542</v>
      </c>
      <c r="I165" s="36" t="s">
        <v>70</v>
      </c>
      <c r="J165" s="36" t="s">
        <v>70</v>
      </c>
      <c r="K165" s="33" t="s">
        <v>72</v>
      </c>
      <c r="L165" s="33" t="s">
        <v>73</v>
      </c>
      <c r="M165" s="36" t="s">
        <v>74</v>
      </c>
      <c r="N165" s="36" t="s">
        <v>75</v>
      </c>
      <c r="O165" s="36" t="s">
        <v>95</v>
      </c>
      <c r="P165" s="36" t="s">
        <v>543</v>
      </c>
      <c r="Q165" s="36" t="s">
        <v>97</v>
      </c>
      <c r="R165" s="37">
        <v>4</v>
      </c>
      <c r="S165" s="33" t="s">
        <v>79</v>
      </c>
      <c r="T165" s="39">
        <v>0</v>
      </c>
      <c r="U165" s="39">
        <v>0</v>
      </c>
      <c r="V165" s="40">
        <v>0</v>
      </c>
      <c r="W165" s="39">
        <v>0</v>
      </c>
      <c r="X165" s="39">
        <v>1</v>
      </c>
      <c r="Y165" s="40" t="e">
        <f t="shared" si="1"/>
        <v>#DIV/0!</v>
      </c>
      <c r="Z165" s="39">
        <v>2</v>
      </c>
      <c r="AA165" s="39"/>
      <c r="AB165" s="40">
        <f t="shared" si="2"/>
        <v>0</v>
      </c>
      <c r="AC165" s="39">
        <v>2</v>
      </c>
      <c r="AD165" s="39"/>
      <c r="AE165" s="40">
        <f t="shared" si="3"/>
        <v>0</v>
      </c>
      <c r="AF165" s="41">
        <f t="shared" si="39"/>
        <v>4</v>
      </c>
      <c r="AG165" s="41">
        <f t="shared" si="33"/>
        <v>1</v>
      </c>
      <c r="AH165" s="42" t="e">
        <f t="shared" si="45"/>
        <v>#DIV/0!</v>
      </c>
      <c r="AI165" s="43">
        <v>46113</v>
      </c>
      <c r="AJ165" s="43">
        <v>46477</v>
      </c>
      <c r="AK165" s="44" t="s">
        <v>80</v>
      </c>
      <c r="AL165" s="44" t="s">
        <v>81</v>
      </c>
      <c r="AM165" s="45" t="s">
        <v>82</v>
      </c>
      <c r="AN165" s="46">
        <v>40000000</v>
      </c>
      <c r="AO165" s="46">
        <v>40000000</v>
      </c>
      <c r="AP165" s="46">
        <v>40000000</v>
      </c>
      <c r="AQ165" s="47">
        <v>0</v>
      </c>
      <c r="AR165" s="44" t="s">
        <v>530</v>
      </c>
      <c r="AS165" s="44" t="s">
        <v>80</v>
      </c>
      <c r="AT165" s="54" t="s">
        <v>481</v>
      </c>
      <c r="AU165" s="49" t="s">
        <v>831</v>
      </c>
      <c r="AV165" s="51" t="s">
        <v>832</v>
      </c>
      <c r="AZ165" s="50">
        <f t="shared" si="40"/>
        <v>4</v>
      </c>
      <c r="BA165" s="50">
        <f t="shared" si="41"/>
        <v>1</v>
      </c>
      <c r="BB165" s="117">
        <f t="shared" si="42"/>
        <v>0.25</v>
      </c>
      <c r="BC165" s="50">
        <f t="shared" si="43"/>
        <v>3</v>
      </c>
      <c r="BD165" s="51"/>
      <c r="BE165" s="52">
        <f t="shared" si="34"/>
        <v>0.89999999999999991</v>
      </c>
      <c r="BF165" s="52">
        <f t="shared" si="35"/>
        <v>0.89999999999999991</v>
      </c>
      <c r="BG165" s="52">
        <f t="shared" si="36"/>
        <v>0.89999999999999991</v>
      </c>
      <c r="BH165" s="52">
        <f t="shared" si="37"/>
        <v>0.30000000000000004</v>
      </c>
      <c r="BI165" s="52">
        <f t="shared" si="38"/>
        <v>3</v>
      </c>
    </row>
    <row r="166" spans="1:61" x14ac:dyDescent="0.3">
      <c r="A166" s="39">
        <v>162</v>
      </c>
      <c r="B166" s="44" t="s">
        <v>238</v>
      </c>
      <c r="C166" s="44" t="s">
        <v>101</v>
      </c>
      <c r="D166" s="44" t="s">
        <v>87</v>
      </c>
      <c r="E166" s="44" t="s">
        <v>102</v>
      </c>
      <c r="F166" s="44" t="s">
        <v>225</v>
      </c>
      <c r="G166" s="36" t="s">
        <v>541</v>
      </c>
      <c r="H166" s="36" t="s">
        <v>544</v>
      </c>
      <c r="I166" s="36" t="s">
        <v>70</v>
      </c>
      <c r="J166" s="36" t="s">
        <v>70</v>
      </c>
      <c r="K166" s="33" t="s">
        <v>72</v>
      </c>
      <c r="L166" s="33" t="s">
        <v>73</v>
      </c>
      <c r="M166" s="36" t="s">
        <v>74</v>
      </c>
      <c r="N166" s="36" t="s">
        <v>545</v>
      </c>
      <c r="O166" s="36" t="s">
        <v>95</v>
      </c>
      <c r="P166" s="36" t="s">
        <v>546</v>
      </c>
      <c r="Q166" s="36" t="s">
        <v>97</v>
      </c>
      <c r="R166" s="37">
        <v>4</v>
      </c>
      <c r="S166" s="33" t="s">
        <v>79</v>
      </c>
      <c r="T166" s="39">
        <v>0</v>
      </c>
      <c r="U166" s="39">
        <v>0</v>
      </c>
      <c r="V166" s="40" t="e">
        <f t="shared" ref="V166:V167" si="47">U166/T166*100</f>
        <v>#DIV/0!</v>
      </c>
      <c r="W166" s="39">
        <v>0</v>
      </c>
      <c r="X166" s="39">
        <v>0</v>
      </c>
      <c r="Y166" s="40" t="e">
        <f t="shared" si="1"/>
        <v>#DIV/0!</v>
      </c>
      <c r="Z166" s="39">
        <v>2</v>
      </c>
      <c r="AA166" s="39"/>
      <c r="AB166" s="40">
        <f t="shared" si="2"/>
        <v>0</v>
      </c>
      <c r="AC166" s="39">
        <v>2</v>
      </c>
      <c r="AD166" s="39"/>
      <c r="AE166" s="40">
        <f t="shared" si="3"/>
        <v>0</v>
      </c>
      <c r="AF166" s="41">
        <f t="shared" si="39"/>
        <v>4</v>
      </c>
      <c r="AG166" s="41">
        <f t="shared" si="33"/>
        <v>0</v>
      </c>
      <c r="AH166" s="42" t="e">
        <f t="shared" si="45"/>
        <v>#DIV/0!</v>
      </c>
      <c r="AI166" s="43">
        <v>46113</v>
      </c>
      <c r="AJ166" s="43">
        <v>46477</v>
      </c>
      <c r="AK166" s="44" t="s">
        <v>80</v>
      </c>
      <c r="AL166" s="44" t="s">
        <v>81</v>
      </c>
      <c r="AM166" s="45" t="s">
        <v>82</v>
      </c>
      <c r="AN166" s="46">
        <v>40000000</v>
      </c>
      <c r="AO166" s="46">
        <v>40000000</v>
      </c>
      <c r="AP166" s="46">
        <v>40000000</v>
      </c>
      <c r="AQ166" s="47">
        <v>0</v>
      </c>
      <c r="AR166" s="44"/>
      <c r="AS166" s="44" t="s">
        <v>80</v>
      </c>
      <c r="AT166" s="54" t="s">
        <v>481</v>
      </c>
      <c r="AU166" s="49" t="s">
        <v>831</v>
      </c>
      <c r="AV166" s="51" t="s">
        <v>832</v>
      </c>
      <c r="AZ166" s="50">
        <f t="shared" si="40"/>
        <v>4</v>
      </c>
      <c r="BA166" s="50">
        <f t="shared" si="41"/>
        <v>0</v>
      </c>
      <c r="BB166" s="117">
        <f t="shared" si="42"/>
        <v>0</v>
      </c>
      <c r="BC166" s="50">
        <f t="shared" si="43"/>
        <v>4</v>
      </c>
      <c r="BD166" s="51"/>
      <c r="BE166" s="52">
        <f t="shared" si="34"/>
        <v>1.2</v>
      </c>
      <c r="BF166" s="52">
        <f t="shared" si="35"/>
        <v>1.2</v>
      </c>
      <c r="BG166" s="52">
        <f t="shared" si="36"/>
        <v>1.2</v>
      </c>
      <c r="BH166" s="52">
        <f t="shared" si="37"/>
        <v>0.4</v>
      </c>
      <c r="BI166" s="52">
        <f t="shared" si="38"/>
        <v>3.9999999999999996</v>
      </c>
    </row>
    <row r="167" spans="1:61" x14ac:dyDescent="0.3">
      <c r="A167" s="39">
        <v>163</v>
      </c>
      <c r="B167" s="44" t="s">
        <v>238</v>
      </c>
      <c r="C167" s="44" t="s">
        <v>64</v>
      </c>
      <c r="D167" s="44" t="s">
        <v>65</v>
      </c>
      <c r="E167" s="44" t="s">
        <v>547</v>
      </c>
      <c r="F167" s="44" t="s">
        <v>225</v>
      </c>
      <c r="G167" s="36" t="s">
        <v>541</v>
      </c>
      <c r="H167" s="36" t="s">
        <v>544</v>
      </c>
      <c r="I167" s="36" t="s">
        <v>70</v>
      </c>
      <c r="J167" s="36" t="s">
        <v>70</v>
      </c>
      <c r="K167" s="33" t="s">
        <v>72</v>
      </c>
      <c r="L167" s="33" t="s">
        <v>73</v>
      </c>
      <c r="M167" s="36" t="s">
        <v>74</v>
      </c>
      <c r="N167" s="36" t="s">
        <v>75</v>
      </c>
      <c r="O167" s="36" t="s">
        <v>76</v>
      </c>
      <c r="P167" s="36" t="s">
        <v>548</v>
      </c>
      <c r="Q167" s="36" t="s">
        <v>78</v>
      </c>
      <c r="R167" s="37">
        <v>29</v>
      </c>
      <c r="S167" s="33" t="s">
        <v>79</v>
      </c>
      <c r="T167" s="39">
        <v>0</v>
      </c>
      <c r="U167" s="39">
        <v>0</v>
      </c>
      <c r="V167" s="40" t="e">
        <f t="shared" si="47"/>
        <v>#DIV/0!</v>
      </c>
      <c r="W167" s="39">
        <v>1</v>
      </c>
      <c r="X167" s="39">
        <v>0</v>
      </c>
      <c r="Y167" s="40">
        <f t="shared" si="1"/>
        <v>0</v>
      </c>
      <c r="Z167" s="39">
        <v>14</v>
      </c>
      <c r="AA167" s="39"/>
      <c r="AB167" s="40">
        <f t="shared" si="2"/>
        <v>0</v>
      </c>
      <c r="AC167" s="39">
        <v>1</v>
      </c>
      <c r="AD167" s="39"/>
      <c r="AE167" s="40">
        <f t="shared" si="3"/>
        <v>0</v>
      </c>
      <c r="AF167" s="41">
        <f t="shared" si="39"/>
        <v>29</v>
      </c>
      <c r="AG167" s="41">
        <f t="shared" si="33"/>
        <v>0</v>
      </c>
      <c r="AH167" s="42">
        <f t="shared" si="45"/>
        <v>0</v>
      </c>
      <c r="AI167" s="43">
        <v>46113</v>
      </c>
      <c r="AJ167" s="43">
        <v>46477</v>
      </c>
      <c r="AK167" s="44" t="s">
        <v>80</v>
      </c>
      <c r="AL167" s="44" t="s">
        <v>81</v>
      </c>
      <c r="AM167" s="45" t="s">
        <v>82</v>
      </c>
      <c r="AN167" s="46">
        <v>120000000</v>
      </c>
      <c r="AO167" s="46">
        <v>120000000</v>
      </c>
      <c r="AP167" s="46">
        <v>120000000</v>
      </c>
      <c r="AQ167" s="47">
        <v>0</v>
      </c>
      <c r="AR167" s="44" t="s">
        <v>127</v>
      </c>
      <c r="AS167" s="44" t="s">
        <v>80</v>
      </c>
      <c r="AT167" s="54" t="s">
        <v>481</v>
      </c>
      <c r="AU167" s="49" t="s">
        <v>831</v>
      </c>
      <c r="AV167" s="51" t="s">
        <v>832</v>
      </c>
      <c r="AZ167" s="50">
        <f t="shared" si="40"/>
        <v>29</v>
      </c>
      <c r="BA167" s="50">
        <f t="shared" si="41"/>
        <v>0</v>
      </c>
      <c r="BB167" s="117">
        <f t="shared" si="42"/>
        <v>0</v>
      </c>
      <c r="BC167" s="50">
        <f t="shared" si="43"/>
        <v>29</v>
      </c>
      <c r="BD167" s="51"/>
      <c r="BE167" s="52">
        <f t="shared" si="34"/>
        <v>8.6999999999999993</v>
      </c>
      <c r="BF167" s="52">
        <f t="shared" si="35"/>
        <v>8.6999999999999993</v>
      </c>
      <c r="BG167" s="52">
        <f t="shared" si="36"/>
        <v>8.6999999999999993</v>
      </c>
      <c r="BH167" s="52">
        <f t="shared" si="37"/>
        <v>2.9000000000000004</v>
      </c>
      <c r="BI167" s="52">
        <f t="shared" si="38"/>
        <v>29</v>
      </c>
    </row>
    <row r="168" spans="1:61" x14ac:dyDescent="0.3">
      <c r="A168" s="39">
        <v>164</v>
      </c>
      <c r="B168" s="44" t="s">
        <v>238</v>
      </c>
      <c r="C168" s="44" t="s">
        <v>163</v>
      </c>
      <c r="D168" s="44" t="s">
        <v>164</v>
      </c>
      <c r="E168" s="44" t="s">
        <v>534</v>
      </c>
      <c r="F168" s="44" t="s">
        <v>549</v>
      </c>
      <c r="G168" s="36" t="s">
        <v>550</v>
      </c>
      <c r="H168" s="36" t="s">
        <v>551</v>
      </c>
      <c r="I168" s="36" t="s">
        <v>70</v>
      </c>
      <c r="J168" s="36" t="s">
        <v>70</v>
      </c>
      <c r="K168" s="33" t="s">
        <v>72</v>
      </c>
      <c r="L168" s="33" t="s">
        <v>73</v>
      </c>
      <c r="M168" s="36" t="s">
        <v>74</v>
      </c>
      <c r="N168" s="36" t="s">
        <v>75</v>
      </c>
      <c r="O168" s="36" t="s">
        <v>76</v>
      </c>
      <c r="P168" s="36" t="s">
        <v>552</v>
      </c>
      <c r="Q168" s="36" t="s">
        <v>78</v>
      </c>
      <c r="R168" s="37">
        <v>4</v>
      </c>
      <c r="S168" s="33" t="s">
        <v>79</v>
      </c>
      <c r="T168" s="39">
        <v>0</v>
      </c>
      <c r="U168" s="39">
        <v>0</v>
      </c>
      <c r="V168" s="40">
        <v>0</v>
      </c>
      <c r="W168" s="39">
        <v>0</v>
      </c>
      <c r="X168" s="39"/>
      <c r="Y168" s="40" t="e">
        <f t="shared" si="1"/>
        <v>#DIV/0!</v>
      </c>
      <c r="Z168" s="39">
        <v>1</v>
      </c>
      <c r="AA168" s="39"/>
      <c r="AB168" s="40">
        <f t="shared" si="2"/>
        <v>0</v>
      </c>
      <c r="AC168" s="39">
        <v>0</v>
      </c>
      <c r="AD168" s="39"/>
      <c r="AE168" s="40" t="e">
        <f t="shared" si="3"/>
        <v>#DIV/0!</v>
      </c>
      <c r="AF168" s="41">
        <f t="shared" si="39"/>
        <v>4</v>
      </c>
      <c r="AG168" s="41">
        <f t="shared" si="33"/>
        <v>0</v>
      </c>
      <c r="AH168" s="42" t="e">
        <f t="shared" si="45"/>
        <v>#DIV/0!</v>
      </c>
      <c r="AI168" s="43">
        <v>46113</v>
      </c>
      <c r="AJ168" s="43">
        <v>46477</v>
      </c>
      <c r="AK168" s="44" t="s">
        <v>80</v>
      </c>
      <c r="AL168" s="44" t="s">
        <v>81</v>
      </c>
      <c r="AM168" s="45" t="s">
        <v>82</v>
      </c>
      <c r="AN168" s="46">
        <v>80000000</v>
      </c>
      <c r="AO168" s="46">
        <v>80000000</v>
      </c>
      <c r="AP168" s="46">
        <v>80000000</v>
      </c>
      <c r="AQ168" s="47">
        <v>0</v>
      </c>
      <c r="AR168" s="44" t="s">
        <v>127</v>
      </c>
      <c r="AS168" s="44" t="s">
        <v>80</v>
      </c>
      <c r="AT168" s="54" t="s">
        <v>481</v>
      </c>
      <c r="AU168" s="49" t="s">
        <v>831</v>
      </c>
      <c r="AV168" s="51" t="s">
        <v>832</v>
      </c>
      <c r="AZ168" s="50">
        <f t="shared" si="40"/>
        <v>4</v>
      </c>
      <c r="BA168" s="50">
        <f t="shared" si="41"/>
        <v>0</v>
      </c>
      <c r="BB168" s="117">
        <f t="shared" si="42"/>
        <v>0</v>
      </c>
      <c r="BC168" s="50">
        <f t="shared" si="43"/>
        <v>4</v>
      </c>
      <c r="BD168" s="51"/>
      <c r="BE168" s="52">
        <f t="shared" si="34"/>
        <v>1.2</v>
      </c>
      <c r="BF168" s="52">
        <f t="shared" si="35"/>
        <v>1.2</v>
      </c>
      <c r="BG168" s="52">
        <f t="shared" si="36"/>
        <v>1.2</v>
      </c>
      <c r="BH168" s="52">
        <f t="shared" si="37"/>
        <v>0.4</v>
      </c>
      <c r="BI168" s="52">
        <f t="shared" si="38"/>
        <v>3.9999999999999996</v>
      </c>
    </row>
    <row r="169" spans="1:61" x14ac:dyDescent="0.3">
      <c r="A169" s="39">
        <v>165</v>
      </c>
      <c r="B169" s="44" t="s">
        <v>238</v>
      </c>
      <c r="C169" s="44" t="s">
        <v>163</v>
      </c>
      <c r="D169" s="44" t="s">
        <v>164</v>
      </c>
      <c r="E169" s="44" t="s">
        <v>534</v>
      </c>
      <c r="F169" s="44" t="s">
        <v>549</v>
      </c>
      <c r="G169" s="36" t="s">
        <v>550</v>
      </c>
      <c r="H169" s="36" t="s">
        <v>551</v>
      </c>
      <c r="I169" s="36" t="s">
        <v>70</v>
      </c>
      <c r="J169" s="36" t="s">
        <v>70</v>
      </c>
      <c r="K169" s="33" t="s">
        <v>72</v>
      </c>
      <c r="L169" s="33" t="s">
        <v>73</v>
      </c>
      <c r="M169" s="36" t="s">
        <v>74</v>
      </c>
      <c r="N169" s="36" t="s">
        <v>75</v>
      </c>
      <c r="O169" s="36" t="s">
        <v>76</v>
      </c>
      <c r="P169" s="36" t="s">
        <v>553</v>
      </c>
      <c r="Q169" s="36" t="s">
        <v>78</v>
      </c>
      <c r="R169" s="37">
        <v>4</v>
      </c>
      <c r="S169" s="33" t="s">
        <v>79</v>
      </c>
      <c r="T169" s="39">
        <v>0</v>
      </c>
      <c r="U169" s="39">
        <v>0</v>
      </c>
      <c r="V169" s="40">
        <v>0</v>
      </c>
      <c r="W169" s="39">
        <v>0</v>
      </c>
      <c r="X169" s="39">
        <v>0</v>
      </c>
      <c r="Y169" s="40" t="e">
        <f t="shared" si="1"/>
        <v>#DIV/0!</v>
      </c>
      <c r="Z169" s="39">
        <v>2</v>
      </c>
      <c r="AA169" s="39"/>
      <c r="AB169" s="40">
        <f t="shared" si="2"/>
        <v>0</v>
      </c>
      <c r="AC169" s="39">
        <v>2</v>
      </c>
      <c r="AD169" s="39"/>
      <c r="AE169" s="40">
        <f t="shared" si="3"/>
        <v>0</v>
      </c>
      <c r="AF169" s="41">
        <f t="shared" si="39"/>
        <v>4</v>
      </c>
      <c r="AG169" s="41">
        <f t="shared" si="33"/>
        <v>0</v>
      </c>
      <c r="AH169" s="42" t="e">
        <f t="shared" si="45"/>
        <v>#DIV/0!</v>
      </c>
      <c r="AI169" s="43">
        <v>46113</v>
      </c>
      <c r="AJ169" s="43">
        <v>46477</v>
      </c>
      <c r="AK169" s="44" t="s">
        <v>80</v>
      </c>
      <c r="AL169" s="44" t="s">
        <v>81</v>
      </c>
      <c r="AM169" s="45" t="s">
        <v>82</v>
      </c>
      <c r="AN169" s="46">
        <v>80000000</v>
      </c>
      <c r="AO169" s="46">
        <v>80000000</v>
      </c>
      <c r="AP169" s="46">
        <v>80000000</v>
      </c>
      <c r="AQ169" s="47">
        <v>0</v>
      </c>
      <c r="AR169" s="44" t="s">
        <v>175</v>
      </c>
      <c r="AS169" s="44" t="s">
        <v>80</v>
      </c>
      <c r="AT169" s="54" t="s">
        <v>481</v>
      </c>
      <c r="AU169" s="49" t="s">
        <v>831</v>
      </c>
      <c r="AV169" s="51" t="s">
        <v>832</v>
      </c>
      <c r="AZ169" s="50">
        <f t="shared" si="40"/>
        <v>4</v>
      </c>
      <c r="BA169" s="50">
        <f t="shared" si="41"/>
        <v>0</v>
      </c>
      <c r="BB169" s="117">
        <f t="shared" si="42"/>
        <v>0</v>
      </c>
      <c r="BC169" s="50">
        <f t="shared" si="43"/>
        <v>4</v>
      </c>
      <c r="BD169" s="51"/>
      <c r="BE169" s="52">
        <f t="shared" si="34"/>
        <v>1.2</v>
      </c>
      <c r="BF169" s="52">
        <f t="shared" si="35"/>
        <v>1.2</v>
      </c>
      <c r="BG169" s="52">
        <f t="shared" si="36"/>
        <v>1.2</v>
      </c>
      <c r="BH169" s="52">
        <f t="shared" si="37"/>
        <v>0.4</v>
      </c>
      <c r="BI169" s="52">
        <f t="shared" si="38"/>
        <v>3.9999999999999996</v>
      </c>
    </row>
    <row r="170" spans="1:61" x14ac:dyDescent="0.3">
      <c r="A170" s="39">
        <v>166</v>
      </c>
      <c r="B170" s="44" t="s">
        <v>238</v>
      </c>
      <c r="C170" s="44" t="s">
        <v>163</v>
      </c>
      <c r="D170" s="44" t="s">
        <v>164</v>
      </c>
      <c r="E170" s="44" t="s">
        <v>534</v>
      </c>
      <c r="F170" s="44" t="s">
        <v>549</v>
      </c>
      <c r="G170" s="36" t="s">
        <v>550</v>
      </c>
      <c r="H170" s="36" t="s">
        <v>551</v>
      </c>
      <c r="I170" s="36" t="s">
        <v>264</v>
      </c>
      <c r="J170" s="36" t="s">
        <v>264</v>
      </c>
      <c r="K170" s="33" t="s">
        <v>72</v>
      </c>
      <c r="L170" s="33" t="s">
        <v>73</v>
      </c>
      <c r="M170" s="36" t="s">
        <v>74</v>
      </c>
      <c r="N170" s="36" t="s">
        <v>75</v>
      </c>
      <c r="O170" s="36" t="s">
        <v>76</v>
      </c>
      <c r="P170" s="36" t="s">
        <v>554</v>
      </c>
      <c r="Q170" s="36" t="s">
        <v>78</v>
      </c>
      <c r="R170" s="37">
        <v>4</v>
      </c>
      <c r="S170" s="33" t="s">
        <v>79</v>
      </c>
      <c r="T170" s="39">
        <v>0</v>
      </c>
      <c r="U170" s="39">
        <v>0</v>
      </c>
      <c r="V170" s="40">
        <v>0</v>
      </c>
      <c r="W170" s="39">
        <v>0</v>
      </c>
      <c r="X170" s="39">
        <v>0</v>
      </c>
      <c r="Y170" s="40" t="e">
        <f t="shared" si="1"/>
        <v>#DIV/0!</v>
      </c>
      <c r="Z170" s="39">
        <v>2</v>
      </c>
      <c r="AA170" s="39"/>
      <c r="AB170" s="40">
        <f t="shared" si="2"/>
        <v>0</v>
      </c>
      <c r="AC170" s="39">
        <v>2</v>
      </c>
      <c r="AD170" s="39"/>
      <c r="AE170" s="40">
        <f t="shared" si="3"/>
        <v>0</v>
      </c>
      <c r="AF170" s="41">
        <f t="shared" si="39"/>
        <v>4</v>
      </c>
      <c r="AG170" s="41">
        <f t="shared" si="33"/>
        <v>0</v>
      </c>
      <c r="AH170" s="42" t="e">
        <f t="shared" si="45"/>
        <v>#DIV/0!</v>
      </c>
      <c r="AI170" s="43">
        <v>46113</v>
      </c>
      <c r="AJ170" s="43">
        <v>46477</v>
      </c>
      <c r="AK170" s="44" t="s">
        <v>80</v>
      </c>
      <c r="AL170" s="44" t="s">
        <v>81</v>
      </c>
      <c r="AM170" s="45" t="s">
        <v>82</v>
      </c>
      <c r="AN170" s="46">
        <v>80000000</v>
      </c>
      <c r="AO170" s="46">
        <v>80000000</v>
      </c>
      <c r="AP170" s="46">
        <v>80000000</v>
      </c>
      <c r="AQ170" s="47">
        <v>0</v>
      </c>
      <c r="AR170" s="44" t="s">
        <v>127</v>
      </c>
      <c r="AS170" s="44" t="s">
        <v>80</v>
      </c>
      <c r="AT170" s="54" t="s">
        <v>481</v>
      </c>
      <c r="AU170" s="49" t="s">
        <v>831</v>
      </c>
      <c r="AV170" s="51" t="s">
        <v>832</v>
      </c>
      <c r="AZ170" s="50">
        <f t="shared" si="40"/>
        <v>4</v>
      </c>
      <c r="BA170" s="50">
        <f t="shared" si="41"/>
        <v>0</v>
      </c>
      <c r="BB170" s="117">
        <f t="shared" si="42"/>
        <v>0</v>
      </c>
      <c r="BC170" s="50">
        <f t="shared" si="43"/>
        <v>4</v>
      </c>
      <c r="BD170" s="51"/>
      <c r="BE170" s="52">
        <f t="shared" si="34"/>
        <v>1.2</v>
      </c>
      <c r="BF170" s="52">
        <f t="shared" si="35"/>
        <v>1.2</v>
      </c>
      <c r="BG170" s="52">
        <f t="shared" si="36"/>
        <v>1.2</v>
      </c>
      <c r="BH170" s="52">
        <f t="shared" si="37"/>
        <v>0.4</v>
      </c>
      <c r="BI170" s="52">
        <f t="shared" si="38"/>
        <v>3.9999999999999996</v>
      </c>
    </row>
    <row r="171" spans="1:61" x14ac:dyDescent="0.3">
      <c r="A171" s="39">
        <v>167</v>
      </c>
      <c r="B171" s="44" t="s">
        <v>238</v>
      </c>
      <c r="C171" s="44" t="s">
        <v>163</v>
      </c>
      <c r="D171" s="44" t="s">
        <v>164</v>
      </c>
      <c r="E171" s="44" t="s">
        <v>534</v>
      </c>
      <c r="F171" s="44" t="s">
        <v>549</v>
      </c>
      <c r="G171" s="36" t="s">
        <v>550</v>
      </c>
      <c r="H171" s="36" t="s">
        <v>551</v>
      </c>
      <c r="I171" s="36" t="s">
        <v>70</v>
      </c>
      <c r="J171" s="36" t="s">
        <v>70</v>
      </c>
      <c r="K171" s="33" t="s">
        <v>72</v>
      </c>
      <c r="L171" s="33" t="s">
        <v>73</v>
      </c>
      <c r="M171" s="36" t="s">
        <v>74</v>
      </c>
      <c r="N171" s="36" t="s">
        <v>75</v>
      </c>
      <c r="O171" s="36" t="s">
        <v>76</v>
      </c>
      <c r="P171" s="36" t="s">
        <v>555</v>
      </c>
      <c r="Q171" s="36" t="s">
        <v>78</v>
      </c>
      <c r="R171" s="37">
        <v>4</v>
      </c>
      <c r="S171" s="33" t="s">
        <v>79</v>
      </c>
      <c r="T171" s="39">
        <v>0</v>
      </c>
      <c r="U171" s="39">
        <v>0</v>
      </c>
      <c r="V171" s="40">
        <v>0</v>
      </c>
      <c r="W171" s="39">
        <v>0</v>
      </c>
      <c r="X171" s="39">
        <v>0</v>
      </c>
      <c r="Y171" s="40" t="e">
        <f t="shared" si="1"/>
        <v>#DIV/0!</v>
      </c>
      <c r="Z171" s="39">
        <v>14</v>
      </c>
      <c r="AA171" s="39"/>
      <c r="AB171" s="40">
        <f t="shared" si="2"/>
        <v>0</v>
      </c>
      <c r="AC171" s="39">
        <v>15</v>
      </c>
      <c r="AD171" s="39"/>
      <c r="AE171" s="40">
        <f t="shared" si="3"/>
        <v>0</v>
      </c>
      <c r="AF171" s="41">
        <f t="shared" si="39"/>
        <v>4</v>
      </c>
      <c r="AG171" s="41">
        <f t="shared" si="33"/>
        <v>0</v>
      </c>
      <c r="AH171" s="42" t="e">
        <f t="shared" si="45"/>
        <v>#DIV/0!</v>
      </c>
      <c r="AI171" s="43">
        <v>46113</v>
      </c>
      <c r="AJ171" s="43">
        <v>46477</v>
      </c>
      <c r="AK171" s="44" t="s">
        <v>80</v>
      </c>
      <c r="AL171" s="44" t="s">
        <v>81</v>
      </c>
      <c r="AM171" s="45" t="s">
        <v>82</v>
      </c>
      <c r="AN171" s="46">
        <v>576000000</v>
      </c>
      <c r="AO171" s="46">
        <v>576000000</v>
      </c>
      <c r="AP171" s="46">
        <v>576000000</v>
      </c>
      <c r="AQ171" s="47">
        <v>0</v>
      </c>
      <c r="AR171" s="44" t="s">
        <v>556</v>
      </c>
      <c r="AS171" s="44" t="s">
        <v>80</v>
      </c>
      <c r="AT171" s="54" t="s">
        <v>481</v>
      </c>
      <c r="AU171" s="49" t="s">
        <v>831</v>
      </c>
      <c r="AV171" s="51" t="s">
        <v>832</v>
      </c>
      <c r="AZ171" s="50">
        <f t="shared" si="40"/>
        <v>4</v>
      </c>
      <c r="BA171" s="50">
        <f t="shared" si="41"/>
        <v>0</v>
      </c>
      <c r="BB171" s="117">
        <f t="shared" si="42"/>
        <v>0</v>
      </c>
      <c r="BC171" s="50">
        <f t="shared" si="43"/>
        <v>4</v>
      </c>
      <c r="BD171" s="51"/>
      <c r="BE171" s="52">
        <f t="shared" si="34"/>
        <v>1.2</v>
      </c>
      <c r="BF171" s="52">
        <f t="shared" si="35"/>
        <v>1.2</v>
      </c>
      <c r="BG171" s="52">
        <f t="shared" si="36"/>
        <v>1.2</v>
      </c>
      <c r="BH171" s="52">
        <f t="shared" si="37"/>
        <v>0.4</v>
      </c>
      <c r="BI171" s="52">
        <f t="shared" si="38"/>
        <v>3.9999999999999996</v>
      </c>
    </row>
    <row r="172" spans="1:61" x14ac:dyDescent="0.3">
      <c r="A172" s="39">
        <v>168</v>
      </c>
      <c r="B172" s="44" t="s">
        <v>238</v>
      </c>
      <c r="C172" s="44" t="s">
        <v>163</v>
      </c>
      <c r="D172" s="44" t="s">
        <v>164</v>
      </c>
      <c r="E172" s="44" t="s">
        <v>534</v>
      </c>
      <c r="F172" s="44" t="s">
        <v>549</v>
      </c>
      <c r="G172" s="36" t="s">
        <v>550</v>
      </c>
      <c r="H172" s="36" t="s">
        <v>551</v>
      </c>
      <c r="I172" s="36" t="s">
        <v>395</v>
      </c>
      <c r="J172" s="36" t="s">
        <v>395</v>
      </c>
      <c r="K172" s="33" t="s">
        <v>72</v>
      </c>
      <c r="L172" s="33" t="s">
        <v>73</v>
      </c>
      <c r="M172" s="36" t="s">
        <v>74</v>
      </c>
      <c r="N172" s="36" t="s">
        <v>75</v>
      </c>
      <c r="O172" s="36" t="s">
        <v>76</v>
      </c>
      <c r="P172" s="36" t="s">
        <v>557</v>
      </c>
      <c r="Q172" s="36" t="s">
        <v>78</v>
      </c>
      <c r="R172" s="37">
        <v>4</v>
      </c>
      <c r="S172" s="33" t="s">
        <v>79</v>
      </c>
      <c r="T172" s="39">
        <v>0</v>
      </c>
      <c r="U172" s="39">
        <v>0</v>
      </c>
      <c r="V172" s="40">
        <v>0</v>
      </c>
      <c r="W172" s="39">
        <v>0</v>
      </c>
      <c r="X172" s="39">
        <v>0</v>
      </c>
      <c r="Y172" s="40" t="e">
        <f t="shared" si="1"/>
        <v>#DIV/0!</v>
      </c>
      <c r="Z172" s="39">
        <v>2</v>
      </c>
      <c r="AA172" s="39"/>
      <c r="AB172" s="40">
        <f t="shared" si="2"/>
        <v>0</v>
      </c>
      <c r="AC172" s="39">
        <v>2</v>
      </c>
      <c r="AD172" s="39"/>
      <c r="AE172" s="40">
        <f t="shared" si="3"/>
        <v>0</v>
      </c>
      <c r="AF172" s="41">
        <f t="shared" si="39"/>
        <v>4</v>
      </c>
      <c r="AG172" s="41">
        <f t="shared" si="33"/>
        <v>0</v>
      </c>
      <c r="AH172" s="42" t="e">
        <f t="shared" si="45"/>
        <v>#DIV/0!</v>
      </c>
      <c r="AI172" s="43">
        <v>46113</v>
      </c>
      <c r="AJ172" s="43">
        <v>46477</v>
      </c>
      <c r="AK172" s="44" t="s">
        <v>80</v>
      </c>
      <c r="AL172" s="44" t="s">
        <v>81</v>
      </c>
      <c r="AM172" s="45" t="s">
        <v>82</v>
      </c>
      <c r="AN172" s="46">
        <v>18000000</v>
      </c>
      <c r="AO172" s="46">
        <v>18000000</v>
      </c>
      <c r="AP172" s="46">
        <v>18000000</v>
      </c>
      <c r="AQ172" s="47">
        <v>0</v>
      </c>
      <c r="AR172" s="44" t="s">
        <v>175</v>
      </c>
      <c r="AS172" s="44" t="s">
        <v>80</v>
      </c>
      <c r="AT172" s="54" t="s">
        <v>481</v>
      </c>
      <c r="AU172" s="49" t="s">
        <v>831</v>
      </c>
      <c r="AV172" s="51" t="s">
        <v>832</v>
      </c>
      <c r="AZ172" s="50">
        <f t="shared" si="40"/>
        <v>4</v>
      </c>
      <c r="BA172" s="50">
        <f t="shared" si="41"/>
        <v>0</v>
      </c>
      <c r="BB172" s="117">
        <f t="shared" si="42"/>
        <v>0</v>
      </c>
      <c r="BC172" s="50">
        <f t="shared" si="43"/>
        <v>4</v>
      </c>
      <c r="BD172" s="51"/>
      <c r="BE172" s="52">
        <f t="shared" si="34"/>
        <v>1.2</v>
      </c>
      <c r="BF172" s="52">
        <f t="shared" si="35"/>
        <v>1.2</v>
      </c>
      <c r="BG172" s="52">
        <f t="shared" si="36"/>
        <v>1.2</v>
      </c>
      <c r="BH172" s="52">
        <f t="shared" si="37"/>
        <v>0.4</v>
      </c>
      <c r="BI172" s="52">
        <f t="shared" si="38"/>
        <v>3.9999999999999996</v>
      </c>
    </row>
    <row r="173" spans="1:61" x14ac:dyDescent="0.3">
      <c r="A173" s="39">
        <v>169</v>
      </c>
      <c r="B173" s="44" t="s">
        <v>238</v>
      </c>
      <c r="C173" s="44" t="s">
        <v>163</v>
      </c>
      <c r="D173" s="44" t="s">
        <v>164</v>
      </c>
      <c r="E173" s="44" t="s">
        <v>534</v>
      </c>
      <c r="F173" s="44" t="s">
        <v>549</v>
      </c>
      <c r="G173" s="36" t="s">
        <v>550</v>
      </c>
      <c r="H173" s="36" t="s">
        <v>551</v>
      </c>
      <c r="I173" s="36" t="s">
        <v>411</v>
      </c>
      <c r="J173" s="36" t="s">
        <v>411</v>
      </c>
      <c r="K173" s="33" t="s">
        <v>72</v>
      </c>
      <c r="L173" s="33" t="s">
        <v>73</v>
      </c>
      <c r="M173" s="36" t="s">
        <v>74</v>
      </c>
      <c r="N173" s="36" t="s">
        <v>75</v>
      </c>
      <c r="O173" s="36" t="s">
        <v>76</v>
      </c>
      <c r="P173" s="36" t="s">
        <v>557</v>
      </c>
      <c r="Q173" s="36" t="s">
        <v>78</v>
      </c>
      <c r="R173" s="37">
        <v>4</v>
      </c>
      <c r="S173" s="33" t="s">
        <v>79</v>
      </c>
      <c r="T173" s="39">
        <v>0</v>
      </c>
      <c r="U173" s="39">
        <v>0</v>
      </c>
      <c r="V173" s="40">
        <v>0</v>
      </c>
      <c r="W173" s="39">
        <v>0</v>
      </c>
      <c r="X173" s="39">
        <v>0</v>
      </c>
      <c r="Y173" s="40" t="e">
        <f t="shared" si="1"/>
        <v>#DIV/0!</v>
      </c>
      <c r="Z173" s="39">
        <v>2</v>
      </c>
      <c r="AA173" s="39"/>
      <c r="AB173" s="40">
        <f t="shared" si="2"/>
        <v>0</v>
      </c>
      <c r="AC173" s="39">
        <v>2</v>
      </c>
      <c r="AD173" s="39"/>
      <c r="AE173" s="40">
        <f t="shared" si="3"/>
        <v>0</v>
      </c>
      <c r="AF173" s="41">
        <f t="shared" si="39"/>
        <v>4</v>
      </c>
      <c r="AG173" s="41">
        <f t="shared" si="33"/>
        <v>0</v>
      </c>
      <c r="AH173" s="42" t="e">
        <f t="shared" si="45"/>
        <v>#DIV/0!</v>
      </c>
      <c r="AI173" s="43">
        <v>46113</v>
      </c>
      <c r="AJ173" s="43">
        <v>46477</v>
      </c>
      <c r="AK173" s="44" t="s">
        <v>80</v>
      </c>
      <c r="AL173" s="44" t="s">
        <v>81</v>
      </c>
      <c r="AM173" s="45" t="s">
        <v>82</v>
      </c>
      <c r="AN173" s="46">
        <v>80000000</v>
      </c>
      <c r="AO173" s="46">
        <v>80000000</v>
      </c>
      <c r="AP173" s="46">
        <v>80000000</v>
      </c>
      <c r="AQ173" s="47">
        <v>0</v>
      </c>
      <c r="AR173" s="44" t="s">
        <v>175</v>
      </c>
      <c r="AS173" s="44" t="s">
        <v>80</v>
      </c>
      <c r="AT173" s="54" t="s">
        <v>481</v>
      </c>
      <c r="AU173" s="49" t="s">
        <v>831</v>
      </c>
      <c r="AV173" s="51" t="s">
        <v>832</v>
      </c>
      <c r="AZ173" s="50">
        <f t="shared" si="40"/>
        <v>4</v>
      </c>
      <c r="BA173" s="50">
        <f t="shared" si="41"/>
        <v>0</v>
      </c>
      <c r="BB173" s="117">
        <f t="shared" si="42"/>
        <v>0</v>
      </c>
      <c r="BC173" s="50">
        <f t="shared" si="43"/>
        <v>4</v>
      </c>
      <c r="BD173" s="51"/>
      <c r="BE173" s="52">
        <f t="shared" si="34"/>
        <v>1.2</v>
      </c>
      <c r="BF173" s="52">
        <f t="shared" si="35"/>
        <v>1.2</v>
      </c>
      <c r="BG173" s="52">
        <f t="shared" si="36"/>
        <v>1.2</v>
      </c>
      <c r="BH173" s="52">
        <f t="shared" si="37"/>
        <v>0.4</v>
      </c>
      <c r="BI173" s="52">
        <f t="shared" si="38"/>
        <v>3.9999999999999996</v>
      </c>
    </row>
    <row r="174" spans="1:61" x14ac:dyDescent="0.3">
      <c r="A174" s="39">
        <v>170</v>
      </c>
      <c r="B174" s="44" t="s">
        <v>238</v>
      </c>
      <c r="C174" s="44" t="s">
        <v>101</v>
      </c>
      <c r="D174" s="44" t="s">
        <v>87</v>
      </c>
      <c r="E174" s="44" t="s">
        <v>534</v>
      </c>
      <c r="F174" s="44" t="s">
        <v>538</v>
      </c>
      <c r="G174" s="36" t="s">
        <v>521</v>
      </c>
      <c r="H174" s="36" t="s">
        <v>522</v>
      </c>
      <c r="I174" s="36" t="s">
        <v>254</v>
      </c>
      <c r="J174" s="36" t="s">
        <v>254</v>
      </c>
      <c r="K174" s="33" t="s">
        <v>72</v>
      </c>
      <c r="L174" s="33" t="s">
        <v>73</v>
      </c>
      <c r="M174" s="36" t="s">
        <v>74</v>
      </c>
      <c r="N174" s="36" t="s">
        <v>539</v>
      </c>
      <c r="O174" s="36" t="s">
        <v>95</v>
      </c>
      <c r="P174" s="36" t="s">
        <v>558</v>
      </c>
      <c r="Q174" s="36" t="s">
        <v>97</v>
      </c>
      <c r="R174" s="37">
        <v>6</v>
      </c>
      <c r="S174" s="33" t="s">
        <v>79</v>
      </c>
      <c r="T174" s="39">
        <v>0</v>
      </c>
      <c r="U174" s="39">
        <v>0</v>
      </c>
      <c r="V174" s="40">
        <v>0</v>
      </c>
      <c r="W174" s="39">
        <v>0</v>
      </c>
      <c r="X174" s="39">
        <v>0</v>
      </c>
      <c r="Y174" s="40" t="e">
        <f t="shared" si="1"/>
        <v>#DIV/0!</v>
      </c>
      <c r="Z174" s="39">
        <v>2</v>
      </c>
      <c r="AA174" s="39"/>
      <c r="AB174" s="40">
        <f t="shared" si="2"/>
        <v>0</v>
      </c>
      <c r="AC174" s="39">
        <v>2</v>
      </c>
      <c r="AD174" s="39"/>
      <c r="AE174" s="40">
        <f t="shared" si="3"/>
        <v>0</v>
      </c>
      <c r="AF174" s="41">
        <f t="shared" si="39"/>
        <v>6</v>
      </c>
      <c r="AG174" s="41">
        <f t="shared" si="33"/>
        <v>0</v>
      </c>
      <c r="AH174" s="42" t="e">
        <f t="shared" si="45"/>
        <v>#DIV/0!</v>
      </c>
      <c r="AI174" s="43">
        <v>46113</v>
      </c>
      <c r="AJ174" s="43">
        <v>46477</v>
      </c>
      <c r="AK174" s="44" t="s">
        <v>80</v>
      </c>
      <c r="AL174" s="44" t="s">
        <v>81</v>
      </c>
      <c r="AM174" s="45" t="s">
        <v>82</v>
      </c>
      <c r="AN174" s="46">
        <v>60000000</v>
      </c>
      <c r="AO174" s="46">
        <v>60000000</v>
      </c>
      <c r="AP174" s="46">
        <v>60000000</v>
      </c>
      <c r="AQ174" s="47">
        <v>0</v>
      </c>
      <c r="AR174" s="44" t="s">
        <v>175</v>
      </c>
      <c r="AS174" s="44" t="s">
        <v>80</v>
      </c>
      <c r="AT174" s="54" t="s">
        <v>481</v>
      </c>
      <c r="AU174" s="49" t="s">
        <v>831</v>
      </c>
      <c r="AV174" s="51" t="s">
        <v>832</v>
      </c>
      <c r="AZ174" s="50">
        <f t="shared" si="40"/>
        <v>6</v>
      </c>
      <c r="BA174" s="50">
        <f t="shared" si="41"/>
        <v>0</v>
      </c>
      <c r="BB174" s="117">
        <f t="shared" si="42"/>
        <v>0</v>
      </c>
      <c r="BC174" s="50">
        <f t="shared" si="43"/>
        <v>6</v>
      </c>
      <c r="BD174" s="51"/>
      <c r="BE174" s="52">
        <f t="shared" si="34"/>
        <v>1.7999999999999998</v>
      </c>
      <c r="BF174" s="52">
        <f t="shared" si="35"/>
        <v>1.7999999999999998</v>
      </c>
      <c r="BG174" s="52">
        <f t="shared" si="36"/>
        <v>1.7999999999999998</v>
      </c>
      <c r="BH174" s="52">
        <f t="shared" si="37"/>
        <v>0.60000000000000009</v>
      </c>
      <c r="BI174" s="52">
        <f t="shared" si="38"/>
        <v>6</v>
      </c>
    </row>
    <row r="175" spans="1:61" x14ac:dyDescent="0.3">
      <c r="A175" s="39">
        <v>171</v>
      </c>
      <c r="B175" s="44" t="s">
        <v>238</v>
      </c>
      <c r="C175" s="44" t="s">
        <v>101</v>
      </c>
      <c r="D175" s="44" t="s">
        <v>87</v>
      </c>
      <c r="E175" s="44" t="s">
        <v>102</v>
      </c>
      <c r="F175" s="44" t="s">
        <v>559</v>
      </c>
      <c r="G175" s="36" t="s">
        <v>560</v>
      </c>
      <c r="H175" s="36" t="s">
        <v>561</v>
      </c>
      <c r="I175" s="36" t="s">
        <v>560</v>
      </c>
      <c r="J175" s="36" t="s">
        <v>560</v>
      </c>
      <c r="K175" s="33" t="s">
        <v>72</v>
      </c>
      <c r="L175" s="33" t="s">
        <v>73</v>
      </c>
      <c r="M175" s="36" t="s">
        <v>74</v>
      </c>
      <c r="N175" s="36" t="s">
        <v>562</v>
      </c>
      <c r="O175" s="36" t="s">
        <v>95</v>
      </c>
      <c r="P175" s="36" t="s">
        <v>563</v>
      </c>
      <c r="Q175" s="36" t="s">
        <v>97</v>
      </c>
      <c r="R175" s="37">
        <v>1</v>
      </c>
      <c r="S175" s="33" t="s">
        <v>79</v>
      </c>
      <c r="T175" s="39">
        <v>0</v>
      </c>
      <c r="U175" s="39"/>
      <c r="V175" s="40" t="e">
        <f t="shared" ref="V175:V281" si="48">U175/T175*100</f>
        <v>#DIV/0!</v>
      </c>
      <c r="W175" s="39">
        <v>0</v>
      </c>
      <c r="X175" s="39"/>
      <c r="Y175" s="40" t="e">
        <f t="shared" si="1"/>
        <v>#DIV/0!</v>
      </c>
      <c r="Z175" s="39">
        <v>2</v>
      </c>
      <c r="AA175" s="39"/>
      <c r="AB175" s="40">
        <f t="shared" si="2"/>
        <v>0</v>
      </c>
      <c r="AC175" s="39">
        <v>2</v>
      </c>
      <c r="AD175" s="39"/>
      <c r="AE175" s="40">
        <f t="shared" si="3"/>
        <v>0</v>
      </c>
      <c r="AF175" s="41">
        <f t="shared" si="39"/>
        <v>1</v>
      </c>
      <c r="AG175" s="41">
        <f t="shared" si="33"/>
        <v>0</v>
      </c>
      <c r="AH175" s="42">
        <f t="shared" si="45"/>
        <v>0</v>
      </c>
      <c r="AI175" s="43">
        <v>46113</v>
      </c>
      <c r="AJ175" s="43">
        <v>46477</v>
      </c>
      <c r="AK175" s="44" t="s">
        <v>80</v>
      </c>
      <c r="AL175" s="44" t="s">
        <v>81</v>
      </c>
      <c r="AM175" s="45" t="s">
        <v>82</v>
      </c>
      <c r="AN175" s="46">
        <v>30000000</v>
      </c>
      <c r="AO175" s="46">
        <v>30000000</v>
      </c>
      <c r="AP175" s="46">
        <v>30000000</v>
      </c>
      <c r="AQ175" s="47">
        <v>0</v>
      </c>
      <c r="AR175" s="44" t="s">
        <v>175</v>
      </c>
      <c r="AS175" s="44" t="s">
        <v>80</v>
      </c>
      <c r="AT175" s="54" t="s">
        <v>481</v>
      </c>
      <c r="AU175" s="49" t="s">
        <v>831</v>
      </c>
      <c r="AV175" s="51" t="s">
        <v>832</v>
      </c>
      <c r="AZ175" s="50">
        <f t="shared" si="40"/>
        <v>1</v>
      </c>
      <c r="BA175" s="50">
        <f t="shared" si="41"/>
        <v>0</v>
      </c>
      <c r="BB175" s="117">
        <f t="shared" si="42"/>
        <v>0</v>
      </c>
      <c r="BC175" s="50">
        <f t="shared" si="43"/>
        <v>1</v>
      </c>
      <c r="BD175" s="51"/>
      <c r="BE175" s="52">
        <f t="shared" si="34"/>
        <v>0.3</v>
      </c>
      <c r="BF175" s="52">
        <f t="shared" si="35"/>
        <v>0.3</v>
      </c>
      <c r="BG175" s="52">
        <f t="shared" si="36"/>
        <v>0.3</v>
      </c>
      <c r="BH175" s="52">
        <f t="shared" si="37"/>
        <v>0.1</v>
      </c>
      <c r="BI175" s="52">
        <f t="shared" si="38"/>
        <v>0.99999999999999989</v>
      </c>
    </row>
    <row r="176" spans="1:61" x14ac:dyDescent="0.3">
      <c r="A176" s="39">
        <v>172</v>
      </c>
      <c r="B176" s="44" t="s">
        <v>238</v>
      </c>
      <c r="C176" s="44" t="s">
        <v>101</v>
      </c>
      <c r="D176" s="44" t="s">
        <v>87</v>
      </c>
      <c r="E176" s="44" t="s">
        <v>88</v>
      </c>
      <c r="F176" s="44" t="s">
        <v>322</v>
      </c>
      <c r="G176" s="36" t="s">
        <v>154</v>
      </c>
      <c r="H176" s="36" t="s">
        <v>155</v>
      </c>
      <c r="I176" s="36" t="s">
        <v>564</v>
      </c>
      <c r="J176" s="36" t="s">
        <v>564</v>
      </c>
      <c r="K176" s="33" t="s">
        <v>72</v>
      </c>
      <c r="L176" s="33" t="s">
        <v>73</v>
      </c>
      <c r="M176" s="36" t="s">
        <v>74</v>
      </c>
      <c r="N176" s="36" t="s">
        <v>94</v>
      </c>
      <c r="O176" s="36" t="s">
        <v>95</v>
      </c>
      <c r="P176" s="36" t="s">
        <v>565</v>
      </c>
      <c r="Q176" s="36" t="s">
        <v>97</v>
      </c>
      <c r="R176" s="37">
        <v>4</v>
      </c>
      <c r="S176" s="33" t="s">
        <v>79</v>
      </c>
      <c r="T176" s="39">
        <v>0</v>
      </c>
      <c r="U176" s="39">
        <v>0</v>
      </c>
      <c r="V176" s="40" t="e">
        <f t="shared" si="48"/>
        <v>#DIV/0!</v>
      </c>
      <c r="W176" s="39">
        <v>0</v>
      </c>
      <c r="X176" s="39"/>
      <c r="Y176" s="40" t="e">
        <f t="shared" si="1"/>
        <v>#DIV/0!</v>
      </c>
      <c r="Z176" s="39">
        <v>2</v>
      </c>
      <c r="AA176" s="39"/>
      <c r="AB176" s="40">
        <f t="shared" si="2"/>
        <v>0</v>
      </c>
      <c r="AC176" s="39">
        <v>2</v>
      </c>
      <c r="AD176" s="39"/>
      <c r="AE176" s="40">
        <f t="shared" si="3"/>
        <v>0</v>
      </c>
      <c r="AF176" s="41">
        <f t="shared" si="39"/>
        <v>4</v>
      </c>
      <c r="AG176" s="41">
        <f t="shared" si="33"/>
        <v>0</v>
      </c>
      <c r="AH176" s="42" t="e">
        <f t="shared" si="45"/>
        <v>#DIV/0!</v>
      </c>
      <c r="AI176" s="43">
        <v>46113</v>
      </c>
      <c r="AJ176" s="43">
        <v>46477</v>
      </c>
      <c r="AK176" s="44" t="s">
        <v>80</v>
      </c>
      <c r="AL176" s="44" t="s">
        <v>81</v>
      </c>
      <c r="AM176" s="45" t="s">
        <v>82</v>
      </c>
      <c r="AN176" s="46">
        <v>60000000</v>
      </c>
      <c r="AO176" s="46">
        <v>60000000</v>
      </c>
      <c r="AP176" s="46">
        <v>60000000</v>
      </c>
      <c r="AQ176" s="47">
        <v>0</v>
      </c>
      <c r="AR176" s="44" t="s">
        <v>175</v>
      </c>
      <c r="AS176" s="44" t="s">
        <v>80</v>
      </c>
      <c r="AT176" s="54" t="s">
        <v>481</v>
      </c>
      <c r="AU176" s="49" t="s">
        <v>831</v>
      </c>
      <c r="AV176" s="51" t="s">
        <v>832</v>
      </c>
      <c r="AZ176" s="50">
        <f t="shared" si="40"/>
        <v>4</v>
      </c>
      <c r="BA176" s="50">
        <f t="shared" si="41"/>
        <v>0</v>
      </c>
      <c r="BB176" s="117">
        <f t="shared" si="42"/>
        <v>0</v>
      </c>
      <c r="BC176" s="50">
        <f t="shared" si="43"/>
        <v>4</v>
      </c>
      <c r="BD176" s="51"/>
      <c r="BE176" s="52">
        <f t="shared" si="34"/>
        <v>1.2</v>
      </c>
      <c r="BF176" s="52">
        <f t="shared" si="35"/>
        <v>1.2</v>
      </c>
      <c r="BG176" s="52">
        <f t="shared" si="36"/>
        <v>1.2</v>
      </c>
      <c r="BH176" s="52">
        <f t="shared" si="37"/>
        <v>0.4</v>
      </c>
      <c r="BI176" s="52">
        <f t="shared" si="38"/>
        <v>3.9999999999999996</v>
      </c>
    </row>
    <row r="177" spans="1:61" x14ac:dyDescent="0.3">
      <c r="A177" s="39">
        <v>173</v>
      </c>
      <c r="B177" s="44" t="s">
        <v>238</v>
      </c>
      <c r="C177" s="44" t="s">
        <v>86</v>
      </c>
      <c r="D177" s="44" t="s">
        <v>87</v>
      </c>
      <c r="E177" s="44" t="s">
        <v>88</v>
      </c>
      <c r="F177" s="44" t="s">
        <v>322</v>
      </c>
      <c r="G177" s="36" t="s">
        <v>154</v>
      </c>
      <c r="H177" s="36" t="s">
        <v>155</v>
      </c>
      <c r="I177" s="36" t="s">
        <v>564</v>
      </c>
      <c r="J177" s="36" t="s">
        <v>564</v>
      </c>
      <c r="K177" s="33" t="s">
        <v>72</v>
      </c>
      <c r="L177" s="33" t="s">
        <v>73</v>
      </c>
      <c r="M177" s="36" t="s">
        <v>74</v>
      </c>
      <c r="N177" s="36" t="s">
        <v>94</v>
      </c>
      <c r="O177" s="36" t="s">
        <v>95</v>
      </c>
      <c r="P177" s="36" t="s">
        <v>566</v>
      </c>
      <c r="Q177" s="36" t="s">
        <v>97</v>
      </c>
      <c r="R177" s="37">
        <v>5</v>
      </c>
      <c r="S177" s="33" t="s">
        <v>79</v>
      </c>
      <c r="T177" s="39">
        <v>0</v>
      </c>
      <c r="U177" s="39">
        <v>0</v>
      </c>
      <c r="V177" s="40" t="e">
        <f t="shared" si="48"/>
        <v>#DIV/0!</v>
      </c>
      <c r="W177" s="39">
        <v>0</v>
      </c>
      <c r="X177" s="39"/>
      <c r="Y177" s="40" t="e">
        <f t="shared" si="1"/>
        <v>#DIV/0!</v>
      </c>
      <c r="Z177" s="39">
        <v>2</v>
      </c>
      <c r="AA177" s="39"/>
      <c r="AB177" s="40">
        <f t="shared" si="2"/>
        <v>0</v>
      </c>
      <c r="AC177" s="39">
        <v>2</v>
      </c>
      <c r="AD177" s="39"/>
      <c r="AE177" s="40">
        <f t="shared" si="3"/>
        <v>0</v>
      </c>
      <c r="AF177" s="41">
        <f t="shared" si="39"/>
        <v>5</v>
      </c>
      <c r="AG177" s="41">
        <f t="shared" si="33"/>
        <v>0</v>
      </c>
      <c r="AH177" s="42" t="e">
        <f t="shared" si="45"/>
        <v>#DIV/0!</v>
      </c>
      <c r="AI177" s="43">
        <v>46113</v>
      </c>
      <c r="AJ177" s="43">
        <v>46477</v>
      </c>
      <c r="AK177" s="44" t="s">
        <v>80</v>
      </c>
      <c r="AL177" s="44" t="s">
        <v>81</v>
      </c>
      <c r="AM177" s="45" t="s">
        <v>82</v>
      </c>
      <c r="AN177" s="46">
        <v>60000000</v>
      </c>
      <c r="AO177" s="46">
        <v>60000000</v>
      </c>
      <c r="AP177" s="46">
        <v>60000000</v>
      </c>
      <c r="AQ177" s="47">
        <v>0</v>
      </c>
      <c r="AR177" s="44" t="s">
        <v>175</v>
      </c>
      <c r="AS177" s="44" t="s">
        <v>80</v>
      </c>
      <c r="AT177" s="54" t="s">
        <v>481</v>
      </c>
      <c r="AU177" s="49" t="s">
        <v>831</v>
      </c>
      <c r="AV177" s="51" t="s">
        <v>832</v>
      </c>
      <c r="AZ177" s="50">
        <f t="shared" si="40"/>
        <v>5</v>
      </c>
      <c r="BA177" s="50">
        <f t="shared" si="41"/>
        <v>0</v>
      </c>
      <c r="BB177" s="117">
        <f t="shared" si="42"/>
        <v>0</v>
      </c>
      <c r="BC177" s="50">
        <f t="shared" si="43"/>
        <v>5</v>
      </c>
      <c r="BD177" s="51"/>
      <c r="BE177" s="52">
        <f t="shared" si="34"/>
        <v>1.5</v>
      </c>
      <c r="BF177" s="52">
        <f t="shared" si="35"/>
        <v>1.5</v>
      </c>
      <c r="BG177" s="52">
        <f t="shared" si="36"/>
        <v>1.5</v>
      </c>
      <c r="BH177" s="52">
        <f t="shared" si="37"/>
        <v>0.5</v>
      </c>
      <c r="BI177" s="52">
        <f t="shared" si="38"/>
        <v>5</v>
      </c>
    </row>
    <row r="178" spans="1:61" ht="39.6" x14ac:dyDescent="0.3">
      <c r="A178" s="39">
        <v>174</v>
      </c>
      <c r="B178" s="44" t="s">
        <v>238</v>
      </c>
      <c r="C178" s="44" t="s">
        <v>86</v>
      </c>
      <c r="D178" s="44" t="s">
        <v>87</v>
      </c>
      <c r="E178" s="44" t="s">
        <v>88</v>
      </c>
      <c r="F178" s="44" t="s">
        <v>322</v>
      </c>
      <c r="G178" s="36" t="s">
        <v>154</v>
      </c>
      <c r="H178" s="36" t="s">
        <v>155</v>
      </c>
      <c r="I178" s="36" t="s">
        <v>564</v>
      </c>
      <c r="J178" s="36" t="s">
        <v>564</v>
      </c>
      <c r="K178" s="33" t="s">
        <v>72</v>
      </c>
      <c r="L178" s="33" t="s">
        <v>73</v>
      </c>
      <c r="M178" s="36" t="s">
        <v>74</v>
      </c>
      <c r="N178" s="36" t="s">
        <v>94</v>
      </c>
      <c r="O178" s="36" t="s">
        <v>95</v>
      </c>
      <c r="P178" s="65" t="s">
        <v>567</v>
      </c>
      <c r="Q178" s="36" t="s">
        <v>97</v>
      </c>
      <c r="R178" s="37">
        <v>1</v>
      </c>
      <c r="S178" s="33" t="s">
        <v>79</v>
      </c>
      <c r="T178" s="39">
        <v>1</v>
      </c>
      <c r="U178" s="39">
        <v>1</v>
      </c>
      <c r="V178" s="40">
        <f t="shared" si="48"/>
        <v>100</v>
      </c>
      <c r="W178" s="39"/>
      <c r="X178" s="39"/>
      <c r="Y178" s="40" t="e">
        <f t="shared" si="1"/>
        <v>#DIV/0!</v>
      </c>
      <c r="Z178" s="39">
        <v>3</v>
      </c>
      <c r="AA178" s="39"/>
      <c r="AB178" s="40">
        <f t="shared" si="2"/>
        <v>0</v>
      </c>
      <c r="AC178" s="39">
        <v>3</v>
      </c>
      <c r="AD178" s="39"/>
      <c r="AE178" s="40">
        <f t="shared" si="3"/>
        <v>0</v>
      </c>
      <c r="AF178" s="41">
        <f t="shared" si="39"/>
        <v>1</v>
      </c>
      <c r="AG178" s="41">
        <f t="shared" si="33"/>
        <v>1</v>
      </c>
      <c r="AH178" s="42">
        <f t="shared" si="45"/>
        <v>100</v>
      </c>
      <c r="AI178" s="43">
        <v>46113</v>
      </c>
      <c r="AJ178" s="43">
        <v>46477</v>
      </c>
      <c r="AK178" s="44" t="s">
        <v>80</v>
      </c>
      <c r="AL178" s="44" t="s">
        <v>81</v>
      </c>
      <c r="AM178" s="45" t="s">
        <v>82</v>
      </c>
      <c r="AN178" s="46">
        <v>270081900</v>
      </c>
      <c r="AO178" s="46">
        <v>270081900</v>
      </c>
      <c r="AP178" s="46">
        <v>270081900</v>
      </c>
      <c r="AQ178" s="47">
        <f>49677450</f>
        <v>49677450</v>
      </c>
      <c r="AR178" s="44"/>
      <c r="AS178" s="44" t="s">
        <v>80</v>
      </c>
      <c r="AT178" s="54"/>
      <c r="AU178" s="44"/>
      <c r="AV178" s="120" t="s">
        <v>832</v>
      </c>
      <c r="AW178" s="120" t="s">
        <v>846</v>
      </c>
      <c r="AX178" s="120"/>
      <c r="AY178" s="120"/>
      <c r="AZ178" s="50">
        <f t="shared" si="40"/>
        <v>1</v>
      </c>
      <c r="BA178" s="50">
        <f t="shared" si="41"/>
        <v>1</v>
      </c>
      <c r="BB178" s="117">
        <f t="shared" si="42"/>
        <v>1</v>
      </c>
      <c r="BC178" s="50">
        <f t="shared" si="43"/>
        <v>0</v>
      </c>
      <c r="BD178" s="51"/>
      <c r="BE178" s="52">
        <f t="shared" si="34"/>
        <v>0</v>
      </c>
      <c r="BF178" s="52">
        <f t="shared" si="35"/>
        <v>0</v>
      </c>
      <c r="BG178" s="52">
        <f t="shared" si="36"/>
        <v>0</v>
      </c>
      <c r="BH178" s="52">
        <f t="shared" si="37"/>
        <v>0</v>
      </c>
      <c r="BI178" s="52">
        <f t="shared" si="38"/>
        <v>0</v>
      </c>
    </row>
    <row r="179" spans="1:61" x14ac:dyDescent="0.3">
      <c r="A179" s="39">
        <v>175</v>
      </c>
      <c r="B179" s="44" t="s">
        <v>238</v>
      </c>
      <c r="C179" s="44" t="s">
        <v>86</v>
      </c>
      <c r="D179" s="44" t="s">
        <v>87</v>
      </c>
      <c r="E179" s="44" t="s">
        <v>88</v>
      </c>
      <c r="F179" s="44" t="s">
        <v>322</v>
      </c>
      <c r="G179" s="36" t="s">
        <v>154</v>
      </c>
      <c r="H179" s="36" t="s">
        <v>155</v>
      </c>
      <c r="I179" s="36" t="s">
        <v>564</v>
      </c>
      <c r="J179" s="36" t="s">
        <v>564</v>
      </c>
      <c r="K179" s="33" t="s">
        <v>72</v>
      </c>
      <c r="L179" s="33" t="s">
        <v>73</v>
      </c>
      <c r="M179" s="36" t="s">
        <v>74</v>
      </c>
      <c r="N179" s="36" t="s">
        <v>94</v>
      </c>
      <c r="O179" s="36" t="s">
        <v>95</v>
      </c>
      <c r="P179" s="36" t="s">
        <v>568</v>
      </c>
      <c r="Q179" s="36" t="s">
        <v>97</v>
      </c>
      <c r="R179" s="37">
        <v>1000</v>
      </c>
      <c r="S179" s="33" t="s">
        <v>79</v>
      </c>
      <c r="T179" s="39">
        <v>0</v>
      </c>
      <c r="U179" s="39">
        <v>0</v>
      </c>
      <c r="V179" s="40" t="e">
        <f t="shared" si="48"/>
        <v>#DIV/0!</v>
      </c>
      <c r="W179" s="39"/>
      <c r="X179" s="39"/>
      <c r="Y179" s="40" t="e">
        <f t="shared" si="1"/>
        <v>#DIV/0!</v>
      </c>
      <c r="Z179" s="39">
        <v>1</v>
      </c>
      <c r="AA179" s="39"/>
      <c r="AB179" s="40">
        <f t="shared" si="2"/>
        <v>0</v>
      </c>
      <c r="AC179" s="39"/>
      <c r="AD179" s="39"/>
      <c r="AE179" s="40" t="e">
        <f t="shared" si="3"/>
        <v>#DIV/0!</v>
      </c>
      <c r="AF179" s="41">
        <f t="shared" si="39"/>
        <v>1000</v>
      </c>
      <c r="AG179" s="41">
        <f t="shared" si="33"/>
        <v>0</v>
      </c>
      <c r="AH179" s="42" t="e">
        <f t="shared" si="45"/>
        <v>#DIV/0!</v>
      </c>
      <c r="AI179" s="43">
        <v>46113</v>
      </c>
      <c r="AJ179" s="43">
        <v>46477</v>
      </c>
      <c r="AK179" s="44" t="s">
        <v>80</v>
      </c>
      <c r="AL179" s="44" t="s">
        <v>81</v>
      </c>
      <c r="AM179" s="45" t="s">
        <v>82</v>
      </c>
      <c r="AN179" s="46">
        <v>20000000</v>
      </c>
      <c r="AO179" s="46">
        <v>20000000</v>
      </c>
      <c r="AP179" s="46">
        <v>20000000</v>
      </c>
      <c r="AQ179" s="47">
        <v>0</v>
      </c>
      <c r="AR179" s="44"/>
      <c r="AS179" s="44" t="s">
        <v>80</v>
      </c>
      <c r="AT179" s="54" t="s">
        <v>99</v>
      </c>
      <c r="AU179" s="49" t="s">
        <v>831</v>
      </c>
      <c r="AV179" s="51" t="s">
        <v>832</v>
      </c>
      <c r="AW179" s="51" t="s">
        <v>834</v>
      </c>
      <c r="AZ179" s="50">
        <f t="shared" si="40"/>
        <v>1000</v>
      </c>
      <c r="BA179" s="50">
        <f t="shared" si="41"/>
        <v>0</v>
      </c>
      <c r="BB179" s="117">
        <f t="shared" si="42"/>
        <v>0</v>
      </c>
      <c r="BC179" s="50">
        <f t="shared" si="43"/>
        <v>1000</v>
      </c>
      <c r="BD179" s="51"/>
      <c r="BE179" s="52">
        <f t="shared" si="34"/>
        <v>300</v>
      </c>
      <c r="BF179" s="52">
        <f t="shared" si="35"/>
        <v>300</v>
      </c>
      <c r="BG179" s="52">
        <f t="shared" si="36"/>
        <v>300</v>
      </c>
      <c r="BH179" s="52">
        <f t="shared" si="37"/>
        <v>100</v>
      </c>
      <c r="BI179" s="52">
        <f t="shared" si="38"/>
        <v>1000</v>
      </c>
    </row>
    <row r="180" spans="1:61" x14ac:dyDescent="0.3">
      <c r="A180" s="39">
        <v>176</v>
      </c>
      <c r="B180" s="44" t="s">
        <v>238</v>
      </c>
      <c r="C180" s="44" t="s">
        <v>86</v>
      </c>
      <c r="D180" s="44" t="s">
        <v>87</v>
      </c>
      <c r="E180" s="44" t="s">
        <v>88</v>
      </c>
      <c r="F180" s="44" t="s">
        <v>322</v>
      </c>
      <c r="G180" s="36" t="s">
        <v>154</v>
      </c>
      <c r="H180" s="36" t="s">
        <v>155</v>
      </c>
      <c r="I180" s="36" t="s">
        <v>564</v>
      </c>
      <c r="J180" s="36" t="s">
        <v>564</v>
      </c>
      <c r="K180" s="33" t="s">
        <v>72</v>
      </c>
      <c r="L180" s="33" t="s">
        <v>73</v>
      </c>
      <c r="M180" s="36" t="s">
        <v>74</v>
      </c>
      <c r="N180" s="36" t="s">
        <v>94</v>
      </c>
      <c r="O180" s="36" t="s">
        <v>95</v>
      </c>
      <c r="P180" s="36" t="s">
        <v>569</v>
      </c>
      <c r="Q180" s="36" t="s">
        <v>97</v>
      </c>
      <c r="R180" s="37">
        <v>100</v>
      </c>
      <c r="S180" s="33" t="s">
        <v>79</v>
      </c>
      <c r="T180" s="39">
        <v>0</v>
      </c>
      <c r="U180" s="39">
        <v>0</v>
      </c>
      <c r="V180" s="40" t="e">
        <f t="shared" si="48"/>
        <v>#DIV/0!</v>
      </c>
      <c r="W180" s="39">
        <v>0</v>
      </c>
      <c r="X180" s="39">
        <v>0</v>
      </c>
      <c r="Y180" s="40" t="e">
        <f t="shared" si="1"/>
        <v>#DIV/0!</v>
      </c>
      <c r="Z180" s="39">
        <v>50</v>
      </c>
      <c r="AA180" s="39"/>
      <c r="AB180" s="40">
        <f t="shared" si="2"/>
        <v>0</v>
      </c>
      <c r="AC180" s="39">
        <v>50</v>
      </c>
      <c r="AD180" s="39"/>
      <c r="AE180" s="40">
        <f t="shared" si="3"/>
        <v>0</v>
      </c>
      <c r="AF180" s="41">
        <f t="shared" si="39"/>
        <v>100</v>
      </c>
      <c r="AG180" s="41">
        <f t="shared" si="33"/>
        <v>0</v>
      </c>
      <c r="AH180" s="42" t="e">
        <f t="shared" si="45"/>
        <v>#DIV/0!</v>
      </c>
      <c r="AI180" s="43">
        <v>46113</v>
      </c>
      <c r="AJ180" s="43">
        <v>46477</v>
      </c>
      <c r="AK180" s="44" t="s">
        <v>80</v>
      </c>
      <c r="AL180" s="44" t="s">
        <v>81</v>
      </c>
      <c r="AM180" s="45" t="s">
        <v>82</v>
      </c>
      <c r="AN180" s="46">
        <v>71161000</v>
      </c>
      <c r="AO180" s="46">
        <v>71161000</v>
      </c>
      <c r="AP180" s="46">
        <v>71161000</v>
      </c>
      <c r="AQ180" s="47">
        <v>0</v>
      </c>
      <c r="AR180" s="44" t="s">
        <v>127</v>
      </c>
      <c r="AS180" s="44" t="s">
        <v>80</v>
      </c>
      <c r="AT180" s="54" t="s">
        <v>99</v>
      </c>
      <c r="AU180" s="49" t="s">
        <v>831</v>
      </c>
      <c r="AV180" s="51" t="s">
        <v>832</v>
      </c>
      <c r="AW180" s="51" t="s">
        <v>834</v>
      </c>
      <c r="AZ180" s="50">
        <f t="shared" si="40"/>
        <v>100</v>
      </c>
      <c r="BA180" s="50">
        <f t="shared" si="41"/>
        <v>0</v>
      </c>
      <c r="BB180" s="117">
        <f t="shared" si="42"/>
        <v>0</v>
      </c>
      <c r="BC180" s="50">
        <f t="shared" si="43"/>
        <v>100</v>
      </c>
      <c r="BD180" s="51"/>
      <c r="BE180" s="52">
        <f t="shared" si="34"/>
        <v>30</v>
      </c>
      <c r="BF180" s="52">
        <f t="shared" si="35"/>
        <v>30</v>
      </c>
      <c r="BG180" s="52">
        <f t="shared" si="36"/>
        <v>30</v>
      </c>
      <c r="BH180" s="52">
        <f t="shared" si="37"/>
        <v>10</v>
      </c>
      <c r="BI180" s="52">
        <f t="shared" si="38"/>
        <v>100</v>
      </c>
    </row>
    <row r="181" spans="1:61" x14ac:dyDescent="0.3">
      <c r="A181" s="39">
        <v>177</v>
      </c>
      <c r="B181" s="44" t="s">
        <v>238</v>
      </c>
      <c r="C181" s="44" t="s">
        <v>86</v>
      </c>
      <c r="D181" s="44" t="s">
        <v>87</v>
      </c>
      <c r="E181" s="44" t="s">
        <v>88</v>
      </c>
      <c r="F181" s="44" t="s">
        <v>570</v>
      </c>
      <c r="G181" s="36" t="s">
        <v>571</v>
      </c>
      <c r="H181" s="36" t="s">
        <v>155</v>
      </c>
      <c r="I181" s="36" t="s">
        <v>70</v>
      </c>
      <c r="J181" s="36" t="s">
        <v>70</v>
      </c>
      <c r="K181" s="33" t="s">
        <v>151</v>
      </c>
      <c r="L181" s="33" t="s">
        <v>396</v>
      </c>
      <c r="M181" s="36" t="s">
        <v>74</v>
      </c>
      <c r="N181" s="36" t="s">
        <v>572</v>
      </c>
      <c r="O181" s="36" t="s">
        <v>95</v>
      </c>
      <c r="P181" s="36" t="s">
        <v>573</v>
      </c>
      <c r="Q181" s="36" t="s">
        <v>97</v>
      </c>
      <c r="R181" s="37">
        <v>22</v>
      </c>
      <c r="S181" s="33" t="s">
        <v>79</v>
      </c>
      <c r="T181" s="39">
        <v>4</v>
      </c>
      <c r="U181" s="39">
        <v>4</v>
      </c>
      <c r="V181" s="40">
        <f t="shared" si="48"/>
        <v>100</v>
      </c>
      <c r="W181" s="39">
        <v>6</v>
      </c>
      <c r="X181" s="39">
        <v>6</v>
      </c>
      <c r="Y181" s="40">
        <f t="shared" si="1"/>
        <v>100</v>
      </c>
      <c r="Z181" s="39">
        <v>6</v>
      </c>
      <c r="AA181" s="39"/>
      <c r="AB181" s="40">
        <f t="shared" si="2"/>
        <v>0</v>
      </c>
      <c r="AC181" s="39">
        <v>6</v>
      </c>
      <c r="AD181" s="39"/>
      <c r="AE181" s="40">
        <f t="shared" si="3"/>
        <v>0</v>
      </c>
      <c r="AF181" s="41">
        <f t="shared" si="39"/>
        <v>22</v>
      </c>
      <c r="AG181" s="41">
        <f t="shared" si="33"/>
        <v>10</v>
      </c>
      <c r="AH181" s="42">
        <f t="shared" si="45"/>
        <v>100</v>
      </c>
      <c r="AI181" s="43">
        <v>46113</v>
      </c>
      <c r="AJ181" s="43">
        <v>46477</v>
      </c>
      <c r="AK181" s="44" t="s">
        <v>80</v>
      </c>
      <c r="AL181" s="44" t="s">
        <v>81</v>
      </c>
      <c r="AM181" s="45" t="s">
        <v>82</v>
      </c>
      <c r="AN181" s="46">
        <v>65000000</v>
      </c>
      <c r="AO181" s="46">
        <v>65000000</v>
      </c>
      <c r="AP181" s="46">
        <v>65000000</v>
      </c>
      <c r="AQ181" s="47">
        <f>AO181</f>
        <v>65000000</v>
      </c>
      <c r="AR181" s="44" t="s">
        <v>127</v>
      </c>
      <c r="AS181" s="44" t="s">
        <v>80</v>
      </c>
      <c r="AT181" s="54" t="s">
        <v>574</v>
      </c>
      <c r="AU181" s="49" t="s">
        <v>831</v>
      </c>
      <c r="AV181" s="51" t="s">
        <v>832</v>
      </c>
      <c r="AW181" s="51" t="s">
        <v>847</v>
      </c>
      <c r="AZ181" s="50">
        <f t="shared" si="40"/>
        <v>22</v>
      </c>
      <c r="BA181" s="50">
        <f t="shared" si="41"/>
        <v>10</v>
      </c>
      <c r="BB181" s="117">
        <f t="shared" si="42"/>
        <v>0.45454545454545453</v>
      </c>
      <c r="BC181" s="50">
        <f t="shared" si="43"/>
        <v>12</v>
      </c>
      <c r="BD181" s="51"/>
      <c r="BE181" s="52">
        <f t="shared" si="34"/>
        <v>3.5999999999999996</v>
      </c>
      <c r="BF181" s="52">
        <f t="shared" si="35"/>
        <v>3.5999999999999996</v>
      </c>
      <c r="BG181" s="52">
        <f t="shared" si="36"/>
        <v>3.5999999999999996</v>
      </c>
      <c r="BH181" s="52">
        <f t="shared" si="37"/>
        <v>1.2000000000000002</v>
      </c>
      <c r="BI181" s="52">
        <f t="shared" si="38"/>
        <v>12</v>
      </c>
    </row>
    <row r="182" spans="1:61" x14ac:dyDescent="0.3">
      <c r="A182" s="39">
        <v>178</v>
      </c>
      <c r="B182" s="44" t="s">
        <v>238</v>
      </c>
      <c r="C182" s="44" t="s">
        <v>86</v>
      </c>
      <c r="D182" s="44" t="s">
        <v>87</v>
      </c>
      <c r="E182" s="44" t="s">
        <v>88</v>
      </c>
      <c r="F182" s="44" t="s">
        <v>570</v>
      </c>
      <c r="G182" s="36" t="s">
        <v>154</v>
      </c>
      <c r="H182" s="64" t="s">
        <v>155</v>
      </c>
      <c r="I182" s="36" t="s">
        <v>70</v>
      </c>
      <c r="J182" s="36" t="s">
        <v>70</v>
      </c>
      <c r="K182" s="33" t="s">
        <v>151</v>
      </c>
      <c r="L182" s="33" t="s">
        <v>396</v>
      </c>
      <c r="M182" s="36" t="s">
        <v>74</v>
      </c>
      <c r="N182" s="36" t="s">
        <v>572</v>
      </c>
      <c r="O182" s="36" t="s">
        <v>95</v>
      </c>
      <c r="P182" s="36" t="s">
        <v>575</v>
      </c>
      <c r="Q182" s="36" t="s">
        <v>97</v>
      </c>
      <c r="R182" s="37">
        <v>5</v>
      </c>
      <c r="S182" s="33" t="s">
        <v>79</v>
      </c>
      <c r="T182" s="39">
        <v>0</v>
      </c>
      <c r="U182" s="39">
        <v>0</v>
      </c>
      <c r="V182" s="40" t="e">
        <f t="shared" si="48"/>
        <v>#DIV/0!</v>
      </c>
      <c r="W182" s="39">
        <v>1</v>
      </c>
      <c r="X182" s="39">
        <v>4</v>
      </c>
      <c r="Y182" s="40">
        <f t="shared" si="1"/>
        <v>400</v>
      </c>
      <c r="Z182" s="39">
        <v>4</v>
      </c>
      <c r="AA182" s="39"/>
      <c r="AB182" s="40">
        <f t="shared" si="2"/>
        <v>0</v>
      </c>
      <c r="AC182" s="39">
        <v>0</v>
      </c>
      <c r="AD182" s="39"/>
      <c r="AE182" s="40" t="e">
        <f t="shared" si="3"/>
        <v>#DIV/0!</v>
      </c>
      <c r="AF182" s="41">
        <f t="shared" si="39"/>
        <v>5</v>
      </c>
      <c r="AG182" s="41">
        <f t="shared" si="33"/>
        <v>4</v>
      </c>
      <c r="AH182" s="42">
        <f t="shared" si="45"/>
        <v>400</v>
      </c>
      <c r="AI182" s="43">
        <v>46113</v>
      </c>
      <c r="AJ182" s="43">
        <v>46477</v>
      </c>
      <c r="AK182" s="44" t="s">
        <v>80</v>
      </c>
      <c r="AL182" s="44" t="s">
        <v>576</v>
      </c>
      <c r="AM182" s="45" t="s">
        <v>577</v>
      </c>
      <c r="AN182" s="46">
        <v>218000000</v>
      </c>
      <c r="AO182" s="46">
        <v>218000000</v>
      </c>
      <c r="AP182" s="46">
        <v>218000000</v>
      </c>
      <c r="AQ182" s="47">
        <v>0</v>
      </c>
      <c r="AR182" s="44" t="s">
        <v>127</v>
      </c>
      <c r="AS182" s="44" t="s">
        <v>80</v>
      </c>
      <c r="AT182" s="54" t="s">
        <v>574</v>
      </c>
      <c r="AU182" s="49" t="s">
        <v>831</v>
      </c>
      <c r="AV182" s="51" t="s">
        <v>832</v>
      </c>
      <c r="AW182" s="51" t="s">
        <v>847</v>
      </c>
      <c r="AZ182" s="50">
        <f t="shared" si="40"/>
        <v>5</v>
      </c>
      <c r="BA182" s="50">
        <f t="shared" si="41"/>
        <v>4</v>
      </c>
      <c r="BB182" s="117">
        <f t="shared" si="42"/>
        <v>0.8</v>
      </c>
      <c r="BC182" s="50">
        <f t="shared" si="43"/>
        <v>1</v>
      </c>
      <c r="BD182" s="51"/>
      <c r="BE182" s="52">
        <f t="shared" si="34"/>
        <v>0.3</v>
      </c>
      <c r="BF182" s="52">
        <f t="shared" si="35"/>
        <v>0.3</v>
      </c>
      <c r="BG182" s="52">
        <f t="shared" si="36"/>
        <v>0.3</v>
      </c>
      <c r="BH182" s="52">
        <f t="shared" si="37"/>
        <v>0.1</v>
      </c>
      <c r="BI182" s="52">
        <f t="shared" si="38"/>
        <v>0.99999999999999989</v>
      </c>
    </row>
    <row r="183" spans="1:61" x14ac:dyDescent="0.3">
      <c r="A183" s="39">
        <v>179</v>
      </c>
      <c r="B183" s="44" t="s">
        <v>238</v>
      </c>
      <c r="C183" s="44" t="s">
        <v>86</v>
      </c>
      <c r="D183" s="44" t="s">
        <v>87</v>
      </c>
      <c r="E183" s="44" t="s">
        <v>88</v>
      </c>
      <c r="F183" s="44" t="s">
        <v>208</v>
      </c>
      <c r="G183" s="36" t="s">
        <v>154</v>
      </c>
      <c r="H183" s="36" t="s">
        <v>155</v>
      </c>
      <c r="I183" s="36" t="s">
        <v>70</v>
      </c>
      <c r="J183" s="36" t="s">
        <v>70</v>
      </c>
      <c r="K183" s="33" t="s">
        <v>151</v>
      </c>
      <c r="L183" s="33" t="s">
        <v>396</v>
      </c>
      <c r="M183" s="36" t="s">
        <v>74</v>
      </c>
      <c r="N183" s="36" t="s">
        <v>572</v>
      </c>
      <c r="O183" s="36" t="s">
        <v>95</v>
      </c>
      <c r="P183" s="36" t="s">
        <v>578</v>
      </c>
      <c r="Q183" s="36" t="s">
        <v>97</v>
      </c>
      <c r="R183" s="37">
        <v>1</v>
      </c>
      <c r="S183" s="33" t="s">
        <v>579</v>
      </c>
      <c r="T183" s="39">
        <v>0</v>
      </c>
      <c r="U183" s="39">
        <v>0</v>
      </c>
      <c r="V183" s="40" t="e">
        <f t="shared" si="48"/>
        <v>#DIV/0!</v>
      </c>
      <c r="W183" s="39">
        <v>0</v>
      </c>
      <c r="X183" s="39">
        <v>0</v>
      </c>
      <c r="Y183" s="40" t="e">
        <f t="shared" si="1"/>
        <v>#DIV/0!</v>
      </c>
      <c r="Z183" s="39">
        <v>1</v>
      </c>
      <c r="AA183" s="39"/>
      <c r="AB183" s="40">
        <f t="shared" si="2"/>
        <v>0</v>
      </c>
      <c r="AC183" s="39">
        <v>0</v>
      </c>
      <c r="AD183" s="39"/>
      <c r="AE183" s="40" t="e">
        <f t="shared" si="3"/>
        <v>#DIV/0!</v>
      </c>
      <c r="AF183" s="41">
        <f t="shared" si="39"/>
        <v>1</v>
      </c>
      <c r="AG183" s="41">
        <f t="shared" si="33"/>
        <v>0</v>
      </c>
      <c r="AH183" s="42" t="e">
        <f t="shared" si="45"/>
        <v>#DIV/0!</v>
      </c>
      <c r="AI183" s="43">
        <v>46113</v>
      </c>
      <c r="AJ183" s="43">
        <v>46477</v>
      </c>
      <c r="AK183" s="44" t="s">
        <v>80</v>
      </c>
      <c r="AL183" s="44" t="s">
        <v>576</v>
      </c>
      <c r="AM183" s="45" t="s">
        <v>577</v>
      </c>
      <c r="AN183" s="46">
        <v>190000000</v>
      </c>
      <c r="AO183" s="46">
        <v>190000000</v>
      </c>
      <c r="AP183" s="46">
        <v>190000000</v>
      </c>
      <c r="AQ183" s="47">
        <v>0</v>
      </c>
      <c r="AR183" s="44" t="s">
        <v>127</v>
      </c>
      <c r="AS183" s="44" t="s">
        <v>80</v>
      </c>
      <c r="AT183" s="54" t="s">
        <v>574</v>
      </c>
      <c r="AU183" s="49" t="s">
        <v>831</v>
      </c>
      <c r="AV183" s="51" t="s">
        <v>832</v>
      </c>
      <c r="AW183" s="51" t="s">
        <v>847</v>
      </c>
      <c r="AZ183" s="50">
        <f t="shared" si="40"/>
        <v>1</v>
      </c>
      <c r="BA183" s="50">
        <f t="shared" si="41"/>
        <v>0</v>
      </c>
      <c r="BB183" s="117">
        <f t="shared" si="42"/>
        <v>0</v>
      </c>
      <c r="BC183" s="50">
        <f t="shared" si="43"/>
        <v>1</v>
      </c>
      <c r="BD183" s="51"/>
      <c r="BE183" s="52">
        <f t="shared" si="34"/>
        <v>0.3</v>
      </c>
      <c r="BF183" s="52">
        <f t="shared" si="35"/>
        <v>0.3</v>
      </c>
      <c r="BG183" s="52">
        <f t="shared" si="36"/>
        <v>0.3</v>
      </c>
      <c r="BH183" s="52">
        <f t="shared" si="37"/>
        <v>0.1</v>
      </c>
      <c r="BI183" s="52">
        <f t="shared" si="38"/>
        <v>0.99999999999999989</v>
      </c>
    </row>
    <row r="184" spans="1:61" x14ac:dyDescent="0.3">
      <c r="A184" s="39">
        <v>180</v>
      </c>
      <c r="B184" s="44" t="s">
        <v>238</v>
      </c>
      <c r="C184" s="44" t="s">
        <v>86</v>
      </c>
      <c r="D184" s="44" t="s">
        <v>87</v>
      </c>
      <c r="E184" s="44" t="s">
        <v>88</v>
      </c>
      <c r="F184" s="44" t="s">
        <v>570</v>
      </c>
      <c r="G184" s="36" t="s">
        <v>154</v>
      </c>
      <c r="H184" s="36" t="s">
        <v>155</v>
      </c>
      <c r="I184" s="36" t="s">
        <v>70</v>
      </c>
      <c r="J184" s="36" t="s">
        <v>70</v>
      </c>
      <c r="K184" s="33" t="s">
        <v>151</v>
      </c>
      <c r="L184" s="33" t="s">
        <v>396</v>
      </c>
      <c r="M184" s="36" t="s">
        <v>74</v>
      </c>
      <c r="N184" s="36" t="s">
        <v>572</v>
      </c>
      <c r="O184" s="36" t="s">
        <v>95</v>
      </c>
      <c r="P184" s="36" t="s">
        <v>580</v>
      </c>
      <c r="Q184" s="36" t="s">
        <v>97</v>
      </c>
      <c r="R184" s="37">
        <v>100</v>
      </c>
      <c r="S184" s="33" t="s">
        <v>126</v>
      </c>
      <c r="T184" s="39">
        <v>10</v>
      </c>
      <c r="U184" s="39">
        <v>92</v>
      </c>
      <c r="V184" s="40">
        <f t="shared" si="48"/>
        <v>919.99999999999989</v>
      </c>
      <c r="W184" s="39">
        <v>30</v>
      </c>
      <c r="X184" s="39">
        <v>84</v>
      </c>
      <c r="Y184" s="40">
        <f t="shared" si="1"/>
        <v>280</v>
      </c>
      <c r="Z184" s="39">
        <v>30</v>
      </c>
      <c r="AA184" s="39"/>
      <c r="AB184" s="40">
        <f t="shared" si="2"/>
        <v>0</v>
      </c>
      <c r="AC184" s="39">
        <v>30</v>
      </c>
      <c r="AD184" s="39"/>
      <c r="AE184" s="40">
        <f t="shared" si="3"/>
        <v>0</v>
      </c>
      <c r="AF184" s="41">
        <f t="shared" si="39"/>
        <v>100</v>
      </c>
      <c r="AG184" s="41">
        <f t="shared" si="33"/>
        <v>176</v>
      </c>
      <c r="AH184" s="42">
        <f t="shared" si="45"/>
        <v>440.00000000000006</v>
      </c>
      <c r="AI184" s="43">
        <v>46113</v>
      </c>
      <c r="AJ184" s="43">
        <v>46477</v>
      </c>
      <c r="AK184" s="44" t="s">
        <v>80</v>
      </c>
      <c r="AL184" s="44" t="s">
        <v>576</v>
      </c>
      <c r="AM184" s="45" t="s">
        <v>577</v>
      </c>
      <c r="AN184" s="46"/>
      <c r="AO184" s="46"/>
      <c r="AP184" s="46"/>
      <c r="AQ184" s="47">
        <v>0</v>
      </c>
      <c r="AR184" s="44" t="s">
        <v>127</v>
      </c>
      <c r="AS184" s="44" t="s">
        <v>80</v>
      </c>
      <c r="AT184" s="54" t="s">
        <v>574</v>
      </c>
      <c r="AU184" s="49" t="s">
        <v>831</v>
      </c>
      <c r="AV184" s="51" t="s">
        <v>832</v>
      </c>
      <c r="AW184" s="51" t="s">
        <v>847</v>
      </c>
      <c r="AZ184" s="50">
        <f t="shared" si="40"/>
        <v>100</v>
      </c>
      <c r="BA184" s="50">
        <f t="shared" si="41"/>
        <v>176</v>
      </c>
      <c r="BB184" s="117">
        <f t="shared" si="42"/>
        <v>1.76</v>
      </c>
      <c r="BC184" s="50">
        <f t="shared" si="43"/>
        <v>-76</v>
      </c>
      <c r="BD184" s="51"/>
      <c r="BE184" s="52">
        <f t="shared" si="34"/>
        <v>-22.8</v>
      </c>
      <c r="BF184" s="52">
        <f t="shared" si="35"/>
        <v>-22.8</v>
      </c>
      <c r="BG184" s="52">
        <f t="shared" si="36"/>
        <v>-22.8</v>
      </c>
      <c r="BH184" s="52">
        <f t="shared" si="37"/>
        <v>-7.6000000000000005</v>
      </c>
      <c r="BI184" s="52">
        <f t="shared" si="38"/>
        <v>-76</v>
      </c>
    </row>
    <row r="185" spans="1:61" x14ac:dyDescent="0.3">
      <c r="A185" s="39">
        <v>181</v>
      </c>
      <c r="B185" s="44" t="s">
        <v>238</v>
      </c>
      <c r="C185" s="44" t="s">
        <v>86</v>
      </c>
      <c r="D185" s="44" t="s">
        <v>87</v>
      </c>
      <c r="E185" s="44" t="s">
        <v>180</v>
      </c>
      <c r="F185" s="44" t="s">
        <v>410</v>
      </c>
      <c r="G185" s="36" t="s">
        <v>154</v>
      </c>
      <c r="H185" s="36" t="s">
        <v>155</v>
      </c>
      <c r="I185" s="36" t="s">
        <v>70</v>
      </c>
      <c r="J185" s="36" t="s">
        <v>70</v>
      </c>
      <c r="K185" s="33" t="s">
        <v>151</v>
      </c>
      <c r="L185" s="33" t="s">
        <v>396</v>
      </c>
      <c r="M185" s="36" t="s">
        <v>74</v>
      </c>
      <c r="N185" s="36" t="s">
        <v>572</v>
      </c>
      <c r="O185" s="36" t="s">
        <v>95</v>
      </c>
      <c r="P185" s="36" t="s">
        <v>581</v>
      </c>
      <c r="Q185" s="36" t="s">
        <v>97</v>
      </c>
      <c r="R185" s="37">
        <v>1</v>
      </c>
      <c r="S185" s="33" t="s">
        <v>579</v>
      </c>
      <c r="T185" s="39">
        <v>0</v>
      </c>
      <c r="U185" s="39">
        <v>0</v>
      </c>
      <c r="V185" s="40" t="e">
        <f t="shared" si="48"/>
        <v>#DIV/0!</v>
      </c>
      <c r="W185" s="39">
        <v>0</v>
      </c>
      <c r="X185" s="39">
        <v>0</v>
      </c>
      <c r="Y185" s="40" t="e">
        <f t="shared" si="1"/>
        <v>#DIV/0!</v>
      </c>
      <c r="Z185" s="39">
        <v>0</v>
      </c>
      <c r="AA185" s="39"/>
      <c r="AB185" s="40" t="e">
        <f t="shared" si="2"/>
        <v>#DIV/0!</v>
      </c>
      <c r="AC185" s="39">
        <v>1</v>
      </c>
      <c r="AD185" s="39"/>
      <c r="AE185" s="40">
        <f t="shared" si="3"/>
        <v>0</v>
      </c>
      <c r="AF185" s="41">
        <f t="shared" si="39"/>
        <v>1</v>
      </c>
      <c r="AG185" s="41">
        <f t="shared" si="33"/>
        <v>0</v>
      </c>
      <c r="AH185" s="42" t="e">
        <f t="shared" si="45"/>
        <v>#DIV/0!</v>
      </c>
      <c r="AI185" s="43">
        <v>46113</v>
      </c>
      <c r="AJ185" s="43">
        <v>46477</v>
      </c>
      <c r="AK185" s="44" t="s">
        <v>80</v>
      </c>
      <c r="AL185" s="44" t="s">
        <v>81</v>
      </c>
      <c r="AM185" s="45" t="s">
        <v>82</v>
      </c>
      <c r="AN185" s="46">
        <v>60000000</v>
      </c>
      <c r="AO185" s="46">
        <v>60000000</v>
      </c>
      <c r="AP185" s="46">
        <v>60000000</v>
      </c>
      <c r="AQ185" s="47">
        <v>0</v>
      </c>
      <c r="AR185" s="44"/>
      <c r="AS185" s="44" t="s">
        <v>80</v>
      </c>
      <c r="AT185" s="54" t="s">
        <v>574</v>
      </c>
      <c r="AU185" s="49" t="s">
        <v>831</v>
      </c>
      <c r="AV185" s="51" t="s">
        <v>832</v>
      </c>
      <c r="AW185" s="51" t="s">
        <v>847</v>
      </c>
      <c r="AZ185" s="50">
        <f t="shared" si="40"/>
        <v>1</v>
      </c>
      <c r="BA185" s="50">
        <f t="shared" si="41"/>
        <v>0</v>
      </c>
      <c r="BB185" s="117">
        <f t="shared" si="42"/>
        <v>0</v>
      </c>
      <c r="BC185" s="50">
        <f t="shared" si="43"/>
        <v>1</v>
      </c>
      <c r="BD185" s="51"/>
      <c r="BE185" s="52">
        <f t="shared" si="34"/>
        <v>0.3</v>
      </c>
      <c r="BF185" s="52">
        <f t="shared" si="35"/>
        <v>0.3</v>
      </c>
      <c r="BG185" s="52">
        <f t="shared" si="36"/>
        <v>0.3</v>
      </c>
      <c r="BH185" s="52">
        <f t="shared" si="37"/>
        <v>0.1</v>
      </c>
      <c r="BI185" s="52">
        <f t="shared" si="38"/>
        <v>0.99999999999999989</v>
      </c>
    </row>
    <row r="186" spans="1:61" x14ac:dyDescent="0.3">
      <c r="A186" s="39">
        <v>182</v>
      </c>
      <c r="B186" s="44" t="s">
        <v>238</v>
      </c>
      <c r="C186" s="44" t="s">
        <v>86</v>
      </c>
      <c r="D186" s="44" t="s">
        <v>87</v>
      </c>
      <c r="E186" s="44" t="s">
        <v>180</v>
      </c>
      <c r="F186" s="44" t="s">
        <v>410</v>
      </c>
      <c r="G186" s="36" t="s">
        <v>154</v>
      </c>
      <c r="H186" s="36" t="s">
        <v>155</v>
      </c>
      <c r="I186" s="36" t="s">
        <v>70</v>
      </c>
      <c r="J186" s="36" t="s">
        <v>70</v>
      </c>
      <c r="K186" s="33" t="s">
        <v>151</v>
      </c>
      <c r="L186" s="33" t="s">
        <v>396</v>
      </c>
      <c r="M186" s="36" t="s">
        <v>74</v>
      </c>
      <c r="N186" s="36" t="s">
        <v>572</v>
      </c>
      <c r="O186" s="36" t="s">
        <v>95</v>
      </c>
      <c r="P186" s="36" t="s">
        <v>582</v>
      </c>
      <c r="Q186" s="36" t="s">
        <v>97</v>
      </c>
      <c r="R186" s="37">
        <v>70</v>
      </c>
      <c r="S186" s="33" t="s">
        <v>126</v>
      </c>
      <c r="T186" s="39">
        <v>8</v>
      </c>
      <c r="U186" s="39">
        <v>15</v>
      </c>
      <c r="V186" s="40">
        <f t="shared" si="48"/>
        <v>187.5</v>
      </c>
      <c r="W186" s="39">
        <v>21</v>
      </c>
      <c r="X186" s="39">
        <v>26</v>
      </c>
      <c r="Y186" s="40">
        <f t="shared" si="1"/>
        <v>123.80952380952381</v>
      </c>
      <c r="Z186" s="39">
        <v>21</v>
      </c>
      <c r="AA186" s="39"/>
      <c r="AB186" s="40">
        <f t="shared" si="2"/>
        <v>0</v>
      </c>
      <c r="AC186" s="39">
        <v>20</v>
      </c>
      <c r="AD186" s="39"/>
      <c r="AE186" s="40">
        <f t="shared" si="3"/>
        <v>0</v>
      </c>
      <c r="AF186" s="41">
        <f t="shared" si="39"/>
        <v>70</v>
      </c>
      <c r="AG186" s="41">
        <f t="shared" si="33"/>
        <v>41</v>
      </c>
      <c r="AH186" s="42">
        <f t="shared" si="45"/>
        <v>141.37931034482759</v>
      </c>
      <c r="AI186" s="43">
        <v>46113</v>
      </c>
      <c r="AJ186" s="43">
        <v>46477</v>
      </c>
      <c r="AK186" s="44" t="s">
        <v>80</v>
      </c>
      <c r="AL186" s="44" t="s">
        <v>81</v>
      </c>
      <c r="AM186" s="45" t="s">
        <v>82</v>
      </c>
      <c r="AN186" s="46"/>
      <c r="AO186" s="46"/>
      <c r="AP186" s="46"/>
      <c r="AQ186" s="47">
        <v>0</v>
      </c>
      <c r="AR186" s="44"/>
      <c r="AS186" s="44" t="s">
        <v>80</v>
      </c>
      <c r="AT186" s="54" t="s">
        <v>574</v>
      </c>
      <c r="AU186" s="49" t="s">
        <v>831</v>
      </c>
      <c r="AV186" s="51" t="s">
        <v>832</v>
      </c>
      <c r="AW186" s="51" t="s">
        <v>847</v>
      </c>
      <c r="AZ186" s="50">
        <f t="shared" si="40"/>
        <v>70</v>
      </c>
      <c r="BA186" s="50">
        <f t="shared" si="41"/>
        <v>41</v>
      </c>
      <c r="BB186" s="117">
        <f t="shared" si="42"/>
        <v>0.58571428571428574</v>
      </c>
      <c r="BC186" s="50">
        <f t="shared" si="43"/>
        <v>29</v>
      </c>
      <c r="BD186" s="51"/>
      <c r="BE186" s="52">
        <f t="shared" si="34"/>
        <v>8.6999999999999993</v>
      </c>
      <c r="BF186" s="52">
        <f t="shared" si="35"/>
        <v>8.6999999999999993</v>
      </c>
      <c r="BG186" s="52">
        <f t="shared" si="36"/>
        <v>8.6999999999999993</v>
      </c>
      <c r="BH186" s="52">
        <f t="shared" si="37"/>
        <v>2.9000000000000004</v>
      </c>
      <c r="BI186" s="52">
        <f t="shared" si="38"/>
        <v>29</v>
      </c>
    </row>
    <row r="187" spans="1:61" x14ac:dyDescent="0.3">
      <c r="A187" s="39">
        <v>183</v>
      </c>
      <c r="B187" s="44" t="s">
        <v>238</v>
      </c>
      <c r="C187" s="44" t="s">
        <v>101</v>
      </c>
      <c r="D187" s="44" t="s">
        <v>87</v>
      </c>
      <c r="E187" s="44" t="s">
        <v>437</v>
      </c>
      <c r="F187" s="44" t="s">
        <v>583</v>
      </c>
      <c r="G187" s="36" t="s">
        <v>154</v>
      </c>
      <c r="H187" s="36" t="s">
        <v>155</v>
      </c>
      <c r="I187" s="36" t="s">
        <v>70</v>
      </c>
      <c r="J187" s="36" t="s">
        <v>70</v>
      </c>
      <c r="K187" s="33" t="s">
        <v>151</v>
      </c>
      <c r="L187" s="33" t="s">
        <v>396</v>
      </c>
      <c r="M187" s="36" t="s">
        <v>74</v>
      </c>
      <c r="N187" s="36" t="s">
        <v>572</v>
      </c>
      <c r="O187" s="36" t="s">
        <v>95</v>
      </c>
      <c r="P187" s="36" t="s">
        <v>584</v>
      </c>
      <c r="Q187" s="36" t="s">
        <v>97</v>
      </c>
      <c r="R187" s="37">
        <v>5</v>
      </c>
      <c r="S187" s="33" t="s">
        <v>79</v>
      </c>
      <c r="T187" s="39">
        <v>0</v>
      </c>
      <c r="U187" s="39">
        <v>0</v>
      </c>
      <c r="V187" s="40" t="e">
        <f t="shared" si="48"/>
        <v>#DIV/0!</v>
      </c>
      <c r="W187" s="39">
        <v>1</v>
      </c>
      <c r="X187" s="39">
        <v>4</v>
      </c>
      <c r="Y187" s="40">
        <f t="shared" si="1"/>
        <v>400</v>
      </c>
      <c r="Z187" s="39">
        <v>2</v>
      </c>
      <c r="AA187" s="39"/>
      <c r="AB187" s="40">
        <f t="shared" si="2"/>
        <v>0</v>
      </c>
      <c r="AC187" s="39">
        <v>2</v>
      </c>
      <c r="AD187" s="39"/>
      <c r="AE187" s="40">
        <f t="shared" si="3"/>
        <v>0</v>
      </c>
      <c r="AF187" s="41">
        <f t="shared" si="39"/>
        <v>5</v>
      </c>
      <c r="AG187" s="41">
        <f t="shared" si="33"/>
        <v>4</v>
      </c>
      <c r="AH187" s="42">
        <f t="shared" si="45"/>
        <v>400</v>
      </c>
      <c r="AI187" s="43">
        <v>46113</v>
      </c>
      <c r="AJ187" s="43">
        <v>46477</v>
      </c>
      <c r="AK187" s="44" t="s">
        <v>80</v>
      </c>
      <c r="AL187" s="44" t="s">
        <v>81</v>
      </c>
      <c r="AM187" s="45" t="s">
        <v>82</v>
      </c>
      <c r="AN187" s="46">
        <v>327000000</v>
      </c>
      <c r="AO187" s="46">
        <v>327000000</v>
      </c>
      <c r="AP187" s="46">
        <v>327000000</v>
      </c>
      <c r="AQ187" s="47">
        <v>0</v>
      </c>
      <c r="AR187" s="44" t="s">
        <v>159</v>
      </c>
      <c r="AS187" s="44" t="s">
        <v>80</v>
      </c>
      <c r="AT187" s="54" t="s">
        <v>574</v>
      </c>
      <c r="AU187" s="49" t="s">
        <v>831</v>
      </c>
      <c r="AV187" s="51" t="s">
        <v>832</v>
      </c>
      <c r="AW187" s="51" t="s">
        <v>847</v>
      </c>
      <c r="AZ187" s="50">
        <f t="shared" si="40"/>
        <v>5</v>
      </c>
      <c r="BA187" s="50">
        <f t="shared" si="41"/>
        <v>4</v>
      </c>
      <c r="BB187" s="117">
        <f t="shared" si="42"/>
        <v>0.8</v>
      </c>
      <c r="BC187" s="50">
        <f t="shared" si="43"/>
        <v>1</v>
      </c>
      <c r="BD187" s="51"/>
      <c r="BE187" s="52">
        <f t="shared" si="34"/>
        <v>0.3</v>
      </c>
      <c r="BF187" s="52">
        <f t="shared" si="35"/>
        <v>0.3</v>
      </c>
      <c r="BG187" s="52">
        <f t="shared" si="36"/>
        <v>0.3</v>
      </c>
      <c r="BH187" s="52">
        <f t="shared" si="37"/>
        <v>0.1</v>
      </c>
      <c r="BI187" s="52">
        <f t="shared" si="38"/>
        <v>0.99999999999999989</v>
      </c>
    </row>
    <row r="188" spans="1:61" x14ac:dyDescent="0.3">
      <c r="A188" s="39">
        <v>184</v>
      </c>
      <c r="B188" s="44" t="s">
        <v>238</v>
      </c>
      <c r="C188" s="44" t="s">
        <v>101</v>
      </c>
      <c r="D188" s="44" t="s">
        <v>87</v>
      </c>
      <c r="E188" s="44" t="s">
        <v>585</v>
      </c>
      <c r="F188" s="44" t="s">
        <v>586</v>
      </c>
      <c r="G188" s="36" t="s">
        <v>587</v>
      </c>
      <c r="H188" s="36" t="s">
        <v>588</v>
      </c>
      <c r="I188" s="36" t="s">
        <v>70</v>
      </c>
      <c r="J188" s="36" t="s">
        <v>70</v>
      </c>
      <c r="K188" s="33" t="s">
        <v>151</v>
      </c>
      <c r="L188" s="33" t="s">
        <v>396</v>
      </c>
      <c r="M188" s="36" t="s">
        <v>74</v>
      </c>
      <c r="N188" s="36" t="s">
        <v>572</v>
      </c>
      <c r="O188" s="36" t="s">
        <v>95</v>
      </c>
      <c r="P188" s="36" t="s">
        <v>589</v>
      </c>
      <c r="Q188" s="36" t="s">
        <v>97</v>
      </c>
      <c r="R188" s="37">
        <v>2</v>
      </c>
      <c r="S188" s="33" t="s">
        <v>79</v>
      </c>
      <c r="T188" s="39">
        <v>0</v>
      </c>
      <c r="U188" s="39">
        <v>0</v>
      </c>
      <c r="V188" s="40" t="e">
        <f t="shared" si="48"/>
        <v>#DIV/0!</v>
      </c>
      <c r="W188" s="39">
        <v>2</v>
      </c>
      <c r="X188" s="39">
        <v>2</v>
      </c>
      <c r="Y188" s="40">
        <f t="shared" si="1"/>
        <v>100</v>
      </c>
      <c r="Z188" s="39">
        <v>0</v>
      </c>
      <c r="AA188" s="39"/>
      <c r="AB188" s="40" t="e">
        <f t="shared" si="2"/>
        <v>#DIV/0!</v>
      </c>
      <c r="AC188" s="39">
        <v>0</v>
      </c>
      <c r="AD188" s="39"/>
      <c r="AE188" s="40" t="e">
        <f t="shared" si="3"/>
        <v>#DIV/0!</v>
      </c>
      <c r="AF188" s="41">
        <f t="shared" si="39"/>
        <v>2</v>
      </c>
      <c r="AG188" s="41">
        <f t="shared" si="33"/>
        <v>2</v>
      </c>
      <c r="AH188" s="42">
        <f t="shared" si="45"/>
        <v>100</v>
      </c>
      <c r="AI188" s="43">
        <v>46054</v>
      </c>
      <c r="AJ188" s="43">
        <v>46477</v>
      </c>
      <c r="AK188" s="44" t="s">
        <v>80</v>
      </c>
      <c r="AL188" s="44" t="s">
        <v>81</v>
      </c>
      <c r="AM188" s="45" t="s">
        <v>82</v>
      </c>
      <c r="AN188" s="46">
        <v>80000000</v>
      </c>
      <c r="AO188" s="46">
        <v>80000000</v>
      </c>
      <c r="AP188" s="46">
        <v>80000000</v>
      </c>
      <c r="AQ188" s="47">
        <f>AO188</f>
        <v>80000000</v>
      </c>
      <c r="AR188" s="44" t="s">
        <v>127</v>
      </c>
      <c r="AS188" s="44" t="s">
        <v>80</v>
      </c>
      <c r="AT188" s="54" t="s">
        <v>574</v>
      </c>
      <c r="AU188" s="49" t="s">
        <v>831</v>
      </c>
      <c r="AV188" s="51" t="s">
        <v>832</v>
      </c>
      <c r="AW188" s="51" t="s">
        <v>847</v>
      </c>
      <c r="AZ188" s="50">
        <f t="shared" si="40"/>
        <v>2</v>
      </c>
      <c r="BA188" s="50">
        <f t="shared" si="41"/>
        <v>2</v>
      </c>
      <c r="BB188" s="117">
        <f t="shared" si="42"/>
        <v>1</v>
      </c>
      <c r="BC188" s="50">
        <f t="shared" si="43"/>
        <v>0</v>
      </c>
      <c r="BD188" s="51"/>
      <c r="BE188" s="52">
        <f t="shared" si="34"/>
        <v>0</v>
      </c>
      <c r="BF188" s="52">
        <f t="shared" si="35"/>
        <v>0</v>
      </c>
      <c r="BG188" s="52">
        <f t="shared" si="36"/>
        <v>0</v>
      </c>
      <c r="BH188" s="52">
        <f t="shared" si="37"/>
        <v>0</v>
      </c>
      <c r="BI188" s="52">
        <f t="shared" si="38"/>
        <v>0</v>
      </c>
    </row>
    <row r="189" spans="1:61" x14ac:dyDescent="0.3">
      <c r="A189" s="39">
        <v>185</v>
      </c>
      <c r="B189" s="44" t="s">
        <v>238</v>
      </c>
      <c r="C189" s="44" t="s">
        <v>101</v>
      </c>
      <c r="D189" s="44" t="s">
        <v>87</v>
      </c>
      <c r="E189" s="44" t="s">
        <v>180</v>
      </c>
      <c r="F189" s="44" t="s">
        <v>590</v>
      </c>
      <c r="G189" s="36" t="s">
        <v>587</v>
      </c>
      <c r="H189" s="36" t="s">
        <v>588</v>
      </c>
      <c r="I189" s="36" t="s">
        <v>70</v>
      </c>
      <c r="J189" s="36" t="s">
        <v>70</v>
      </c>
      <c r="K189" s="33" t="s">
        <v>151</v>
      </c>
      <c r="L189" s="33" t="s">
        <v>396</v>
      </c>
      <c r="M189" s="36" t="s">
        <v>74</v>
      </c>
      <c r="N189" s="36" t="s">
        <v>572</v>
      </c>
      <c r="O189" s="36" t="s">
        <v>95</v>
      </c>
      <c r="P189" s="36" t="s">
        <v>591</v>
      </c>
      <c r="Q189" s="36" t="s">
        <v>97</v>
      </c>
      <c r="R189" s="37">
        <v>24</v>
      </c>
      <c r="S189" s="33" t="s">
        <v>579</v>
      </c>
      <c r="T189" s="39">
        <v>6</v>
      </c>
      <c r="U189" s="39">
        <v>6</v>
      </c>
      <c r="V189" s="40">
        <f t="shared" si="48"/>
        <v>100</v>
      </c>
      <c r="W189" s="39">
        <v>6</v>
      </c>
      <c r="X189" s="39">
        <v>6</v>
      </c>
      <c r="Y189" s="40">
        <f t="shared" si="1"/>
        <v>100</v>
      </c>
      <c r="Z189" s="39">
        <v>6</v>
      </c>
      <c r="AA189" s="39"/>
      <c r="AB189" s="40">
        <f t="shared" si="2"/>
        <v>0</v>
      </c>
      <c r="AC189" s="39">
        <v>6</v>
      </c>
      <c r="AD189" s="39"/>
      <c r="AE189" s="40">
        <f t="shared" si="3"/>
        <v>0</v>
      </c>
      <c r="AF189" s="41">
        <f t="shared" si="39"/>
        <v>24</v>
      </c>
      <c r="AG189" s="41">
        <f t="shared" si="33"/>
        <v>12</v>
      </c>
      <c r="AH189" s="42">
        <f t="shared" si="45"/>
        <v>100</v>
      </c>
      <c r="AI189" s="43">
        <v>46113</v>
      </c>
      <c r="AJ189" s="43">
        <v>46477</v>
      </c>
      <c r="AK189" s="44" t="s">
        <v>80</v>
      </c>
      <c r="AL189" s="44" t="s">
        <v>81</v>
      </c>
      <c r="AM189" s="45" t="s">
        <v>82</v>
      </c>
      <c r="AN189" s="46"/>
      <c r="AO189" s="46"/>
      <c r="AP189" s="46"/>
      <c r="AQ189" s="47"/>
      <c r="AR189" s="44" t="s">
        <v>127</v>
      </c>
      <c r="AS189" s="44" t="s">
        <v>80</v>
      </c>
      <c r="AT189" s="54" t="s">
        <v>574</v>
      </c>
      <c r="AU189" s="49" t="s">
        <v>831</v>
      </c>
      <c r="AV189" s="51" t="s">
        <v>832</v>
      </c>
      <c r="AW189" s="51" t="s">
        <v>847</v>
      </c>
      <c r="AZ189" s="50">
        <f t="shared" si="40"/>
        <v>24</v>
      </c>
      <c r="BA189" s="50">
        <f t="shared" si="41"/>
        <v>12</v>
      </c>
      <c r="BB189" s="117">
        <f t="shared" si="42"/>
        <v>0.5</v>
      </c>
      <c r="BC189" s="50">
        <f t="shared" si="43"/>
        <v>12</v>
      </c>
      <c r="BD189" s="51"/>
      <c r="BE189" s="52">
        <f t="shared" si="34"/>
        <v>3.5999999999999996</v>
      </c>
      <c r="BF189" s="52">
        <f t="shared" si="35"/>
        <v>3.5999999999999996</v>
      </c>
      <c r="BG189" s="52">
        <f t="shared" si="36"/>
        <v>3.5999999999999996</v>
      </c>
      <c r="BH189" s="52">
        <f t="shared" si="37"/>
        <v>1.2000000000000002</v>
      </c>
      <c r="BI189" s="52">
        <f t="shared" si="38"/>
        <v>12</v>
      </c>
    </row>
    <row r="190" spans="1:61" x14ac:dyDescent="0.3">
      <c r="A190" s="39">
        <v>186</v>
      </c>
      <c r="B190" s="44" t="s">
        <v>238</v>
      </c>
      <c r="C190" s="44" t="s">
        <v>86</v>
      </c>
      <c r="D190" s="44" t="s">
        <v>87</v>
      </c>
      <c r="E190" s="44" t="s">
        <v>258</v>
      </c>
      <c r="F190" s="44" t="s">
        <v>219</v>
      </c>
      <c r="G190" s="36" t="s">
        <v>154</v>
      </c>
      <c r="H190" s="36" t="s">
        <v>155</v>
      </c>
      <c r="I190" s="36" t="s">
        <v>70</v>
      </c>
      <c r="J190" s="36" t="s">
        <v>70</v>
      </c>
      <c r="K190" s="33" t="s">
        <v>151</v>
      </c>
      <c r="L190" s="33" t="s">
        <v>396</v>
      </c>
      <c r="M190" s="36" t="s">
        <v>74</v>
      </c>
      <c r="N190" s="36" t="s">
        <v>572</v>
      </c>
      <c r="O190" s="36" t="s">
        <v>95</v>
      </c>
      <c r="P190" s="36" t="s">
        <v>592</v>
      </c>
      <c r="Q190" s="36" t="s">
        <v>97</v>
      </c>
      <c r="R190" s="37">
        <v>55</v>
      </c>
      <c r="S190" s="33" t="s">
        <v>579</v>
      </c>
      <c r="T190" s="39">
        <v>10</v>
      </c>
      <c r="U190" s="39">
        <v>21</v>
      </c>
      <c r="V190" s="40">
        <f t="shared" si="48"/>
        <v>210</v>
      </c>
      <c r="W190" s="39">
        <v>15</v>
      </c>
      <c r="X190" s="39">
        <v>45</v>
      </c>
      <c r="Y190" s="40">
        <f t="shared" si="1"/>
        <v>300</v>
      </c>
      <c r="Z190" s="39">
        <v>15</v>
      </c>
      <c r="AA190" s="39"/>
      <c r="AB190" s="40">
        <f t="shared" si="2"/>
        <v>0</v>
      </c>
      <c r="AC190" s="39">
        <v>15</v>
      </c>
      <c r="AD190" s="39"/>
      <c r="AE190" s="40">
        <f t="shared" si="3"/>
        <v>0</v>
      </c>
      <c r="AF190" s="41">
        <f t="shared" si="39"/>
        <v>55</v>
      </c>
      <c r="AG190" s="41">
        <f t="shared" si="33"/>
        <v>66</v>
      </c>
      <c r="AH190" s="42">
        <f t="shared" si="45"/>
        <v>264</v>
      </c>
      <c r="AI190" s="43">
        <v>46054</v>
      </c>
      <c r="AJ190" s="43">
        <v>46477</v>
      </c>
      <c r="AK190" s="44" t="s">
        <v>80</v>
      </c>
      <c r="AL190" s="44" t="s">
        <v>81</v>
      </c>
      <c r="AM190" s="45" t="s">
        <v>82</v>
      </c>
      <c r="AN190" s="46"/>
      <c r="AO190" s="46"/>
      <c r="AP190" s="46"/>
      <c r="AQ190" s="47"/>
      <c r="AR190" s="44" t="s">
        <v>127</v>
      </c>
      <c r="AS190" s="44" t="s">
        <v>80</v>
      </c>
      <c r="AT190" s="54" t="s">
        <v>574</v>
      </c>
      <c r="AU190" s="49" t="s">
        <v>831</v>
      </c>
      <c r="AV190" s="51" t="s">
        <v>832</v>
      </c>
      <c r="AW190" s="51" t="s">
        <v>847</v>
      </c>
      <c r="AZ190" s="50">
        <f t="shared" si="40"/>
        <v>55</v>
      </c>
      <c r="BA190" s="50">
        <f t="shared" si="41"/>
        <v>66</v>
      </c>
      <c r="BB190" s="117">
        <f t="shared" si="42"/>
        <v>1.2</v>
      </c>
      <c r="BC190" s="50">
        <f t="shared" si="43"/>
        <v>-11</v>
      </c>
      <c r="BD190" s="51"/>
      <c r="BE190" s="52">
        <f t="shared" si="34"/>
        <v>-3.3</v>
      </c>
      <c r="BF190" s="52">
        <f t="shared" si="35"/>
        <v>-3.3</v>
      </c>
      <c r="BG190" s="52">
        <f t="shared" si="36"/>
        <v>-3.3</v>
      </c>
      <c r="BH190" s="52">
        <f t="shared" si="37"/>
        <v>-1.1000000000000001</v>
      </c>
      <c r="BI190" s="52">
        <f t="shared" si="38"/>
        <v>-10.999999999999998</v>
      </c>
    </row>
    <row r="191" spans="1:61" ht="26.4" x14ac:dyDescent="0.3">
      <c r="A191" s="39">
        <v>187</v>
      </c>
      <c r="B191" s="44" t="s">
        <v>238</v>
      </c>
      <c r="C191" s="44" t="s">
        <v>86</v>
      </c>
      <c r="D191" s="44" t="s">
        <v>87</v>
      </c>
      <c r="E191" s="44" t="s">
        <v>123</v>
      </c>
      <c r="F191" s="44" t="s">
        <v>570</v>
      </c>
      <c r="G191" s="36" t="s">
        <v>154</v>
      </c>
      <c r="H191" s="36" t="s">
        <v>155</v>
      </c>
      <c r="I191" s="36" t="s">
        <v>593</v>
      </c>
      <c r="J191" s="36" t="s">
        <v>593</v>
      </c>
      <c r="K191" s="33" t="s">
        <v>72</v>
      </c>
      <c r="L191" s="33" t="s">
        <v>73</v>
      </c>
      <c r="M191" s="36" t="s">
        <v>74</v>
      </c>
      <c r="N191" s="36" t="s">
        <v>594</v>
      </c>
      <c r="O191" s="36" t="s">
        <v>95</v>
      </c>
      <c r="P191" s="65" t="s">
        <v>595</v>
      </c>
      <c r="Q191" s="36" t="s">
        <v>97</v>
      </c>
      <c r="R191" s="37">
        <v>100</v>
      </c>
      <c r="S191" s="33" t="s">
        <v>126</v>
      </c>
      <c r="T191" s="39">
        <v>0</v>
      </c>
      <c r="U191" s="39"/>
      <c r="V191" s="40" t="e">
        <f t="shared" si="48"/>
        <v>#DIV/0!</v>
      </c>
      <c r="W191" s="39">
        <v>1</v>
      </c>
      <c r="X191" s="39"/>
      <c r="Y191" s="40">
        <f t="shared" si="1"/>
        <v>0</v>
      </c>
      <c r="Z191" s="39">
        <v>2</v>
      </c>
      <c r="AA191" s="39"/>
      <c r="AB191" s="40">
        <f t="shared" si="2"/>
        <v>0</v>
      </c>
      <c r="AC191" s="39">
        <v>2</v>
      </c>
      <c r="AD191" s="39"/>
      <c r="AE191" s="40">
        <f t="shared" si="3"/>
        <v>0</v>
      </c>
      <c r="AF191" s="41">
        <f t="shared" si="39"/>
        <v>100</v>
      </c>
      <c r="AG191" s="41">
        <f t="shared" si="33"/>
        <v>0</v>
      </c>
      <c r="AH191" s="42">
        <f t="shared" si="45"/>
        <v>0</v>
      </c>
      <c r="AI191" s="43">
        <v>46113</v>
      </c>
      <c r="AJ191" s="43">
        <v>46477</v>
      </c>
      <c r="AK191" s="44" t="s">
        <v>80</v>
      </c>
      <c r="AL191" s="44" t="s">
        <v>81</v>
      </c>
      <c r="AM191" s="45" t="s">
        <v>82</v>
      </c>
      <c r="AN191" s="46">
        <v>25000000</v>
      </c>
      <c r="AO191" s="46">
        <v>25000000</v>
      </c>
      <c r="AP191" s="46">
        <v>25000000</v>
      </c>
      <c r="AQ191" s="47">
        <v>0</v>
      </c>
      <c r="AR191" s="44" t="s">
        <v>127</v>
      </c>
      <c r="AS191" s="44" t="s">
        <v>80</v>
      </c>
      <c r="AT191" s="54"/>
      <c r="AU191" s="44"/>
      <c r="AV191" s="120" t="s">
        <v>832</v>
      </c>
      <c r="AW191" s="120" t="s">
        <v>848</v>
      </c>
      <c r="AX191" s="120"/>
      <c r="AY191" s="120"/>
      <c r="AZ191" s="50">
        <f t="shared" si="40"/>
        <v>100</v>
      </c>
      <c r="BA191" s="50">
        <f t="shared" si="41"/>
        <v>0</v>
      </c>
      <c r="BB191" s="117">
        <f t="shared" si="42"/>
        <v>0</v>
      </c>
      <c r="BC191" s="50">
        <f t="shared" si="43"/>
        <v>100</v>
      </c>
      <c r="BD191" s="51"/>
      <c r="BE191" s="52">
        <f t="shared" si="34"/>
        <v>30</v>
      </c>
      <c r="BF191" s="52">
        <f t="shared" si="35"/>
        <v>30</v>
      </c>
      <c r="BG191" s="52">
        <f t="shared" si="36"/>
        <v>30</v>
      </c>
      <c r="BH191" s="52">
        <f t="shared" si="37"/>
        <v>10</v>
      </c>
      <c r="BI191" s="52">
        <f t="shared" si="38"/>
        <v>100</v>
      </c>
    </row>
    <row r="192" spans="1:61" ht="26.4" x14ac:dyDescent="0.3">
      <c r="A192" s="39">
        <v>188</v>
      </c>
      <c r="B192" s="44" t="s">
        <v>238</v>
      </c>
      <c r="C192" s="44" t="s">
        <v>86</v>
      </c>
      <c r="D192" s="44" t="s">
        <v>87</v>
      </c>
      <c r="E192" s="44" t="s">
        <v>123</v>
      </c>
      <c r="F192" s="44" t="s">
        <v>570</v>
      </c>
      <c r="G192" s="36" t="s">
        <v>154</v>
      </c>
      <c r="H192" s="36" t="s">
        <v>155</v>
      </c>
      <c r="I192" s="36" t="s">
        <v>564</v>
      </c>
      <c r="J192" s="36" t="s">
        <v>564</v>
      </c>
      <c r="K192" s="33" t="s">
        <v>72</v>
      </c>
      <c r="L192" s="33" t="s">
        <v>73</v>
      </c>
      <c r="M192" s="36" t="s">
        <v>74</v>
      </c>
      <c r="N192" s="36" t="s">
        <v>594</v>
      </c>
      <c r="O192" s="36" t="s">
        <v>95</v>
      </c>
      <c r="P192" s="65" t="s">
        <v>596</v>
      </c>
      <c r="Q192" s="36" t="s">
        <v>97</v>
      </c>
      <c r="R192" s="37">
        <v>100</v>
      </c>
      <c r="S192" s="33" t="s">
        <v>126</v>
      </c>
      <c r="T192" s="39">
        <v>0</v>
      </c>
      <c r="U192" s="39"/>
      <c r="V192" s="40" t="e">
        <f t="shared" si="48"/>
        <v>#DIV/0!</v>
      </c>
      <c r="W192" s="39">
        <v>1</v>
      </c>
      <c r="X192" s="39"/>
      <c r="Y192" s="40">
        <f t="shared" si="1"/>
        <v>0</v>
      </c>
      <c r="Z192" s="39">
        <v>2</v>
      </c>
      <c r="AA192" s="39"/>
      <c r="AB192" s="40">
        <f t="shared" si="2"/>
        <v>0</v>
      </c>
      <c r="AC192" s="39">
        <v>1</v>
      </c>
      <c r="AD192" s="39"/>
      <c r="AE192" s="40">
        <f t="shared" si="3"/>
        <v>0</v>
      </c>
      <c r="AF192" s="41">
        <f t="shared" si="39"/>
        <v>100</v>
      </c>
      <c r="AG192" s="41">
        <f t="shared" si="33"/>
        <v>0</v>
      </c>
      <c r="AH192" s="42">
        <f t="shared" si="45"/>
        <v>0</v>
      </c>
      <c r="AI192" s="43">
        <v>46113</v>
      </c>
      <c r="AJ192" s="43">
        <v>46477</v>
      </c>
      <c r="AK192" s="44" t="s">
        <v>80</v>
      </c>
      <c r="AL192" s="44" t="s">
        <v>81</v>
      </c>
      <c r="AM192" s="45" t="s">
        <v>82</v>
      </c>
      <c r="AN192" s="46">
        <v>70000000</v>
      </c>
      <c r="AO192" s="46">
        <v>70000000</v>
      </c>
      <c r="AP192" s="46">
        <v>70000000</v>
      </c>
      <c r="AQ192" s="47">
        <v>0</v>
      </c>
      <c r="AR192" s="44" t="s">
        <v>159</v>
      </c>
      <c r="AS192" s="44" t="s">
        <v>80</v>
      </c>
      <c r="AT192" s="54"/>
      <c r="AU192" s="44"/>
      <c r="AV192" s="120" t="s">
        <v>832</v>
      </c>
      <c r="AW192" s="120" t="s">
        <v>848</v>
      </c>
      <c r="AX192" s="120"/>
      <c r="AY192" s="120"/>
      <c r="AZ192" s="50">
        <f t="shared" si="40"/>
        <v>100</v>
      </c>
      <c r="BA192" s="50">
        <f t="shared" si="41"/>
        <v>0</v>
      </c>
      <c r="BB192" s="117">
        <f t="shared" si="42"/>
        <v>0</v>
      </c>
      <c r="BC192" s="50">
        <f t="shared" si="43"/>
        <v>100</v>
      </c>
      <c r="BD192" s="51"/>
      <c r="BE192" s="52">
        <f t="shared" si="34"/>
        <v>30</v>
      </c>
      <c r="BF192" s="52">
        <f t="shared" si="35"/>
        <v>30</v>
      </c>
      <c r="BG192" s="52">
        <f t="shared" si="36"/>
        <v>30</v>
      </c>
      <c r="BH192" s="52">
        <f t="shared" si="37"/>
        <v>10</v>
      </c>
      <c r="BI192" s="52">
        <f t="shared" si="38"/>
        <v>100</v>
      </c>
    </row>
    <row r="193" spans="1:61" ht="39.6" x14ac:dyDescent="0.3">
      <c r="A193" s="39">
        <v>189</v>
      </c>
      <c r="B193" s="44" t="s">
        <v>238</v>
      </c>
      <c r="C193" s="44" t="s">
        <v>86</v>
      </c>
      <c r="D193" s="44" t="s">
        <v>87</v>
      </c>
      <c r="E193" s="44" t="s">
        <v>123</v>
      </c>
      <c r="F193" s="44" t="s">
        <v>570</v>
      </c>
      <c r="G193" s="36" t="s">
        <v>154</v>
      </c>
      <c r="H193" s="36" t="s">
        <v>155</v>
      </c>
      <c r="I193" s="36" t="s">
        <v>564</v>
      </c>
      <c r="J193" s="36" t="s">
        <v>564</v>
      </c>
      <c r="K193" s="33" t="s">
        <v>72</v>
      </c>
      <c r="L193" s="33" t="s">
        <v>73</v>
      </c>
      <c r="M193" s="36" t="s">
        <v>74</v>
      </c>
      <c r="N193" s="36" t="s">
        <v>594</v>
      </c>
      <c r="O193" s="36" t="s">
        <v>95</v>
      </c>
      <c r="P193" s="65" t="s">
        <v>597</v>
      </c>
      <c r="Q193" s="36" t="s">
        <v>97</v>
      </c>
      <c r="R193" s="37">
        <v>5</v>
      </c>
      <c r="S193" s="33" t="s">
        <v>79</v>
      </c>
      <c r="T193" s="39">
        <v>6</v>
      </c>
      <c r="U193" s="39"/>
      <c r="V193" s="40">
        <f t="shared" si="48"/>
        <v>0</v>
      </c>
      <c r="W193" s="39">
        <v>6</v>
      </c>
      <c r="X193" s="39"/>
      <c r="Y193" s="40">
        <f t="shared" si="1"/>
        <v>0</v>
      </c>
      <c r="Z193" s="39">
        <v>6</v>
      </c>
      <c r="AA193" s="39"/>
      <c r="AB193" s="40">
        <f t="shared" si="2"/>
        <v>0</v>
      </c>
      <c r="AC193" s="39">
        <v>6</v>
      </c>
      <c r="AD193" s="39"/>
      <c r="AE193" s="40">
        <f t="shared" si="3"/>
        <v>0</v>
      </c>
      <c r="AF193" s="41">
        <f t="shared" si="39"/>
        <v>5</v>
      </c>
      <c r="AG193" s="41">
        <f t="shared" si="33"/>
        <v>0</v>
      </c>
      <c r="AH193" s="42">
        <f t="shared" si="45"/>
        <v>0</v>
      </c>
      <c r="AI193" s="43">
        <v>46113</v>
      </c>
      <c r="AJ193" s="43">
        <v>46477</v>
      </c>
      <c r="AK193" s="44" t="s">
        <v>80</v>
      </c>
      <c r="AL193" s="44" t="s">
        <v>81</v>
      </c>
      <c r="AM193" s="45" t="s">
        <v>82</v>
      </c>
      <c r="AN193" s="46">
        <v>110000000</v>
      </c>
      <c r="AO193" s="46">
        <v>110000000</v>
      </c>
      <c r="AP193" s="46">
        <v>110000000</v>
      </c>
      <c r="AQ193" s="47">
        <v>0</v>
      </c>
      <c r="AR193" s="44" t="s">
        <v>127</v>
      </c>
      <c r="AS193" s="44" t="s">
        <v>80</v>
      </c>
      <c r="AT193" s="54"/>
      <c r="AU193" s="44"/>
      <c r="AV193" s="120" t="s">
        <v>832</v>
      </c>
      <c r="AW193" s="120"/>
      <c r="AX193" s="120"/>
      <c r="AY193" s="120"/>
      <c r="AZ193" s="50">
        <f t="shared" si="40"/>
        <v>5</v>
      </c>
      <c r="BA193" s="50">
        <f t="shared" si="41"/>
        <v>0</v>
      </c>
      <c r="BB193" s="117">
        <f t="shared" si="42"/>
        <v>0</v>
      </c>
      <c r="BC193" s="50">
        <f t="shared" si="43"/>
        <v>5</v>
      </c>
      <c r="BD193" s="51"/>
      <c r="BE193" s="52">
        <f t="shared" si="34"/>
        <v>1.5</v>
      </c>
      <c r="BF193" s="52">
        <f t="shared" si="35"/>
        <v>1.5</v>
      </c>
      <c r="BG193" s="52">
        <f t="shared" si="36"/>
        <v>1.5</v>
      </c>
      <c r="BH193" s="52">
        <f t="shared" si="37"/>
        <v>0.5</v>
      </c>
      <c r="BI193" s="52">
        <f t="shared" si="38"/>
        <v>5</v>
      </c>
    </row>
    <row r="194" spans="1:61" ht="26.4" x14ac:dyDescent="0.3">
      <c r="A194" s="39">
        <v>190</v>
      </c>
      <c r="B194" s="44" t="s">
        <v>238</v>
      </c>
      <c r="C194" s="44" t="s">
        <v>86</v>
      </c>
      <c r="D194" s="44" t="s">
        <v>87</v>
      </c>
      <c r="E194" s="44" t="s">
        <v>123</v>
      </c>
      <c r="F194" s="44" t="s">
        <v>570</v>
      </c>
      <c r="G194" s="36" t="s">
        <v>154</v>
      </c>
      <c r="H194" s="36" t="s">
        <v>155</v>
      </c>
      <c r="I194" s="36" t="s">
        <v>70</v>
      </c>
      <c r="J194" s="36" t="s">
        <v>70</v>
      </c>
      <c r="K194" s="33" t="s">
        <v>72</v>
      </c>
      <c r="L194" s="33" t="s">
        <v>73</v>
      </c>
      <c r="M194" s="36" t="s">
        <v>74</v>
      </c>
      <c r="N194" s="36" t="s">
        <v>594</v>
      </c>
      <c r="O194" s="36" t="s">
        <v>95</v>
      </c>
      <c r="P194" s="65" t="s">
        <v>598</v>
      </c>
      <c r="Q194" s="36" t="s">
        <v>97</v>
      </c>
      <c r="R194" s="37">
        <v>4</v>
      </c>
      <c r="S194" s="33" t="s">
        <v>79</v>
      </c>
      <c r="T194" s="39">
        <v>10</v>
      </c>
      <c r="U194" s="39"/>
      <c r="V194" s="40">
        <f t="shared" si="48"/>
        <v>0</v>
      </c>
      <c r="W194" s="39">
        <v>15</v>
      </c>
      <c r="X194" s="39"/>
      <c r="Y194" s="40">
        <f t="shared" si="1"/>
        <v>0</v>
      </c>
      <c r="Z194" s="39">
        <v>15</v>
      </c>
      <c r="AA194" s="39"/>
      <c r="AB194" s="40">
        <f t="shared" si="2"/>
        <v>0</v>
      </c>
      <c r="AC194" s="39">
        <v>15</v>
      </c>
      <c r="AD194" s="39"/>
      <c r="AE194" s="40">
        <f t="shared" si="3"/>
        <v>0</v>
      </c>
      <c r="AF194" s="41">
        <f t="shared" si="39"/>
        <v>4</v>
      </c>
      <c r="AG194" s="41">
        <f t="shared" si="33"/>
        <v>0</v>
      </c>
      <c r="AH194" s="42">
        <f t="shared" si="45"/>
        <v>0</v>
      </c>
      <c r="AI194" s="43">
        <v>46054</v>
      </c>
      <c r="AJ194" s="43">
        <v>46477</v>
      </c>
      <c r="AK194" s="44" t="s">
        <v>80</v>
      </c>
      <c r="AL194" s="44" t="s">
        <v>81</v>
      </c>
      <c r="AM194" s="45" t="s">
        <v>82</v>
      </c>
      <c r="AN194" s="46">
        <v>80000000</v>
      </c>
      <c r="AO194" s="46">
        <v>80000000</v>
      </c>
      <c r="AP194" s="46">
        <v>80000000</v>
      </c>
      <c r="AQ194" s="47">
        <v>0</v>
      </c>
      <c r="AR194" s="44" t="s">
        <v>127</v>
      </c>
      <c r="AS194" s="44" t="s">
        <v>80</v>
      </c>
      <c r="AT194" s="54"/>
      <c r="AU194" s="44"/>
      <c r="AV194" s="120" t="s">
        <v>832</v>
      </c>
      <c r="AW194" s="120"/>
      <c r="AX194" s="120"/>
      <c r="AY194" s="120"/>
      <c r="AZ194" s="50">
        <f t="shared" si="40"/>
        <v>4</v>
      </c>
      <c r="BA194" s="50">
        <f t="shared" si="41"/>
        <v>0</v>
      </c>
      <c r="BB194" s="117">
        <f t="shared" si="42"/>
        <v>0</v>
      </c>
      <c r="BC194" s="50">
        <f t="shared" si="43"/>
        <v>4</v>
      </c>
      <c r="BD194" s="51"/>
      <c r="BE194" s="52">
        <f t="shared" si="34"/>
        <v>1.2</v>
      </c>
      <c r="BF194" s="52">
        <f t="shared" si="35"/>
        <v>1.2</v>
      </c>
      <c r="BG194" s="52">
        <f t="shared" si="36"/>
        <v>1.2</v>
      </c>
      <c r="BH194" s="52">
        <f t="shared" si="37"/>
        <v>0.4</v>
      </c>
      <c r="BI194" s="52">
        <f t="shared" si="38"/>
        <v>3.9999999999999996</v>
      </c>
    </row>
    <row r="195" spans="1:61" x14ac:dyDescent="0.3">
      <c r="A195" s="39">
        <v>191</v>
      </c>
      <c r="B195" s="44" t="s">
        <v>238</v>
      </c>
      <c r="C195" s="44" t="s">
        <v>86</v>
      </c>
      <c r="D195" s="44" t="s">
        <v>87</v>
      </c>
      <c r="E195" s="44" t="s">
        <v>123</v>
      </c>
      <c r="F195" s="44" t="s">
        <v>570</v>
      </c>
      <c r="G195" s="36" t="s">
        <v>154</v>
      </c>
      <c r="H195" s="36" t="s">
        <v>155</v>
      </c>
      <c r="I195" s="36" t="s">
        <v>70</v>
      </c>
      <c r="J195" s="36" t="s">
        <v>70</v>
      </c>
      <c r="K195" s="33" t="s">
        <v>72</v>
      </c>
      <c r="L195" s="33" t="s">
        <v>73</v>
      </c>
      <c r="M195" s="36" t="s">
        <v>74</v>
      </c>
      <c r="N195" s="36" t="s">
        <v>594</v>
      </c>
      <c r="O195" s="36" t="s">
        <v>95</v>
      </c>
      <c r="P195" s="36" t="s">
        <v>599</v>
      </c>
      <c r="Q195" s="36" t="s">
        <v>97</v>
      </c>
      <c r="R195" s="37">
        <v>100</v>
      </c>
      <c r="S195" s="33" t="s">
        <v>126</v>
      </c>
      <c r="T195" s="39">
        <v>25</v>
      </c>
      <c r="U195" s="39"/>
      <c r="V195" s="40">
        <f t="shared" si="48"/>
        <v>0</v>
      </c>
      <c r="W195" s="39">
        <v>25</v>
      </c>
      <c r="X195" s="39"/>
      <c r="Y195" s="40">
        <f t="shared" si="1"/>
        <v>0</v>
      </c>
      <c r="Z195" s="39">
        <v>25</v>
      </c>
      <c r="AA195" s="39"/>
      <c r="AB195" s="40">
        <f t="shared" si="2"/>
        <v>0</v>
      </c>
      <c r="AC195" s="39">
        <v>25</v>
      </c>
      <c r="AD195" s="39"/>
      <c r="AE195" s="40">
        <f t="shared" si="3"/>
        <v>0</v>
      </c>
      <c r="AF195" s="41">
        <f t="shared" si="39"/>
        <v>100</v>
      </c>
      <c r="AG195" s="41">
        <f t="shared" si="33"/>
        <v>0</v>
      </c>
      <c r="AH195" s="42">
        <f t="shared" si="45"/>
        <v>0</v>
      </c>
      <c r="AI195" s="43">
        <v>46113</v>
      </c>
      <c r="AJ195" s="43">
        <v>46477</v>
      </c>
      <c r="AK195" s="44" t="s">
        <v>80</v>
      </c>
      <c r="AL195" s="44" t="s">
        <v>81</v>
      </c>
      <c r="AM195" s="45" t="s">
        <v>82</v>
      </c>
      <c r="AN195" s="46">
        <v>500000000</v>
      </c>
      <c r="AO195" s="46">
        <v>500000000</v>
      </c>
      <c r="AP195" s="46">
        <v>500000000</v>
      </c>
      <c r="AQ195" s="47">
        <v>0</v>
      </c>
      <c r="AR195" s="44" t="s">
        <v>127</v>
      </c>
      <c r="AS195" s="44" t="s">
        <v>80</v>
      </c>
      <c r="AT195" s="54" t="s">
        <v>600</v>
      </c>
      <c r="AU195" s="49" t="s">
        <v>831</v>
      </c>
      <c r="AV195" s="51" t="s">
        <v>832</v>
      </c>
      <c r="AW195" s="51" t="s">
        <v>848</v>
      </c>
      <c r="AZ195" s="50">
        <f t="shared" si="40"/>
        <v>100</v>
      </c>
      <c r="BA195" s="50">
        <f t="shared" si="41"/>
        <v>0</v>
      </c>
      <c r="BB195" s="117">
        <f t="shared" si="42"/>
        <v>0</v>
      </c>
      <c r="BC195" s="50">
        <f t="shared" si="43"/>
        <v>100</v>
      </c>
      <c r="BD195" s="51"/>
      <c r="BE195" s="52">
        <f t="shared" si="34"/>
        <v>30</v>
      </c>
      <c r="BF195" s="52">
        <f t="shared" si="35"/>
        <v>30</v>
      </c>
      <c r="BG195" s="52">
        <f t="shared" si="36"/>
        <v>30</v>
      </c>
      <c r="BH195" s="52">
        <f t="shared" si="37"/>
        <v>10</v>
      </c>
      <c r="BI195" s="52">
        <f t="shared" si="38"/>
        <v>100</v>
      </c>
    </row>
    <row r="196" spans="1:61" x14ac:dyDescent="0.3">
      <c r="A196" s="39">
        <v>192</v>
      </c>
      <c r="B196" s="44" t="s">
        <v>238</v>
      </c>
      <c r="C196" s="44" t="s">
        <v>86</v>
      </c>
      <c r="D196" s="44" t="s">
        <v>87</v>
      </c>
      <c r="E196" s="44" t="s">
        <v>123</v>
      </c>
      <c r="F196" s="44" t="s">
        <v>570</v>
      </c>
      <c r="G196" s="36" t="s">
        <v>154</v>
      </c>
      <c r="H196" s="36" t="s">
        <v>155</v>
      </c>
      <c r="I196" s="36" t="s">
        <v>70</v>
      </c>
      <c r="J196" s="36" t="s">
        <v>70</v>
      </c>
      <c r="K196" s="33" t="s">
        <v>72</v>
      </c>
      <c r="L196" s="33" t="s">
        <v>73</v>
      </c>
      <c r="M196" s="36" t="s">
        <v>74</v>
      </c>
      <c r="N196" s="36" t="s">
        <v>594</v>
      </c>
      <c r="O196" s="36" t="s">
        <v>95</v>
      </c>
      <c r="P196" s="36" t="s">
        <v>601</v>
      </c>
      <c r="Q196" s="36" t="s">
        <v>97</v>
      </c>
      <c r="R196" s="37">
        <v>100</v>
      </c>
      <c r="S196" s="33" t="s">
        <v>126</v>
      </c>
      <c r="T196" s="39">
        <v>25</v>
      </c>
      <c r="U196" s="39"/>
      <c r="V196" s="40">
        <f t="shared" si="48"/>
        <v>0</v>
      </c>
      <c r="W196" s="39">
        <v>25</v>
      </c>
      <c r="X196" s="39"/>
      <c r="Y196" s="40">
        <f t="shared" si="1"/>
        <v>0</v>
      </c>
      <c r="Z196" s="39">
        <v>25</v>
      </c>
      <c r="AA196" s="39"/>
      <c r="AB196" s="40">
        <f t="shared" si="2"/>
        <v>0</v>
      </c>
      <c r="AC196" s="39">
        <v>25</v>
      </c>
      <c r="AD196" s="39"/>
      <c r="AE196" s="40">
        <f t="shared" si="3"/>
        <v>0</v>
      </c>
      <c r="AF196" s="41">
        <f t="shared" si="39"/>
        <v>100</v>
      </c>
      <c r="AG196" s="41">
        <f t="shared" si="33"/>
        <v>0</v>
      </c>
      <c r="AH196" s="42">
        <f t="shared" si="45"/>
        <v>0</v>
      </c>
      <c r="AI196" s="43">
        <v>46113</v>
      </c>
      <c r="AJ196" s="43">
        <v>46477</v>
      </c>
      <c r="AK196" s="44" t="s">
        <v>80</v>
      </c>
      <c r="AL196" s="44" t="s">
        <v>81</v>
      </c>
      <c r="AM196" s="45" t="s">
        <v>82</v>
      </c>
      <c r="AN196" s="46">
        <v>40000000</v>
      </c>
      <c r="AO196" s="46">
        <v>40000000</v>
      </c>
      <c r="AP196" s="46">
        <v>40000000</v>
      </c>
      <c r="AQ196" s="47">
        <v>0</v>
      </c>
      <c r="AR196" s="44" t="s">
        <v>127</v>
      </c>
      <c r="AS196" s="44" t="s">
        <v>80</v>
      </c>
      <c r="AT196" s="54" t="s">
        <v>600</v>
      </c>
      <c r="AU196" s="49" t="s">
        <v>831</v>
      </c>
      <c r="AV196" s="51" t="s">
        <v>832</v>
      </c>
      <c r="AW196" s="51" t="s">
        <v>848</v>
      </c>
      <c r="AZ196" s="50">
        <f t="shared" si="40"/>
        <v>100</v>
      </c>
      <c r="BA196" s="50">
        <f t="shared" si="41"/>
        <v>0</v>
      </c>
      <c r="BB196" s="117">
        <f t="shared" si="42"/>
        <v>0</v>
      </c>
      <c r="BC196" s="50">
        <f t="shared" si="43"/>
        <v>100</v>
      </c>
      <c r="BD196" s="51"/>
      <c r="BE196" s="52">
        <f t="shared" si="34"/>
        <v>30</v>
      </c>
      <c r="BF196" s="52">
        <f t="shared" si="35"/>
        <v>30</v>
      </c>
      <c r="BG196" s="52">
        <f t="shared" si="36"/>
        <v>30</v>
      </c>
      <c r="BH196" s="52">
        <f t="shared" si="37"/>
        <v>10</v>
      </c>
      <c r="BI196" s="52">
        <f t="shared" si="38"/>
        <v>100</v>
      </c>
    </row>
    <row r="197" spans="1:61" x14ac:dyDescent="0.3">
      <c r="A197" s="39">
        <v>193</v>
      </c>
      <c r="B197" s="44" t="s">
        <v>238</v>
      </c>
      <c r="C197" s="44" t="s">
        <v>86</v>
      </c>
      <c r="D197" s="44" t="s">
        <v>87</v>
      </c>
      <c r="E197" s="44" t="s">
        <v>123</v>
      </c>
      <c r="F197" s="44" t="s">
        <v>570</v>
      </c>
      <c r="G197" s="36" t="s">
        <v>154</v>
      </c>
      <c r="H197" s="36" t="s">
        <v>155</v>
      </c>
      <c r="I197" s="36" t="s">
        <v>564</v>
      </c>
      <c r="J197" s="36" t="s">
        <v>564</v>
      </c>
      <c r="K197" s="33" t="s">
        <v>72</v>
      </c>
      <c r="L197" s="33" t="s">
        <v>73</v>
      </c>
      <c r="M197" s="36" t="s">
        <v>74</v>
      </c>
      <c r="N197" s="36" t="s">
        <v>594</v>
      </c>
      <c r="O197" s="36" t="s">
        <v>95</v>
      </c>
      <c r="P197" s="36" t="s">
        <v>602</v>
      </c>
      <c r="Q197" s="36" t="s">
        <v>97</v>
      </c>
      <c r="R197" s="37">
        <v>100</v>
      </c>
      <c r="S197" s="33" t="s">
        <v>126</v>
      </c>
      <c r="T197" s="39">
        <v>1</v>
      </c>
      <c r="U197" s="39"/>
      <c r="V197" s="40">
        <f t="shared" si="48"/>
        <v>0</v>
      </c>
      <c r="W197" s="39">
        <v>2</v>
      </c>
      <c r="X197" s="39"/>
      <c r="Y197" s="40">
        <f t="shared" si="1"/>
        <v>0</v>
      </c>
      <c r="Z197" s="39">
        <v>1</v>
      </c>
      <c r="AA197" s="39"/>
      <c r="AB197" s="40">
        <f t="shared" si="2"/>
        <v>0</v>
      </c>
      <c r="AC197" s="39">
        <v>1</v>
      </c>
      <c r="AD197" s="39"/>
      <c r="AE197" s="40">
        <f t="shared" si="3"/>
        <v>0</v>
      </c>
      <c r="AF197" s="41">
        <f t="shared" si="39"/>
        <v>100</v>
      </c>
      <c r="AG197" s="41">
        <f t="shared" ref="AG197:AG260" si="49">U197+X197+AA197+AD197</f>
        <v>0</v>
      </c>
      <c r="AH197" s="42">
        <f t="shared" si="45"/>
        <v>0</v>
      </c>
      <c r="AI197" s="43">
        <v>46113</v>
      </c>
      <c r="AJ197" s="43">
        <v>46477</v>
      </c>
      <c r="AK197" s="44" t="s">
        <v>80</v>
      </c>
      <c r="AL197" s="44" t="s">
        <v>81</v>
      </c>
      <c r="AM197" s="45" t="s">
        <v>82</v>
      </c>
      <c r="AN197" s="46">
        <v>500000000</v>
      </c>
      <c r="AO197" s="46">
        <v>500000000</v>
      </c>
      <c r="AP197" s="46">
        <v>500000000</v>
      </c>
      <c r="AQ197" s="47">
        <v>0</v>
      </c>
      <c r="AR197" s="44" t="s">
        <v>127</v>
      </c>
      <c r="AS197" s="44" t="s">
        <v>80</v>
      </c>
      <c r="AT197" s="54" t="s">
        <v>600</v>
      </c>
      <c r="AU197" s="49" t="s">
        <v>831</v>
      </c>
      <c r="AV197" s="51" t="s">
        <v>832</v>
      </c>
      <c r="AW197" s="51" t="s">
        <v>848</v>
      </c>
      <c r="AZ197" s="50">
        <f t="shared" si="40"/>
        <v>100</v>
      </c>
      <c r="BA197" s="50">
        <f t="shared" si="41"/>
        <v>0</v>
      </c>
      <c r="BB197" s="117">
        <f t="shared" si="42"/>
        <v>0</v>
      </c>
      <c r="BC197" s="50">
        <f t="shared" si="43"/>
        <v>100</v>
      </c>
      <c r="BD197" s="51"/>
      <c r="BE197" s="52">
        <f t="shared" ref="BE197:BE260" si="50">+BC197*$BF$3</f>
        <v>30</v>
      </c>
      <c r="BF197" s="52">
        <f t="shared" ref="BF197:BF260" si="51">+BC197*$BE$3</f>
        <v>30</v>
      </c>
      <c r="BG197" s="52">
        <f t="shared" ref="BG197:BG260" si="52">+BC197*$BG$3</f>
        <v>30</v>
      </c>
      <c r="BH197" s="52">
        <f t="shared" ref="BH197:BH260" si="53">+BC197*$BH$3</f>
        <v>10</v>
      </c>
      <c r="BI197" s="52">
        <f t="shared" ref="BI197:BI260" si="54">+BE197+BF197+BG197+BH197</f>
        <v>100</v>
      </c>
    </row>
    <row r="198" spans="1:61" x14ac:dyDescent="0.3">
      <c r="A198" s="39">
        <v>194</v>
      </c>
      <c r="B198" s="44" t="s">
        <v>238</v>
      </c>
      <c r="C198" s="44" t="s">
        <v>86</v>
      </c>
      <c r="D198" s="44" t="s">
        <v>87</v>
      </c>
      <c r="E198" s="44" t="s">
        <v>123</v>
      </c>
      <c r="F198" s="44" t="s">
        <v>570</v>
      </c>
      <c r="G198" s="36" t="s">
        <v>154</v>
      </c>
      <c r="H198" s="36" t="s">
        <v>155</v>
      </c>
      <c r="I198" s="36" t="s">
        <v>564</v>
      </c>
      <c r="J198" s="36" t="s">
        <v>564</v>
      </c>
      <c r="K198" s="33" t="s">
        <v>72</v>
      </c>
      <c r="L198" s="33" t="s">
        <v>73</v>
      </c>
      <c r="M198" s="36" t="s">
        <v>74</v>
      </c>
      <c r="N198" s="36" t="s">
        <v>594</v>
      </c>
      <c r="O198" s="36" t="s">
        <v>95</v>
      </c>
      <c r="P198" s="36" t="s">
        <v>603</v>
      </c>
      <c r="Q198" s="36" t="s">
        <v>97</v>
      </c>
      <c r="R198" s="37">
        <v>100</v>
      </c>
      <c r="S198" s="33" t="s">
        <v>126</v>
      </c>
      <c r="T198" s="39">
        <v>1</v>
      </c>
      <c r="U198" s="39"/>
      <c r="V198" s="40">
        <f t="shared" si="48"/>
        <v>0</v>
      </c>
      <c r="W198" s="39">
        <v>1</v>
      </c>
      <c r="X198" s="39"/>
      <c r="Y198" s="40">
        <f t="shared" si="1"/>
        <v>0</v>
      </c>
      <c r="Z198" s="39">
        <v>1</v>
      </c>
      <c r="AA198" s="39"/>
      <c r="AB198" s="40">
        <f t="shared" si="2"/>
        <v>0</v>
      </c>
      <c r="AC198" s="39">
        <v>1</v>
      </c>
      <c r="AD198" s="39"/>
      <c r="AE198" s="40">
        <f t="shared" si="3"/>
        <v>0</v>
      </c>
      <c r="AF198" s="41">
        <f t="shared" ref="AF198:AF261" si="55">R198</f>
        <v>100</v>
      </c>
      <c r="AG198" s="41">
        <f t="shared" si="49"/>
        <v>0</v>
      </c>
      <c r="AH198" s="42">
        <f t="shared" si="45"/>
        <v>0</v>
      </c>
      <c r="AI198" s="43">
        <v>46113</v>
      </c>
      <c r="AJ198" s="43">
        <v>46477</v>
      </c>
      <c r="AK198" s="44" t="s">
        <v>80</v>
      </c>
      <c r="AL198" s="44" t="s">
        <v>81</v>
      </c>
      <c r="AM198" s="45" t="s">
        <v>82</v>
      </c>
      <c r="AN198" s="46">
        <v>1000000000</v>
      </c>
      <c r="AO198" s="46">
        <v>1000000000</v>
      </c>
      <c r="AP198" s="46">
        <v>1000000000</v>
      </c>
      <c r="AQ198" s="47">
        <v>0</v>
      </c>
      <c r="AR198" s="44" t="s">
        <v>127</v>
      </c>
      <c r="AS198" s="44" t="s">
        <v>80</v>
      </c>
      <c r="AT198" s="54" t="s">
        <v>600</v>
      </c>
      <c r="AU198" s="49" t="s">
        <v>831</v>
      </c>
      <c r="AV198" s="51" t="s">
        <v>832</v>
      </c>
      <c r="AW198" s="51" t="s">
        <v>848</v>
      </c>
      <c r="AZ198" s="50">
        <f t="shared" ref="AZ198:AZ261" si="56">+R198</f>
        <v>100</v>
      </c>
      <c r="BA198" s="50">
        <f t="shared" ref="BA198:BA261" si="57">+U198+X198+AA198+AD198</f>
        <v>0</v>
      </c>
      <c r="BB198" s="117">
        <f t="shared" ref="BB198:BB261" si="58">+BA198/AZ198</f>
        <v>0</v>
      </c>
      <c r="BC198" s="50">
        <f t="shared" ref="BC198:BC261" si="59">+AZ198-BA198</f>
        <v>100</v>
      </c>
      <c r="BD198" s="51"/>
      <c r="BE198" s="52">
        <f t="shared" si="50"/>
        <v>30</v>
      </c>
      <c r="BF198" s="52">
        <f t="shared" si="51"/>
        <v>30</v>
      </c>
      <c r="BG198" s="52">
        <f t="shared" si="52"/>
        <v>30</v>
      </c>
      <c r="BH198" s="52">
        <f t="shared" si="53"/>
        <v>10</v>
      </c>
      <c r="BI198" s="52">
        <f t="shared" si="54"/>
        <v>100</v>
      </c>
    </row>
    <row r="199" spans="1:61" x14ac:dyDescent="0.3">
      <c r="A199" s="39">
        <v>195</v>
      </c>
      <c r="B199" s="44" t="s">
        <v>238</v>
      </c>
      <c r="C199" s="44" t="s">
        <v>86</v>
      </c>
      <c r="D199" s="44" t="s">
        <v>87</v>
      </c>
      <c r="E199" s="44" t="s">
        <v>123</v>
      </c>
      <c r="F199" s="44" t="s">
        <v>570</v>
      </c>
      <c r="G199" s="36" t="s">
        <v>154</v>
      </c>
      <c r="H199" s="36" t="s">
        <v>155</v>
      </c>
      <c r="I199" s="36" t="s">
        <v>564</v>
      </c>
      <c r="J199" s="36" t="s">
        <v>564</v>
      </c>
      <c r="K199" s="33" t="s">
        <v>72</v>
      </c>
      <c r="L199" s="33" t="s">
        <v>73</v>
      </c>
      <c r="M199" s="36" t="s">
        <v>74</v>
      </c>
      <c r="N199" s="36" t="s">
        <v>594</v>
      </c>
      <c r="O199" s="36" t="s">
        <v>95</v>
      </c>
      <c r="P199" s="36" t="s">
        <v>604</v>
      </c>
      <c r="Q199" s="36" t="s">
        <v>97</v>
      </c>
      <c r="R199" s="37">
        <v>100</v>
      </c>
      <c r="S199" s="33" t="s">
        <v>126</v>
      </c>
      <c r="T199" s="39">
        <v>25</v>
      </c>
      <c r="U199" s="39"/>
      <c r="V199" s="40">
        <f t="shared" si="48"/>
        <v>0</v>
      </c>
      <c r="W199" s="39">
        <v>25</v>
      </c>
      <c r="X199" s="39"/>
      <c r="Y199" s="40">
        <f t="shared" si="1"/>
        <v>0</v>
      </c>
      <c r="Z199" s="39">
        <v>25</v>
      </c>
      <c r="AA199" s="39"/>
      <c r="AB199" s="40">
        <f t="shared" si="2"/>
        <v>0</v>
      </c>
      <c r="AC199" s="39">
        <v>25</v>
      </c>
      <c r="AD199" s="39"/>
      <c r="AE199" s="40">
        <f t="shared" si="3"/>
        <v>0</v>
      </c>
      <c r="AF199" s="41">
        <f t="shared" si="55"/>
        <v>100</v>
      </c>
      <c r="AG199" s="41">
        <f t="shared" si="49"/>
        <v>0</v>
      </c>
      <c r="AH199" s="42">
        <f t="shared" si="45"/>
        <v>0</v>
      </c>
      <c r="AI199" s="43">
        <v>46113</v>
      </c>
      <c r="AJ199" s="43">
        <v>46477</v>
      </c>
      <c r="AK199" s="44" t="s">
        <v>80</v>
      </c>
      <c r="AL199" s="44" t="s">
        <v>81</v>
      </c>
      <c r="AM199" s="45" t="s">
        <v>82</v>
      </c>
      <c r="AN199" s="46">
        <v>100000000</v>
      </c>
      <c r="AO199" s="46">
        <v>100000000</v>
      </c>
      <c r="AP199" s="46">
        <v>100000000</v>
      </c>
      <c r="AQ199" s="47">
        <v>0</v>
      </c>
      <c r="AR199" s="44" t="s">
        <v>127</v>
      </c>
      <c r="AS199" s="44" t="s">
        <v>80</v>
      </c>
      <c r="AT199" s="54" t="s">
        <v>600</v>
      </c>
      <c r="AU199" s="49" t="s">
        <v>831</v>
      </c>
      <c r="AV199" s="51" t="s">
        <v>832</v>
      </c>
      <c r="AW199" s="51" t="s">
        <v>848</v>
      </c>
      <c r="AZ199" s="50">
        <f t="shared" si="56"/>
        <v>100</v>
      </c>
      <c r="BA199" s="50">
        <f t="shared" si="57"/>
        <v>0</v>
      </c>
      <c r="BB199" s="117">
        <f t="shared" si="58"/>
        <v>0</v>
      </c>
      <c r="BC199" s="50">
        <f t="shared" si="59"/>
        <v>100</v>
      </c>
      <c r="BD199" s="51"/>
      <c r="BE199" s="52">
        <f t="shared" si="50"/>
        <v>30</v>
      </c>
      <c r="BF199" s="52">
        <f t="shared" si="51"/>
        <v>30</v>
      </c>
      <c r="BG199" s="52">
        <f t="shared" si="52"/>
        <v>30</v>
      </c>
      <c r="BH199" s="52">
        <f t="shared" si="53"/>
        <v>10</v>
      </c>
      <c r="BI199" s="52">
        <f t="shared" si="54"/>
        <v>100</v>
      </c>
    </row>
    <row r="200" spans="1:61" x14ac:dyDescent="0.3">
      <c r="A200" s="39">
        <v>196</v>
      </c>
      <c r="B200" s="44" t="s">
        <v>238</v>
      </c>
      <c r="C200" s="44" t="s">
        <v>86</v>
      </c>
      <c r="D200" s="44" t="s">
        <v>87</v>
      </c>
      <c r="E200" s="44" t="s">
        <v>123</v>
      </c>
      <c r="F200" s="44" t="s">
        <v>570</v>
      </c>
      <c r="G200" s="36" t="s">
        <v>154</v>
      </c>
      <c r="H200" s="36" t="s">
        <v>155</v>
      </c>
      <c r="I200" s="36" t="s">
        <v>564</v>
      </c>
      <c r="J200" s="36" t="s">
        <v>564</v>
      </c>
      <c r="K200" s="33" t="s">
        <v>72</v>
      </c>
      <c r="L200" s="33" t="s">
        <v>73</v>
      </c>
      <c r="M200" s="36" t="s">
        <v>74</v>
      </c>
      <c r="N200" s="36" t="s">
        <v>594</v>
      </c>
      <c r="O200" s="36" t="s">
        <v>95</v>
      </c>
      <c r="P200" s="36" t="s">
        <v>605</v>
      </c>
      <c r="Q200" s="36" t="s">
        <v>97</v>
      </c>
      <c r="R200" s="37">
        <v>1</v>
      </c>
      <c r="S200" s="33" t="s">
        <v>79</v>
      </c>
      <c r="T200" s="39">
        <v>25</v>
      </c>
      <c r="U200" s="39"/>
      <c r="V200" s="40">
        <f t="shared" si="48"/>
        <v>0</v>
      </c>
      <c r="W200" s="39">
        <v>25</v>
      </c>
      <c r="X200" s="39"/>
      <c r="Y200" s="40">
        <f t="shared" si="1"/>
        <v>0</v>
      </c>
      <c r="Z200" s="39">
        <v>25</v>
      </c>
      <c r="AA200" s="39"/>
      <c r="AB200" s="40">
        <f t="shared" si="2"/>
        <v>0</v>
      </c>
      <c r="AC200" s="39">
        <v>25</v>
      </c>
      <c r="AD200" s="39"/>
      <c r="AE200" s="40">
        <f t="shared" si="3"/>
        <v>0</v>
      </c>
      <c r="AF200" s="41">
        <f t="shared" si="55"/>
        <v>1</v>
      </c>
      <c r="AG200" s="41">
        <f t="shared" si="49"/>
        <v>0</v>
      </c>
      <c r="AH200" s="42">
        <f t="shared" si="45"/>
        <v>0</v>
      </c>
      <c r="AI200" s="43">
        <v>46113</v>
      </c>
      <c r="AJ200" s="43">
        <v>46477</v>
      </c>
      <c r="AK200" s="44" t="s">
        <v>80</v>
      </c>
      <c r="AL200" s="44" t="s">
        <v>81</v>
      </c>
      <c r="AM200" s="45" t="s">
        <v>82</v>
      </c>
      <c r="AN200" s="46">
        <v>200000000</v>
      </c>
      <c r="AO200" s="46">
        <v>200000000</v>
      </c>
      <c r="AP200" s="46">
        <v>200000000</v>
      </c>
      <c r="AQ200" s="47">
        <v>0</v>
      </c>
      <c r="AR200" s="44" t="s">
        <v>127</v>
      </c>
      <c r="AS200" s="44" t="s">
        <v>80</v>
      </c>
      <c r="AT200" s="54" t="s">
        <v>600</v>
      </c>
      <c r="AU200" s="49" t="s">
        <v>831</v>
      </c>
      <c r="AV200" s="51" t="s">
        <v>832</v>
      </c>
      <c r="AW200" s="51" t="s">
        <v>848</v>
      </c>
      <c r="AZ200" s="50">
        <f t="shared" si="56"/>
        <v>1</v>
      </c>
      <c r="BA200" s="50">
        <f t="shared" si="57"/>
        <v>0</v>
      </c>
      <c r="BB200" s="117">
        <f t="shared" si="58"/>
        <v>0</v>
      </c>
      <c r="BC200" s="50">
        <f t="shared" si="59"/>
        <v>1</v>
      </c>
      <c r="BD200" s="51"/>
      <c r="BE200" s="52">
        <f t="shared" si="50"/>
        <v>0.3</v>
      </c>
      <c r="BF200" s="52">
        <f t="shared" si="51"/>
        <v>0.3</v>
      </c>
      <c r="BG200" s="52">
        <f t="shared" si="52"/>
        <v>0.3</v>
      </c>
      <c r="BH200" s="52">
        <f t="shared" si="53"/>
        <v>0.1</v>
      </c>
      <c r="BI200" s="52">
        <f t="shared" si="54"/>
        <v>0.99999999999999989</v>
      </c>
    </row>
    <row r="201" spans="1:61" x14ac:dyDescent="0.3">
      <c r="A201" s="39">
        <v>197</v>
      </c>
      <c r="B201" s="44" t="s">
        <v>238</v>
      </c>
      <c r="C201" s="44" t="s">
        <v>86</v>
      </c>
      <c r="D201" s="44" t="s">
        <v>87</v>
      </c>
      <c r="E201" s="44" t="s">
        <v>123</v>
      </c>
      <c r="F201" s="44" t="s">
        <v>570</v>
      </c>
      <c r="G201" s="36" t="s">
        <v>154</v>
      </c>
      <c r="H201" s="36" t="s">
        <v>155</v>
      </c>
      <c r="I201" s="36" t="s">
        <v>564</v>
      </c>
      <c r="J201" s="36" t="s">
        <v>564</v>
      </c>
      <c r="K201" s="33" t="s">
        <v>72</v>
      </c>
      <c r="L201" s="33" t="s">
        <v>73</v>
      </c>
      <c r="M201" s="36" t="s">
        <v>74</v>
      </c>
      <c r="N201" s="36" t="s">
        <v>594</v>
      </c>
      <c r="O201" s="36" t="s">
        <v>95</v>
      </c>
      <c r="P201" s="36" t="s">
        <v>606</v>
      </c>
      <c r="Q201" s="36" t="s">
        <v>97</v>
      </c>
      <c r="R201" s="37">
        <v>100</v>
      </c>
      <c r="S201" s="33" t="s">
        <v>126</v>
      </c>
      <c r="T201" s="39">
        <v>25</v>
      </c>
      <c r="U201" s="39"/>
      <c r="V201" s="40">
        <f t="shared" si="48"/>
        <v>0</v>
      </c>
      <c r="W201" s="39">
        <v>25</v>
      </c>
      <c r="X201" s="39"/>
      <c r="Y201" s="40">
        <f t="shared" si="1"/>
        <v>0</v>
      </c>
      <c r="Z201" s="39">
        <v>25</v>
      </c>
      <c r="AA201" s="39"/>
      <c r="AB201" s="40">
        <f t="shared" si="2"/>
        <v>0</v>
      </c>
      <c r="AC201" s="39">
        <v>25</v>
      </c>
      <c r="AD201" s="39"/>
      <c r="AE201" s="40">
        <f t="shared" si="3"/>
        <v>0</v>
      </c>
      <c r="AF201" s="41">
        <f t="shared" si="55"/>
        <v>100</v>
      </c>
      <c r="AG201" s="41">
        <f t="shared" si="49"/>
        <v>0</v>
      </c>
      <c r="AH201" s="42">
        <f t="shared" si="45"/>
        <v>0</v>
      </c>
      <c r="AI201" s="43">
        <v>46113</v>
      </c>
      <c r="AJ201" s="43">
        <v>46477</v>
      </c>
      <c r="AK201" s="44" t="s">
        <v>80</v>
      </c>
      <c r="AL201" s="44" t="s">
        <v>81</v>
      </c>
      <c r="AM201" s="45" t="s">
        <v>82</v>
      </c>
      <c r="AN201" s="46">
        <v>10000000</v>
      </c>
      <c r="AO201" s="46">
        <v>10000000</v>
      </c>
      <c r="AP201" s="46">
        <v>10000000</v>
      </c>
      <c r="AQ201" s="47">
        <v>0</v>
      </c>
      <c r="AR201" s="44" t="s">
        <v>127</v>
      </c>
      <c r="AS201" s="44" t="s">
        <v>80</v>
      </c>
      <c r="AT201" s="54" t="s">
        <v>600</v>
      </c>
      <c r="AU201" s="49" t="s">
        <v>831</v>
      </c>
      <c r="AV201" s="51" t="s">
        <v>832</v>
      </c>
      <c r="AW201" s="51" t="s">
        <v>848</v>
      </c>
      <c r="AZ201" s="50">
        <f t="shared" si="56"/>
        <v>100</v>
      </c>
      <c r="BA201" s="50">
        <f t="shared" si="57"/>
        <v>0</v>
      </c>
      <c r="BB201" s="117">
        <f t="shared" si="58"/>
        <v>0</v>
      </c>
      <c r="BC201" s="50">
        <f t="shared" si="59"/>
        <v>100</v>
      </c>
      <c r="BD201" s="51"/>
      <c r="BE201" s="52">
        <f t="shared" si="50"/>
        <v>30</v>
      </c>
      <c r="BF201" s="52">
        <f t="shared" si="51"/>
        <v>30</v>
      </c>
      <c r="BG201" s="52">
        <f t="shared" si="52"/>
        <v>30</v>
      </c>
      <c r="BH201" s="52">
        <f t="shared" si="53"/>
        <v>10</v>
      </c>
      <c r="BI201" s="52">
        <f t="shared" si="54"/>
        <v>100</v>
      </c>
    </row>
    <row r="202" spans="1:61" x14ac:dyDescent="0.3">
      <c r="A202" s="39">
        <v>198</v>
      </c>
      <c r="B202" s="44" t="s">
        <v>238</v>
      </c>
      <c r="C202" s="44" t="s">
        <v>86</v>
      </c>
      <c r="D202" s="44" t="s">
        <v>87</v>
      </c>
      <c r="E202" s="44" t="s">
        <v>123</v>
      </c>
      <c r="F202" s="44" t="s">
        <v>570</v>
      </c>
      <c r="G202" s="36" t="s">
        <v>154</v>
      </c>
      <c r="H202" s="36" t="s">
        <v>155</v>
      </c>
      <c r="I202" s="36" t="s">
        <v>564</v>
      </c>
      <c r="J202" s="36" t="s">
        <v>564</v>
      </c>
      <c r="K202" s="33" t="s">
        <v>72</v>
      </c>
      <c r="L202" s="33" t="s">
        <v>73</v>
      </c>
      <c r="M202" s="36" t="s">
        <v>74</v>
      </c>
      <c r="N202" s="36" t="s">
        <v>594</v>
      </c>
      <c r="O202" s="36" t="s">
        <v>95</v>
      </c>
      <c r="P202" s="36" t="s">
        <v>607</v>
      </c>
      <c r="Q202" s="36" t="s">
        <v>97</v>
      </c>
      <c r="R202" s="37">
        <v>100</v>
      </c>
      <c r="S202" s="33" t="s">
        <v>126</v>
      </c>
      <c r="T202" s="39">
        <v>25</v>
      </c>
      <c r="U202" s="39"/>
      <c r="V202" s="40">
        <f t="shared" si="48"/>
        <v>0</v>
      </c>
      <c r="W202" s="39">
        <v>25</v>
      </c>
      <c r="X202" s="39"/>
      <c r="Y202" s="40">
        <f t="shared" si="1"/>
        <v>0</v>
      </c>
      <c r="Z202" s="39">
        <v>25</v>
      </c>
      <c r="AA202" s="39"/>
      <c r="AB202" s="40">
        <f t="shared" si="2"/>
        <v>0</v>
      </c>
      <c r="AC202" s="39">
        <v>25</v>
      </c>
      <c r="AD202" s="39"/>
      <c r="AE202" s="40">
        <f t="shared" si="3"/>
        <v>0</v>
      </c>
      <c r="AF202" s="41">
        <f t="shared" si="55"/>
        <v>100</v>
      </c>
      <c r="AG202" s="41">
        <f t="shared" si="49"/>
        <v>0</v>
      </c>
      <c r="AH202" s="42">
        <f t="shared" si="45"/>
        <v>0</v>
      </c>
      <c r="AI202" s="43">
        <v>46113</v>
      </c>
      <c r="AJ202" s="43">
        <v>46477</v>
      </c>
      <c r="AK202" s="44" t="s">
        <v>80</v>
      </c>
      <c r="AL202" s="44" t="s">
        <v>81</v>
      </c>
      <c r="AM202" s="45" t="s">
        <v>82</v>
      </c>
      <c r="AN202" s="46">
        <v>10000000</v>
      </c>
      <c r="AO202" s="46">
        <v>10000000</v>
      </c>
      <c r="AP202" s="46">
        <v>10000000</v>
      </c>
      <c r="AQ202" s="47">
        <v>0</v>
      </c>
      <c r="AR202" s="44" t="s">
        <v>127</v>
      </c>
      <c r="AS202" s="44" t="s">
        <v>80</v>
      </c>
      <c r="AT202" s="54" t="s">
        <v>600</v>
      </c>
      <c r="AU202" s="49" t="s">
        <v>831</v>
      </c>
      <c r="AV202" s="51" t="s">
        <v>832</v>
      </c>
      <c r="AW202" s="51" t="s">
        <v>848</v>
      </c>
      <c r="AZ202" s="50">
        <f t="shared" si="56"/>
        <v>100</v>
      </c>
      <c r="BA202" s="50">
        <f t="shared" si="57"/>
        <v>0</v>
      </c>
      <c r="BB202" s="117">
        <f t="shared" si="58"/>
        <v>0</v>
      </c>
      <c r="BC202" s="50">
        <f t="shared" si="59"/>
        <v>100</v>
      </c>
      <c r="BD202" s="51"/>
      <c r="BE202" s="52">
        <f t="shared" si="50"/>
        <v>30</v>
      </c>
      <c r="BF202" s="52">
        <f t="shared" si="51"/>
        <v>30</v>
      </c>
      <c r="BG202" s="52">
        <f t="shared" si="52"/>
        <v>30</v>
      </c>
      <c r="BH202" s="52">
        <f t="shared" si="53"/>
        <v>10</v>
      </c>
      <c r="BI202" s="52">
        <f t="shared" si="54"/>
        <v>100</v>
      </c>
    </row>
    <row r="203" spans="1:61" x14ac:dyDescent="0.3">
      <c r="A203" s="39">
        <v>199</v>
      </c>
      <c r="B203" s="44" t="s">
        <v>238</v>
      </c>
      <c r="C203" s="44" t="s">
        <v>86</v>
      </c>
      <c r="D203" s="44" t="s">
        <v>87</v>
      </c>
      <c r="E203" s="44" t="s">
        <v>123</v>
      </c>
      <c r="F203" s="44" t="s">
        <v>570</v>
      </c>
      <c r="G203" s="36" t="s">
        <v>154</v>
      </c>
      <c r="H203" s="36" t="s">
        <v>155</v>
      </c>
      <c r="I203" s="36" t="s">
        <v>92</v>
      </c>
      <c r="J203" s="36" t="s">
        <v>92</v>
      </c>
      <c r="K203" s="33" t="s">
        <v>72</v>
      </c>
      <c r="L203" s="33" t="s">
        <v>73</v>
      </c>
      <c r="M203" s="36" t="s">
        <v>74</v>
      </c>
      <c r="N203" s="36" t="s">
        <v>594</v>
      </c>
      <c r="O203" s="36" t="s">
        <v>95</v>
      </c>
      <c r="P203" s="36" t="s">
        <v>608</v>
      </c>
      <c r="Q203" s="36" t="s">
        <v>97</v>
      </c>
      <c r="R203" s="37">
        <v>100</v>
      </c>
      <c r="S203" s="33" t="s">
        <v>126</v>
      </c>
      <c r="T203" s="39">
        <v>25</v>
      </c>
      <c r="U203" s="39"/>
      <c r="V203" s="40">
        <f t="shared" si="48"/>
        <v>0</v>
      </c>
      <c r="W203" s="39">
        <v>25</v>
      </c>
      <c r="X203" s="39"/>
      <c r="Y203" s="40">
        <f t="shared" si="1"/>
        <v>0</v>
      </c>
      <c r="Z203" s="39">
        <v>25</v>
      </c>
      <c r="AA203" s="39"/>
      <c r="AB203" s="40">
        <f t="shared" si="2"/>
        <v>0</v>
      </c>
      <c r="AC203" s="39">
        <v>25</v>
      </c>
      <c r="AD203" s="39"/>
      <c r="AE203" s="40">
        <f t="shared" si="3"/>
        <v>0</v>
      </c>
      <c r="AF203" s="41">
        <f t="shared" si="55"/>
        <v>100</v>
      </c>
      <c r="AG203" s="41">
        <f t="shared" si="49"/>
        <v>0</v>
      </c>
      <c r="AH203" s="42">
        <f t="shared" si="45"/>
        <v>0</v>
      </c>
      <c r="AI203" s="43">
        <v>46113</v>
      </c>
      <c r="AJ203" s="43">
        <v>46477</v>
      </c>
      <c r="AK203" s="44" t="s">
        <v>80</v>
      </c>
      <c r="AL203" s="44" t="s">
        <v>81</v>
      </c>
      <c r="AM203" s="45" t="s">
        <v>82</v>
      </c>
      <c r="AN203" s="46">
        <v>15000000</v>
      </c>
      <c r="AO203" s="46">
        <v>15000000</v>
      </c>
      <c r="AP203" s="46">
        <v>15000000</v>
      </c>
      <c r="AQ203" s="47">
        <v>0</v>
      </c>
      <c r="AR203" s="44" t="s">
        <v>127</v>
      </c>
      <c r="AS203" s="44" t="s">
        <v>80</v>
      </c>
      <c r="AT203" s="54" t="s">
        <v>600</v>
      </c>
      <c r="AU203" s="49" t="s">
        <v>831</v>
      </c>
      <c r="AV203" s="51" t="s">
        <v>832</v>
      </c>
      <c r="AW203" s="51" t="s">
        <v>848</v>
      </c>
      <c r="AZ203" s="50">
        <f t="shared" si="56"/>
        <v>100</v>
      </c>
      <c r="BA203" s="50">
        <f t="shared" si="57"/>
        <v>0</v>
      </c>
      <c r="BB203" s="117">
        <f t="shared" si="58"/>
        <v>0</v>
      </c>
      <c r="BC203" s="50">
        <f t="shared" si="59"/>
        <v>100</v>
      </c>
      <c r="BD203" s="51"/>
      <c r="BE203" s="52">
        <f t="shared" si="50"/>
        <v>30</v>
      </c>
      <c r="BF203" s="52">
        <f t="shared" si="51"/>
        <v>30</v>
      </c>
      <c r="BG203" s="52">
        <f t="shared" si="52"/>
        <v>30</v>
      </c>
      <c r="BH203" s="52">
        <f t="shared" si="53"/>
        <v>10</v>
      </c>
      <c r="BI203" s="52">
        <f t="shared" si="54"/>
        <v>100</v>
      </c>
    </row>
    <row r="204" spans="1:61" x14ac:dyDescent="0.3">
      <c r="A204" s="39">
        <v>200</v>
      </c>
      <c r="B204" s="44" t="s">
        <v>238</v>
      </c>
      <c r="C204" s="44" t="s">
        <v>86</v>
      </c>
      <c r="D204" s="44" t="s">
        <v>87</v>
      </c>
      <c r="E204" s="44" t="s">
        <v>123</v>
      </c>
      <c r="F204" s="44" t="s">
        <v>570</v>
      </c>
      <c r="G204" s="36" t="s">
        <v>154</v>
      </c>
      <c r="H204" s="36" t="s">
        <v>155</v>
      </c>
      <c r="I204" s="36" t="s">
        <v>70</v>
      </c>
      <c r="J204" s="36" t="s">
        <v>70</v>
      </c>
      <c r="K204" s="33" t="s">
        <v>72</v>
      </c>
      <c r="L204" s="33" t="s">
        <v>73</v>
      </c>
      <c r="M204" s="36" t="s">
        <v>74</v>
      </c>
      <c r="N204" s="36" t="s">
        <v>594</v>
      </c>
      <c r="O204" s="36" t="s">
        <v>95</v>
      </c>
      <c r="P204" s="36" t="s">
        <v>609</v>
      </c>
      <c r="Q204" s="36" t="s">
        <v>97</v>
      </c>
      <c r="R204" s="37">
        <v>100</v>
      </c>
      <c r="S204" s="33" t="s">
        <v>126</v>
      </c>
      <c r="T204" s="39"/>
      <c r="U204" s="39"/>
      <c r="V204" s="40" t="e">
        <f t="shared" si="48"/>
        <v>#DIV/0!</v>
      </c>
      <c r="W204" s="39"/>
      <c r="X204" s="39"/>
      <c r="Y204" s="40" t="e">
        <f t="shared" si="1"/>
        <v>#DIV/0!</v>
      </c>
      <c r="Z204" s="39"/>
      <c r="AA204" s="39"/>
      <c r="AB204" s="40" t="e">
        <f t="shared" si="2"/>
        <v>#DIV/0!</v>
      </c>
      <c r="AC204" s="39">
        <v>1</v>
      </c>
      <c r="AD204" s="39"/>
      <c r="AE204" s="40">
        <f t="shared" si="3"/>
        <v>0</v>
      </c>
      <c r="AF204" s="41">
        <f t="shared" si="55"/>
        <v>100</v>
      </c>
      <c r="AG204" s="41">
        <f t="shared" si="49"/>
        <v>0</v>
      </c>
      <c r="AH204" s="42">
        <f t="shared" si="45"/>
        <v>0</v>
      </c>
      <c r="AI204" s="43">
        <v>46113</v>
      </c>
      <c r="AJ204" s="43">
        <v>46477</v>
      </c>
      <c r="AK204" s="44" t="s">
        <v>80</v>
      </c>
      <c r="AL204" s="44" t="s">
        <v>81</v>
      </c>
      <c r="AM204" s="45" t="s">
        <v>82</v>
      </c>
      <c r="AN204" s="46">
        <v>70000000</v>
      </c>
      <c r="AO204" s="46">
        <v>70000000</v>
      </c>
      <c r="AP204" s="46">
        <v>70000000</v>
      </c>
      <c r="AQ204" s="47">
        <v>0</v>
      </c>
      <c r="AR204" s="44" t="s">
        <v>127</v>
      </c>
      <c r="AS204" s="44" t="s">
        <v>80</v>
      </c>
      <c r="AT204" s="54" t="s">
        <v>600</v>
      </c>
      <c r="AU204" s="49" t="s">
        <v>831</v>
      </c>
      <c r="AV204" s="51" t="s">
        <v>832</v>
      </c>
      <c r="AW204" s="51" t="s">
        <v>848</v>
      </c>
      <c r="AZ204" s="50">
        <f t="shared" si="56"/>
        <v>100</v>
      </c>
      <c r="BA204" s="50">
        <f t="shared" si="57"/>
        <v>0</v>
      </c>
      <c r="BB204" s="117">
        <f t="shared" si="58"/>
        <v>0</v>
      </c>
      <c r="BC204" s="50">
        <f t="shared" si="59"/>
        <v>100</v>
      </c>
      <c r="BD204" s="51"/>
      <c r="BE204" s="52">
        <f t="shared" si="50"/>
        <v>30</v>
      </c>
      <c r="BF204" s="52">
        <f t="shared" si="51"/>
        <v>30</v>
      </c>
      <c r="BG204" s="52">
        <f t="shared" si="52"/>
        <v>30</v>
      </c>
      <c r="BH204" s="52">
        <f t="shared" si="53"/>
        <v>10</v>
      </c>
      <c r="BI204" s="52">
        <f t="shared" si="54"/>
        <v>100</v>
      </c>
    </row>
    <row r="205" spans="1:61" x14ac:dyDescent="0.3">
      <c r="A205" s="39">
        <v>201</v>
      </c>
      <c r="B205" s="44" t="s">
        <v>238</v>
      </c>
      <c r="C205" s="44" t="s">
        <v>86</v>
      </c>
      <c r="D205" s="44" t="s">
        <v>87</v>
      </c>
      <c r="E205" s="44" t="s">
        <v>123</v>
      </c>
      <c r="F205" s="44" t="s">
        <v>570</v>
      </c>
      <c r="G205" s="36" t="s">
        <v>154</v>
      </c>
      <c r="H205" s="36" t="s">
        <v>155</v>
      </c>
      <c r="I205" s="36" t="s">
        <v>564</v>
      </c>
      <c r="J205" s="36" t="s">
        <v>564</v>
      </c>
      <c r="K205" s="33" t="s">
        <v>72</v>
      </c>
      <c r="L205" s="33" t="s">
        <v>73</v>
      </c>
      <c r="M205" s="36" t="s">
        <v>74</v>
      </c>
      <c r="N205" s="36" t="s">
        <v>594</v>
      </c>
      <c r="O205" s="36" t="s">
        <v>95</v>
      </c>
      <c r="P205" s="36" t="s">
        <v>610</v>
      </c>
      <c r="Q205" s="36" t="s">
        <v>97</v>
      </c>
      <c r="R205" s="37">
        <v>1</v>
      </c>
      <c r="S205" s="33" t="s">
        <v>79</v>
      </c>
      <c r="T205" s="39">
        <v>25</v>
      </c>
      <c r="U205" s="39"/>
      <c r="V205" s="40">
        <f t="shared" si="48"/>
        <v>0</v>
      </c>
      <c r="W205" s="39">
        <v>25</v>
      </c>
      <c r="X205" s="39"/>
      <c r="Y205" s="40">
        <f t="shared" si="1"/>
        <v>0</v>
      </c>
      <c r="Z205" s="39">
        <v>25</v>
      </c>
      <c r="AA205" s="39"/>
      <c r="AB205" s="40">
        <f t="shared" si="2"/>
        <v>0</v>
      </c>
      <c r="AC205" s="39">
        <v>25</v>
      </c>
      <c r="AD205" s="39"/>
      <c r="AE205" s="40">
        <f t="shared" si="3"/>
        <v>0</v>
      </c>
      <c r="AF205" s="41">
        <f t="shared" si="55"/>
        <v>1</v>
      </c>
      <c r="AG205" s="41">
        <f t="shared" si="49"/>
        <v>0</v>
      </c>
      <c r="AH205" s="42">
        <f t="shared" si="45"/>
        <v>0</v>
      </c>
      <c r="AI205" s="43">
        <v>46113</v>
      </c>
      <c r="AJ205" s="43">
        <v>46477</v>
      </c>
      <c r="AK205" s="44" t="s">
        <v>80</v>
      </c>
      <c r="AL205" s="44" t="s">
        <v>81</v>
      </c>
      <c r="AM205" s="45" t="s">
        <v>82</v>
      </c>
      <c r="AN205" s="46">
        <v>50000000</v>
      </c>
      <c r="AO205" s="46">
        <v>50000000</v>
      </c>
      <c r="AP205" s="46">
        <v>50000000</v>
      </c>
      <c r="AQ205" s="47">
        <v>0</v>
      </c>
      <c r="AR205" s="44" t="s">
        <v>127</v>
      </c>
      <c r="AS205" s="44" t="s">
        <v>80</v>
      </c>
      <c r="AT205" s="54" t="s">
        <v>600</v>
      </c>
      <c r="AU205" s="49" t="s">
        <v>831</v>
      </c>
      <c r="AV205" s="51" t="s">
        <v>832</v>
      </c>
      <c r="AW205" s="51" t="s">
        <v>848</v>
      </c>
      <c r="AZ205" s="50">
        <f t="shared" si="56"/>
        <v>1</v>
      </c>
      <c r="BA205" s="50">
        <f t="shared" si="57"/>
        <v>0</v>
      </c>
      <c r="BB205" s="117">
        <f t="shared" si="58"/>
        <v>0</v>
      </c>
      <c r="BC205" s="50">
        <f t="shared" si="59"/>
        <v>1</v>
      </c>
      <c r="BD205" s="51"/>
      <c r="BE205" s="52">
        <f t="shared" si="50"/>
        <v>0.3</v>
      </c>
      <c r="BF205" s="52">
        <f t="shared" si="51"/>
        <v>0.3</v>
      </c>
      <c r="BG205" s="52">
        <f t="shared" si="52"/>
        <v>0.3</v>
      </c>
      <c r="BH205" s="52">
        <f t="shared" si="53"/>
        <v>0.1</v>
      </c>
      <c r="BI205" s="52">
        <f t="shared" si="54"/>
        <v>0.99999999999999989</v>
      </c>
    </row>
    <row r="206" spans="1:61" x14ac:dyDescent="0.3">
      <c r="A206" s="39">
        <v>202</v>
      </c>
      <c r="B206" s="44" t="s">
        <v>238</v>
      </c>
      <c r="C206" s="44" t="s">
        <v>86</v>
      </c>
      <c r="D206" s="44" t="s">
        <v>87</v>
      </c>
      <c r="E206" s="44" t="s">
        <v>123</v>
      </c>
      <c r="F206" s="44" t="s">
        <v>570</v>
      </c>
      <c r="G206" s="36" t="s">
        <v>154</v>
      </c>
      <c r="H206" s="36" t="s">
        <v>155</v>
      </c>
      <c r="I206" s="36" t="s">
        <v>611</v>
      </c>
      <c r="J206" s="36" t="s">
        <v>611</v>
      </c>
      <c r="K206" s="33" t="s">
        <v>72</v>
      </c>
      <c r="L206" s="33" t="s">
        <v>73</v>
      </c>
      <c r="M206" s="36" t="s">
        <v>74</v>
      </c>
      <c r="N206" s="36" t="s">
        <v>594</v>
      </c>
      <c r="O206" s="36" t="s">
        <v>95</v>
      </c>
      <c r="P206" s="36" t="s">
        <v>612</v>
      </c>
      <c r="Q206" s="36" t="s">
        <v>97</v>
      </c>
      <c r="R206" s="37">
        <v>100</v>
      </c>
      <c r="S206" s="33" t="s">
        <v>126</v>
      </c>
      <c r="T206" s="39">
        <v>25</v>
      </c>
      <c r="U206" s="39"/>
      <c r="V206" s="40">
        <f t="shared" si="48"/>
        <v>0</v>
      </c>
      <c r="W206" s="39">
        <v>25</v>
      </c>
      <c r="X206" s="39"/>
      <c r="Y206" s="40">
        <f t="shared" si="1"/>
        <v>0</v>
      </c>
      <c r="Z206" s="39">
        <v>25</v>
      </c>
      <c r="AA206" s="39"/>
      <c r="AB206" s="40">
        <f t="shared" si="2"/>
        <v>0</v>
      </c>
      <c r="AC206" s="39">
        <v>25</v>
      </c>
      <c r="AD206" s="39"/>
      <c r="AE206" s="40">
        <f t="shared" si="3"/>
        <v>0</v>
      </c>
      <c r="AF206" s="41">
        <f t="shared" si="55"/>
        <v>100</v>
      </c>
      <c r="AG206" s="41">
        <f t="shared" si="49"/>
        <v>0</v>
      </c>
      <c r="AH206" s="42">
        <f t="shared" si="45"/>
        <v>0</v>
      </c>
      <c r="AI206" s="43">
        <v>46113</v>
      </c>
      <c r="AJ206" s="43">
        <v>46477</v>
      </c>
      <c r="AK206" s="44" t="s">
        <v>80</v>
      </c>
      <c r="AL206" s="44" t="s">
        <v>81</v>
      </c>
      <c r="AM206" s="45" t="s">
        <v>82</v>
      </c>
      <c r="AN206" s="46"/>
      <c r="AO206" s="46"/>
      <c r="AP206" s="46"/>
      <c r="AQ206" s="47"/>
      <c r="AR206" s="44" t="s">
        <v>127</v>
      </c>
      <c r="AS206" s="44" t="s">
        <v>80</v>
      </c>
      <c r="AT206" s="54" t="s">
        <v>600</v>
      </c>
      <c r="AU206" s="49" t="s">
        <v>831</v>
      </c>
      <c r="AV206" s="51" t="s">
        <v>832</v>
      </c>
      <c r="AW206" s="51" t="s">
        <v>848</v>
      </c>
      <c r="AZ206" s="50">
        <f t="shared" si="56"/>
        <v>100</v>
      </c>
      <c r="BA206" s="50">
        <f t="shared" si="57"/>
        <v>0</v>
      </c>
      <c r="BB206" s="117">
        <f t="shared" si="58"/>
        <v>0</v>
      </c>
      <c r="BC206" s="50">
        <f t="shared" si="59"/>
        <v>100</v>
      </c>
      <c r="BD206" s="51"/>
      <c r="BE206" s="52">
        <f t="shared" si="50"/>
        <v>30</v>
      </c>
      <c r="BF206" s="52">
        <f t="shared" si="51"/>
        <v>30</v>
      </c>
      <c r="BG206" s="52">
        <f t="shared" si="52"/>
        <v>30</v>
      </c>
      <c r="BH206" s="52">
        <f t="shared" si="53"/>
        <v>10</v>
      </c>
      <c r="BI206" s="52">
        <f t="shared" si="54"/>
        <v>100</v>
      </c>
    </row>
    <row r="207" spans="1:61" x14ac:dyDescent="0.3">
      <c r="A207" s="39">
        <v>203</v>
      </c>
      <c r="B207" s="44" t="s">
        <v>238</v>
      </c>
      <c r="C207" s="44" t="s">
        <v>86</v>
      </c>
      <c r="D207" s="44" t="s">
        <v>87</v>
      </c>
      <c r="E207" s="44" t="s">
        <v>123</v>
      </c>
      <c r="F207" s="44" t="s">
        <v>570</v>
      </c>
      <c r="G207" s="36" t="s">
        <v>154</v>
      </c>
      <c r="H207" s="36" t="s">
        <v>155</v>
      </c>
      <c r="I207" s="36" t="s">
        <v>92</v>
      </c>
      <c r="J207" s="36" t="s">
        <v>92</v>
      </c>
      <c r="K207" s="33" t="s">
        <v>72</v>
      </c>
      <c r="L207" s="33" t="s">
        <v>73</v>
      </c>
      <c r="M207" s="36" t="s">
        <v>74</v>
      </c>
      <c r="N207" s="36" t="s">
        <v>594</v>
      </c>
      <c r="O207" s="36" t="s">
        <v>95</v>
      </c>
      <c r="P207" s="36" t="s">
        <v>613</v>
      </c>
      <c r="Q207" s="36" t="s">
        <v>97</v>
      </c>
      <c r="R207" s="37">
        <v>120</v>
      </c>
      <c r="S207" s="33" t="s">
        <v>79</v>
      </c>
      <c r="T207" s="39">
        <v>25</v>
      </c>
      <c r="U207" s="39"/>
      <c r="V207" s="40">
        <f t="shared" si="48"/>
        <v>0</v>
      </c>
      <c r="W207" s="39">
        <v>25</v>
      </c>
      <c r="X207" s="39"/>
      <c r="Y207" s="40">
        <f t="shared" si="1"/>
        <v>0</v>
      </c>
      <c r="Z207" s="39">
        <v>25</v>
      </c>
      <c r="AA207" s="39"/>
      <c r="AB207" s="40">
        <f t="shared" si="2"/>
        <v>0</v>
      </c>
      <c r="AC207" s="39">
        <v>25</v>
      </c>
      <c r="AD207" s="39"/>
      <c r="AE207" s="40">
        <f t="shared" si="3"/>
        <v>0</v>
      </c>
      <c r="AF207" s="41">
        <f t="shared" si="55"/>
        <v>120</v>
      </c>
      <c r="AG207" s="41">
        <f t="shared" si="49"/>
        <v>0</v>
      </c>
      <c r="AH207" s="42">
        <f t="shared" si="45"/>
        <v>0</v>
      </c>
      <c r="AI207" s="43">
        <v>46113</v>
      </c>
      <c r="AJ207" s="43">
        <v>46477</v>
      </c>
      <c r="AK207" s="44" t="s">
        <v>80</v>
      </c>
      <c r="AL207" s="44" t="s">
        <v>81</v>
      </c>
      <c r="AM207" s="45" t="s">
        <v>82</v>
      </c>
      <c r="AN207" s="46"/>
      <c r="AO207" s="46"/>
      <c r="AP207" s="46"/>
      <c r="AQ207" s="47"/>
      <c r="AR207" s="44" t="s">
        <v>127</v>
      </c>
      <c r="AS207" s="44" t="s">
        <v>80</v>
      </c>
      <c r="AT207" s="54" t="s">
        <v>600</v>
      </c>
      <c r="AU207" s="49" t="s">
        <v>831</v>
      </c>
      <c r="AV207" s="51" t="s">
        <v>832</v>
      </c>
      <c r="AW207" s="51" t="s">
        <v>848</v>
      </c>
      <c r="AZ207" s="50">
        <f t="shared" si="56"/>
        <v>120</v>
      </c>
      <c r="BA207" s="50">
        <f t="shared" si="57"/>
        <v>0</v>
      </c>
      <c r="BB207" s="117">
        <f t="shared" si="58"/>
        <v>0</v>
      </c>
      <c r="BC207" s="50">
        <f t="shared" si="59"/>
        <v>120</v>
      </c>
      <c r="BD207" s="51"/>
      <c r="BE207" s="52">
        <f t="shared" si="50"/>
        <v>36</v>
      </c>
      <c r="BF207" s="52">
        <f t="shared" si="51"/>
        <v>36</v>
      </c>
      <c r="BG207" s="52">
        <f t="shared" si="52"/>
        <v>36</v>
      </c>
      <c r="BH207" s="52">
        <f t="shared" si="53"/>
        <v>12</v>
      </c>
      <c r="BI207" s="52">
        <f t="shared" si="54"/>
        <v>120</v>
      </c>
    </row>
    <row r="208" spans="1:61" x14ac:dyDescent="0.3">
      <c r="A208" s="39">
        <v>204</v>
      </c>
      <c r="B208" s="44" t="s">
        <v>238</v>
      </c>
      <c r="C208" s="44" t="s">
        <v>86</v>
      </c>
      <c r="D208" s="44" t="s">
        <v>87</v>
      </c>
      <c r="E208" s="44" t="s">
        <v>123</v>
      </c>
      <c r="F208" s="44" t="s">
        <v>570</v>
      </c>
      <c r="G208" s="36" t="s">
        <v>154</v>
      </c>
      <c r="H208" s="36" t="s">
        <v>155</v>
      </c>
      <c r="I208" s="36" t="s">
        <v>141</v>
      </c>
      <c r="J208" s="36" t="s">
        <v>141</v>
      </c>
      <c r="K208" s="33" t="s">
        <v>72</v>
      </c>
      <c r="L208" s="33" t="s">
        <v>73</v>
      </c>
      <c r="M208" s="36" t="s">
        <v>74</v>
      </c>
      <c r="N208" s="36" t="s">
        <v>594</v>
      </c>
      <c r="O208" s="36" t="s">
        <v>95</v>
      </c>
      <c r="P208" s="36" t="s">
        <v>614</v>
      </c>
      <c r="Q208" s="36" t="s">
        <v>97</v>
      </c>
      <c r="R208" s="37">
        <v>12</v>
      </c>
      <c r="S208" s="33" t="s">
        <v>79</v>
      </c>
      <c r="T208" s="39">
        <v>25</v>
      </c>
      <c r="U208" s="39"/>
      <c r="V208" s="40">
        <f t="shared" si="48"/>
        <v>0</v>
      </c>
      <c r="W208" s="39">
        <v>25</v>
      </c>
      <c r="X208" s="39"/>
      <c r="Y208" s="40">
        <f t="shared" si="1"/>
        <v>0</v>
      </c>
      <c r="Z208" s="39">
        <v>25</v>
      </c>
      <c r="AA208" s="39"/>
      <c r="AB208" s="40">
        <f t="shared" si="2"/>
        <v>0</v>
      </c>
      <c r="AC208" s="39">
        <v>25</v>
      </c>
      <c r="AD208" s="39"/>
      <c r="AE208" s="40">
        <f t="shared" si="3"/>
        <v>0</v>
      </c>
      <c r="AF208" s="41">
        <f t="shared" si="55"/>
        <v>12</v>
      </c>
      <c r="AG208" s="41">
        <f t="shared" si="49"/>
        <v>0</v>
      </c>
      <c r="AH208" s="42">
        <f t="shared" si="45"/>
        <v>0</v>
      </c>
      <c r="AI208" s="43">
        <v>46113</v>
      </c>
      <c r="AJ208" s="43">
        <v>46477</v>
      </c>
      <c r="AK208" s="44" t="s">
        <v>80</v>
      </c>
      <c r="AL208" s="44" t="s">
        <v>81</v>
      </c>
      <c r="AM208" s="45" t="s">
        <v>82</v>
      </c>
      <c r="AN208" s="46"/>
      <c r="AO208" s="46"/>
      <c r="AP208" s="46"/>
      <c r="AQ208" s="47"/>
      <c r="AR208" s="44" t="s">
        <v>127</v>
      </c>
      <c r="AS208" s="44" t="s">
        <v>80</v>
      </c>
      <c r="AT208" s="54" t="s">
        <v>600</v>
      </c>
      <c r="AU208" s="49" t="s">
        <v>831</v>
      </c>
      <c r="AV208" s="51" t="s">
        <v>832</v>
      </c>
      <c r="AW208" s="51" t="s">
        <v>848</v>
      </c>
      <c r="AZ208" s="50">
        <f t="shared" si="56"/>
        <v>12</v>
      </c>
      <c r="BA208" s="50">
        <f t="shared" si="57"/>
        <v>0</v>
      </c>
      <c r="BB208" s="117">
        <f t="shared" si="58"/>
        <v>0</v>
      </c>
      <c r="BC208" s="50">
        <f t="shared" si="59"/>
        <v>12</v>
      </c>
      <c r="BD208" s="51"/>
      <c r="BE208" s="52">
        <f t="shared" si="50"/>
        <v>3.5999999999999996</v>
      </c>
      <c r="BF208" s="52">
        <f t="shared" si="51"/>
        <v>3.5999999999999996</v>
      </c>
      <c r="BG208" s="52">
        <f t="shared" si="52"/>
        <v>3.5999999999999996</v>
      </c>
      <c r="BH208" s="52">
        <f t="shared" si="53"/>
        <v>1.2000000000000002</v>
      </c>
      <c r="BI208" s="52">
        <f t="shared" si="54"/>
        <v>12</v>
      </c>
    </row>
    <row r="209" spans="1:61" x14ac:dyDescent="0.3">
      <c r="A209" s="39">
        <v>205</v>
      </c>
      <c r="B209" s="44" t="s">
        <v>238</v>
      </c>
      <c r="C209" s="44" t="s">
        <v>86</v>
      </c>
      <c r="D209" s="44" t="s">
        <v>87</v>
      </c>
      <c r="E209" s="44" t="s">
        <v>123</v>
      </c>
      <c r="F209" s="44" t="s">
        <v>570</v>
      </c>
      <c r="G209" s="36" t="s">
        <v>154</v>
      </c>
      <c r="H209" s="36" t="s">
        <v>155</v>
      </c>
      <c r="I209" s="36" t="s">
        <v>593</v>
      </c>
      <c r="J209" s="36" t="s">
        <v>593</v>
      </c>
      <c r="K209" s="33" t="s">
        <v>72</v>
      </c>
      <c r="L209" s="33" t="s">
        <v>73</v>
      </c>
      <c r="M209" s="36" t="s">
        <v>74</v>
      </c>
      <c r="N209" s="36" t="s">
        <v>594</v>
      </c>
      <c r="O209" s="36" t="s">
        <v>95</v>
      </c>
      <c r="P209" s="36" t="s">
        <v>615</v>
      </c>
      <c r="Q209" s="36" t="s">
        <v>97</v>
      </c>
      <c r="R209" s="37">
        <v>4</v>
      </c>
      <c r="S209" s="33" t="s">
        <v>79</v>
      </c>
      <c r="T209" s="39"/>
      <c r="U209" s="39"/>
      <c r="V209" s="40" t="e">
        <f t="shared" si="48"/>
        <v>#DIV/0!</v>
      </c>
      <c r="W209" s="39"/>
      <c r="X209" s="39"/>
      <c r="Y209" s="40" t="e">
        <f t="shared" si="1"/>
        <v>#DIV/0!</v>
      </c>
      <c r="Z209" s="39">
        <v>1</v>
      </c>
      <c r="AA209" s="39"/>
      <c r="AB209" s="40">
        <f t="shared" si="2"/>
        <v>0</v>
      </c>
      <c r="AC209" s="39"/>
      <c r="AD209" s="39"/>
      <c r="AE209" s="40" t="e">
        <f t="shared" si="3"/>
        <v>#DIV/0!</v>
      </c>
      <c r="AF209" s="41">
        <f t="shared" si="55"/>
        <v>4</v>
      </c>
      <c r="AG209" s="41">
        <f t="shared" si="49"/>
        <v>0</v>
      </c>
      <c r="AH209" s="42">
        <f t="shared" si="45"/>
        <v>0</v>
      </c>
      <c r="AI209" s="43">
        <v>46113</v>
      </c>
      <c r="AJ209" s="43">
        <v>46477</v>
      </c>
      <c r="AK209" s="44" t="s">
        <v>80</v>
      </c>
      <c r="AL209" s="44" t="s">
        <v>81</v>
      </c>
      <c r="AM209" s="45" t="s">
        <v>82</v>
      </c>
      <c r="AN209" s="46"/>
      <c r="AO209" s="46"/>
      <c r="AP209" s="46"/>
      <c r="AQ209" s="47"/>
      <c r="AR209" s="44" t="s">
        <v>127</v>
      </c>
      <c r="AS209" s="44" t="s">
        <v>80</v>
      </c>
      <c r="AT209" s="54" t="s">
        <v>600</v>
      </c>
      <c r="AU209" s="49" t="s">
        <v>831</v>
      </c>
      <c r="AV209" s="51" t="s">
        <v>832</v>
      </c>
      <c r="AW209" s="51" t="s">
        <v>848</v>
      </c>
      <c r="AZ209" s="50">
        <f t="shared" si="56"/>
        <v>4</v>
      </c>
      <c r="BA209" s="50">
        <f t="shared" si="57"/>
        <v>0</v>
      </c>
      <c r="BB209" s="117">
        <f t="shared" si="58"/>
        <v>0</v>
      </c>
      <c r="BC209" s="50">
        <f t="shared" si="59"/>
        <v>4</v>
      </c>
      <c r="BD209" s="51"/>
      <c r="BE209" s="52">
        <f t="shared" si="50"/>
        <v>1.2</v>
      </c>
      <c r="BF209" s="52">
        <f t="shared" si="51"/>
        <v>1.2</v>
      </c>
      <c r="BG209" s="52">
        <f t="shared" si="52"/>
        <v>1.2</v>
      </c>
      <c r="BH209" s="52">
        <f t="shared" si="53"/>
        <v>0.4</v>
      </c>
      <c r="BI209" s="52">
        <f t="shared" si="54"/>
        <v>3.9999999999999996</v>
      </c>
    </row>
    <row r="210" spans="1:61" x14ac:dyDescent="0.3">
      <c r="A210" s="39">
        <v>206</v>
      </c>
      <c r="B210" s="44" t="s">
        <v>238</v>
      </c>
      <c r="C210" s="44" t="s">
        <v>86</v>
      </c>
      <c r="D210" s="44" t="s">
        <v>87</v>
      </c>
      <c r="E210" s="44" t="s">
        <v>123</v>
      </c>
      <c r="F210" s="44" t="s">
        <v>570</v>
      </c>
      <c r="G210" s="36" t="s">
        <v>154</v>
      </c>
      <c r="H210" s="36" t="s">
        <v>155</v>
      </c>
      <c r="I210" s="36" t="s">
        <v>70</v>
      </c>
      <c r="J210" s="36" t="s">
        <v>70</v>
      </c>
      <c r="K210" s="33" t="s">
        <v>72</v>
      </c>
      <c r="L210" s="33" t="s">
        <v>73</v>
      </c>
      <c r="M210" s="36" t="s">
        <v>74</v>
      </c>
      <c r="N210" s="36" t="s">
        <v>594</v>
      </c>
      <c r="O210" s="36" t="s">
        <v>95</v>
      </c>
      <c r="P210" s="36" t="s">
        <v>616</v>
      </c>
      <c r="Q210" s="36" t="s">
        <v>97</v>
      </c>
      <c r="R210" s="37">
        <v>400</v>
      </c>
      <c r="S210" s="33" t="s">
        <v>126</v>
      </c>
      <c r="T210" s="39">
        <v>25</v>
      </c>
      <c r="U210" s="39"/>
      <c r="V210" s="40">
        <f t="shared" si="48"/>
        <v>0</v>
      </c>
      <c r="W210" s="39">
        <v>25</v>
      </c>
      <c r="X210" s="39"/>
      <c r="Y210" s="40">
        <f t="shared" si="1"/>
        <v>0</v>
      </c>
      <c r="Z210" s="39">
        <v>25</v>
      </c>
      <c r="AA210" s="39"/>
      <c r="AB210" s="40">
        <f t="shared" si="2"/>
        <v>0</v>
      </c>
      <c r="AC210" s="39">
        <v>25</v>
      </c>
      <c r="AD210" s="39"/>
      <c r="AE210" s="40">
        <f t="shared" si="3"/>
        <v>0</v>
      </c>
      <c r="AF210" s="41">
        <f t="shared" si="55"/>
        <v>400</v>
      </c>
      <c r="AG210" s="41">
        <f t="shared" si="49"/>
        <v>0</v>
      </c>
      <c r="AH210" s="42">
        <f t="shared" si="45"/>
        <v>0</v>
      </c>
      <c r="AI210" s="43">
        <v>46054</v>
      </c>
      <c r="AJ210" s="43">
        <v>46477</v>
      </c>
      <c r="AK210" s="44" t="s">
        <v>80</v>
      </c>
      <c r="AL210" s="44" t="s">
        <v>81</v>
      </c>
      <c r="AM210" s="45" t="s">
        <v>82</v>
      </c>
      <c r="AN210" s="46"/>
      <c r="AO210" s="46"/>
      <c r="AP210" s="46"/>
      <c r="AQ210" s="47"/>
      <c r="AR210" s="44" t="s">
        <v>127</v>
      </c>
      <c r="AS210" s="44" t="s">
        <v>80</v>
      </c>
      <c r="AT210" s="54" t="s">
        <v>600</v>
      </c>
      <c r="AU210" s="49" t="s">
        <v>831</v>
      </c>
      <c r="AV210" s="51" t="s">
        <v>832</v>
      </c>
      <c r="AW210" s="51" t="s">
        <v>848</v>
      </c>
      <c r="AZ210" s="50">
        <f t="shared" si="56"/>
        <v>400</v>
      </c>
      <c r="BA210" s="50">
        <f t="shared" si="57"/>
        <v>0</v>
      </c>
      <c r="BB210" s="117">
        <f t="shared" si="58"/>
        <v>0</v>
      </c>
      <c r="BC210" s="50">
        <f t="shared" si="59"/>
        <v>400</v>
      </c>
      <c r="BD210" s="51"/>
      <c r="BE210" s="52">
        <f t="shared" si="50"/>
        <v>120</v>
      </c>
      <c r="BF210" s="52">
        <f t="shared" si="51"/>
        <v>120</v>
      </c>
      <c r="BG210" s="52">
        <f t="shared" si="52"/>
        <v>120</v>
      </c>
      <c r="BH210" s="52">
        <f t="shared" si="53"/>
        <v>40</v>
      </c>
      <c r="BI210" s="52">
        <f t="shared" si="54"/>
        <v>400</v>
      </c>
    </row>
    <row r="211" spans="1:61" x14ac:dyDescent="0.3">
      <c r="A211" s="39">
        <v>207</v>
      </c>
      <c r="B211" s="44" t="s">
        <v>238</v>
      </c>
      <c r="C211" s="44" t="s">
        <v>86</v>
      </c>
      <c r="D211" s="44" t="s">
        <v>87</v>
      </c>
      <c r="E211" s="44" t="s">
        <v>123</v>
      </c>
      <c r="F211" s="44" t="s">
        <v>570</v>
      </c>
      <c r="G211" s="36" t="s">
        <v>154</v>
      </c>
      <c r="H211" s="36" t="s">
        <v>155</v>
      </c>
      <c r="I211" s="36" t="s">
        <v>617</v>
      </c>
      <c r="J211" s="36" t="s">
        <v>617</v>
      </c>
      <c r="K211" s="33" t="s">
        <v>72</v>
      </c>
      <c r="L211" s="33" t="s">
        <v>73</v>
      </c>
      <c r="M211" s="36" t="s">
        <v>74</v>
      </c>
      <c r="N211" s="36" t="s">
        <v>594</v>
      </c>
      <c r="O211" s="36" t="s">
        <v>95</v>
      </c>
      <c r="P211" s="36" t="s">
        <v>618</v>
      </c>
      <c r="Q211" s="36" t="s">
        <v>97</v>
      </c>
      <c r="R211" s="37">
        <v>9</v>
      </c>
      <c r="S211" s="33" t="s">
        <v>79</v>
      </c>
      <c r="T211" s="39">
        <v>30</v>
      </c>
      <c r="U211" s="39"/>
      <c r="V211" s="40">
        <f t="shared" si="48"/>
        <v>0</v>
      </c>
      <c r="W211" s="39">
        <v>30</v>
      </c>
      <c r="X211" s="39"/>
      <c r="Y211" s="40">
        <f t="shared" si="1"/>
        <v>0</v>
      </c>
      <c r="Z211" s="39">
        <v>30</v>
      </c>
      <c r="AA211" s="39"/>
      <c r="AB211" s="40">
        <f t="shared" si="2"/>
        <v>0</v>
      </c>
      <c r="AC211" s="39">
        <v>30</v>
      </c>
      <c r="AD211" s="39"/>
      <c r="AE211" s="40">
        <f t="shared" si="3"/>
        <v>0</v>
      </c>
      <c r="AF211" s="41">
        <f t="shared" si="55"/>
        <v>9</v>
      </c>
      <c r="AG211" s="41">
        <f t="shared" si="49"/>
        <v>0</v>
      </c>
      <c r="AH211" s="42">
        <f t="shared" si="45"/>
        <v>0</v>
      </c>
      <c r="AI211" s="43">
        <v>46054</v>
      </c>
      <c r="AJ211" s="43">
        <v>46477</v>
      </c>
      <c r="AK211" s="44" t="s">
        <v>80</v>
      </c>
      <c r="AL211" s="44" t="s">
        <v>81</v>
      </c>
      <c r="AM211" s="45" t="s">
        <v>82</v>
      </c>
      <c r="AN211" s="46"/>
      <c r="AO211" s="46"/>
      <c r="AP211" s="46"/>
      <c r="AQ211" s="47"/>
      <c r="AR211" s="44" t="s">
        <v>127</v>
      </c>
      <c r="AS211" s="44" t="s">
        <v>80</v>
      </c>
      <c r="AT211" s="54" t="s">
        <v>600</v>
      </c>
      <c r="AU211" s="49" t="s">
        <v>831</v>
      </c>
      <c r="AV211" s="51" t="s">
        <v>832</v>
      </c>
      <c r="AW211" s="51" t="s">
        <v>848</v>
      </c>
      <c r="AZ211" s="50">
        <f t="shared" si="56"/>
        <v>9</v>
      </c>
      <c r="BA211" s="50">
        <f t="shared" si="57"/>
        <v>0</v>
      </c>
      <c r="BB211" s="117">
        <f t="shared" si="58"/>
        <v>0</v>
      </c>
      <c r="BC211" s="50">
        <f t="shared" si="59"/>
        <v>9</v>
      </c>
      <c r="BD211" s="51"/>
      <c r="BE211" s="52">
        <f t="shared" si="50"/>
        <v>2.6999999999999997</v>
      </c>
      <c r="BF211" s="52">
        <f t="shared" si="51"/>
        <v>2.6999999999999997</v>
      </c>
      <c r="BG211" s="52">
        <f t="shared" si="52"/>
        <v>2.6999999999999997</v>
      </c>
      <c r="BH211" s="52">
        <f t="shared" si="53"/>
        <v>0.9</v>
      </c>
      <c r="BI211" s="52">
        <f t="shared" si="54"/>
        <v>9</v>
      </c>
    </row>
    <row r="212" spans="1:61" x14ac:dyDescent="0.3">
      <c r="A212" s="39">
        <v>208</v>
      </c>
      <c r="B212" s="44" t="s">
        <v>238</v>
      </c>
      <c r="C212" s="44" t="s">
        <v>408</v>
      </c>
      <c r="D212" s="44" t="s">
        <v>409</v>
      </c>
      <c r="E212" s="44" t="s">
        <v>88</v>
      </c>
      <c r="F212" s="44" t="s">
        <v>410</v>
      </c>
      <c r="G212" s="36" t="s">
        <v>154</v>
      </c>
      <c r="H212" s="36" t="s">
        <v>155</v>
      </c>
      <c r="I212" s="36" t="s">
        <v>70</v>
      </c>
      <c r="J212" s="36" t="s">
        <v>70</v>
      </c>
      <c r="K212" s="33" t="s">
        <v>72</v>
      </c>
      <c r="L212" s="33" t="s">
        <v>73</v>
      </c>
      <c r="M212" s="36" t="s">
        <v>74</v>
      </c>
      <c r="N212" s="36" t="s">
        <v>401</v>
      </c>
      <c r="O212" s="36" t="s">
        <v>95</v>
      </c>
      <c r="P212" s="36" t="s">
        <v>619</v>
      </c>
      <c r="Q212" s="36" t="s">
        <v>97</v>
      </c>
      <c r="R212" s="37">
        <v>100</v>
      </c>
      <c r="S212" s="33" t="s">
        <v>126</v>
      </c>
      <c r="T212" s="39">
        <v>3</v>
      </c>
      <c r="U212" s="39"/>
      <c r="V212" s="40">
        <f t="shared" si="48"/>
        <v>0</v>
      </c>
      <c r="W212" s="39">
        <v>3</v>
      </c>
      <c r="X212" s="39"/>
      <c r="Y212" s="40">
        <f t="shared" si="1"/>
        <v>0</v>
      </c>
      <c r="Z212" s="39">
        <v>3</v>
      </c>
      <c r="AA212" s="39"/>
      <c r="AB212" s="40">
        <f t="shared" si="2"/>
        <v>0</v>
      </c>
      <c r="AC212" s="39">
        <v>3</v>
      </c>
      <c r="AD212" s="39"/>
      <c r="AE212" s="40">
        <f t="shared" si="3"/>
        <v>0</v>
      </c>
      <c r="AF212" s="41">
        <f t="shared" si="55"/>
        <v>100</v>
      </c>
      <c r="AG212" s="41">
        <f t="shared" si="49"/>
        <v>0</v>
      </c>
      <c r="AH212" s="42">
        <f t="shared" si="45"/>
        <v>0</v>
      </c>
      <c r="AI212" s="43">
        <v>46054</v>
      </c>
      <c r="AJ212" s="43">
        <v>46477</v>
      </c>
      <c r="AK212" s="44" t="s">
        <v>80</v>
      </c>
      <c r="AL212" s="44" t="s">
        <v>81</v>
      </c>
      <c r="AM212" s="45" t="s">
        <v>82</v>
      </c>
      <c r="AN212" s="46">
        <v>6174978000</v>
      </c>
      <c r="AO212" s="46">
        <v>6174978000</v>
      </c>
      <c r="AP212" s="46">
        <v>6174978000</v>
      </c>
      <c r="AQ212" s="47">
        <v>0</v>
      </c>
      <c r="AR212" s="44" t="s">
        <v>127</v>
      </c>
      <c r="AS212" s="44" t="s">
        <v>80</v>
      </c>
      <c r="AT212" s="54" t="s">
        <v>600</v>
      </c>
      <c r="AU212" s="49" t="s">
        <v>831</v>
      </c>
      <c r="AV212" s="51" t="s">
        <v>832</v>
      </c>
      <c r="AW212" s="51" t="s">
        <v>848</v>
      </c>
      <c r="AZ212" s="50">
        <f t="shared" si="56"/>
        <v>100</v>
      </c>
      <c r="BA212" s="50">
        <f t="shared" si="57"/>
        <v>0</v>
      </c>
      <c r="BB212" s="117">
        <f t="shared" si="58"/>
        <v>0</v>
      </c>
      <c r="BC212" s="50">
        <f t="shared" si="59"/>
        <v>100</v>
      </c>
      <c r="BD212" s="51"/>
      <c r="BE212" s="52">
        <f t="shared" si="50"/>
        <v>30</v>
      </c>
      <c r="BF212" s="52">
        <f t="shared" si="51"/>
        <v>30</v>
      </c>
      <c r="BG212" s="52">
        <f t="shared" si="52"/>
        <v>30</v>
      </c>
      <c r="BH212" s="52">
        <f t="shared" si="53"/>
        <v>10</v>
      </c>
      <c r="BI212" s="52">
        <f t="shared" si="54"/>
        <v>100</v>
      </c>
    </row>
    <row r="213" spans="1:61" x14ac:dyDescent="0.3">
      <c r="A213" s="39">
        <v>209</v>
      </c>
      <c r="B213" s="44" t="s">
        <v>238</v>
      </c>
      <c r="C213" s="44" t="s">
        <v>101</v>
      </c>
      <c r="D213" s="44" t="s">
        <v>87</v>
      </c>
      <c r="E213" s="44" t="s">
        <v>180</v>
      </c>
      <c r="F213" s="44" t="s">
        <v>410</v>
      </c>
      <c r="G213" s="36" t="s">
        <v>154</v>
      </c>
      <c r="H213" s="36" t="s">
        <v>155</v>
      </c>
      <c r="I213" s="36" t="s">
        <v>70</v>
      </c>
      <c r="J213" s="36" t="s">
        <v>70</v>
      </c>
      <c r="K213" s="33" t="s">
        <v>72</v>
      </c>
      <c r="L213" s="33" t="s">
        <v>73</v>
      </c>
      <c r="M213" s="36" t="s">
        <v>74</v>
      </c>
      <c r="N213" s="36" t="s">
        <v>401</v>
      </c>
      <c r="O213" s="36" t="s">
        <v>95</v>
      </c>
      <c r="P213" s="36" t="s">
        <v>620</v>
      </c>
      <c r="Q213" s="36" t="s">
        <v>97</v>
      </c>
      <c r="R213" s="37">
        <v>2</v>
      </c>
      <c r="S213" s="33" t="s">
        <v>79</v>
      </c>
      <c r="T213" s="39">
        <v>0</v>
      </c>
      <c r="U213" s="39"/>
      <c r="V213" s="40" t="e">
        <f t="shared" si="48"/>
        <v>#DIV/0!</v>
      </c>
      <c r="W213" s="39">
        <v>1</v>
      </c>
      <c r="X213" s="39"/>
      <c r="Y213" s="40">
        <f t="shared" si="1"/>
        <v>0</v>
      </c>
      <c r="Z213" s="39">
        <v>2</v>
      </c>
      <c r="AA213" s="39"/>
      <c r="AB213" s="40">
        <f t="shared" si="2"/>
        <v>0</v>
      </c>
      <c r="AC213" s="39">
        <v>1</v>
      </c>
      <c r="AD213" s="39"/>
      <c r="AE213" s="40">
        <f t="shared" si="3"/>
        <v>0</v>
      </c>
      <c r="AF213" s="41">
        <f t="shared" si="55"/>
        <v>2</v>
      </c>
      <c r="AG213" s="41">
        <f t="shared" si="49"/>
        <v>0</v>
      </c>
      <c r="AH213" s="42">
        <f t="shared" si="45"/>
        <v>0</v>
      </c>
      <c r="AI213" s="43">
        <v>46054</v>
      </c>
      <c r="AJ213" s="43">
        <v>46477</v>
      </c>
      <c r="AK213" s="44" t="s">
        <v>80</v>
      </c>
      <c r="AL213" s="44" t="s">
        <v>81</v>
      </c>
      <c r="AM213" s="45" t="s">
        <v>82</v>
      </c>
      <c r="AN213" s="46">
        <v>100000000</v>
      </c>
      <c r="AO213" s="46">
        <v>100000000</v>
      </c>
      <c r="AP213" s="46">
        <v>100000000</v>
      </c>
      <c r="AQ213" s="47">
        <v>0</v>
      </c>
      <c r="AR213" s="44" t="s">
        <v>127</v>
      </c>
      <c r="AS213" s="44" t="s">
        <v>80</v>
      </c>
      <c r="AT213" s="54" t="s">
        <v>600</v>
      </c>
      <c r="AU213" s="49" t="s">
        <v>831</v>
      </c>
      <c r="AV213" s="51" t="s">
        <v>832</v>
      </c>
      <c r="AW213" s="51" t="s">
        <v>848</v>
      </c>
      <c r="AZ213" s="50">
        <f t="shared" si="56"/>
        <v>2</v>
      </c>
      <c r="BA213" s="50">
        <f t="shared" si="57"/>
        <v>0</v>
      </c>
      <c r="BB213" s="117">
        <f t="shared" si="58"/>
        <v>0</v>
      </c>
      <c r="BC213" s="50">
        <f t="shared" si="59"/>
        <v>2</v>
      </c>
      <c r="BD213" s="51"/>
      <c r="BE213" s="52">
        <f t="shared" si="50"/>
        <v>0.6</v>
      </c>
      <c r="BF213" s="52">
        <f t="shared" si="51"/>
        <v>0.6</v>
      </c>
      <c r="BG213" s="52">
        <f t="shared" si="52"/>
        <v>0.6</v>
      </c>
      <c r="BH213" s="52">
        <f t="shared" si="53"/>
        <v>0.2</v>
      </c>
      <c r="BI213" s="52">
        <f t="shared" si="54"/>
        <v>1.9999999999999998</v>
      </c>
    </row>
    <row r="214" spans="1:61" x14ac:dyDescent="0.3">
      <c r="A214" s="39">
        <v>210</v>
      </c>
      <c r="B214" s="44" t="s">
        <v>238</v>
      </c>
      <c r="C214" s="44" t="s">
        <v>101</v>
      </c>
      <c r="D214" s="44" t="s">
        <v>87</v>
      </c>
      <c r="E214" s="44" t="s">
        <v>180</v>
      </c>
      <c r="F214" s="44" t="s">
        <v>410</v>
      </c>
      <c r="G214" s="36" t="s">
        <v>154</v>
      </c>
      <c r="H214" s="36" t="s">
        <v>155</v>
      </c>
      <c r="I214" s="36" t="s">
        <v>70</v>
      </c>
      <c r="J214" s="36" t="s">
        <v>70</v>
      </c>
      <c r="K214" s="33" t="s">
        <v>72</v>
      </c>
      <c r="L214" s="33" t="s">
        <v>73</v>
      </c>
      <c r="M214" s="36" t="s">
        <v>74</v>
      </c>
      <c r="N214" s="36" t="s">
        <v>401</v>
      </c>
      <c r="O214" s="36" t="s">
        <v>95</v>
      </c>
      <c r="P214" s="36" t="s">
        <v>621</v>
      </c>
      <c r="Q214" s="36" t="s">
        <v>97</v>
      </c>
      <c r="R214" s="37">
        <v>2</v>
      </c>
      <c r="S214" s="33" t="s">
        <v>79</v>
      </c>
      <c r="T214" s="39">
        <v>100</v>
      </c>
      <c r="U214" s="39"/>
      <c r="V214" s="40">
        <f t="shared" si="48"/>
        <v>0</v>
      </c>
      <c r="W214" s="39">
        <v>100</v>
      </c>
      <c r="X214" s="39"/>
      <c r="Y214" s="40">
        <f t="shared" si="1"/>
        <v>0</v>
      </c>
      <c r="Z214" s="39">
        <v>100</v>
      </c>
      <c r="AA214" s="39"/>
      <c r="AB214" s="40">
        <f t="shared" si="2"/>
        <v>0</v>
      </c>
      <c r="AC214" s="39">
        <v>100</v>
      </c>
      <c r="AD214" s="39"/>
      <c r="AE214" s="40">
        <f t="shared" si="3"/>
        <v>0</v>
      </c>
      <c r="AF214" s="41">
        <f t="shared" si="55"/>
        <v>2</v>
      </c>
      <c r="AG214" s="41">
        <f t="shared" si="49"/>
        <v>0</v>
      </c>
      <c r="AH214" s="42">
        <f t="shared" si="45"/>
        <v>0</v>
      </c>
      <c r="AI214" s="43">
        <v>46054</v>
      </c>
      <c r="AJ214" s="43">
        <v>46477</v>
      </c>
      <c r="AK214" s="44" t="s">
        <v>80</v>
      </c>
      <c r="AL214" s="44" t="s">
        <v>81</v>
      </c>
      <c r="AM214" s="45" t="s">
        <v>82</v>
      </c>
      <c r="AN214" s="46">
        <v>100000000</v>
      </c>
      <c r="AO214" s="46">
        <v>100000000</v>
      </c>
      <c r="AP214" s="46">
        <v>100000000</v>
      </c>
      <c r="AQ214" s="47">
        <v>0</v>
      </c>
      <c r="AR214" s="44" t="s">
        <v>127</v>
      </c>
      <c r="AS214" s="44" t="s">
        <v>80</v>
      </c>
      <c r="AT214" s="54" t="s">
        <v>600</v>
      </c>
      <c r="AU214" s="49" t="s">
        <v>831</v>
      </c>
      <c r="AV214" s="51" t="s">
        <v>832</v>
      </c>
      <c r="AW214" s="51" t="s">
        <v>848</v>
      </c>
      <c r="AZ214" s="50">
        <f t="shared" si="56"/>
        <v>2</v>
      </c>
      <c r="BA214" s="50">
        <f t="shared" si="57"/>
        <v>0</v>
      </c>
      <c r="BB214" s="117">
        <f t="shared" si="58"/>
        <v>0</v>
      </c>
      <c r="BC214" s="50">
        <f t="shared" si="59"/>
        <v>2</v>
      </c>
      <c r="BD214" s="51"/>
      <c r="BE214" s="52">
        <f t="shared" si="50"/>
        <v>0.6</v>
      </c>
      <c r="BF214" s="52">
        <f t="shared" si="51"/>
        <v>0.6</v>
      </c>
      <c r="BG214" s="52">
        <f t="shared" si="52"/>
        <v>0.6</v>
      </c>
      <c r="BH214" s="52">
        <f t="shared" si="53"/>
        <v>0.2</v>
      </c>
      <c r="BI214" s="52">
        <f t="shared" si="54"/>
        <v>1.9999999999999998</v>
      </c>
    </row>
    <row r="215" spans="1:61" x14ac:dyDescent="0.3">
      <c r="A215" s="39">
        <v>211</v>
      </c>
      <c r="B215" s="44" t="s">
        <v>238</v>
      </c>
      <c r="C215" s="44" t="s">
        <v>101</v>
      </c>
      <c r="D215" s="44" t="s">
        <v>87</v>
      </c>
      <c r="E215" s="44" t="s">
        <v>180</v>
      </c>
      <c r="F215" s="44" t="s">
        <v>410</v>
      </c>
      <c r="G215" s="36" t="s">
        <v>154</v>
      </c>
      <c r="H215" s="36" t="s">
        <v>155</v>
      </c>
      <c r="I215" s="36" t="s">
        <v>70</v>
      </c>
      <c r="J215" s="36" t="s">
        <v>70</v>
      </c>
      <c r="K215" s="33" t="s">
        <v>72</v>
      </c>
      <c r="L215" s="33" t="s">
        <v>73</v>
      </c>
      <c r="M215" s="36" t="s">
        <v>74</v>
      </c>
      <c r="N215" s="36" t="s">
        <v>401</v>
      </c>
      <c r="O215" s="36" t="s">
        <v>95</v>
      </c>
      <c r="P215" s="36" t="s">
        <v>622</v>
      </c>
      <c r="Q215" s="36" t="s">
        <v>97</v>
      </c>
      <c r="R215" s="37">
        <v>4</v>
      </c>
      <c r="S215" s="33" t="s">
        <v>79</v>
      </c>
      <c r="T215" s="39">
        <v>0</v>
      </c>
      <c r="U215" s="39"/>
      <c r="V215" s="40" t="e">
        <f t="shared" si="48"/>
        <v>#DIV/0!</v>
      </c>
      <c r="W215" s="39">
        <v>3</v>
      </c>
      <c r="X215" s="39"/>
      <c r="Y215" s="40">
        <f t="shared" si="1"/>
        <v>0</v>
      </c>
      <c r="Z215" s="39">
        <v>3</v>
      </c>
      <c r="AA215" s="39"/>
      <c r="AB215" s="40">
        <f t="shared" si="2"/>
        <v>0</v>
      </c>
      <c r="AC215" s="39">
        <v>3</v>
      </c>
      <c r="AD215" s="39"/>
      <c r="AE215" s="40">
        <f t="shared" si="3"/>
        <v>0</v>
      </c>
      <c r="AF215" s="41">
        <f t="shared" si="55"/>
        <v>4</v>
      </c>
      <c r="AG215" s="41">
        <f t="shared" si="49"/>
        <v>0</v>
      </c>
      <c r="AH215" s="42">
        <f t="shared" si="45"/>
        <v>0</v>
      </c>
      <c r="AI215" s="43">
        <v>46054</v>
      </c>
      <c r="AJ215" s="43">
        <v>46477</v>
      </c>
      <c r="AK215" s="44" t="s">
        <v>80</v>
      </c>
      <c r="AL215" s="44" t="s">
        <v>81</v>
      </c>
      <c r="AM215" s="45" t="s">
        <v>82</v>
      </c>
      <c r="AN215" s="46">
        <v>80000000</v>
      </c>
      <c r="AO215" s="46">
        <v>80000000</v>
      </c>
      <c r="AP215" s="46">
        <v>80000000</v>
      </c>
      <c r="AQ215" s="47">
        <v>0</v>
      </c>
      <c r="AR215" s="44" t="s">
        <v>127</v>
      </c>
      <c r="AS215" s="44" t="s">
        <v>80</v>
      </c>
      <c r="AT215" s="54" t="s">
        <v>600</v>
      </c>
      <c r="AU215" s="49" t="s">
        <v>831</v>
      </c>
      <c r="AV215" s="51" t="s">
        <v>832</v>
      </c>
      <c r="AW215" s="51" t="s">
        <v>848</v>
      </c>
      <c r="AZ215" s="50">
        <f t="shared" si="56"/>
        <v>4</v>
      </c>
      <c r="BA215" s="50">
        <f t="shared" si="57"/>
        <v>0</v>
      </c>
      <c r="BB215" s="117">
        <f t="shared" si="58"/>
        <v>0</v>
      </c>
      <c r="BC215" s="50">
        <f t="shared" si="59"/>
        <v>4</v>
      </c>
      <c r="BD215" s="51"/>
      <c r="BE215" s="52">
        <f t="shared" si="50"/>
        <v>1.2</v>
      </c>
      <c r="BF215" s="52">
        <f t="shared" si="51"/>
        <v>1.2</v>
      </c>
      <c r="BG215" s="52">
        <f t="shared" si="52"/>
        <v>1.2</v>
      </c>
      <c r="BH215" s="52">
        <f t="shared" si="53"/>
        <v>0.4</v>
      </c>
      <c r="BI215" s="52">
        <f t="shared" si="54"/>
        <v>3.9999999999999996</v>
      </c>
    </row>
    <row r="216" spans="1:61" x14ac:dyDescent="0.3">
      <c r="A216" s="39">
        <v>212</v>
      </c>
      <c r="B216" s="44" t="s">
        <v>238</v>
      </c>
      <c r="C216" s="44" t="s">
        <v>86</v>
      </c>
      <c r="D216" s="44" t="s">
        <v>87</v>
      </c>
      <c r="E216" s="44" t="s">
        <v>88</v>
      </c>
      <c r="F216" s="44" t="s">
        <v>322</v>
      </c>
      <c r="G216" s="36" t="s">
        <v>154</v>
      </c>
      <c r="H216" s="36" t="s">
        <v>155</v>
      </c>
      <c r="I216" s="36" t="s">
        <v>564</v>
      </c>
      <c r="J216" s="36" t="s">
        <v>564</v>
      </c>
      <c r="K216" s="33" t="s">
        <v>72</v>
      </c>
      <c r="L216" s="33" t="s">
        <v>73</v>
      </c>
      <c r="M216" s="36" t="s">
        <v>74</v>
      </c>
      <c r="N216" s="36" t="s">
        <v>94</v>
      </c>
      <c r="O216" s="36" t="s">
        <v>95</v>
      </c>
      <c r="P216" s="36" t="s">
        <v>623</v>
      </c>
      <c r="Q216" s="36" t="s">
        <v>97</v>
      </c>
      <c r="R216" s="37">
        <v>100</v>
      </c>
      <c r="S216" s="33" t="s">
        <v>79</v>
      </c>
      <c r="T216" s="39"/>
      <c r="U216" s="39"/>
      <c r="V216" s="40" t="e">
        <f t="shared" si="48"/>
        <v>#DIV/0!</v>
      </c>
      <c r="W216" s="39">
        <v>60</v>
      </c>
      <c r="X216" s="39"/>
      <c r="Y216" s="40">
        <f t="shared" si="1"/>
        <v>0</v>
      </c>
      <c r="Z216" s="39">
        <v>20</v>
      </c>
      <c r="AA216" s="39"/>
      <c r="AB216" s="40">
        <f t="shared" si="2"/>
        <v>0</v>
      </c>
      <c r="AC216" s="39">
        <v>20</v>
      </c>
      <c r="AD216" s="39"/>
      <c r="AE216" s="40">
        <f t="shared" si="3"/>
        <v>0</v>
      </c>
      <c r="AF216" s="41">
        <f t="shared" si="55"/>
        <v>100</v>
      </c>
      <c r="AG216" s="41">
        <f t="shared" si="49"/>
        <v>0</v>
      </c>
      <c r="AH216" s="42">
        <f t="shared" si="45"/>
        <v>0</v>
      </c>
      <c r="AI216" s="43">
        <v>46054</v>
      </c>
      <c r="AJ216" s="43">
        <v>46477</v>
      </c>
      <c r="AK216" s="44" t="s">
        <v>80</v>
      </c>
      <c r="AL216" s="44" t="s">
        <v>81</v>
      </c>
      <c r="AM216" s="45" t="s">
        <v>82</v>
      </c>
      <c r="AN216" s="46">
        <v>30000000</v>
      </c>
      <c r="AO216" s="46">
        <v>30000000</v>
      </c>
      <c r="AP216" s="46">
        <v>30000000</v>
      </c>
      <c r="AQ216" s="47">
        <v>0</v>
      </c>
      <c r="AR216" s="44" t="s">
        <v>127</v>
      </c>
      <c r="AS216" s="44" t="s">
        <v>80</v>
      </c>
      <c r="AT216" s="54" t="s">
        <v>624</v>
      </c>
      <c r="AU216" s="44" t="s">
        <v>831</v>
      </c>
      <c r="AV216" s="51" t="s">
        <v>849</v>
      </c>
      <c r="AZ216" s="50">
        <f t="shared" si="56"/>
        <v>100</v>
      </c>
      <c r="BA216" s="50">
        <f t="shared" si="57"/>
        <v>0</v>
      </c>
      <c r="BB216" s="117">
        <f t="shared" si="58"/>
        <v>0</v>
      </c>
      <c r="BC216" s="50">
        <f t="shared" si="59"/>
        <v>100</v>
      </c>
      <c r="BD216" s="51"/>
      <c r="BE216" s="52">
        <f t="shared" si="50"/>
        <v>30</v>
      </c>
      <c r="BF216" s="52">
        <f t="shared" si="51"/>
        <v>30</v>
      </c>
      <c r="BG216" s="52">
        <f t="shared" si="52"/>
        <v>30</v>
      </c>
      <c r="BH216" s="52">
        <f t="shared" si="53"/>
        <v>10</v>
      </c>
      <c r="BI216" s="52">
        <f t="shared" si="54"/>
        <v>100</v>
      </c>
    </row>
    <row r="217" spans="1:61" x14ac:dyDescent="0.3">
      <c r="A217" s="39">
        <v>213</v>
      </c>
      <c r="B217" s="44" t="s">
        <v>207</v>
      </c>
      <c r="C217" s="44" t="s">
        <v>625</v>
      </c>
      <c r="D217" s="44" t="s">
        <v>87</v>
      </c>
      <c r="E217" s="44" t="s">
        <v>626</v>
      </c>
      <c r="F217" s="44" t="s">
        <v>627</v>
      </c>
      <c r="G217" s="36" t="s">
        <v>571</v>
      </c>
      <c r="H217" s="36" t="s">
        <v>628</v>
      </c>
      <c r="I217" s="36" t="s">
        <v>211</v>
      </c>
      <c r="J217" s="36" t="s">
        <v>629</v>
      </c>
      <c r="K217" s="33" t="s">
        <v>72</v>
      </c>
      <c r="L217" s="33" t="s">
        <v>73</v>
      </c>
      <c r="M217" s="36" t="s">
        <v>74</v>
      </c>
      <c r="N217" s="36" t="s">
        <v>630</v>
      </c>
      <c r="O217" s="36" t="s">
        <v>631</v>
      </c>
      <c r="P217" s="36" t="s">
        <v>632</v>
      </c>
      <c r="Q217" s="36" t="s">
        <v>97</v>
      </c>
      <c r="R217" s="37">
        <v>1</v>
      </c>
      <c r="S217" s="33" t="s">
        <v>579</v>
      </c>
      <c r="T217" s="39"/>
      <c r="U217" s="39"/>
      <c r="V217" s="40" t="e">
        <f t="shared" si="48"/>
        <v>#DIV/0!</v>
      </c>
      <c r="W217" s="39"/>
      <c r="X217" s="39"/>
      <c r="Y217" s="40" t="e">
        <f t="shared" si="1"/>
        <v>#DIV/0!</v>
      </c>
      <c r="Z217" s="39">
        <v>2</v>
      </c>
      <c r="AA217" s="39"/>
      <c r="AB217" s="40">
        <f t="shared" si="2"/>
        <v>0</v>
      </c>
      <c r="AC217" s="39"/>
      <c r="AD217" s="39"/>
      <c r="AE217" s="40" t="e">
        <f t="shared" si="3"/>
        <v>#DIV/0!</v>
      </c>
      <c r="AF217" s="41">
        <f t="shared" si="55"/>
        <v>1</v>
      </c>
      <c r="AG217" s="41">
        <f t="shared" si="49"/>
        <v>0</v>
      </c>
      <c r="AH217" s="42">
        <f t="shared" si="45"/>
        <v>0</v>
      </c>
      <c r="AI217" s="43">
        <v>46113</v>
      </c>
      <c r="AJ217" s="43">
        <v>46477</v>
      </c>
      <c r="AK217" s="44" t="s">
        <v>80</v>
      </c>
      <c r="AL217" s="44" t="s">
        <v>81</v>
      </c>
      <c r="AM217" s="45" t="s">
        <v>82</v>
      </c>
      <c r="AN217" s="46">
        <v>15000000</v>
      </c>
      <c r="AO217" s="46">
        <v>15000000</v>
      </c>
      <c r="AP217" s="46">
        <v>15000000</v>
      </c>
      <c r="AQ217" s="47">
        <v>0</v>
      </c>
      <c r="AR217" s="44" t="s">
        <v>127</v>
      </c>
      <c r="AS217" s="44" t="s">
        <v>80</v>
      </c>
      <c r="AT217" s="54" t="s">
        <v>215</v>
      </c>
      <c r="AU217" s="49" t="s">
        <v>831</v>
      </c>
      <c r="AV217" s="51" t="s">
        <v>832</v>
      </c>
      <c r="AW217" s="51" t="s">
        <v>837</v>
      </c>
      <c r="AZ217" s="50">
        <f t="shared" si="56"/>
        <v>1</v>
      </c>
      <c r="BA217" s="50">
        <f t="shared" si="57"/>
        <v>0</v>
      </c>
      <c r="BB217" s="117">
        <f t="shared" si="58"/>
        <v>0</v>
      </c>
      <c r="BC217" s="50">
        <f t="shared" si="59"/>
        <v>1</v>
      </c>
      <c r="BD217" s="51"/>
      <c r="BE217" s="52">
        <f t="shared" si="50"/>
        <v>0.3</v>
      </c>
      <c r="BF217" s="52">
        <f t="shared" si="51"/>
        <v>0.3</v>
      </c>
      <c r="BG217" s="52">
        <f t="shared" si="52"/>
        <v>0.3</v>
      </c>
      <c r="BH217" s="52">
        <f t="shared" si="53"/>
        <v>0.1</v>
      </c>
      <c r="BI217" s="52">
        <f t="shared" si="54"/>
        <v>0.99999999999999989</v>
      </c>
    </row>
    <row r="218" spans="1:61" x14ac:dyDescent="0.3">
      <c r="A218" s="39">
        <v>214</v>
      </c>
      <c r="B218" s="44" t="s">
        <v>207</v>
      </c>
      <c r="C218" s="44" t="s">
        <v>625</v>
      </c>
      <c r="D218" s="44" t="s">
        <v>87</v>
      </c>
      <c r="E218" s="44" t="s">
        <v>626</v>
      </c>
      <c r="F218" s="44" t="s">
        <v>627</v>
      </c>
      <c r="G218" s="36" t="s">
        <v>571</v>
      </c>
      <c r="H218" s="36" t="s">
        <v>628</v>
      </c>
      <c r="I218" s="36" t="s">
        <v>211</v>
      </c>
      <c r="J218" s="36" t="s">
        <v>629</v>
      </c>
      <c r="K218" s="33" t="s">
        <v>72</v>
      </c>
      <c r="L218" s="33" t="s">
        <v>73</v>
      </c>
      <c r="M218" s="36" t="s">
        <v>74</v>
      </c>
      <c r="N218" s="36" t="s">
        <v>630</v>
      </c>
      <c r="O218" s="36" t="s">
        <v>633</v>
      </c>
      <c r="P218" s="36" t="s">
        <v>634</v>
      </c>
      <c r="Q218" s="36" t="s">
        <v>97</v>
      </c>
      <c r="R218" s="37">
        <v>100</v>
      </c>
      <c r="S218" s="33" t="s">
        <v>635</v>
      </c>
      <c r="T218" s="39"/>
      <c r="U218" s="39"/>
      <c r="V218" s="40" t="e">
        <f t="shared" si="48"/>
        <v>#DIV/0!</v>
      </c>
      <c r="W218" s="39">
        <v>2</v>
      </c>
      <c r="X218" s="39"/>
      <c r="Y218" s="40">
        <f t="shared" si="1"/>
        <v>0</v>
      </c>
      <c r="Z218" s="39">
        <v>2</v>
      </c>
      <c r="AA218" s="39"/>
      <c r="AB218" s="40">
        <f t="shared" si="2"/>
        <v>0</v>
      </c>
      <c r="AC218" s="39"/>
      <c r="AD218" s="39"/>
      <c r="AE218" s="40" t="e">
        <f t="shared" si="3"/>
        <v>#DIV/0!</v>
      </c>
      <c r="AF218" s="41">
        <f t="shared" si="55"/>
        <v>100</v>
      </c>
      <c r="AG218" s="41">
        <f t="shared" si="49"/>
        <v>0</v>
      </c>
      <c r="AH218" s="42">
        <f t="shared" si="45"/>
        <v>0</v>
      </c>
      <c r="AI218" s="43">
        <v>46113</v>
      </c>
      <c r="AJ218" s="43">
        <v>46112</v>
      </c>
      <c r="AK218" s="44" t="s">
        <v>80</v>
      </c>
      <c r="AL218" s="44" t="s">
        <v>81</v>
      </c>
      <c r="AM218" s="45" t="s">
        <v>82</v>
      </c>
      <c r="AN218" s="46">
        <v>58000000</v>
      </c>
      <c r="AO218" s="46">
        <v>58000000</v>
      </c>
      <c r="AP218" s="46">
        <v>58000000</v>
      </c>
      <c r="AQ218" s="47">
        <v>0</v>
      </c>
      <c r="AR218" s="44" t="s">
        <v>127</v>
      </c>
      <c r="AS218" s="44" t="s">
        <v>80</v>
      </c>
      <c r="AT218" s="54" t="s">
        <v>215</v>
      </c>
      <c r="AU218" s="49" t="s">
        <v>831</v>
      </c>
      <c r="AV218" s="51" t="s">
        <v>832</v>
      </c>
      <c r="AW218" s="51" t="s">
        <v>837</v>
      </c>
      <c r="AZ218" s="50">
        <f t="shared" si="56"/>
        <v>100</v>
      </c>
      <c r="BA218" s="50">
        <f t="shared" si="57"/>
        <v>0</v>
      </c>
      <c r="BB218" s="117">
        <f t="shared" si="58"/>
        <v>0</v>
      </c>
      <c r="BC218" s="50">
        <f t="shared" si="59"/>
        <v>100</v>
      </c>
      <c r="BD218" s="51"/>
      <c r="BE218" s="52">
        <f t="shared" si="50"/>
        <v>30</v>
      </c>
      <c r="BF218" s="52">
        <f t="shared" si="51"/>
        <v>30</v>
      </c>
      <c r="BG218" s="52">
        <f t="shared" si="52"/>
        <v>30</v>
      </c>
      <c r="BH218" s="52">
        <f t="shared" si="53"/>
        <v>10</v>
      </c>
      <c r="BI218" s="52">
        <f t="shared" si="54"/>
        <v>100</v>
      </c>
    </row>
    <row r="219" spans="1:61" x14ac:dyDescent="0.3">
      <c r="A219" s="39">
        <v>215</v>
      </c>
      <c r="B219" s="44" t="s">
        <v>207</v>
      </c>
      <c r="C219" s="44" t="s">
        <v>625</v>
      </c>
      <c r="D219" s="44" t="s">
        <v>87</v>
      </c>
      <c r="E219" s="44" t="s">
        <v>626</v>
      </c>
      <c r="F219" s="44" t="s">
        <v>627</v>
      </c>
      <c r="G219" s="36" t="s">
        <v>571</v>
      </c>
      <c r="H219" s="36" t="s">
        <v>628</v>
      </c>
      <c r="I219" s="36" t="s">
        <v>211</v>
      </c>
      <c r="J219" s="36" t="s">
        <v>629</v>
      </c>
      <c r="K219" s="33" t="s">
        <v>72</v>
      </c>
      <c r="L219" s="33" t="s">
        <v>73</v>
      </c>
      <c r="M219" s="36" t="s">
        <v>74</v>
      </c>
      <c r="N219" s="36" t="s">
        <v>630</v>
      </c>
      <c r="O219" s="36" t="s">
        <v>636</v>
      </c>
      <c r="P219" s="36" t="s">
        <v>637</v>
      </c>
      <c r="Q219" s="36" t="s">
        <v>97</v>
      </c>
      <c r="R219" s="37">
        <v>360</v>
      </c>
      <c r="S219" s="33" t="s">
        <v>638</v>
      </c>
      <c r="T219" s="39"/>
      <c r="U219" s="39"/>
      <c r="V219" s="40" t="e">
        <f t="shared" si="48"/>
        <v>#DIV/0!</v>
      </c>
      <c r="W219" s="39"/>
      <c r="X219" s="39"/>
      <c r="Y219" s="40" t="e">
        <f t="shared" si="1"/>
        <v>#DIV/0!</v>
      </c>
      <c r="Z219" s="39">
        <v>2</v>
      </c>
      <c r="AA219" s="39"/>
      <c r="AB219" s="40">
        <f t="shared" si="2"/>
        <v>0</v>
      </c>
      <c r="AC219" s="39">
        <v>2</v>
      </c>
      <c r="AD219" s="39"/>
      <c r="AE219" s="40">
        <f t="shared" si="3"/>
        <v>0</v>
      </c>
      <c r="AF219" s="41">
        <f t="shared" si="55"/>
        <v>360</v>
      </c>
      <c r="AG219" s="41">
        <f t="shared" si="49"/>
        <v>0</v>
      </c>
      <c r="AH219" s="42">
        <f t="shared" si="45"/>
        <v>0</v>
      </c>
      <c r="AI219" s="43">
        <v>46113</v>
      </c>
      <c r="AJ219" s="43">
        <v>46477</v>
      </c>
      <c r="AK219" s="44" t="s">
        <v>80</v>
      </c>
      <c r="AL219" s="44" t="s">
        <v>81</v>
      </c>
      <c r="AM219" s="45" t="s">
        <v>82</v>
      </c>
      <c r="AN219" s="46">
        <v>60000000</v>
      </c>
      <c r="AO219" s="46">
        <v>60000000</v>
      </c>
      <c r="AP219" s="46">
        <v>60000000</v>
      </c>
      <c r="AQ219" s="47">
        <v>0</v>
      </c>
      <c r="AR219" s="44" t="s">
        <v>127</v>
      </c>
      <c r="AS219" s="44" t="s">
        <v>80</v>
      </c>
      <c r="AT219" s="54" t="s">
        <v>215</v>
      </c>
      <c r="AU219" s="49" t="s">
        <v>831</v>
      </c>
      <c r="AV219" s="51" t="s">
        <v>832</v>
      </c>
      <c r="AW219" s="51" t="s">
        <v>837</v>
      </c>
      <c r="AZ219" s="50">
        <f t="shared" si="56"/>
        <v>360</v>
      </c>
      <c r="BA219" s="50">
        <f t="shared" si="57"/>
        <v>0</v>
      </c>
      <c r="BB219" s="117">
        <f t="shared" si="58"/>
        <v>0</v>
      </c>
      <c r="BC219" s="50">
        <f t="shared" si="59"/>
        <v>360</v>
      </c>
      <c r="BD219" s="51"/>
      <c r="BE219" s="52">
        <f t="shared" si="50"/>
        <v>108</v>
      </c>
      <c r="BF219" s="52">
        <f t="shared" si="51"/>
        <v>108</v>
      </c>
      <c r="BG219" s="52">
        <f t="shared" si="52"/>
        <v>108</v>
      </c>
      <c r="BH219" s="52">
        <f t="shared" si="53"/>
        <v>36</v>
      </c>
      <c r="BI219" s="52">
        <f t="shared" si="54"/>
        <v>360</v>
      </c>
    </row>
    <row r="220" spans="1:61" x14ac:dyDescent="0.3">
      <c r="A220" s="39">
        <v>216</v>
      </c>
      <c r="B220" s="44" t="s">
        <v>207</v>
      </c>
      <c r="C220" s="44" t="s">
        <v>625</v>
      </c>
      <c r="D220" s="44" t="s">
        <v>87</v>
      </c>
      <c r="E220" s="44" t="s">
        <v>626</v>
      </c>
      <c r="F220" s="44" t="s">
        <v>627</v>
      </c>
      <c r="G220" s="36" t="s">
        <v>571</v>
      </c>
      <c r="H220" s="36" t="s">
        <v>628</v>
      </c>
      <c r="I220" s="36" t="s">
        <v>141</v>
      </c>
      <c r="J220" s="36" t="s">
        <v>639</v>
      </c>
      <c r="K220" s="33" t="s">
        <v>72</v>
      </c>
      <c r="L220" s="33" t="s">
        <v>73</v>
      </c>
      <c r="M220" s="36" t="s">
        <v>74</v>
      </c>
      <c r="N220" s="36" t="s">
        <v>640</v>
      </c>
      <c r="O220" s="36" t="s">
        <v>631</v>
      </c>
      <c r="P220" s="36" t="s">
        <v>641</v>
      </c>
      <c r="Q220" s="36" t="s">
        <v>97</v>
      </c>
      <c r="R220" s="37">
        <v>1</v>
      </c>
      <c r="S220" s="33" t="s">
        <v>642</v>
      </c>
      <c r="T220" s="39">
        <v>0</v>
      </c>
      <c r="U220" s="39">
        <v>0</v>
      </c>
      <c r="V220" s="40" t="e">
        <f t="shared" si="48"/>
        <v>#DIV/0!</v>
      </c>
      <c r="W220" s="39">
        <v>0</v>
      </c>
      <c r="X220" s="39">
        <v>0</v>
      </c>
      <c r="Y220" s="40" t="e">
        <f t="shared" si="1"/>
        <v>#DIV/0!</v>
      </c>
      <c r="Z220" s="39">
        <v>1</v>
      </c>
      <c r="AA220" s="39"/>
      <c r="AB220" s="40">
        <f t="shared" si="2"/>
        <v>0</v>
      </c>
      <c r="AC220" s="39">
        <v>0</v>
      </c>
      <c r="AD220" s="39"/>
      <c r="AE220" s="40" t="e">
        <f t="shared" si="3"/>
        <v>#DIV/0!</v>
      </c>
      <c r="AF220" s="41">
        <f t="shared" si="55"/>
        <v>1</v>
      </c>
      <c r="AG220" s="41">
        <f t="shared" si="49"/>
        <v>0</v>
      </c>
      <c r="AH220" s="42" t="e">
        <f t="shared" si="45"/>
        <v>#DIV/0!</v>
      </c>
      <c r="AI220" s="43">
        <v>46113</v>
      </c>
      <c r="AJ220" s="43">
        <v>46477</v>
      </c>
      <c r="AK220" s="44" t="s">
        <v>80</v>
      </c>
      <c r="AL220" s="44" t="s">
        <v>81</v>
      </c>
      <c r="AM220" s="45" t="s">
        <v>82</v>
      </c>
      <c r="AN220" s="46"/>
      <c r="AO220" s="46"/>
      <c r="AP220" s="46"/>
      <c r="AQ220" s="47"/>
      <c r="AR220" s="44" t="s">
        <v>127</v>
      </c>
      <c r="AS220" s="44" t="s">
        <v>80</v>
      </c>
      <c r="AT220" s="54" t="s">
        <v>99</v>
      </c>
      <c r="AU220" s="49" t="s">
        <v>831</v>
      </c>
      <c r="AV220" s="51" t="s">
        <v>832</v>
      </c>
      <c r="AW220" s="51" t="s">
        <v>834</v>
      </c>
      <c r="AZ220" s="50">
        <f t="shared" si="56"/>
        <v>1</v>
      </c>
      <c r="BA220" s="50">
        <f t="shared" si="57"/>
        <v>0</v>
      </c>
      <c r="BB220" s="117">
        <f t="shared" si="58"/>
        <v>0</v>
      </c>
      <c r="BC220" s="50">
        <f t="shared" si="59"/>
        <v>1</v>
      </c>
      <c r="BD220" s="51"/>
      <c r="BE220" s="52">
        <f t="shared" si="50"/>
        <v>0.3</v>
      </c>
      <c r="BF220" s="52">
        <f t="shared" si="51"/>
        <v>0.3</v>
      </c>
      <c r="BG220" s="52">
        <f t="shared" si="52"/>
        <v>0.3</v>
      </c>
      <c r="BH220" s="52">
        <f t="shared" si="53"/>
        <v>0.1</v>
      </c>
      <c r="BI220" s="52">
        <f t="shared" si="54"/>
        <v>0.99999999999999989</v>
      </c>
    </row>
    <row r="221" spans="1:61" x14ac:dyDescent="0.3">
      <c r="A221" s="39">
        <v>217</v>
      </c>
      <c r="B221" s="44" t="s">
        <v>207</v>
      </c>
      <c r="C221" s="44" t="s">
        <v>625</v>
      </c>
      <c r="D221" s="44" t="s">
        <v>87</v>
      </c>
      <c r="E221" s="44" t="s">
        <v>626</v>
      </c>
      <c r="F221" s="44" t="s">
        <v>627</v>
      </c>
      <c r="G221" s="36" t="s">
        <v>571</v>
      </c>
      <c r="H221" s="36" t="s">
        <v>628</v>
      </c>
      <c r="I221" s="36" t="s">
        <v>141</v>
      </c>
      <c r="J221" s="36" t="s">
        <v>639</v>
      </c>
      <c r="K221" s="33" t="s">
        <v>72</v>
      </c>
      <c r="L221" s="33" t="s">
        <v>73</v>
      </c>
      <c r="M221" s="36" t="s">
        <v>74</v>
      </c>
      <c r="N221" s="36" t="s">
        <v>640</v>
      </c>
      <c r="O221" s="36" t="s">
        <v>633</v>
      </c>
      <c r="P221" s="36" t="s">
        <v>643</v>
      </c>
      <c r="Q221" s="36" t="s">
        <v>97</v>
      </c>
      <c r="R221" s="37">
        <v>29</v>
      </c>
      <c r="S221" s="33" t="s">
        <v>644</v>
      </c>
      <c r="T221" s="39"/>
      <c r="U221" s="39"/>
      <c r="V221" s="40" t="e">
        <f t="shared" si="48"/>
        <v>#DIV/0!</v>
      </c>
      <c r="W221" s="39"/>
      <c r="X221" s="39"/>
      <c r="Y221" s="40" t="e">
        <f t="shared" si="1"/>
        <v>#DIV/0!</v>
      </c>
      <c r="Z221" s="39">
        <v>1</v>
      </c>
      <c r="AA221" s="39"/>
      <c r="AB221" s="40">
        <f t="shared" si="2"/>
        <v>0</v>
      </c>
      <c r="AC221" s="39"/>
      <c r="AD221" s="39"/>
      <c r="AE221" s="40" t="e">
        <f t="shared" si="3"/>
        <v>#DIV/0!</v>
      </c>
      <c r="AF221" s="41">
        <f t="shared" si="55"/>
        <v>29</v>
      </c>
      <c r="AG221" s="41">
        <f t="shared" si="49"/>
        <v>0</v>
      </c>
      <c r="AH221" s="42">
        <f t="shared" si="45"/>
        <v>0</v>
      </c>
      <c r="AI221" s="43">
        <v>46113</v>
      </c>
      <c r="AJ221" s="43">
        <v>46477</v>
      </c>
      <c r="AK221" s="44"/>
      <c r="AL221" s="44" t="s">
        <v>81</v>
      </c>
      <c r="AM221" s="45" t="s">
        <v>82</v>
      </c>
      <c r="AN221" s="46">
        <v>30000000</v>
      </c>
      <c r="AO221" s="46">
        <v>30000000</v>
      </c>
      <c r="AP221" s="46">
        <v>30000000</v>
      </c>
      <c r="AQ221" s="47">
        <v>0</v>
      </c>
      <c r="AR221" s="44" t="s">
        <v>83</v>
      </c>
      <c r="AS221" s="44" t="s">
        <v>80</v>
      </c>
      <c r="AT221" s="54" t="s">
        <v>645</v>
      </c>
      <c r="AU221" s="49" t="s">
        <v>831</v>
      </c>
      <c r="AV221" s="51" t="s">
        <v>832</v>
      </c>
      <c r="AW221" s="51" t="s">
        <v>840</v>
      </c>
      <c r="AZ221" s="50">
        <f t="shared" si="56"/>
        <v>29</v>
      </c>
      <c r="BA221" s="50">
        <f t="shared" si="57"/>
        <v>0</v>
      </c>
      <c r="BB221" s="117">
        <f t="shared" si="58"/>
        <v>0</v>
      </c>
      <c r="BC221" s="50">
        <f t="shared" si="59"/>
        <v>29</v>
      </c>
      <c r="BD221" s="51"/>
      <c r="BE221" s="52">
        <f t="shared" si="50"/>
        <v>8.6999999999999993</v>
      </c>
      <c r="BF221" s="52">
        <f t="shared" si="51"/>
        <v>8.6999999999999993</v>
      </c>
      <c r="BG221" s="52">
        <f t="shared" si="52"/>
        <v>8.6999999999999993</v>
      </c>
      <c r="BH221" s="52">
        <f t="shared" si="53"/>
        <v>2.9000000000000004</v>
      </c>
      <c r="BI221" s="52">
        <f t="shared" si="54"/>
        <v>29</v>
      </c>
    </row>
    <row r="222" spans="1:61" x14ac:dyDescent="0.3">
      <c r="A222" s="39">
        <v>218</v>
      </c>
      <c r="B222" s="44" t="s">
        <v>207</v>
      </c>
      <c r="C222" s="44" t="s">
        <v>625</v>
      </c>
      <c r="D222" s="44" t="s">
        <v>87</v>
      </c>
      <c r="E222" s="44" t="s">
        <v>626</v>
      </c>
      <c r="F222" s="44" t="s">
        <v>627</v>
      </c>
      <c r="G222" s="36" t="s">
        <v>571</v>
      </c>
      <c r="H222" s="36" t="s">
        <v>628</v>
      </c>
      <c r="I222" s="36" t="s">
        <v>141</v>
      </c>
      <c r="J222" s="36" t="s">
        <v>639</v>
      </c>
      <c r="K222" s="33" t="s">
        <v>72</v>
      </c>
      <c r="L222" s="33" t="s">
        <v>73</v>
      </c>
      <c r="M222" s="36" t="s">
        <v>74</v>
      </c>
      <c r="N222" s="36" t="s">
        <v>640</v>
      </c>
      <c r="O222" s="36" t="s">
        <v>636</v>
      </c>
      <c r="P222" s="36" t="s">
        <v>646</v>
      </c>
      <c r="Q222" s="36" t="s">
        <v>97</v>
      </c>
      <c r="R222" s="37">
        <v>29</v>
      </c>
      <c r="S222" s="33" t="s">
        <v>644</v>
      </c>
      <c r="T222" s="39"/>
      <c r="U222" s="39"/>
      <c r="V222" s="40" t="e">
        <f t="shared" si="48"/>
        <v>#DIV/0!</v>
      </c>
      <c r="W222" s="39"/>
      <c r="X222" s="39"/>
      <c r="Y222" s="40" t="e">
        <f t="shared" si="1"/>
        <v>#DIV/0!</v>
      </c>
      <c r="Z222" s="39">
        <v>50</v>
      </c>
      <c r="AA222" s="39"/>
      <c r="AB222" s="40">
        <f t="shared" si="2"/>
        <v>0</v>
      </c>
      <c r="AC222" s="39">
        <v>50</v>
      </c>
      <c r="AD222" s="39"/>
      <c r="AE222" s="40">
        <f t="shared" si="3"/>
        <v>0</v>
      </c>
      <c r="AF222" s="41">
        <f t="shared" si="55"/>
        <v>29</v>
      </c>
      <c r="AG222" s="41">
        <f t="shared" si="49"/>
        <v>0</v>
      </c>
      <c r="AH222" s="42">
        <f t="shared" si="45"/>
        <v>0</v>
      </c>
      <c r="AI222" s="43">
        <v>46113</v>
      </c>
      <c r="AJ222" s="43">
        <v>46477</v>
      </c>
      <c r="AK222" s="44"/>
      <c r="AL222" s="44" t="s">
        <v>81</v>
      </c>
      <c r="AM222" s="45" t="s">
        <v>82</v>
      </c>
      <c r="AN222" s="46">
        <v>30000000</v>
      </c>
      <c r="AO222" s="46">
        <v>30000000</v>
      </c>
      <c r="AP222" s="46">
        <v>30000000</v>
      </c>
      <c r="AQ222" s="47">
        <v>0</v>
      </c>
      <c r="AR222" s="44" t="s">
        <v>83</v>
      </c>
      <c r="AS222" s="44" t="s">
        <v>647</v>
      </c>
      <c r="AT222" s="54" t="s">
        <v>645</v>
      </c>
      <c r="AU222" s="49" t="s">
        <v>831</v>
      </c>
      <c r="AV222" s="51" t="s">
        <v>832</v>
      </c>
      <c r="AW222" s="51" t="s">
        <v>840</v>
      </c>
      <c r="AZ222" s="50">
        <f t="shared" si="56"/>
        <v>29</v>
      </c>
      <c r="BA222" s="50">
        <f t="shared" si="57"/>
        <v>0</v>
      </c>
      <c r="BB222" s="117">
        <f t="shared" si="58"/>
        <v>0</v>
      </c>
      <c r="BC222" s="50">
        <f t="shared" si="59"/>
        <v>29</v>
      </c>
      <c r="BD222" s="51"/>
      <c r="BE222" s="52">
        <f t="shared" si="50"/>
        <v>8.6999999999999993</v>
      </c>
      <c r="BF222" s="52">
        <f t="shared" si="51"/>
        <v>8.6999999999999993</v>
      </c>
      <c r="BG222" s="52">
        <f t="shared" si="52"/>
        <v>8.6999999999999993</v>
      </c>
      <c r="BH222" s="52">
        <f t="shared" si="53"/>
        <v>2.9000000000000004</v>
      </c>
      <c r="BI222" s="52">
        <f t="shared" si="54"/>
        <v>29</v>
      </c>
    </row>
    <row r="223" spans="1:61" x14ac:dyDescent="0.3">
      <c r="A223" s="39">
        <v>219</v>
      </c>
      <c r="B223" s="44" t="s">
        <v>207</v>
      </c>
      <c r="C223" s="44" t="s">
        <v>625</v>
      </c>
      <c r="D223" s="44" t="s">
        <v>87</v>
      </c>
      <c r="E223" s="44" t="s">
        <v>626</v>
      </c>
      <c r="F223" s="44" t="s">
        <v>627</v>
      </c>
      <c r="G223" s="36" t="s">
        <v>571</v>
      </c>
      <c r="H223" s="36" t="s">
        <v>628</v>
      </c>
      <c r="I223" s="36" t="s">
        <v>293</v>
      </c>
      <c r="J223" s="36" t="s">
        <v>648</v>
      </c>
      <c r="K223" s="33" t="s">
        <v>72</v>
      </c>
      <c r="L223" s="33" t="s">
        <v>73</v>
      </c>
      <c r="M223" s="36" t="s">
        <v>74</v>
      </c>
      <c r="N223" s="36" t="s">
        <v>649</v>
      </c>
      <c r="O223" s="36" t="s">
        <v>631</v>
      </c>
      <c r="P223" s="36" t="s">
        <v>650</v>
      </c>
      <c r="Q223" s="36" t="s">
        <v>97</v>
      </c>
      <c r="R223" s="37">
        <v>1</v>
      </c>
      <c r="S223" s="33" t="s">
        <v>651</v>
      </c>
      <c r="T223" s="39">
        <v>0</v>
      </c>
      <c r="U223" s="39">
        <v>0</v>
      </c>
      <c r="V223" s="40" t="e">
        <f t="shared" si="48"/>
        <v>#DIV/0!</v>
      </c>
      <c r="W223" s="39">
        <v>0</v>
      </c>
      <c r="X223" s="39">
        <v>0</v>
      </c>
      <c r="Y223" s="40" t="e">
        <f t="shared" si="1"/>
        <v>#DIV/0!</v>
      </c>
      <c r="Z223" s="39">
        <v>1</v>
      </c>
      <c r="AA223" s="39"/>
      <c r="AB223" s="40">
        <f t="shared" si="2"/>
        <v>0</v>
      </c>
      <c r="AC223" s="39">
        <v>0</v>
      </c>
      <c r="AD223" s="39"/>
      <c r="AE223" s="40" t="e">
        <f t="shared" si="3"/>
        <v>#DIV/0!</v>
      </c>
      <c r="AF223" s="41">
        <f t="shared" si="55"/>
        <v>1</v>
      </c>
      <c r="AG223" s="41">
        <f t="shared" si="49"/>
        <v>0</v>
      </c>
      <c r="AH223" s="42" t="e">
        <f t="shared" si="45"/>
        <v>#DIV/0!</v>
      </c>
      <c r="AI223" s="43">
        <v>46113</v>
      </c>
      <c r="AJ223" s="43">
        <v>46477</v>
      </c>
      <c r="AK223" s="44"/>
      <c r="AL223" s="44" t="s">
        <v>81</v>
      </c>
      <c r="AM223" s="45" t="s">
        <v>82</v>
      </c>
      <c r="AN223" s="46"/>
      <c r="AO223" s="46"/>
      <c r="AP223" s="46"/>
      <c r="AQ223" s="47"/>
      <c r="AR223" s="44" t="s">
        <v>83</v>
      </c>
      <c r="AS223" s="44" t="s">
        <v>647</v>
      </c>
      <c r="AT223" s="54" t="s">
        <v>215</v>
      </c>
      <c r="AU223" s="49" t="s">
        <v>831</v>
      </c>
      <c r="AV223" s="51" t="s">
        <v>832</v>
      </c>
      <c r="AW223" s="51" t="s">
        <v>837</v>
      </c>
      <c r="AZ223" s="50">
        <f t="shared" si="56"/>
        <v>1</v>
      </c>
      <c r="BA223" s="50">
        <f t="shared" si="57"/>
        <v>0</v>
      </c>
      <c r="BB223" s="117">
        <f t="shared" si="58"/>
        <v>0</v>
      </c>
      <c r="BC223" s="50">
        <f t="shared" si="59"/>
        <v>1</v>
      </c>
      <c r="BD223" s="51"/>
      <c r="BE223" s="52">
        <f t="shared" si="50"/>
        <v>0.3</v>
      </c>
      <c r="BF223" s="52">
        <f t="shared" si="51"/>
        <v>0.3</v>
      </c>
      <c r="BG223" s="52">
        <f t="shared" si="52"/>
        <v>0.3</v>
      </c>
      <c r="BH223" s="52">
        <f t="shared" si="53"/>
        <v>0.1</v>
      </c>
      <c r="BI223" s="52">
        <f t="shared" si="54"/>
        <v>0.99999999999999989</v>
      </c>
    </row>
    <row r="224" spans="1:61" x14ac:dyDescent="0.3">
      <c r="A224" s="39">
        <v>220</v>
      </c>
      <c r="B224" s="44" t="s">
        <v>207</v>
      </c>
      <c r="C224" s="44" t="s">
        <v>625</v>
      </c>
      <c r="D224" s="44" t="s">
        <v>87</v>
      </c>
      <c r="E224" s="44" t="s">
        <v>626</v>
      </c>
      <c r="F224" s="44" t="s">
        <v>627</v>
      </c>
      <c r="G224" s="36" t="s">
        <v>571</v>
      </c>
      <c r="H224" s="36" t="s">
        <v>628</v>
      </c>
      <c r="I224" s="36" t="s">
        <v>293</v>
      </c>
      <c r="J224" s="36" t="s">
        <v>648</v>
      </c>
      <c r="K224" s="33" t="s">
        <v>72</v>
      </c>
      <c r="L224" s="33" t="s">
        <v>73</v>
      </c>
      <c r="M224" s="36" t="s">
        <v>74</v>
      </c>
      <c r="N224" s="36" t="s">
        <v>649</v>
      </c>
      <c r="O224" s="36" t="s">
        <v>633</v>
      </c>
      <c r="P224" s="36" t="s">
        <v>652</v>
      </c>
      <c r="Q224" s="36" t="s">
        <v>97</v>
      </c>
      <c r="R224" s="37">
        <v>100</v>
      </c>
      <c r="S224" s="33" t="s">
        <v>635</v>
      </c>
      <c r="T224" s="39">
        <v>100</v>
      </c>
      <c r="U224" s="39">
        <v>0</v>
      </c>
      <c r="V224" s="40">
        <f t="shared" si="48"/>
        <v>0</v>
      </c>
      <c r="W224" s="39">
        <v>100</v>
      </c>
      <c r="X224" s="39">
        <v>46</v>
      </c>
      <c r="Y224" s="40">
        <f t="shared" si="1"/>
        <v>46</v>
      </c>
      <c r="Z224" s="39">
        <v>100</v>
      </c>
      <c r="AA224" s="39"/>
      <c r="AB224" s="40">
        <f t="shared" si="2"/>
        <v>0</v>
      </c>
      <c r="AC224" s="39">
        <v>100</v>
      </c>
      <c r="AD224" s="39"/>
      <c r="AE224" s="40">
        <f t="shared" si="3"/>
        <v>0</v>
      </c>
      <c r="AF224" s="41">
        <f t="shared" si="55"/>
        <v>100</v>
      </c>
      <c r="AG224" s="41">
        <f t="shared" si="49"/>
        <v>46</v>
      </c>
      <c r="AH224" s="42">
        <f t="shared" si="45"/>
        <v>23</v>
      </c>
      <c r="AI224" s="43">
        <v>46113</v>
      </c>
      <c r="AJ224" s="43">
        <v>46477</v>
      </c>
      <c r="AK224" s="44"/>
      <c r="AL224" s="44"/>
      <c r="AM224" s="45"/>
      <c r="AN224" s="46"/>
      <c r="AO224" s="46"/>
      <c r="AP224" s="46"/>
      <c r="AQ224" s="47"/>
      <c r="AR224" s="44" t="s">
        <v>83</v>
      </c>
      <c r="AS224" s="44" t="s">
        <v>647</v>
      </c>
      <c r="AT224" s="54" t="s">
        <v>215</v>
      </c>
      <c r="AU224" s="49" t="s">
        <v>831</v>
      </c>
      <c r="AV224" s="51" t="s">
        <v>832</v>
      </c>
      <c r="AW224" s="51" t="s">
        <v>837</v>
      </c>
      <c r="AZ224" s="50">
        <f t="shared" si="56"/>
        <v>100</v>
      </c>
      <c r="BA224" s="50">
        <f t="shared" si="57"/>
        <v>46</v>
      </c>
      <c r="BB224" s="117">
        <f t="shared" si="58"/>
        <v>0.46</v>
      </c>
      <c r="BC224" s="50">
        <f t="shared" si="59"/>
        <v>54</v>
      </c>
      <c r="BD224" s="51"/>
      <c r="BE224" s="52">
        <f t="shared" si="50"/>
        <v>16.2</v>
      </c>
      <c r="BF224" s="52">
        <f t="shared" si="51"/>
        <v>16.2</v>
      </c>
      <c r="BG224" s="52">
        <f t="shared" si="52"/>
        <v>16.2</v>
      </c>
      <c r="BH224" s="52">
        <f t="shared" si="53"/>
        <v>5.4</v>
      </c>
      <c r="BI224" s="52">
        <f t="shared" si="54"/>
        <v>53.999999999999993</v>
      </c>
    </row>
    <row r="225" spans="1:61" x14ac:dyDescent="0.3">
      <c r="A225" s="39">
        <v>221</v>
      </c>
      <c r="B225" s="44" t="s">
        <v>207</v>
      </c>
      <c r="C225" s="44" t="s">
        <v>625</v>
      </c>
      <c r="D225" s="44" t="s">
        <v>87</v>
      </c>
      <c r="E225" s="44" t="s">
        <v>626</v>
      </c>
      <c r="F225" s="44" t="s">
        <v>627</v>
      </c>
      <c r="G225" s="36" t="s">
        <v>571</v>
      </c>
      <c r="H225" s="36" t="s">
        <v>628</v>
      </c>
      <c r="I225" s="36" t="s">
        <v>293</v>
      </c>
      <c r="J225" s="36" t="s">
        <v>648</v>
      </c>
      <c r="K225" s="33" t="s">
        <v>72</v>
      </c>
      <c r="L225" s="33" t="s">
        <v>73</v>
      </c>
      <c r="M225" s="36" t="s">
        <v>74</v>
      </c>
      <c r="N225" s="36" t="s">
        <v>649</v>
      </c>
      <c r="O225" s="36" t="s">
        <v>636</v>
      </c>
      <c r="P225" s="36" t="s">
        <v>653</v>
      </c>
      <c r="Q225" s="36" t="s">
        <v>97</v>
      </c>
      <c r="R225" s="37">
        <v>1</v>
      </c>
      <c r="S225" s="33" t="s">
        <v>651</v>
      </c>
      <c r="T225" s="39">
        <v>0</v>
      </c>
      <c r="U225" s="39">
        <v>0</v>
      </c>
      <c r="V225" s="40" t="e">
        <f t="shared" si="48"/>
        <v>#DIV/0!</v>
      </c>
      <c r="W225" s="39">
        <v>0</v>
      </c>
      <c r="X225" s="39">
        <v>0</v>
      </c>
      <c r="Y225" s="40" t="e">
        <f t="shared" si="1"/>
        <v>#DIV/0!</v>
      </c>
      <c r="Z225" s="39">
        <v>1</v>
      </c>
      <c r="AA225" s="39"/>
      <c r="AB225" s="40">
        <f t="shared" si="2"/>
        <v>0</v>
      </c>
      <c r="AC225" s="39"/>
      <c r="AD225" s="39"/>
      <c r="AE225" s="40" t="e">
        <f t="shared" si="3"/>
        <v>#DIV/0!</v>
      </c>
      <c r="AF225" s="41">
        <f t="shared" si="55"/>
        <v>1</v>
      </c>
      <c r="AG225" s="41">
        <f t="shared" si="49"/>
        <v>0</v>
      </c>
      <c r="AH225" s="42" t="e">
        <f t="shared" si="45"/>
        <v>#DIV/0!</v>
      </c>
      <c r="AI225" s="43">
        <v>46113</v>
      </c>
      <c r="AJ225" s="43">
        <v>46477</v>
      </c>
      <c r="AK225" s="44"/>
      <c r="AL225" s="44" t="s">
        <v>81</v>
      </c>
      <c r="AM225" s="45" t="s">
        <v>82</v>
      </c>
      <c r="AN225" s="46">
        <v>30000000</v>
      </c>
      <c r="AO225" s="46">
        <v>30000000</v>
      </c>
      <c r="AP225" s="46">
        <v>30000000</v>
      </c>
      <c r="AQ225" s="47">
        <v>0</v>
      </c>
      <c r="AR225" s="44" t="s">
        <v>654</v>
      </c>
      <c r="AS225" s="44" t="s">
        <v>647</v>
      </c>
      <c r="AT225" s="54" t="s">
        <v>215</v>
      </c>
      <c r="AU225" s="49" t="s">
        <v>831</v>
      </c>
      <c r="AV225" s="51" t="s">
        <v>832</v>
      </c>
      <c r="AW225" s="51" t="s">
        <v>837</v>
      </c>
      <c r="AZ225" s="50">
        <f t="shared" si="56"/>
        <v>1</v>
      </c>
      <c r="BA225" s="50">
        <f t="shared" si="57"/>
        <v>0</v>
      </c>
      <c r="BB225" s="117">
        <f t="shared" si="58"/>
        <v>0</v>
      </c>
      <c r="BC225" s="50">
        <f t="shared" si="59"/>
        <v>1</v>
      </c>
      <c r="BD225" s="51"/>
      <c r="BE225" s="52">
        <f t="shared" si="50"/>
        <v>0.3</v>
      </c>
      <c r="BF225" s="52">
        <f t="shared" si="51"/>
        <v>0.3</v>
      </c>
      <c r="BG225" s="52">
        <f t="shared" si="52"/>
        <v>0.3</v>
      </c>
      <c r="BH225" s="52">
        <f t="shared" si="53"/>
        <v>0.1</v>
      </c>
      <c r="BI225" s="52">
        <f t="shared" si="54"/>
        <v>0.99999999999999989</v>
      </c>
    </row>
    <row r="226" spans="1:61" x14ac:dyDescent="0.3">
      <c r="A226" s="39">
        <v>222</v>
      </c>
      <c r="B226" s="44" t="s">
        <v>655</v>
      </c>
      <c r="C226" s="44" t="s">
        <v>656</v>
      </c>
      <c r="D226" s="44" t="s">
        <v>585</v>
      </c>
      <c r="E226" s="44" t="s">
        <v>657</v>
      </c>
      <c r="F226" s="44" t="s">
        <v>658</v>
      </c>
      <c r="G226" s="36" t="s">
        <v>659</v>
      </c>
      <c r="H226" s="36" t="s">
        <v>659</v>
      </c>
      <c r="I226" s="36" t="s">
        <v>660</v>
      </c>
      <c r="J226" s="36" t="s">
        <v>661</v>
      </c>
      <c r="K226" s="33" t="s">
        <v>633</v>
      </c>
      <c r="L226" s="33" t="s">
        <v>73</v>
      </c>
      <c r="M226" s="36" t="s">
        <v>74</v>
      </c>
      <c r="N226" s="36" t="s">
        <v>662</v>
      </c>
      <c r="O226" s="36" t="s">
        <v>633</v>
      </c>
      <c r="P226" s="36" t="s">
        <v>663</v>
      </c>
      <c r="Q226" s="36" t="s">
        <v>97</v>
      </c>
      <c r="R226" s="37">
        <v>29</v>
      </c>
      <c r="S226" s="33" t="s">
        <v>644</v>
      </c>
      <c r="T226" s="39">
        <v>0</v>
      </c>
      <c r="U226" s="39">
        <v>0</v>
      </c>
      <c r="V226" s="40" t="e">
        <f t="shared" si="48"/>
        <v>#DIV/0!</v>
      </c>
      <c r="W226" s="39">
        <v>5</v>
      </c>
      <c r="X226" s="39">
        <v>0</v>
      </c>
      <c r="Y226" s="40">
        <f t="shared" si="1"/>
        <v>0</v>
      </c>
      <c r="Z226" s="39">
        <v>13</v>
      </c>
      <c r="AA226" s="39"/>
      <c r="AB226" s="40">
        <f t="shared" si="2"/>
        <v>0</v>
      </c>
      <c r="AC226" s="39">
        <v>11</v>
      </c>
      <c r="AD226" s="39"/>
      <c r="AE226" s="40">
        <f t="shared" si="3"/>
        <v>0</v>
      </c>
      <c r="AF226" s="41">
        <f t="shared" si="55"/>
        <v>29</v>
      </c>
      <c r="AG226" s="41">
        <f t="shared" si="49"/>
        <v>0</v>
      </c>
      <c r="AH226" s="42">
        <f t="shared" si="45"/>
        <v>0</v>
      </c>
      <c r="AI226" s="43">
        <v>46113</v>
      </c>
      <c r="AJ226" s="43">
        <v>46477</v>
      </c>
      <c r="AK226" s="44"/>
      <c r="AL226" s="44" t="s">
        <v>81</v>
      </c>
      <c r="AM226" s="45" t="s">
        <v>82</v>
      </c>
      <c r="AN226" s="46"/>
      <c r="AO226" s="46"/>
      <c r="AP226" s="46"/>
      <c r="AQ226" s="47"/>
      <c r="AR226" s="44" t="s">
        <v>654</v>
      </c>
      <c r="AS226" s="44" t="s">
        <v>647</v>
      </c>
      <c r="AT226" s="54" t="s">
        <v>645</v>
      </c>
      <c r="AU226" s="49" t="s">
        <v>831</v>
      </c>
      <c r="AV226" s="51" t="s">
        <v>832</v>
      </c>
      <c r="AW226" s="51" t="s">
        <v>840</v>
      </c>
      <c r="AZ226" s="50">
        <f t="shared" si="56"/>
        <v>29</v>
      </c>
      <c r="BA226" s="50">
        <f t="shared" si="57"/>
        <v>0</v>
      </c>
      <c r="BB226" s="117">
        <f t="shared" si="58"/>
        <v>0</v>
      </c>
      <c r="BC226" s="50">
        <f t="shared" si="59"/>
        <v>29</v>
      </c>
      <c r="BD226" s="51"/>
      <c r="BE226" s="52">
        <f t="shared" si="50"/>
        <v>8.6999999999999993</v>
      </c>
      <c r="BF226" s="52">
        <f t="shared" si="51"/>
        <v>8.6999999999999993</v>
      </c>
      <c r="BG226" s="52">
        <f t="shared" si="52"/>
        <v>8.6999999999999993</v>
      </c>
      <c r="BH226" s="52">
        <f t="shared" si="53"/>
        <v>2.9000000000000004</v>
      </c>
      <c r="BI226" s="52">
        <f t="shared" si="54"/>
        <v>29</v>
      </c>
    </row>
    <row r="227" spans="1:61" x14ac:dyDescent="0.3">
      <c r="A227" s="39">
        <v>223</v>
      </c>
      <c r="B227" s="44" t="s">
        <v>664</v>
      </c>
      <c r="C227" s="44" t="s">
        <v>656</v>
      </c>
      <c r="D227" s="44" t="s">
        <v>585</v>
      </c>
      <c r="E227" s="44" t="s">
        <v>665</v>
      </c>
      <c r="F227" s="44" t="s">
        <v>666</v>
      </c>
      <c r="G227" s="36" t="s">
        <v>659</v>
      </c>
      <c r="H227" s="36" t="s">
        <v>659</v>
      </c>
      <c r="I227" s="36" t="s">
        <v>660</v>
      </c>
      <c r="J227" s="36" t="s">
        <v>667</v>
      </c>
      <c r="K227" s="33" t="s">
        <v>636</v>
      </c>
      <c r="L227" s="33" t="s">
        <v>73</v>
      </c>
      <c r="M227" s="36" t="s">
        <v>74</v>
      </c>
      <c r="N227" s="36" t="s">
        <v>668</v>
      </c>
      <c r="O227" s="36" t="s">
        <v>636</v>
      </c>
      <c r="P227" s="36" t="s">
        <v>669</v>
      </c>
      <c r="Q227" s="36" t="s">
        <v>97</v>
      </c>
      <c r="R227" s="37">
        <v>29</v>
      </c>
      <c r="S227" s="33" t="s">
        <v>644</v>
      </c>
      <c r="T227" s="39">
        <v>0</v>
      </c>
      <c r="U227" s="39">
        <v>0</v>
      </c>
      <c r="V227" s="40" t="e">
        <f t="shared" si="48"/>
        <v>#DIV/0!</v>
      </c>
      <c r="W227" s="39">
        <v>5</v>
      </c>
      <c r="X227" s="39">
        <v>0</v>
      </c>
      <c r="Y227" s="40">
        <f t="shared" si="1"/>
        <v>0</v>
      </c>
      <c r="Z227" s="39">
        <v>13</v>
      </c>
      <c r="AA227" s="39"/>
      <c r="AB227" s="40">
        <f t="shared" si="2"/>
        <v>0</v>
      </c>
      <c r="AC227" s="39">
        <v>11</v>
      </c>
      <c r="AD227" s="39"/>
      <c r="AE227" s="40">
        <f t="shared" si="3"/>
        <v>0</v>
      </c>
      <c r="AF227" s="41">
        <f t="shared" si="55"/>
        <v>29</v>
      </c>
      <c r="AG227" s="41">
        <f t="shared" si="49"/>
        <v>0</v>
      </c>
      <c r="AH227" s="42">
        <f t="shared" si="45"/>
        <v>0</v>
      </c>
      <c r="AI227" s="43">
        <v>46113</v>
      </c>
      <c r="AJ227" s="43">
        <v>46477</v>
      </c>
      <c r="AK227" s="44"/>
      <c r="AL227" s="44"/>
      <c r="AM227" s="45"/>
      <c r="AN227" s="46"/>
      <c r="AO227" s="46"/>
      <c r="AP227" s="46"/>
      <c r="AQ227" s="47"/>
      <c r="AR227" s="44" t="s">
        <v>670</v>
      </c>
      <c r="AS227" s="44" t="s">
        <v>647</v>
      </c>
      <c r="AT227" s="54" t="s">
        <v>645</v>
      </c>
      <c r="AU227" s="49" t="s">
        <v>831</v>
      </c>
      <c r="AV227" s="51" t="s">
        <v>850</v>
      </c>
      <c r="AZ227" s="50">
        <f t="shared" si="56"/>
        <v>29</v>
      </c>
      <c r="BA227" s="50">
        <f t="shared" si="57"/>
        <v>0</v>
      </c>
      <c r="BB227" s="117">
        <f t="shared" si="58"/>
        <v>0</v>
      </c>
      <c r="BC227" s="50">
        <f t="shared" si="59"/>
        <v>29</v>
      </c>
      <c r="BD227" s="51"/>
      <c r="BE227" s="52">
        <f t="shared" si="50"/>
        <v>8.6999999999999993</v>
      </c>
      <c r="BF227" s="52">
        <f t="shared" si="51"/>
        <v>8.6999999999999993</v>
      </c>
      <c r="BG227" s="52">
        <f t="shared" si="52"/>
        <v>8.6999999999999993</v>
      </c>
      <c r="BH227" s="52">
        <f t="shared" si="53"/>
        <v>2.9000000000000004</v>
      </c>
      <c r="BI227" s="52">
        <f t="shared" si="54"/>
        <v>29</v>
      </c>
    </row>
    <row r="228" spans="1:61" x14ac:dyDescent="0.3">
      <c r="A228" s="39">
        <v>224</v>
      </c>
      <c r="B228" s="44" t="s">
        <v>238</v>
      </c>
      <c r="C228" s="44" t="s">
        <v>656</v>
      </c>
      <c r="D228" s="44" t="s">
        <v>585</v>
      </c>
      <c r="E228" s="44" t="s">
        <v>665</v>
      </c>
      <c r="F228" s="44" t="s">
        <v>666</v>
      </c>
      <c r="G228" s="36" t="s">
        <v>659</v>
      </c>
      <c r="H228" s="36" t="s">
        <v>671</v>
      </c>
      <c r="I228" s="36" t="s">
        <v>672</v>
      </c>
      <c r="J228" s="36" t="s">
        <v>673</v>
      </c>
      <c r="K228" s="33" t="s">
        <v>636</v>
      </c>
      <c r="L228" s="33" t="s">
        <v>73</v>
      </c>
      <c r="M228" s="36" t="s">
        <v>74</v>
      </c>
      <c r="N228" s="36" t="s">
        <v>673</v>
      </c>
      <c r="O228" s="36" t="s">
        <v>636</v>
      </c>
      <c r="P228" s="36" t="s">
        <v>674</v>
      </c>
      <c r="Q228" s="36" t="s">
        <v>97</v>
      </c>
      <c r="R228" s="37">
        <v>29</v>
      </c>
      <c r="S228" s="33" t="s">
        <v>644</v>
      </c>
      <c r="T228" s="39">
        <v>0</v>
      </c>
      <c r="U228" s="39">
        <v>0</v>
      </c>
      <c r="V228" s="40" t="e">
        <f t="shared" si="48"/>
        <v>#DIV/0!</v>
      </c>
      <c r="W228" s="39">
        <v>5</v>
      </c>
      <c r="X228" s="39">
        <v>0</v>
      </c>
      <c r="Y228" s="40">
        <f t="shared" si="1"/>
        <v>0</v>
      </c>
      <c r="Z228" s="39">
        <v>13</v>
      </c>
      <c r="AA228" s="39"/>
      <c r="AB228" s="40">
        <f t="shared" si="2"/>
        <v>0</v>
      </c>
      <c r="AC228" s="39">
        <v>11</v>
      </c>
      <c r="AD228" s="39"/>
      <c r="AE228" s="40">
        <f t="shared" si="3"/>
        <v>0</v>
      </c>
      <c r="AF228" s="41">
        <f t="shared" si="55"/>
        <v>29</v>
      </c>
      <c r="AG228" s="41">
        <f t="shared" si="49"/>
        <v>0</v>
      </c>
      <c r="AH228" s="42">
        <f t="shared" si="45"/>
        <v>0</v>
      </c>
      <c r="AI228" s="43">
        <v>46113</v>
      </c>
      <c r="AJ228" s="43">
        <v>46477</v>
      </c>
      <c r="AK228" s="44"/>
      <c r="AL228" s="44"/>
      <c r="AM228" s="45"/>
      <c r="AN228" s="46"/>
      <c r="AO228" s="46"/>
      <c r="AP228" s="46"/>
      <c r="AQ228" s="47"/>
      <c r="AR228" s="44" t="s">
        <v>83</v>
      </c>
      <c r="AS228" s="44"/>
      <c r="AT228" s="54" t="s">
        <v>645</v>
      </c>
      <c r="AU228" s="49" t="s">
        <v>831</v>
      </c>
      <c r="AV228" s="51" t="s">
        <v>850</v>
      </c>
      <c r="AZ228" s="50">
        <f t="shared" si="56"/>
        <v>29</v>
      </c>
      <c r="BA228" s="50">
        <f t="shared" si="57"/>
        <v>0</v>
      </c>
      <c r="BB228" s="117">
        <f t="shared" si="58"/>
        <v>0</v>
      </c>
      <c r="BC228" s="50">
        <f t="shared" si="59"/>
        <v>29</v>
      </c>
      <c r="BD228" s="51"/>
      <c r="BE228" s="52">
        <f t="shared" si="50"/>
        <v>8.6999999999999993</v>
      </c>
      <c r="BF228" s="52">
        <f t="shared" si="51"/>
        <v>8.6999999999999993</v>
      </c>
      <c r="BG228" s="52">
        <f t="shared" si="52"/>
        <v>8.6999999999999993</v>
      </c>
      <c r="BH228" s="52">
        <f t="shared" si="53"/>
        <v>2.9000000000000004</v>
      </c>
      <c r="BI228" s="52">
        <f t="shared" si="54"/>
        <v>29</v>
      </c>
    </row>
    <row r="229" spans="1:61" x14ac:dyDescent="0.3">
      <c r="A229" s="39">
        <v>225</v>
      </c>
      <c r="B229" s="44" t="s">
        <v>655</v>
      </c>
      <c r="C229" s="44" t="s">
        <v>656</v>
      </c>
      <c r="D229" s="44" t="s">
        <v>585</v>
      </c>
      <c r="E229" s="44" t="s">
        <v>665</v>
      </c>
      <c r="F229" s="44" t="s">
        <v>666</v>
      </c>
      <c r="G229" s="36" t="s">
        <v>659</v>
      </c>
      <c r="H229" s="36" t="s">
        <v>671</v>
      </c>
      <c r="I229" s="36" t="s">
        <v>675</v>
      </c>
      <c r="J229" s="36" t="s">
        <v>676</v>
      </c>
      <c r="K229" s="33" t="s">
        <v>636</v>
      </c>
      <c r="L229" s="33" t="s">
        <v>73</v>
      </c>
      <c r="M229" s="36" t="s">
        <v>74</v>
      </c>
      <c r="N229" s="36" t="s">
        <v>677</v>
      </c>
      <c r="O229" s="36" t="s">
        <v>636</v>
      </c>
      <c r="P229" s="36" t="s">
        <v>678</v>
      </c>
      <c r="Q229" s="36" t="s">
        <v>97</v>
      </c>
      <c r="R229" s="37">
        <v>29</v>
      </c>
      <c r="S229" s="33" t="s">
        <v>644</v>
      </c>
      <c r="T229" s="39">
        <v>0</v>
      </c>
      <c r="U229" s="39">
        <v>0</v>
      </c>
      <c r="V229" s="40" t="e">
        <f t="shared" si="48"/>
        <v>#DIV/0!</v>
      </c>
      <c r="W229" s="39">
        <v>5</v>
      </c>
      <c r="X229" s="39">
        <v>0</v>
      </c>
      <c r="Y229" s="40">
        <f t="shared" si="1"/>
        <v>0</v>
      </c>
      <c r="Z229" s="39">
        <v>13</v>
      </c>
      <c r="AA229" s="39"/>
      <c r="AB229" s="40">
        <f t="shared" si="2"/>
        <v>0</v>
      </c>
      <c r="AC229" s="39">
        <v>11</v>
      </c>
      <c r="AD229" s="39"/>
      <c r="AE229" s="40">
        <f t="shared" si="3"/>
        <v>0</v>
      </c>
      <c r="AF229" s="41">
        <f t="shared" si="55"/>
        <v>29</v>
      </c>
      <c r="AG229" s="41">
        <f t="shared" si="49"/>
        <v>0</v>
      </c>
      <c r="AH229" s="42">
        <f t="shared" si="45"/>
        <v>0</v>
      </c>
      <c r="AI229" s="43">
        <v>46113</v>
      </c>
      <c r="AJ229" s="43">
        <v>46477</v>
      </c>
      <c r="AK229" s="44"/>
      <c r="AL229" s="44" t="s">
        <v>81</v>
      </c>
      <c r="AM229" s="45" t="s">
        <v>82</v>
      </c>
      <c r="AN229" s="46"/>
      <c r="AO229" s="46"/>
      <c r="AP229" s="46"/>
      <c r="AQ229" s="47"/>
      <c r="AR229" s="44" t="s">
        <v>670</v>
      </c>
      <c r="AS229" s="44"/>
      <c r="AT229" s="54" t="s">
        <v>645</v>
      </c>
      <c r="AU229" s="49" t="s">
        <v>831</v>
      </c>
      <c r="AV229" s="51" t="s">
        <v>850</v>
      </c>
      <c r="AZ229" s="50">
        <f t="shared" si="56"/>
        <v>29</v>
      </c>
      <c r="BA229" s="50">
        <f t="shared" si="57"/>
        <v>0</v>
      </c>
      <c r="BB229" s="117">
        <f t="shared" si="58"/>
        <v>0</v>
      </c>
      <c r="BC229" s="50">
        <f t="shared" si="59"/>
        <v>29</v>
      </c>
      <c r="BD229" s="51"/>
      <c r="BE229" s="52">
        <f t="shared" si="50"/>
        <v>8.6999999999999993</v>
      </c>
      <c r="BF229" s="52">
        <f t="shared" si="51"/>
        <v>8.6999999999999993</v>
      </c>
      <c r="BG229" s="52">
        <f t="shared" si="52"/>
        <v>8.6999999999999993</v>
      </c>
      <c r="BH229" s="52">
        <f t="shared" si="53"/>
        <v>2.9000000000000004</v>
      </c>
      <c r="BI229" s="52">
        <f t="shared" si="54"/>
        <v>29</v>
      </c>
    </row>
    <row r="230" spans="1:61" x14ac:dyDescent="0.3">
      <c r="A230" s="39">
        <v>226</v>
      </c>
      <c r="B230" s="44" t="s">
        <v>679</v>
      </c>
      <c r="C230" s="44" t="s">
        <v>86</v>
      </c>
      <c r="D230" s="44" t="s">
        <v>87</v>
      </c>
      <c r="E230" s="44" t="s">
        <v>680</v>
      </c>
      <c r="F230" s="44" t="s">
        <v>681</v>
      </c>
      <c r="G230" s="36" t="s">
        <v>682</v>
      </c>
      <c r="H230" s="36" t="s">
        <v>683</v>
      </c>
      <c r="I230" s="36" t="s">
        <v>70</v>
      </c>
      <c r="J230" s="36" t="s">
        <v>684</v>
      </c>
      <c r="K230" s="33" t="s">
        <v>685</v>
      </c>
      <c r="L230" s="33" t="s">
        <v>686</v>
      </c>
      <c r="M230" s="66">
        <v>2020002470037</v>
      </c>
      <c r="N230" s="36" t="s">
        <v>687</v>
      </c>
      <c r="O230" s="36" t="s">
        <v>631</v>
      </c>
      <c r="P230" s="36" t="s">
        <v>688</v>
      </c>
      <c r="Q230" s="36" t="s">
        <v>97</v>
      </c>
      <c r="R230" s="37">
        <v>4</v>
      </c>
      <c r="S230" s="33" t="s">
        <v>79</v>
      </c>
      <c r="T230" s="39"/>
      <c r="U230" s="39"/>
      <c r="V230" s="40" t="e">
        <f t="shared" si="48"/>
        <v>#DIV/0!</v>
      </c>
      <c r="W230" s="39">
        <v>5</v>
      </c>
      <c r="X230" s="39"/>
      <c r="Y230" s="40">
        <f t="shared" si="1"/>
        <v>0</v>
      </c>
      <c r="Z230" s="39">
        <v>13</v>
      </c>
      <c r="AA230" s="39"/>
      <c r="AB230" s="40">
        <f t="shared" si="2"/>
        <v>0</v>
      </c>
      <c r="AC230" s="39">
        <v>11</v>
      </c>
      <c r="AD230" s="39"/>
      <c r="AE230" s="40">
        <f t="shared" si="3"/>
        <v>0</v>
      </c>
      <c r="AF230" s="41">
        <f t="shared" si="55"/>
        <v>4</v>
      </c>
      <c r="AG230" s="41">
        <f t="shared" si="49"/>
        <v>0</v>
      </c>
      <c r="AH230" s="42">
        <f t="shared" si="45"/>
        <v>0</v>
      </c>
      <c r="AI230" s="43">
        <v>46113</v>
      </c>
      <c r="AJ230" s="43">
        <v>46477</v>
      </c>
      <c r="AK230" s="44"/>
      <c r="AL230" s="44"/>
      <c r="AM230" s="45"/>
      <c r="AN230" s="46">
        <v>10826626481</v>
      </c>
      <c r="AO230" s="46">
        <v>10826626481</v>
      </c>
      <c r="AP230" s="46">
        <v>10826626481</v>
      </c>
      <c r="AQ230" s="47">
        <v>0</v>
      </c>
      <c r="AR230" s="44" t="s">
        <v>83</v>
      </c>
      <c r="AS230" s="44"/>
      <c r="AT230" s="48" t="s">
        <v>689</v>
      </c>
      <c r="AU230" s="44" t="s">
        <v>831</v>
      </c>
      <c r="AV230" s="51" t="s">
        <v>851</v>
      </c>
      <c r="AZ230" s="50">
        <f t="shared" si="56"/>
        <v>4</v>
      </c>
      <c r="BA230" s="50">
        <f t="shared" si="57"/>
        <v>0</v>
      </c>
      <c r="BB230" s="117">
        <f t="shared" si="58"/>
        <v>0</v>
      </c>
      <c r="BC230" s="50">
        <f t="shared" si="59"/>
        <v>4</v>
      </c>
      <c r="BD230" s="51"/>
      <c r="BE230" s="52">
        <f t="shared" si="50"/>
        <v>1.2</v>
      </c>
      <c r="BF230" s="52">
        <f t="shared" si="51"/>
        <v>1.2</v>
      </c>
      <c r="BG230" s="52">
        <f t="shared" si="52"/>
        <v>1.2</v>
      </c>
      <c r="BH230" s="52">
        <f t="shared" si="53"/>
        <v>0.4</v>
      </c>
      <c r="BI230" s="52">
        <f t="shared" si="54"/>
        <v>3.9999999999999996</v>
      </c>
    </row>
    <row r="231" spans="1:61" x14ac:dyDescent="0.3">
      <c r="A231" s="39">
        <v>227</v>
      </c>
      <c r="B231" s="44" t="s">
        <v>679</v>
      </c>
      <c r="C231" s="44" t="s">
        <v>86</v>
      </c>
      <c r="D231" s="44" t="s">
        <v>87</v>
      </c>
      <c r="E231" s="44" t="s">
        <v>680</v>
      </c>
      <c r="F231" s="44" t="s">
        <v>690</v>
      </c>
      <c r="G231" s="36" t="s">
        <v>682</v>
      </c>
      <c r="H231" s="36" t="s">
        <v>691</v>
      </c>
      <c r="I231" s="36" t="s">
        <v>70</v>
      </c>
      <c r="J231" s="36" t="s">
        <v>684</v>
      </c>
      <c r="K231" s="33" t="s">
        <v>685</v>
      </c>
      <c r="L231" s="33" t="s">
        <v>686</v>
      </c>
      <c r="M231" s="66">
        <v>2020002470037</v>
      </c>
      <c r="N231" s="36" t="s">
        <v>687</v>
      </c>
      <c r="O231" s="36" t="s">
        <v>631</v>
      </c>
      <c r="P231" s="36" t="s">
        <v>692</v>
      </c>
      <c r="Q231" s="36" t="s">
        <v>97</v>
      </c>
      <c r="R231" s="37">
        <v>60</v>
      </c>
      <c r="S231" s="33" t="s">
        <v>79</v>
      </c>
      <c r="T231" s="39"/>
      <c r="U231" s="39"/>
      <c r="V231" s="40" t="e">
        <f t="shared" si="48"/>
        <v>#DIV/0!</v>
      </c>
      <c r="W231" s="39">
        <v>5</v>
      </c>
      <c r="X231" s="39"/>
      <c r="Y231" s="40">
        <f t="shared" si="1"/>
        <v>0</v>
      </c>
      <c r="Z231" s="39">
        <v>13</v>
      </c>
      <c r="AA231" s="39"/>
      <c r="AB231" s="40">
        <f t="shared" si="2"/>
        <v>0</v>
      </c>
      <c r="AC231" s="39">
        <v>11</v>
      </c>
      <c r="AD231" s="39"/>
      <c r="AE231" s="40">
        <f t="shared" si="3"/>
        <v>0</v>
      </c>
      <c r="AF231" s="41">
        <f t="shared" si="55"/>
        <v>60</v>
      </c>
      <c r="AG231" s="41">
        <f t="shared" si="49"/>
        <v>0</v>
      </c>
      <c r="AH231" s="42">
        <f t="shared" si="45"/>
        <v>0</v>
      </c>
      <c r="AI231" s="43">
        <v>46113</v>
      </c>
      <c r="AJ231" s="43">
        <v>46477</v>
      </c>
      <c r="AK231" s="44"/>
      <c r="AL231" s="44"/>
      <c r="AM231" s="45"/>
      <c r="AN231" s="46">
        <v>300000000</v>
      </c>
      <c r="AO231" s="46">
        <v>300000000</v>
      </c>
      <c r="AP231" s="46">
        <v>300000000</v>
      </c>
      <c r="AQ231" s="47">
        <v>0</v>
      </c>
      <c r="AR231" s="44" t="s">
        <v>83</v>
      </c>
      <c r="AS231" s="44"/>
      <c r="AT231" s="48" t="s">
        <v>689</v>
      </c>
      <c r="AU231" s="44" t="s">
        <v>831</v>
      </c>
      <c r="AV231" s="51" t="s">
        <v>851</v>
      </c>
      <c r="AZ231" s="50">
        <f t="shared" si="56"/>
        <v>60</v>
      </c>
      <c r="BA231" s="50">
        <f t="shared" si="57"/>
        <v>0</v>
      </c>
      <c r="BB231" s="117">
        <f t="shared" si="58"/>
        <v>0</v>
      </c>
      <c r="BC231" s="50">
        <f t="shared" si="59"/>
        <v>60</v>
      </c>
      <c r="BD231" s="51"/>
      <c r="BE231" s="52">
        <f t="shared" si="50"/>
        <v>18</v>
      </c>
      <c r="BF231" s="52">
        <f t="shared" si="51"/>
        <v>18</v>
      </c>
      <c r="BG231" s="52">
        <f t="shared" si="52"/>
        <v>18</v>
      </c>
      <c r="BH231" s="52">
        <f t="shared" si="53"/>
        <v>6</v>
      </c>
      <c r="BI231" s="52">
        <f t="shared" si="54"/>
        <v>60</v>
      </c>
    </row>
    <row r="232" spans="1:61" x14ac:dyDescent="0.3">
      <c r="A232" s="39">
        <v>228</v>
      </c>
      <c r="B232" s="44" t="s">
        <v>679</v>
      </c>
      <c r="C232" s="44" t="s">
        <v>86</v>
      </c>
      <c r="D232" s="44" t="s">
        <v>87</v>
      </c>
      <c r="E232" s="44" t="s">
        <v>680</v>
      </c>
      <c r="F232" s="44" t="s">
        <v>690</v>
      </c>
      <c r="G232" s="36" t="s">
        <v>682</v>
      </c>
      <c r="H232" s="36" t="s">
        <v>691</v>
      </c>
      <c r="I232" s="36" t="s">
        <v>70</v>
      </c>
      <c r="J232" s="36" t="s">
        <v>684</v>
      </c>
      <c r="K232" s="33" t="s">
        <v>685</v>
      </c>
      <c r="L232" s="33" t="s">
        <v>686</v>
      </c>
      <c r="M232" s="66">
        <v>2020002470037</v>
      </c>
      <c r="N232" s="36" t="s">
        <v>687</v>
      </c>
      <c r="O232" s="36" t="s">
        <v>631</v>
      </c>
      <c r="P232" s="36" t="s">
        <v>693</v>
      </c>
      <c r="Q232" s="36" t="s">
        <v>97</v>
      </c>
      <c r="R232" s="37">
        <v>60</v>
      </c>
      <c r="S232" s="33" t="s">
        <v>79</v>
      </c>
      <c r="T232" s="39"/>
      <c r="U232" s="39"/>
      <c r="V232" s="40" t="e">
        <f t="shared" si="48"/>
        <v>#DIV/0!</v>
      </c>
      <c r="W232" s="39">
        <v>5</v>
      </c>
      <c r="X232" s="39"/>
      <c r="Y232" s="40">
        <f t="shared" si="1"/>
        <v>0</v>
      </c>
      <c r="Z232" s="39">
        <v>13</v>
      </c>
      <c r="AA232" s="39"/>
      <c r="AB232" s="40">
        <f t="shared" si="2"/>
        <v>0</v>
      </c>
      <c r="AC232" s="39">
        <v>11</v>
      </c>
      <c r="AD232" s="39"/>
      <c r="AE232" s="40">
        <f t="shared" si="3"/>
        <v>0</v>
      </c>
      <c r="AF232" s="41">
        <f t="shared" si="55"/>
        <v>60</v>
      </c>
      <c r="AG232" s="41">
        <f t="shared" si="49"/>
        <v>0</v>
      </c>
      <c r="AH232" s="42">
        <f t="shared" si="45"/>
        <v>0</v>
      </c>
      <c r="AI232" s="43">
        <v>46113</v>
      </c>
      <c r="AJ232" s="43">
        <v>46477</v>
      </c>
      <c r="AK232" s="44"/>
      <c r="AL232" s="44"/>
      <c r="AM232" s="45"/>
      <c r="AN232" s="46">
        <v>4926057603</v>
      </c>
      <c r="AO232" s="46">
        <v>4926057603</v>
      </c>
      <c r="AP232" s="46">
        <v>4926057603</v>
      </c>
      <c r="AQ232" s="47">
        <v>0</v>
      </c>
      <c r="AR232" s="44" t="s">
        <v>83</v>
      </c>
      <c r="AS232" s="44"/>
      <c r="AT232" s="48" t="s">
        <v>689</v>
      </c>
      <c r="AU232" s="44" t="s">
        <v>831</v>
      </c>
      <c r="AV232" s="51" t="s">
        <v>851</v>
      </c>
      <c r="AZ232" s="50">
        <f t="shared" si="56"/>
        <v>60</v>
      </c>
      <c r="BA232" s="50">
        <f t="shared" si="57"/>
        <v>0</v>
      </c>
      <c r="BB232" s="117">
        <f t="shared" si="58"/>
        <v>0</v>
      </c>
      <c r="BC232" s="50">
        <f t="shared" si="59"/>
        <v>60</v>
      </c>
      <c r="BD232" s="51"/>
      <c r="BE232" s="52">
        <f t="shared" si="50"/>
        <v>18</v>
      </c>
      <c r="BF232" s="52">
        <f t="shared" si="51"/>
        <v>18</v>
      </c>
      <c r="BG232" s="52">
        <f t="shared" si="52"/>
        <v>18</v>
      </c>
      <c r="BH232" s="52">
        <f t="shared" si="53"/>
        <v>6</v>
      </c>
      <c r="BI232" s="52">
        <f t="shared" si="54"/>
        <v>60</v>
      </c>
    </row>
    <row r="233" spans="1:61" x14ac:dyDescent="0.3">
      <c r="A233" s="39">
        <v>229</v>
      </c>
      <c r="B233" s="44" t="s">
        <v>679</v>
      </c>
      <c r="C233" s="44" t="s">
        <v>86</v>
      </c>
      <c r="D233" s="44" t="s">
        <v>87</v>
      </c>
      <c r="E233" s="44" t="s">
        <v>680</v>
      </c>
      <c r="F233" s="44" t="s">
        <v>690</v>
      </c>
      <c r="G233" s="36" t="s">
        <v>682</v>
      </c>
      <c r="H233" s="36" t="s">
        <v>691</v>
      </c>
      <c r="I233" s="36" t="s">
        <v>70</v>
      </c>
      <c r="J233" s="36" t="s">
        <v>684</v>
      </c>
      <c r="K233" s="33" t="s">
        <v>685</v>
      </c>
      <c r="L233" s="33" t="s">
        <v>686</v>
      </c>
      <c r="M233" s="66">
        <v>2020002470037</v>
      </c>
      <c r="N233" s="36" t="s">
        <v>687</v>
      </c>
      <c r="O233" s="36" t="s">
        <v>631</v>
      </c>
      <c r="P233" s="36" t="s">
        <v>694</v>
      </c>
      <c r="Q233" s="36" t="s">
        <v>97</v>
      </c>
      <c r="R233" s="37">
        <v>58</v>
      </c>
      <c r="S233" s="33" t="s">
        <v>79</v>
      </c>
      <c r="T233" s="39"/>
      <c r="U233" s="39"/>
      <c r="V233" s="40" t="e">
        <f t="shared" si="48"/>
        <v>#DIV/0!</v>
      </c>
      <c r="W233" s="39">
        <v>5</v>
      </c>
      <c r="X233" s="39"/>
      <c r="Y233" s="40">
        <f t="shared" si="1"/>
        <v>0</v>
      </c>
      <c r="Z233" s="39">
        <v>13</v>
      </c>
      <c r="AA233" s="39"/>
      <c r="AB233" s="40">
        <f t="shared" si="2"/>
        <v>0</v>
      </c>
      <c r="AC233" s="39">
        <v>11</v>
      </c>
      <c r="AD233" s="39"/>
      <c r="AE233" s="40">
        <f t="shared" si="3"/>
        <v>0</v>
      </c>
      <c r="AF233" s="41">
        <f t="shared" si="55"/>
        <v>58</v>
      </c>
      <c r="AG233" s="41">
        <f t="shared" si="49"/>
        <v>0</v>
      </c>
      <c r="AH233" s="42">
        <f t="shared" si="45"/>
        <v>0</v>
      </c>
      <c r="AI233" s="43">
        <v>46113</v>
      </c>
      <c r="AJ233" s="43">
        <v>46477</v>
      </c>
      <c r="AK233" s="44"/>
      <c r="AL233" s="44"/>
      <c r="AM233" s="45"/>
      <c r="AN233" s="46">
        <v>1782154298</v>
      </c>
      <c r="AO233" s="46">
        <v>1782154298</v>
      </c>
      <c r="AP233" s="46">
        <v>1782154298</v>
      </c>
      <c r="AQ233" s="47">
        <v>0</v>
      </c>
      <c r="AR233" s="44" t="s">
        <v>83</v>
      </c>
      <c r="AS233" s="44"/>
      <c r="AT233" s="48" t="s">
        <v>689</v>
      </c>
      <c r="AU233" s="44" t="s">
        <v>831</v>
      </c>
      <c r="AV233" s="51" t="s">
        <v>851</v>
      </c>
      <c r="AZ233" s="50">
        <f t="shared" si="56"/>
        <v>58</v>
      </c>
      <c r="BA233" s="50">
        <f t="shared" si="57"/>
        <v>0</v>
      </c>
      <c r="BB233" s="117">
        <f t="shared" si="58"/>
        <v>0</v>
      </c>
      <c r="BC233" s="50">
        <f t="shared" si="59"/>
        <v>58</v>
      </c>
      <c r="BD233" s="51"/>
      <c r="BE233" s="52">
        <f t="shared" si="50"/>
        <v>17.399999999999999</v>
      </c>
      <c r="BF233" s="52">
        <f t="shared" si="51"/>
        <v>17.399999999999999</v>
      </c>
      <c r="BG233" s="52">
        <f t="shared" si="52"/>
        <v>17.399999999999999</v>
      </c>
      <c r="BH233" s="52">
        <f t="shared" si="53"/>
        <v>5.8000000000000007</v>
      </c>
      <c r="BI233" s="52">
        <f t="shared" si="54"/>
        <v>58</v>
      </c>
    </row>
    <row r="234" spans="1:61" x14ac:dyDescent="0.3">
      <c r="A234" s="39">
        <v>230</v>
      </c>
      <c r="B234" s="44" t="s">
        <v>679</v>
      </c>
      <c r="C234" s="44" t="s">
        <v>86</v>
      </c>
      <c r="D234" s="44" t="s">
        <v>87</v>
      </c>
      <c r="E234" s="44" t="s">
        <v>680</v>
      </c>
      <c r="F234" s="44" t="s">
        <v>690</v>
      </c>
      <c r="G234" s="36" t="s">
        <v>682</v>
      </c>
      <c r="H234" s="36" t="s">
        <v>691</v>
      </c>
      <c r="I234" s="36" t="s">
        <v>70</v>
      </c>
      <c r="J234" s="36" t="s">
        <v>684</v>
      </c>
      <c r="K234" s="33" t="s">
        <v>685</v>
      </c>
      <c r="L234" s="33" t="s">
        <v>686</v>
      </c>
      <c r="M234" s="66">
        <v>2020002470037</v>
      </c>
      <c r="N234" s="36" t="s">
        <v>687</v>
      </c>
      <c r="O234" s="36" t="s">
        <v>631</v>
      </c>
      <c r="P234" s="36" t="s">
        <v>695</v>
      </c>
      <c r="Q234" s="36" t="s">
        <v>97</v>
      </c>
      <c r="R234" s="37">
        <v>68986</v>
      </c>
      <c r="S234" s="33" t="s">
        <v>79</v>
      </c>
      <c r="T234" s="39">
        <v>1</v>
      </c>
      <c r="U234" s="39"/>
      <c r="V234" s="40">
        <f t="shared" si="48"/>
        <v>0</v>
      </c>
      <c r="W234" s="39">
        <v>1</v>
      </c>
      <c r="X234" s="39"/>
      <c r="Y234" s="40">
        <f t="shared" si="1"/>
        <v>0</v>
      </c>
      <c r="Z234" s="39">
        <v>1</v>
      </c>
      <c r="AA234" s="39"/>
      <c r="AB234" s="40">
        <f t="shared" si="2"/>
        <v>0</v>
      </c>
      <c r="AC234" s="39">
        <v>1</v>
      </c>
      <c r="AD234" s="39"/>
      <c r="AE234" s="40">
        <f t="shared" si="3"/>
        <v>0</v>
      </c>
      <c r="AF234" s="41">
        <f t="shared" si="55"/>
        <v>68986</v>
      </c>
      <c r="AG234" s="41">
        <f t="shared" si="49"/>
        <v>0</v>
      </c>
      <c r="AH234" s="42">
        <f t="shared" si="45"/>
        <v>0</v>
      </c>
      <c r="AI234" s="43">
        <v>46113</v>
      </c>
      <c r="AJ234" s="43">
        <v>46477</v>
      </c>
      <c r="AK234" s="44"/>
      <c r="AL234" s="44" t="s">
        <v>696</v>
      </c>
      <c r="AM234" s="45" t="s">
        <v>697</v>
      </c>
      <c r="AN234" s="46">
        <v>9064996090</v>
      </c>
      <c r="AO234" s="46">
        <v>9064996090</v>
      </c>
      <c r="AP234" s="46">
        <v>9064996090</v>
      </c>
      <c r="AQ234" s="47">
        <v>0</v>
      </c>
      <c r="AR234" s="44" t="s">
        <v>83</v>
      </c>
      <c r="AS234" s="44" t="s">
        <v>698</v>
      </c>
      <c r="AT234" s="48" t="s">
        <v>689</v>
      </c>
      <c r="AU234" s="44" t="s">
        <v>831</v>
      </c>
      <c r="AV234" s="51" t="s">
        <v>851</v>
      </c>
      <c r="AZ234" s="50">
        <f t="shared" si="56"/>
        <v>68986</v>
      </c>
      <c r="BA234" s="50">
        <f t="shared" si="57"/>
        <v>0</v>
      </c>
      <c r="BB234" s="117">
        <f t="shared" si="58"/>
        <v>0</v>
      </c>
      <c r="BC234" s="50">
        <f t="shared" si="59"/>
        <v>68986</v>
      </c>
      <c r="BD234" s="51"/>
      <c r="BE234" s="52">
        <f t="shared" si="50"/>
        <v>20695.8</v>
      </c>
      <c r="BF234" s="52">
        <f t="shared" si="51"/>
        <v>20695.8</v>
      </c>
      <c r="BG234" s="52">
        <f t="shared" si="52"/>
        <v>20695.8</v>
      </c>
      <c r="BH234" s="52">
        <f t="shared" si="53"/>
        <v>6898.6</v>
      </c>
      <c r="BI234" s="52">
        <f t="shared" si="54"/>
        <v>68986</v>
      </c>
    </row>
    <row r="235" spans="1:61" x14ac:dyDescent="0.3">
      <c r="A235" s="39">
        <v>231</v>
      </c>
      <c r="B235" s="44" t="s">
        <v>699</v>
      </c>
      <c r="C235" s="44" t="s">
        <v>86</v>
      </c>
      <c r="D235" s="44" t="s">
        <v>87</v>
      </c>
      <c r="E235" s="44" t="s">
        <v>700</v>
      </c>
      <c r="F235" s="44" t="s">
        <v>701</v>
      </c>
      <c r="G235" s="36" t="s">
        <v>682</v>
      </c>
      <c r="H235" s="36" t="s">
        <v>702</v>
      </c>
      <c r="I235" s="36" t="s">
        <v>70</v>
      </c>
      <c r="J235" s="36" t="s">
        <v>684</v>
      </c>
      <c r="K235" s="33" t="s">
        <v>703</v>
      </c>
      <c r="L235" s="33" t="s">
        <v>704</v>
      </c>
      <c r="M235" s="36" t="s">
        <v>705</v>
      </c>
      <c r="N235" s="36" t="s">
        <v>706</v>
      </c>
      <c r="O235" s="36" t="s">
        <v>631</v>
      </c>
      <c r="P235" s="36" t="s">
        <v>707</v>
      </c>
      <c r="Q235" s="36" t="s">
        <v>97</v>
      </c>
      <c r="R235" s="37">
        <v>14</v>
      </c>
      <c r="S235" s="33" t="s">
        <v>708</v>
      </c>
      <c r="T235" s="39"/>
      <c r="U235" s="39"/>
      <c r="V235" s="40" t="e">
        <f t="shared" si="48"/>
        <v>#DIV/0!</v>
      </c>
      <c r="W235" s="39">
        <v>20</v>
      </c>
      <c r="X235" s="39"/>
      <c r="Y235" s="40">
        <f t="shared" si="1"/>
        <v>0</v>
      </c>
      <c r="Z235" s="39">
        <v>20</v>
      </c>
      <c r="AA235" s="39"/>
      <c r="AB235" s="40">
        <f t="shared" si="2"/>
        <v>0</v>
      </c>
      <c r="AC235" s="39">
        <v>20</v>
      </c>
      <c r="AD235" s="39"/>
      <c r="AE235" s="40">
        <f t="shared" si="3"/>
        <v>0</v>
      </c>
      <c r="AF235" s="41">
        <f t="shared" si="55"/>
        <v>14</v>
      </c>
      <c r="AG235" s="41">
        <f t="shared" si="49"/>
        <v>0</v>
      </c>
      <c r="AH235" s="42">
        <f t="shared" si="45"/>
        <v>0</v>
      </c>
      <c r="AI235" s="43">
        <v>46113</v>
      </c>
      <c r="AJ235" s="43">
        <v>46477</v>
      </c>
      <c r="AK235" s="44"/>
      <c r="AL235" s="44" t="s">
        <v>696</v>
      </c>
      <c r="AM235" s="45" t="s">
        <v>697</v>
      </c>
      <c r="AN235" s="46">
        <v>0</v>
      </c>
      <c r="AO235" s="46">
        <v>0</v>
      </c>
      <c r="AP235" s="46">
        <v>0</v>
      </c>
      <c r="AQ235" s="47"/>
      <c r="AR235" s="44" t="s">
        <v>83</v>
      </c>
      <c r="AS235" s="44" t="s">
        <v>698</v>
      </c>
      <c r="AT235" s="48" t="s">
        <v>709</v>
      </c>
      <c r="AU235" s="44" t="s">
        <v>831</v>
      </c>
      <c r="AV235" s="51" t="s">
        <v>852</v>
      </c>
      <c r="AW235" s="51" t="s">
        <v>853</v>
      </c>
      <c r="AZ235" s="50">
        <f t="shared" si="56"/>
        <v>14</v>
      </c>
      <c r="BA235" s="50">
        <f t="shared" si="57"/>
        <v>0</v>
      </c>
      <c r="BB235" s="117">
        <f t="shared" si="58"/>
        <v>0</v>
      </c>
      <c r="BC235" s="50">
        <f t="shared" si="59"/>
        <v>14</v>
      </c>
      <c r="BD235" s="51"/>
      <c r="BE235" s="52">
        <f t="shared" si="50"/>
        <v>4.2</v>
      </c>
      <c r="BF235" s="52">
        <f t="shared" si="51"/>
        <v>4.2</v>
      </c>
      <c r="BG235" s="52">
        <f t="shared" si="52"/>
        <v>4.2</v>
      </c>
      <c r="BH235" s="52">
        <f t="shared" si="53"/>
        <v>1.4000000000000001</v>
      </c>
      <c r="BI235" s="52">
        <f t="shared" si="54"/>
        <v>14.000000000000002</v>
      </c>
    </row>
    <row r="236" spans="1:61" x14ac:dyDescent="0.3">
      <c r="A236" s="39">
        <v>232</v>
      </c>
      <c r="B236" s="44" t="s">
        <v>699</v>
      </c>
      <c r="C236" s="44" t="s">
        <v>86</v>
      </c>
      <c r="D236" s="44" t="s">
        <v>87</v>
      </c>
      <c r="E236" s="44" t="s">
        <v>700</v>
      </c>
      <c r="F236" s="44" t="s">
        <v>701</v>
      </c>
      <c r="G236" s="36" t="s">
        <v>682</v>
      </c>
      <c r="H236" s="36" t="s">
        <v>702</v>
      </c>
      <c r="I236" s="36" t="s">
        <v>70</v>
      </c>
      <c r="J236" s="36" t="s">
        <v>70</v>
      </c>
      <c r="K236" s="33" t="s">
        <v>703</v>
      </c>
      <c r="L236" s="33" t="s">
        <v>704</v>
      </c>
      <c r="M236" s="36" t="s">
        <v>710</v>
      </c>
      <c r="N236" s="36" t="s">
        <v>711</v>
      </c>
      <c r="O236" s="36" t="s">
        <v>631</v>
      </c>
      <c r="P236" s="36" t="s">
        <v>712</v>
      </c>
      <c r="Q236" s="36" t="s">
        <v>97</v>
      </c>
      <c r="R236" s="37">
        <v>62</v>
      </c>
      <c r="S236" s="33" t="s">
        <v>713</v>
      </c>
      <c r="T236" s="39"/>
      <c r="U236" s="39"/>
      <c r="V236" s="40" t="e">
        <f t="shared" si="48"/>
        <v>#DIV/0!</v>
      </c>
      <c r="W236" s="39">
        <v>20</v>
      </c>
      <c r="X236" s="39"/>
      <c r="Y236" s="40">
        <f t="shared" si="1"/>
        <v>0</v>
      </c>
      <c r="Z236" s="39">
        <v>20</v>
      </c>
      <c r="AA236" s="39"/>
      <c r="AB236" s="40">
        <f t="shared" si="2"/>
        <v>0</v>
      </c>
      <c r="AC236" s="39">
        <v>20</v>
      </c>
      <c r="AD236" s="39"/>
      <c r="AE236" s="40">
        <f t="shared" si="3"/>
        <v>0</v>
      </c>
      <c r="AF236" s="41">
        <f t="shared" si="55"/>
        <v>62</v>
      </c>
      <c r="AG236" s="41">
        <f t="shared" si="49"/>
        <v>0</v>
      </c>
      <c r="AH236" s="42">
        <f t="shared" si="45"/>
        <v>0</v>
      </c>
      <c r="AI236" s="43">
        <v>46113</v>
      </c>
      <c r="AJ236" s="43">
        <v>46477</v>
      </c>
      <c r="AK236" s="44"/>
      <c r="AL236" s="44" t="s">
        <v>696</v>
      </c>
      <c r="AM236" s="45" t="s">
        <v>697</v>
      </c>
      <c r="AN236" s="46">
        <v>0</v>
      </c>
      <c r="AO236" s="46">
        <v>0</v>
      </c>
      <c r="AP236" s="46">
        <v>0</v>
      </c>
      <c r="AQ236" s="47"/>
      <c r="AR236" s="44" t="s">
        <v>83</v>
      </c>
      <c r="AS236" s="44" t="s">
        <v>698</v>
      </c>
      <c r="AT236" s="48" t="s">
        <v>709</v>
      </c>
      <c r="AU236" s="44" t="s">
        <v>831</v>
      </c>
      <c r="AV236" s="51" t="s">
        <v>852</v>
      </c>
      <c r="AW236" s="51" t="s">
        <v>853</v>
      </c>
      <c r="AZ236" s="50">
        <f t="shared" si="56"/>
        <v>62</v>
      </c>
      <c r="BA236" s="50">
        <f t="shared" si="57"/>
        <v>0</v>
      </c>
      <c r="BB236" s="117">
        <f t="shared" si="58"/>
        <v>0</v>
      </c>
      <c r="BC236" s="50">
        <f t="shared" si="59"/>
        <v>62</v>
      </c>
      <c r="BD236" s="51"/>
      <c r="BE236" s="52">
        <f t="shared" si="50"/>
        <v>18.599999999999998</v>
      </c>
      <c r="BF236" s="52">
        <f t="shared" si="51"/>
        <v>18.599999999999998</v>
      </c>
      <c r="BG236" s="52">
        <f t="shared" si="52"/>
        <v>18.599999999999998</v>
      </c>
      <c r="BH236" s="52">
        <f t="shared" si="53"/>
        <v>6.2</v>
      </c>
      <c r="BI236" s="52">
        <f t="shared" si="54"/>
        <v>62</v>
      </c>
    </row>
    <row r="237" spans="1:61" x14ac:dyDescent="0.3">
      <c r="A237" s="39">
        <v>233</v>
      </c>
      <c r="B237" s="44" t="s">
        <v>699</v>
      </c>
      <c r="C237" s="44" t="s">
        <v>86</v>
      </c>
      <c r="D237" s="44" t="s">
        <v>87</v>
      </c>
      <c r="E237" s="44" t="s">
        <v>700</v>
      </c>
      <c r="F237" s="44" t="s">
        <v>701</v>
      </c>
      <c r="G237" s="36" t="s">
        <v>682</v>
      </c>
      <c r="H237" s="36" t="s">
        <v>702</v>
      </c>
      <c r="I237" s="36" t="s">
        <v>70</v>
      </c>
      <c r="J237" s="36" t="s">
        <v>70</v>
      </c>
      <c r="K237" s="33" t="s">
        <v>703</v>
      </c>
      <c r="L237" s="33" t="s">
        <v>704</v>
      </c>
      <c r="M237" s="36" t="s">
        <v>714</v>
      </c>
      <c r="N237" s="36" t="s">
        <v>711</v>
      </c>
      <c r="O237" s="36" t="s">
        <v>631</v>
      </c>
      <c r="P237" s="36" t="s">
        <v>715</v>
      </c>
      <c r="Q237" s="36" t="s">
        <v>97</v>
      </c>
      <c r="R237" s="37">
        <v>100</v>
      </c>
      <c r="S237" s="33" t="s">
        <v>716</v>
      </c>
      <c r="T237" s="39"/>
      <c r="U237" s="39"/>
      <c r="V237" s="40" t="e">
        <f t="shared" si="48"/>
        <v>#DIV/0!</v>
      </c>
      <c r="W237" s="39">
        <v>29</v>
      </c>
      <c r="X237" s="39"/>
      <c r="Y237" s="40">
        <f t="shared" si="1"/>
        <v>0</v>
      </c>
      <c r="Z237" s="39"/>
      <c r="AA237" s="39"/>
      <c r="AB237" s="40" t="e">
        <f t="shared" si="2"/>
        <v>#DIV/0!</v>
      </c>
      <c r="AC237" s="39">
        <v>29</v>
      </c>
      <c r="AD237" s="39"/>
      <c r="AE237" s="40">
        <f t="shared" si="3"/>
        <v>0</v>
      </c>
      <c r="AF237" s="41">
        <f t="shared" si="55"/>
        <v>100</v>
      </c>
      <c r="AG237" s="41">
        <f t="shared" si="49"/>
        <v>0</v>
      </c>
      <c r="AH237" s="42">
        <f t="shared" si="45"/>
        <v>0</v>
      </c>
      <c r="AI237" s="43">
        <v>46113</v>
      </c>
      <c r="AJ237" s="43">
        <v>46477</v>
      </c>
      <c r="AK237" s="44"/>
      <c r="AL237" s="44" t="s">
        <v>696</v>
      </c>
      <c r="AM237" s="45" t="s">
        <v>697</v>
      </c>
      <c r="AN237" s="46">
        <v>0</v>
      </c>
      <c r="AO237" s="46">
        <v>0</v>
      </c>
      <c r="AP237" s="46">
        <v>0</v>
      </c>
      <c r="AQ237" s="47"/>
      <c r="AR237" s="44" t="s">
        <v>83</v>
      </c>
      <c r="AS237" s="44" t="s">
        <v>698</v>
      </c>
      <c r="AT237" s="48" t="s">
        <v>709</v>
      </c>
      <c r="AU237" s="44" t="s">
        <v>831</v>
      </c>
      <c r="AV237" s="51" t="s">
        <v>852</v>
      </c>
      <c r="AW237" s="51" t="s">
        <v>853</v>
      </c>
      <c r="AZ237" s="50">
        <f t="shared" si="56"/>
        <v>100</v>
      </c>
      <c r="BA237" s="50">
        <f t="shared" si="57"/>
        <v>0</v>
      </c>
      <c r="BB237" s="117">
        <f t="shared" si="58"/>
        <v>0</v>
      </c>
      <c r="BC237" s="50">
        <f t="shared" si="59"/>
        <v>100</v>
      </c>
      <c r="BD237" s="51"/>
      <c r="BE237" s="52">
        <f t="shared" si="50"/>
        <v>30</v>
      </c>
      <c r="BF237" s="52">
        <f t="shared" si="51"/>
        <v>30</v>
      </c>
      <c r="BG237" s="52">
        <f t="shared" si="52"/>
        <v>30</v>
      </c>
      <c r="BH237" s="52">
        <f t="shared" si="53"/>
        <v>10</v>
      </c>
      <c r="BI237" s="52">
        <f t="shared" si="54"/>
        <v>100</v>
      </c>
    </row>
    <row r="238" spans="1:61" x14ac:dyDescent="0.3">
      <c r="A238" s="39">
        <v>234</v>
      </c>
      <c r="B238" s="44" t="s">
        <v>699</v>
      </c>
      <c r="C238" s="44" t="s">
        <v>86</v>
      </c>
      <c r="D238" s="44" t="s">
        <v>87</v>
      </c>
      <c r="E238" s="44" t="s">
        <v>680</v>
      </c>
      <c r="F238" s="44" t="s">
        <v>701</v>
      </c>
      <c r="G238" s="36" t="s">
        <v>682</v>
      </c>
      <c r="H238" s="36" t="s">
        <v>702</v>
      </c>
      <c r="I238" s="36" t="s">
        <v>70</v>
      </c>
      <c r="J238" s="36" t="s">
        <v>70</v>
      </c>
      <c r="K238" s="33" t="s">
        <v>703</v>
      </c>
      <c r="L238" s="33" t="s">
        <v>704</v>
      </c>
      <c r="M238" s="36" t="s">
        <v>714</v>
      </c>
      <c r="N238" s="36" t="s">
        <v>711</v>
      </c>
      <c r="O238" s="36" t="s">
        <v>631</v>
      </c>
      <c r="P238" s="36" t="s">
        <v>717</v>
      </c>
      <c r="Q238" s="36" t="s">
        <v>97</v>
      </c>
      <c r="R238" s="37">
        <v>100</v>
      </c>
      <c r="S238" s="33" t="s">
        <v>718</v>
      </c>
      <c r="T238" s="39"/>
      <c r="U238" s="39"/>
      <c r="V238" s="40" t="e">
        <f t="shared" si="48"/>
        <v>#DIV/0!</v>
      </c>
      <c r="W238" s="39"/>
      <c r="X238" s="39"/>
      <c r="Y238" s="40" t="e">
        <f t="shared" si="1"/>
        <v>#DIV/0!</v>
      </c>
      <c r="Z238" s="39"/>
      <c r="AA238" s="39"/>
      <c r="AB238" s="40" t="e">
        <f t="shared" si="2"/>
        <v>#DIV/0!</v>
      </c>
      <c r="AC238" s="39"/>
      <c r="AD238" s="39"/>
      <c r="AE238" s="40" t="e">
        <f t="shared" si="3"/>
        <v>#DIV/0!</v>
      </c>
      <c r="AF238" s="41">
        <f t="shared" si="55"/>
        <v>100</v>
      </c>
      <c r="AG238" s="41">
        <f t="shared" si="49"/>
        <v>0</v>
      </c>
      <c r="AH238" s="42">
        <f t="shared" si="45"/>
        <v>0</v>
      </c>
      <c r="AI238" s="43">
        <v>46113</v>
      </c>
      <c r="AJ238" s="43">
        <v>46477</v>
      </c>
      <c r="AK238" s="44"/>
      <c r="AL238" s="44" t="s">
        <v>696</v>
      </c>
      <c r="AM238" s="45">
        <v>0</v>
      </c>
      <c r="AN238" s="46">
        <v>0</v>
      </c>
      <c r="AO238" s="46">
        <v>0</v>
      </c>
      <c r="AP238" s="46">
        <v>0</v>
      </c>
      <c r="AQ238" s="47"/>
      <c r="AR238" s="44" t="s">
        <v>83</v>
      </c>
      <c r="AS238" s="44" t="s">
        <v>698</v>
      </c>
      <c r="AT238" s="48" t="s">
        <v>709</v>
      </c>
      <c r="AU238" s="44" t="s">
        <v>831</v>
      </c>
      <c r="AV238" s="51" t="s">
        <v>852</v>
      </c>
      <c r="AW238" s="51" t="s">
        <v>853</v>
      </c>
      <c r="AZ238" s="50">
        <f t="shared" si="56"/>
        <v>100</v>
      </c>
      <c r="BA238" s="50">
        <f t="shared" si="57"/>
        <v>0</v>
      </c>
      <c r="BB238" s="117">
        <f t="shared" si="58"/>
        <v>0</v>
      </c>
      <c r="BC238" s="50">
        <f t="shared" si="59"/>
        <v>100</v>
      </c>
      <c r="BD238" s="51"/>
      <c r="BE238" s="52">
        <f t="shared" si="50"/>
        <v>30</v>
      </c>
      <c r="BF238" s="52">
        <f t="shared" si="51"/>
        <v>30</v>
      </c>
      <c r="BG238" s="52">
        <f t="shared" si="52"/>
        <v>30</v>
      </c>
      <c r="BH238" s="52">
        <f t="shared" si="53"/>
        <v>10</v>
      </c>
      <c r="BI238" s="52">
        <f t="shared" si="54"/>
        <v>100</v>
      </c>
    </row>
    <row r="239" spans="1:61" x14ac:dyDescent="0.3">
      <c r="A239" s="39">
        <v>235</v>
      </c>
      <c r="B239" s="44" t="s">
        <v>699</v>
      </c>
      <c r="C239" s="44" t="s">
        <v>86</v>
      </c>
      <c r="D239" s="44" t="s">
        <v>87</v>
      </c>
      <c r="E239" s="44" t="s">
        <v>680</v>
      </c>
      <c r="F239" s="44" t="s">
        <v>701</v>
      </c>
      <c r="G239" s="36" t="s">
        <v>682</v>
      </c>
      <c r="H239" s="36" t="s">
        <v>702</v>
      </c>
      <c r="I239" s="36" t="s">
        <v>70</v>
      </c>
      <c r="J239" s="36" t="s">
        <v>70</v>
      </c>
      <c r="K239" s="33" t="s">
        <v>703</v>
      </c>
      <c r="L239" s="33" t="s">
        <v>704</v>
      </c>
      <c r="M239" s="36" t="s">
        <v>714</v>
      </c>
      <c r="N239" s="36" t="s">
        <v>719</v>
      </c>
      <c r="O239" s="36" t="s">
        <v>631</v>
      </c>
      <c r="P239" s="36" t="s">
        <v>720</v>
      </c>
      <c r="Q239" s="36" t="s">
        <v>97</v>
      </c>
      <c r="R239" s="37">
        <v>400</v>
      </c>
      <c r="S239" s="33" t="s">
        <v>79</v>
      </c>
      <c r="T239" s="39">
        <v>1</v>
      </c>
      <c r="U239" s="39"/>
      <c r="V239" s="40">
        <f t="shared" si="48"/>
        <v>0</v>
      </c>
      <c r="W239" s="39">
        <v>4</v>
      </c>
      <c r="X239" s="39"/>
      <c r="Y239" s="40">
        <f t="shared" si="1"/>
        <v>0</v>
      </c>
      <c r="Z239" s="39">
        <v>4</v>
      </c>
      <c r="AA239" s="39"/>
      <c r="AB239" s="40">
        <f t="shared" si="2"/>
        <v>0</v>
      </c>
      <c r="AC239" s="39">
        <v>5</v>
      </c>
      <c r="AD239" s="39"/>
      <c r="AE239" s="40">
        <f t="shared" si="3"/>
        <v>0</v>
      </c>
      <c r="AF239" s="41">
        <f t="shared" si="55"/>
        <v>400</v>
      </c>
      <c r="AG239" s="41">
        <f t="shared" si="49"/>
        <v>0</v>
      </c>
      <c r="AH239" s="42">
        <f t="shared" si="45"/>
        <v>0</v>
      </c>
      <c r="AI239" s="67">
        <v>46113</v>
      </c>
      <c r="AJ239" s="67">
        <v>46477</v>
      </c>
      <c r="AK239" s="44" t="s">
        <v>80</v>
      </c>
      <c r="AL239" s="44"/>
      <c r="AM239" s="45">
        <v>0</v>
      </c>
      <c r="AN239" s="46">
        <v>0</v>
      </c>
      <c r="AO239" s="46">
        <v>0</v>
      </c>
      <c r="AP239" s="46">
        <v>0</v>
      </c>
      <c r="AQ239" s="47"/>
      <c r="AR239" s="44" t="s">
        <v>83</v>
      </c>
      <c r="AS239" s="44" t="s">
        <v>721</v>
      </c>
      <c r="AT239" s="48" t="s">
        <v>709</v>
      </c>
      <c r="AU239" s="44" t="s">
        <v>831</v>
      </c>
      <c r="AV239" s="51" t="s">
        <v>852</v>
      </c>
      <c r="AW239" s="51" t="s">
        <v>853</v>
      </c>
      <c r="AZ239" s="50">
        <f t="shared" si="56"/>
        <v>400</v>
      </c>
      <c r="BA239" s="50">
        <f t="shared" si="57"/>
        <v>0</v>
      </c>
      <c r="BB239" s="117">
        <f t="shared" si="58"/>
        <v>0</v>
      </c>
      <c r="BC239" s="50">
        <f t="shared" si="59"/>
        <v>400</v>
      </c>
      <c r="BD239" s="51"/>
      <c r="BE239" s="52">
        <f t="shared" si="50"/>
        <v>120</v>
      </c>
      <c r="BF239" s="52">
        <f t="shared" si="51"/>
        <v>120</v>
      </c>
      <c r="BG239" s="52">
        <f t="shared" si="52"/>
        <v>120</v>
      </c>
      <c r="BH239" s="52">
        <f t="shared" si="53"/>
        <v>40</v>
      </c>
      <c r="BI239" s="52">
        <f t="shared" si="54"/>
        <v>400</v>
      </c>
    </row>
    <row r="240" spans="1:61" x14ac:dyDescent="0.3">
      <c r="A240" s="39">
        <v>236</v>
      </c>
      <c r="B240" s="44" t="s">
        <v>699</v>
      </c>
      <c r="C240" s="44" t="s">
        <v>86</v>
      </c>
      <c r="D240" s="44" t="s">
        <v>87</v>
      </c>
      <c r="E240" s="44" t="s">
        <v>680</v>
      </c>
      <c r="F240" s="44" t="s">
        <v>701</v>
      </c>
      <c r="G240" s="36" t="s">
        <v>682</v>
      </c>
      <c r="H240" s="36" t="s">
        <v>702</v>
      </c>
      <c r="I240" s="36" t="s">
        <v>254</v>
      </c>
      <c r="J240" s="36" t="s">
        <v>70</v>
      </c>
      <c r="K240" s="33" t="s">
        <v>703</v>
      </c>
      <c r="L240" s="33" t="s">
        <v>704</v>
      </c>
      <c r="M240" s="36" t="s">
        <v>714</v>
      </c>
      <c r="N240" s="36" t="s">
        <v>719</v>
      </c>
      <c r="O240" s="36" t="s">
        <v>631</v>
      </c>
      <c r="P240" s="36" t="s">
        <v>722</v>
      </c>
      <c r="Q240" s="36" t="s">
        <v>97</v>
      </c>
      <c r="R240" s="37">
        <v>100</v>
      </c>
      <c r="S240" s="33" t="s">
        <v>126</v>
      </c>
      <c r="T240" s="39">
        <v>62</v>
      </c>
      <c r="U240" s="39"/>
      <c r="V240" s="40">
        <f t="shared" si="48"/>
        <v>0</v>
      </c>
      <c r="W240" s="39">
        <v>0</v>
      </c>
      <c r="X240" s="39"/>
      <c r="Y240" s="40" t="e">
        <f t="shared" si="1"/>
        <v>#DIV/0!</v>
      </c>
      <c r="Z240" s="39">
        <v>0</v>
      </c>
      <c r="AA240" s="39"/>
      <c r="AB240" s="40" t="e">
        <f t="shared" si="2"/>
        <v>#DIV/0!</v>
      </c>
      <c r="AC240" s="39">
        <v>0</v>
      </c>
      <c r="AD240" s="39"/>
      <c r="AE240" s="40" t="e">
        <f t="shared" si="3"/>
        <v>#DIV/0!</v>
      </c>
      <c r="AF240" s="41">
        <f t="shared" si="55"/>
        <v>100</v>
      </c>
      <c r="AG240" s="41">
        <f t="shared" si="49"/>
        <v>0</v>
      </c>
      <c r="AH240" s="42">
        <f t="shared" si="45"/>
        <v>0</v>
      </c>
      <c r="AI240" s="67">
        <v>46113</v>
      </c>
      <c r="AJ240" s="67">
        <v>46477</v>
      </c>
      <c r="AK240" s="44" t="s">
        <v>80</v>
      </c>
      <c r="AL240" s="44"/>
      <c r="AM240" s="45">
        <v>0</v>
      </c>
      <c r="AN240" s="46">
        <v>0</v>
      </c>
      <c r="AO240" s="46">
        <v>0</v>
      </c>
      <c r="AP240" s="46">
        <v>0</v>
      </c>
      <c r="AQ240" s="47"/>
      <c r="AR240" s="44" t="s">
        <v>83</v>
      </c>
      <c r="AS240" s="44" t="s">
        <v>721</v>
      </c>
      <c r="AT240" s="48" t="s">
        <v>709</v>
      </c>
      <c r="AU240" s="44" t="s">
        <v>831</v>
      </c>
      <c r="AV240" s="51" t="s">
        <v>852</v>
      </c>
      <c r="AW240" s="51" t="s">
        <v>853</v>
      </c>
      <c r="AZ240" s="50">
        <f t="shared" si="56"/>
        <v>100</v>
      </c>
      <c r="BA240" s="50">
        <f t="shared" si="57"/>
        <v>0</v>
      </c>
      <c r="BB240" s="117">
        <f t="shared" si="58"/>
        <v>0</v>
      </c>
      <c r="BC240" s="50">
        <f t="shared" si="59"/>
        <v>100</v>
      </c>
      <c r="BD240" s="51"/>
      <c r="BE240" s="52">
        <f t="shared" si="50"/>
        <v>30</v>
      </c>
      <c r="BF240" s="52">
        <f t="shared" si="51"/>
        <v>30</v>
      </c>
      <c r="BG240" s="52">
        <f t="shared" si="52"/>
        <v>30</v>
      </c>
      <c r="BH240" s="52">
        <f t="shared" si="53"/>
        <v>10</v>
      </c>
      <c r="BI240" s="52">
        <f t="shared" si="54"/>
        <v>100</v>
      </c>
    </row>
    <row r="241" spans="1:61" x14ac:dyDescent="0.3">
      <c r="A241" s="39">
        <v>237</v>
      </c>
      <c r="B241" s="44" t="s">
        <v>723</v>
      </c>
      <c r="C241" s="44" t="s">
        <v>86</v>
      </c>
      <c r="D241" s="44" t="s">
        <v>87</v>
      </c>
      <c r="E241" s="44" t="s">
        <v>700</v>
      </c>
      <c r="F241" s="44" t="s">
        <v>724</v>
      </c>
      <c r="G241" s="36" t="s">
        <v>682</v>
      </c>
      <c r="H241" s="36" t="s">
        <v>628</v>
      </c>
      <c r="I241" s="36" t="s">
        <v>254</v>
      </c>
      <c r="J241" s="36" t="s">
        <v>254</v>
      </c>
      <c r="K241" s="33" t="s">
        <v>725</v>
      </c>
      <c r="L241" s="33" t="s">
        <v>726</v>
      </c>
      <c r="M241" s="36"/>
      <c r="N241" s="36" t="s">
        <v>727</v>
      </c>
      <c r="O241" s="36" t="s">
        <v>636</v>
      </c>
      <c r="P241" s="36" t="s">
        <v>728</v>
      </c>
      <c r="Q241" s="36" t="s">
        <v>97</v>
      </c>
      <c r="R241" s="37">
        <v>4</v>
      </c>
      <c r="S241" s="33" t="s">
        <v>713</v>
      </c>
      <c r="T241" s="39">
        <v>25</v>
      </c>
      <c r="U241" s="39"/>
      <c r="V241" s="40">
        <f t="shared" si="48"/>
        <v>0</v>
      </c>
      <c r="W241" s="39">
        <v>25</v>
      </c>
      <c r="X241" s="39"/>
      <c r="Y241" s="40">
        <f t="shared" si="1"/>
        <v>0</v>
      </c>
      <c r="Z241" s="39">
        <v>25</v>
      </c>
      <c r="AA241" s="39"/>
      <c r="AB241" s="40">
        <f t="shared" si="2"/>
        <v>0</v>
      </c>
      <c r="AC241" s="39">
        <v>25</v>
      </c>
      <c r="AD241" s="39"/>
      <c r="AE241" s="40">
        <f t="shared" si="3"/>
        <v>0</v>
      </c>
      <c r="AF241" s="41">
        <f t="shared" si="55"/>
        <v>4</v>
      </c>
      <c r="AG241" s="41">
        <f t="shared" si="49"/>
        <v>0</v>
      </c>
      <c r="AH241" s="42">
        <f t="shared" si="45"/>
        <v>0</v>
      </c>
      <c r="AI241" s="67">
        <v>46113</v>
      </c>
      <c r="AJ241" s="67">
        <v>46477</v>
      </c>
      <c r="AK241" s="44" t="s">
        <v>80</v>
      </c>
      <c r="AL241" s="44"/>
      <c r="AM241" s="45">
        <v>0</v>
      </c>
      <c r="AN241" s="46">
        <v>0</v>
      </c>
      <c r="AO241" s="46">
        <v>0</v>
      </c>
      <c r="AP241" s="46">
        <v>0</v>
      </c>
      <c r="AQ241" s="47"/>
      <c r="AR241" s="44" t="s">
        <v>83</v>
      </c>
      <c r="AS241" s="44" t="s">
        <v>721</v>
      </c>
      <c r="AT241" s="48" t="s">
        <v>729</v>
      </c>
      <c r="AU241" s="44" t="s">
        <v>831</v>
      </c>
      <c r="AV241" s="51" t="s">
        <v>854</v>
      </c>
      <c r="AZ241" s="50">
        <f t="shared" si="56"/>
        <v>4</v>
      </c>
      <c r="BA241" s="50">
        <f t="shared" si="57"/>
        <v>0</v>
      </c>
      <c r="BB241" s="117">
        <f t="shared" si="58"/>
        <v>0</v>
      </c>
      <c r="BC241" s="50">
        <f t="shared" si="59"/>
        <v>4</v>
      </c>
      <c r="BD241" s="51"/>
      <c r="BE241" s="52">
        <f t="shared" si="50"/>
        <v>1.2</v>
      </c>
      <c r="BF241" s="52">
        <f t="shared" si="51"/>
        <v>1.2</v>
      </c>
      <c r="BG241" s="52">
        <f t="shared" si="52"/>
        <v>1.2</v>
      </c>
      <c r="BH241" s="52">
        <f t="shared" si="53"/>
        <v>0.4</v>
      </c>
      <c r="BI241" s="52">
        <f t="shared" si="54"/>
        <v>3.9999999999999996</v>
      </c>
    </row>
    <row r="242" spans="1:61" x14ac:dyDescent="0.3">
      <c r="A242" s="39">
        <v>238</v>
      </c>
      <c r="B242" s="44" t="s">
        <v>723</v>
      </c>
      <c r="C242" s="44" t="s">
        <v>86</v>
      </c>
      <c r="D242" s="44" t="s">
        <v>87</v>
      </c>
      <c r="E242" s="44" t="s">
        <v>680</v>
      </c>
      <c r="F242" s="44" t="s">
        <v>724</v>
      </c>
      <c r="G242" s="36" t="s">
        <v>682</v>
      </c>
      <c r="H242" s="36" t="s">
        <v>628</v>
      </c>
      <c r="I242" s="36" t="s">
        <v>254</v>
      </c>
      <c r="J242" s="36" t="s">
        <v>254</v>
      </c>
      <c r="K242" s="33" t="s">
        <v>725</v>
      </c>
      <c r="L242" s="33" t="s">
        <v>726</v>
      </c>
      <c r="M242" s="36"/>
      <c r="N242" s="36" t="s">
        <v>727</v>
      </c>
      <c r="O242" s="36" t="s">
        <v>636</v>
      </c>
      <c r="P242" s="36" t="s">
        <v>730</v>
      </c>
      <c r="Q242" s="36" t="s">
        <v>97</v>
      </c>
      <c r="R242" s="37">
        <v>29</v>
      </c>
      <c r="S242" s="33" t="s">
        <v>713</v>
      </c>
      <c r="T242" s="39">
        <v>25</v>
      </c>
      <c r="U242" s="39"/>
      <c r="V242" s="40">
        <f t="shared" si="48"/>
        <v>0</v>
      </c>
      <c r="W242" s="39">
        <v>25</v>
      </c>
      <c r="X242" s="39"/>
      <c r="Y242" s="40">
        <f t="shared" si="1"/>
        <v>0</v>
      </c>
      <c r="Z242" s="39">
        <v>25</v>
      </c>
      <c r="AA242" s="39"/>
      <c r="AB242" s="40">
        <f t="shared" si="2"/>
        <v>0</v>
      </c>
      <c r="AC242" s="39">
        <v>25</v>
      </c>
      <c r="AD242" s="39"/>
      <c r="AE242" s="40">
        <f t="shared" si="3"/>
        <v>0</v>
      </c>
      <c r="AF242" s="41">
        <f t="shared" si="55"/>
        <v>29</v>
      </c>
      <c r="AG242" s="41">
        <f t="shared" si="49"/>
        <v>0</v>
      </c>
      <c r="AH242" s="42">
        <f t="shared" si="45"/>
        <v>0</v>
      </c>
      <c r="AI242" s="67">
        <v>46113</v>
      </c>
      <c r="AJ242" s="67">
        <v>46477</v>
      </c>
      <c r="AK242" s="44" t="s">
        <v>80</v>
      </c>
      <c r="AL242" s="44"/>
      <c r="AM242" s="45">
        <v>0</v>
      </c>
      <c r="AN242" s="46">
        <v>0</v>
      </c>
      <c r="AO242" s="46">
        <v>0</v>
      </c>
      <c r="AP242" s="46">
        <v>0</v>
      </c>
      <c r="AQ242" s="47"/>
      <c r="AR242" s="44" t="s">
        <v>83</v>
      </c>
      <c r="AS242" s="44" t="s">
        <v>721</v>
      </c>
      <c r="AT242" s="48" t="s">
        <v>729</v>
      </c>
      <c r="AU242" s="44" t="s">
        <v>831</v>
      </c>
      <c r="AV242" s="51" t="s">
        <v>854</v>
      </c>
      <c r="AZ242" s="50">
        <f t="shared" si="56"/>
        <v>29</v>
      </c>
      <c r="BA242" s="50">
        <f t="shared" si="57"/>
        <v>0</v>
      </c>
      <c r="BB242" s="117">
        <f t="shared" si="58"/>
        <v>0</v>
      </c>
      <c r="BC242" s="50">
        <f t="shared" si="59"/>
        <v>29</v>
      </c>
      <c r="BD242" s="51"/>
      <c r="BE242" s="52">
        <f t="shared" si="50"/>
        <v>8.6999999999999993</v>
      </c>
      <c r="BF242" s="52">
        <f t="shared" si="51"/>
        <v>8.6999999999999993</v>
      </c>
      <c r="BG242" s="52">
        <f t="shared" si="52"/>
        <v>8.6999999999999993</v>
      </c>
      <c r="BH242" s="52">
        <f t="shared" si="53"/>
        <v>2.9000000000000004</v>
      </c>
      <c r="BI242" s="52">
        <f t="shared" si="54"/>
        <v>29</v>
      </c>
    </row>
    <row r="243" spans="1:61" x14ac:dyDescent="0.3">
      <c r="A243" s="39">
        <v>239</v>
      </c>
      <c r="B243" s="44" t="s">
        <v>731</v>
      </c>
      <c r="C243" s="44" t="s">
        <v>86</v>
      </c>
      <c r="D243" s="44" t="s">
        <v>87</v>
      </c>
      <c r="E243" s="44" t="s">
        <v>700</v>
      </c>
      <c r="F243" s="44" t="s">
        <v>724</v>
      </c>
      <c r="G243" s="36" t="s">
        <v>682</v>
      </c>
      <c r="H243" s="36" t="s">
        <v>628</v>
      </c>
      <c r="I243" s="36" t="s">
        <v>254</v>
      </c>
      <c r="J243" s="36" t="s">
        <v>732</v>
      </c>
      <c r="K243" s="33" t="s">
        <v>725</v>
      </c>
      <c r="L243" s="33" t="s">
        <v>726</v>
      </c>
      <c r="M243" s="36"/>
      <c r="N243" s="36" t="s">
        <v>733</v>
      </c>
      <c r="O243" s="36" t="s">
        <v>636</v>
      </c>
      <c r="P243" s="36" t="s">
        <v>734</v>
      </c>
      <c r="Q243" s="36" t="s">
        <v>97</v>
      </c>
      <c r="R243" s="37">
        <v>80</v>
      </c>
      <c r="S243" s="33" t="s">
        <v>718</v>
      </c>
      <c r="T243" s="39">
        <v>50</v>
      </c>
      <c r="U243" s="39"/>
      <c r="V243" s="40">
        <f t="shared" si="48"/>
        <v>0</v>
      </c>
      <c r="W243" s="39">
        <v>120</v>
      </c>
      <c r="X243" s="39"/>
      <c r="Y243" s="40">
        <f t="shared" si="1"/>
        <v>0</v>
      </c>
      <c r="Z243" s="39">
        <v>260</v>
      </c>
      <c r="AA243" s="39"/>
      <c r="AB243" s="40">
        <f t="shared" si="2"/>
        <v>0</v>
      </c>
      <c r="AC243" s="39">
        <v>70</v>
      </c>
      <c r="AD243" s="39"/>
      <c r="AE243" s="40">
        <f t="shared" si="3"/>
        <v>0</v>
      </c>
      <c r="AF243" s="41">
        <f t="shared" si="55"/>
        <v>80</v>
      </c>
      <c r="AG243" s="41">
        <f t="shared" si="49"/>
        <v>0</v>
      </c>
      <c r="AH243" s="42">
        <f t="shared" si="45"/>
        <v>0</v>
      </c>
      <c r="AI243" s="67">
        <v>46113</v>
      </c>
      <c r="AJ243" s="67">
        <v>46477</v>
      </c>
      <c r="AK243" s="44" t="s">
        <v>80</v>
      </c>
      <c r="AL243" s="44"/>
      <c r="AM243" s="45">
        <v>0</v>
      </c>
      <c r="AN243" s="46">
        <v>0</v>
      </c>
      <c r="AO243" s="46">
        <v>0</v>
      </c>
      <c r="AP243" s="46">
        <v>0</v>
      </c>
      <c r="AQ243" s="47"/>
      <c r="AR243" s="44" t="s">
        <v>83</v>
      </c>
      <c r="AS243" s="44" t="s">
        <v>721</v>
      </c>
      <c r="AT243" s="48" t="s">
        <v>729</v>
      </c>
      <c r="AU243" s="44" t="s">
        <v>831</v>
      </c>
      <c r="AV243" s="51" t="s">
        <v>854</v>
      </c>
      <c r="AZ243" s="50">
        <f t="shared" si="56"/>
        <v>80</v>
      </c>
      <c r="BA243" s="50">
        <f t="shared" si="57"/>
        <v>0</v>
      </c>
      <c r="BB243" s="117">
        <f t="shared" si="58"/>
        <v>0</v>
      </c>
      <c r="BC243" s="50">
        <f t="shared" si="59"/>
        <v>80</v>
      </c>
      <c r="BD243" s="51"/>
      <c r="BE243" s="52">
        <f t="shared" si="50"/>
        <v>24</v>
      </c>
      <c r="BF243" s="52">
        <f t="shared" si="51"/>
        <v>24</v>
      </c>
      <c r="BG243" s="52">
        <f t="shared" si="52"/>
        <v>24</v>
      </c>
      <c r="BH243" s="52">
        <f t="shared" si="53"/>
        <v>8</v>
      </c>
      <c r="BI243" s="52">
        <f t="shared" si="54"/>
        <v>80</v>
      </c>
    </row>
    <row r="244" spans="1:61" x14ac:dyDescent="0.3">
      <c r="A244" s="39">
        <v>240</v>
      </c>
      <c r="B244" s="44" t="s">
        <v>735</v>
      </c>
      <c r="C244" s="44" t="s">
        <v>64</v>
      </c>
      <c r="D244" s="44" t="s">
        <v>87</v>
      </c>
      <c r="E244" s="44" t="s">
        <v>736</v>
      </c>
      <c r="F244" s="44" t="s">
        <v>737</v>
      </c>
      <c r="G244" s="36" t="s">
        <v>738</v>
      </c>
      <c r="H244" s="36" t="s">
        <v>628</v>
      </c>
      <c r="I244" s="36" t="s">
        <v>739</v>
      </c>
      <c r="J244" s="36" t="s">
        <v>740</v>
      </c>
      <c r="K244" s="33" t="s">
        <v>725</v>
      </c>
      <c r="L244" s="33" t="s">
        <v>726</v>
      </c>
      <c r="M244" s="36"/>
      <c r="N244" s="36" t="s">
        <v>741</v>
      </c>
      <c r="O244" s="36" t="s">
        <v>636</v>
      </c>
      <c r="P244" s="36" t="s">
        <v>742</v>
      </c>
      <c r="Q244" s="36" t="s">
        <v>97</v>
      </c>
      <c r="R244" s="37">
        <v>4</v>
      </c>
      <c r="S244" s="33" t="s">
        <v>713</v>
      </c>
      <c r="T244" s="39">
        <v>25</v>
      </c>
      <c r="U244" s="39"/>
      <c r="V244" s="40">
        <f t="shared" si="48"/>
        <v>0</v>
      </c>
      <c r="W244" s="39">
        <v>25</v>
      </c>
      <c r="X244" s="39"/>
      <c r="Y244" s="40">
        <f t="shared" si="1"/>
        <v>0</v>
      </c>
      <c r="Z244" s="39">
        <v>25</v>
      </c>
      <c r="AA244" s="39"/>
      <c r="AB244" s="40">
        <f t="shared" si="2"/>
        <v>0</v>
      </c>
      <c r="AC244" s="39">
        <v>25</v>
      </c>
      <c r="AD244" s="39"/>
      <c r="AE244" s="40">
        <f t="shared" si="3"/>
        <v>0</v>
      </c>
      <c r="AF244" s="41">
        <f t="shared" si="55"/>
        <v>4</v>
      </c>
      <c r="AG244" s="41">
        <f t="shared" si="49"/>
        <v>0</v>
      </c>
      <c r="AH244" s="42">
        <f t="shared" si="45"/>
        <v>0</v>
      </c>
      <c r="AI244" s="67">
        <v>46113</v>
      </c>
      <c r="AJ244" s="67">
        <v>46477</v>
      </c>
      <c r="AK244" s="44" t="s">
        <v>80</v>
      </c>
      <c r="AL244" s="44"/>
      <c r="AM244" s="45">
        <v>0</v>
      </c>
      <c r="AN244" s="46">
        <v>0</v>
      </c>
      <c r="AO244" s="46">
        <v>0</v>
      </c>
      <c r="AP244" s="46">
        <v>0</v>
      </c>
      <c r="AQ244" s="47"/>
      <c r="AR244" s="44" t="s">
        <v>83</v>
      </c>
      <c r="AS244" s="44" t="s">
        <v>721</v>
      </c>
      <c r="AT244" s="48" t="s">
        <v>729</v>
      </c>
      <c r="AU244" s="44" t="s">
        <v>831</v>
      </c>
      <c r="AV244" s="51" t="s">
        <v>854</v>
      </c>
      <c r="AZ244" s="50">
        <f t="shared" si="56"/>
        <v>4</v>
      </c>
      <c r="BA244" s="50">
        <f t="shared" si="57"/>
        <v>0</v>
      </c>
      <c r="BB244" s="117">
        <f t="shared" si="58"/>
        <v>0</v>
      </c>
      <c r="BC244" s="50">
        <f t="shared" si="59"/>
        <v>4</v>
      </c>
      <c r="BD244" s="51"/>
      <c r="BE244" s="52">
        <f t="shared" si="50"/>
        <v>1.2</v>
      </c>
      <c r="BF244" s="52">
        <f t="shared" si="51"/>
        <v>1.2</v>
      </c>
      <c r="BG244" s="52">
        <f t="shared" si="52"/>
        <v>1.2</v>
      </c>
      <c r="BH244" s="52">
        <f t="shared" si="53"/>
        <v>0.4</v>
      </c>
      <c r="BI244" s="52">
        <f t="shared" si="54"/>
        <v>3.9999999999999996</v>
      </c>
    </row>
    <row r="245" spans="1:61" ht="52.8" x14ac:dyDescent="0.3">
      <c r="A245" s="39">
        <v>241</v>
      </c>
      <c r="B245" s="44" t="s">
        <v>743</v>
      </c>
      <c r="C245" s="44" t="s">
        <v>86</v>
      </c>
      <c r="D245" s="44" t="s">
        <v>87</v>
      </c>
      <c r="E245" s="44" t="s">
        <v>700</v>
      </c>
      <c r="F245" s="44" t="s">
        <v>724</v>
      </c>
      <c r="G245" s="36" t="s">
        <v>738</v>
      </c>
      <c r="H245" s="36" t="s">
        <v>744</v>
      </c>
      <c r="I245" s="36" t="s">
        <v>310</v>
      </c>
      <c r="J245" s="36" t="s">
        <v>745</v>
      </c>
      <c r="K245" s="33" t="s">
        <v>725</v>
      </c>
      <c r="L245" s="33" t="s">
        <v>726</v>
      </c>
      <c r="M245" s="36"/>
      <c r="N245" s="36" t="s">
        <v>746</v>
      </c>
      <c r="O245" s="36" t="s">
        <v>636</v>
      </c>
      <c r="P245" s="121" t="s">
        <v>747</v>
      </c>
      <c r="Q245" s="36" t="s">
        <v>97</v>
      </c>
      <c r="R245" s="37">
        <v>29</v>
      </c>
      <c r="S245" s="33" t="s">
        <v>713</v>
      </c>
      <c r="T245" s="39">
        <v>1</v>
      </c>
      <c r="U245" s="39"/>
      <c r="V245" s="40">
        <f t="shared" si="48"/>
        <v>0</v>
      </c>
      <c r="W245" s="39">
        <v>1</v>
      </c>
      <c r="X245" s="39"/>
      <c r="Y245" s="40">
        <f t="shared" si="1"/>
        <v>0</v>
      </c>
      <c r="Z245" s="39">
        <v>1</v>
      </c>
      <c r="AA245" s="39"/>
      <c r="AB245" s="40">
        <f t="shared" si="2"/>
        <v>0</v>
      </c>
      <c r="AC245" s="39">
        <v>1</v>
      </c>
      <c r="AD245" s="39"/>
      <c r="AE245" s="40">
        <f t="shared" si="3"/>
        <v>0</v>
      </c>
      <c r="AF245" s="41">
        <f t="shared" si="55"/>
        <v>29</v>
      </c>
      <c r="AG245" s="41">
        <f t="shared" si="49"/>
        <v>0</v>
      </c>
      <c r="AH245" s="42">
        <f t="shared" si="45"/>
        <v>0</v>
      </c>
      <c r="AI245" s="67">
        <v>46054</v>
      </c>
      <c r="AJ245" s="67">
        <v>46387</v>
      </c>
      <c r="AK245" s="44" t="s">
        <v>647</v>
      </c>
      <c r="AL245" s="44"/>
      <c r="AM245" s="45"/>
      <c r="AN245" s="46">
        <v>0</v>
      </c>
      <c r="AO245" s="46">
        <v>0</v>
      </c>
      <c r="AP245" s="46">
        <v>0</v>
      </c>
      <c r="AQ245" s="47"/>
      <c r="AR245" s="44" t="s">
        <v>748</v>
      </c>
      <c r="AS245" s="44" t="s">
        <v>721</v>
      </c>
      <c r="AT245" s="48" t="s">
        <v>749</v>
      </c>
      <c r="AU245" s="44" t="s">
        <v>831</v>
      </c>
      <c r="AV245" s="51" t="s">
        <v>854</v>
      </c>
      <c r="AZ245" s="50">
        <f t="shared" si="56"/>
        <v>29</v>
      </c>
      <c r="BA245" s="50">
        <f t="shared" si="57"/>
        <v>0</v>
      </c>
      <c r="BB245" s="117">
        <f t="shared" si="58"/>
        <v>0</v>
      </c>
      <c r="BC245" s="50">
        <f t="shared" si="59"/>
        <v>29</v>
      </c>
      <c r="BD245" s="51"/>
      <c r="BE245" s="52">
        <f t="shared" si="50"/>
        <v>8.6999999999999993</v>
      </c>
      <c r="BF245" s="52">
        <f t="shared" si="51"/>
        <v>8.6999999999999993</v>
      </c>
      <c r="BG245" s="52">
        <f t="shared" si="52"/>
        <v>8.6999999999999993</v>
      </c>
      <c r="BH245" s="52">
        <f t="shared" si="53"/>
        <v>2.9000000000000004</v>
      </c>
      <c r="BI245" s="52">
        <f t="shared" si="54"/>
        <v>29</v>
      </c>
    </row>
    <row r="246" spans="1:61" ht="52.8" x14ac:dyDescent="0.3">
      <c r="A246" s="39">
        <v>242</v>
      </c>
      <c r="B246" s="44" t="s">
        <v>743</v>
      </c>
      <c r="C246" s="44" t="s">
        <v>86</v>
      </c>
      <c r="D246" s="44" t="s">
        <v>87</v>
      </c>
      <c r="E246" s="44" t="s">
        <v>700</v>
      </c>
      <c r="F246" s="44" t="s">
        <v>724</v>
      </c>
      <c r="G246" s="36" t="s">
        <v>682</v>
      </c>
      <c r="H246" s="36" t="s">
        <v>744</v>
      </c>
      <c r="I246" s="36" t="s">
        <v>310</v>
      </c>
      <c r="J246" s="36" t="s">
        <v>745</v>
      </c>
      <c r="K246" s="33" t="s">
        <v>725</v>
      </c>
      <c r="L246" s="33" t="s">
        <v>726</v>
      </c>
      <c r="M246" s="36"/>
      <c r="N246" s="36" t="s">
        <v>750</v>
      </c>
      <c r="O246" s="36" t="s">
        <v>636</v>
      </c>
      <c r="P246" s="121" t="s">
        <v>751</v>
      </c>
      <c r="Q246" s="36" t="s">
        <v>97</v>
      </c>
      <c r="R246" s="37">
        <v>29</v>
      </c>
      <c r="S246" s="33" t="s">
        <v>713</v>
      </c>
      <c r="T246" s="39">
        <v>7</v>
      </c>
      <c r="U246" s="39"/>
      <c r="V246" s="40">
        <f t="shared" si="48"/>
        <v>0</v>
      </c>
      <c r="W246" s="39">
        <v>7</v>
      </c>
      <c r="X246" s="39"/>
      <c r="Y246" s="40">
        <f t="shared" si="1"/>
        <v>0</v>
      </c>
      <c r="Z246" s="39">
        <v>7</v>
      </c>
      <c r="AA246" s="39"/>
      <c r="AB246" s="40">
        <f t="shared" si="2"/>
        <v>0</v>
      </c>
      <c r="AC246" s="39">
        <v>8</v>
      </c>
      <c r="AD246" s="39"/>
      <c r="AE246" s="40">
        <f t="shared" si="3"/>
        <v>0</v>
      </c>
      <c r="AF246" s="41">
        <f t="shared" si="55"/>
        <v>29</v>
      </c>
      <c r="AG246" s="41">
        <f t="shared" si="49"/>
        <v>0</v>
      </c>
      <c r="AH246" s="42">
        <f t="shared" si="45"/>
        <v>0</v>
      </c>
      <c r="AI246" s="67">
        <v>46054</v>
      </c>
      <c r="AJ246" s="67">
        <v>46387</v>
      </c>
      <c r="AK246" s="44" t="s">
        <v>647</v>
      </c>
      <c r="AL246" s="44"/>
      <c r="AM246" s="45"/>
      <c r="AN246" s="46">
        <v>0</v>
      </c>
      <c r="AO246" s="46">
        <v>0</v>
      </c>
      <c r="AP246" s="46">
        <v>0</v>
      </c>
      <c r="AQ246" s="47"/>
      <c r="AR246" s="44" t="s">
        <v>748</v>
      </c>
      <c r="AS246" s="44" t="s">
        <v>721</v>
      </c>
      <c r="AT246" s="48" t="s">
        <v>749</v>
      </c>
      <c r="AU246" s="44" t="s">
        <v>831</v>
      </c>
      <c r="AV246" s="51" t="s">
        <v>854</v>
      </c>
      <c r="AZ246" s="50">
        <f t="shared" si="56"/>
        <v>29</v>
      </c>
      <c r="BA246" s="50">
        <f t="shared" si="57"/>
        <v>0</v>
      </c>
      <c r="BB246" s="117">
        <f t="shared" si="58"/>
        <v>0</v>
      </c>
      <c r="BC246" s="50">
        <f t="shared" si="59"/>
        <v>29</v>
      </c>
      <c r="BD246" s="51"/>
      <c r="BE246" s="52">
        <f t="shared" si="50"/>
        <v>8.6999999999999993</v>
      </c>
      <c r="BF246" s="52">
        <f t="shared" si="51"/>
        <v>8.6999999999999993</v>
      </c>
      <c r="BG246" s="52">
        <f t="shared" si="52"/>
        <v>8.6999999999999993</v>
      </c>
      <c r="BH246" s="52">
        <f t="shared" si="53"/>
        <v>2.9000000000000004</v>
      </c>
      <c r="BI246" s="52">
        <f t="shared" si="54"/>
        <v>29</v>
      </c>
    </row>
    <row r="247" spans="1:61" x14ac:dyDescent="0.3">
      <c r="A247" s="39">
        <v>243</v>
      </c>
      <c r="B247" s="44" t="s">
        <v>731</v>
      </c>
      <c r="C247" s="44" t="s">
        <v>86</v>
      </c>
      <c r="D247" s="44" t="s">
        <v>87</v>
      </c>
      <c r="E247" s="44" t="s">
        <v>700</v>
      </c>
      <c r="F247" s="44" t="s">
        <v>724</v>
      </c>
      <c r="G247" s="36" t="s">
        <v>682</v>
      </c>
      <c r="H247" s="36" t="s">
        <v>744</v>
      </c>
      <c r="I247" s="36" t="s">
        <v>310</v>
      </c>
      <c r="J247" s="36" t="s">
        <v>745</v>
      </c>
      <c r="K247" s="33" t="s">
        <v>725</v>
      </c>
      <c r="L247" s="33" t="s">
        <v>726</v>
      </c>
      <c r="M247" s="36"/>
      <c r="N247" s="36" t="s">
        <v>752</v>
      </c>
      <c r="O247" s="36" t="s">
        <v>631</v>
      </c>
      <c r="P247" s="36" t="s">
        <v>753</v>
      </c>
      <c r="Q247" s="36" t="s">
        <v>97</v>
      </c>
      <c r="R247" s="37">
        <v>70</v>
      </c>
      <c r="S247" s="33" t="s">
        <v>718</v>
      </c>
      <c r="T247" s="39">
        <v>20</v>
      </c>
      <c r="U247" s="39"/>
      <c r="V247" s="40">
        <f t="shared" si="48"/>
        <v>0</v>
      </c>
      <c r="W247" s="39">
        <v>20</v>
      </c>
      <c r="X247" s="39"/>
      <c r="Y247" s="40">
        <f t="shared" si="1"/>
        <v>0</v>
      </c>
      <c r="Z247" s="39">
        <v>20</v>
      </c>
      <c r="AA247" s="39"/>
      <c r="AB247" s="40">
        <f t="shared" si="2"/>
        <v>0</v>
      </c>
      <c r="AC247" s="39">
        <v>20</v>
      </c>
      <c r="AD247" s="39"/>
      <c r="AE247" s="40">
        <f t="shared" si="3"/>
        <v>0</v>
      </c>
      <c r="AF247" s="41">
        <f t="shared" si="55"/>
        <v>70</v>
      </c>
      <c r="AG247" s="41">
        <f t="shared" si="49"/>
        <v>0</v>
      </c>
      <c r="AH247" s="42">
        <f t="shared" si="45"/>
        <v>0</v>
      </c>
      <c r="AI247" s="67">
        <v>46054</v>
      </c>
      <c r="AJ247" s="67">
        <v>46387</v>
      </c>
      <c r="AK247" s="44" t="s">
        <v>647</v>
      </c>
      <c r="AL247" s="44"/>
      <c r="AM247" s="45"/>
      <c r="AN247" s="46">
        <v>0</v>
      </c>
      <c r="AO247" s="46">
        <v>0</v>
      </c>
      <c r="AP247" s="46">
        <v>0</v>
      </c>
      <c r="AQ247" s="47"/>
      <c r="AR247" s="44" t="s">
        <v>754</v>
      </c>
      <c r="AS247" s="44" t="s">
        <v>721</v>
      </c>
      <c r="AT247" s="48" t="s">
        <v>755</v>
      </c>
      <c r="AU247" s="44" t="s">
        <v>831</v>
      </c>
      <c r="AV247" s="51" t="s">
        <v>854</v>
      </c>
      <c r="AW247" s="51" t="s">
        <v>855</v>
      </c>
      <c r="AZ247" s="50">
        <f t="shared" si="56"/>
        <v>70</v>
      </c>
      <c r="BA247" s="50">
        <f t="shared" si="57"/>
        <v>0</v>
      </c>
      <c r="BB247" s="117">
        <f t="shared" si="58"/>
        <v>0</v>
      </c>
      <c r="BC247" s="50">
        <f t="shared" si="59"/>
        <v>70</v>
      </c>
      <c r="BD247" s="51"/>
      <c r="BE247" s="52">
        <f t="shared" si="50"/>
        <v>21</v>
      </c>
      <c r="BF247" s="52">
        <f t="shared" si="51"/>
        <v>21</v>
      </c>
      <c r="BG247" s="52">
        <f t="shared" si="52"/>
        <v>21</v>
      </c>
      <c r="BH247" s="52">
        <f t="shared" si="53"/>
        <v>7</v>
      </c>
      <c r="BI247" s="52">
        <f t="shared" si="54"/>
        <v>70</v>
      </c>
    </row>
    <row r="248" spans="1:61" ht="30.45" customHeight="1" x14ac:dyDescent="0.3">
      <c r="A248" s="39">
        <v>244</v>
      </c>
      <c r="B248" s="44" t="s">
        <v>731</v>
      </c>
      <c r="C248" s="44" t="s">
        <v>86</v>
      </c>
      <c r="D248" s="44" t="s">
        <v>87</v>
      </c>
      <c r="E248" s="44" t="s">
        <v>700</v>
      </c>
      <c r="F248" s="44" t="s">
        <v>724</v>
      </c>
      <c r="G248" s="36" t="s">
        <v>682</v>
      </c>
      <c r="H248" s="36" t="s">
        <v>744</v>
      </c>
      <c r="I248" s="36" t="s">
        <v>385</v>
      </c>
      <c r="J248" s="36" t="s">
        <v>385</v>
      </c>
      <c r="K248" s="33" t="s">
        <v>725</v>
      </c>
      <c r="L248" s="33" t="s">
        <v>726</v>
      </c>
      <c r="M248" s="36"/>
      <c r="N248" s="36" t="s">
        <v>756</v>
      </c>
      <c r="O248" s="36" t="s">
        <v>631</v>
      </c>
      <c r="P248" s="68" t="s">
        <v>757</v>
      </c>
      <c r="Q248" s="36" t="s">
        <v>97</v>
      </c>
      <c r="R248" s="37">
        <v>100</v>
      </c>
      <c r="S248" s="33" t="s">
        <v>718</v>
      </c>
      <c r="T248" s="39">
        <v>1</v>
      </c>
      <c r="U248" s="39"/>
      <c r="V248" s="40">
        <f t="shared" si="48"/>
        <v>0</v>
      </c>
      <c r="W248" s="39">
        <v>1</v>
      </c>
      <c r="X248" s="39"/>
      <c r="Y248" s="40">
        <f t="shared" si="1"/>
        <v>0</v>
      </c>
      <c r="Z248" s="39">
        <v>1</v>
      </c>
      <c r="AA248" s="39"/>
      <c r="AB248" s="40">
        <f t="shared" si="2"/>
        <v>0</v>
      </c>
      <c r="AC248" s="39">
        <v>1</v>
      </c>
      <c r="AD248" s="39"/>
      <c r="AE248" s="40">
        <f t="shared" si="3"/>
        <v>0</v>
      </c>
      <c r="AF248" s="41">
        <f t="shared" si="55"/>
        <v>100</v>
      </c>
      <c r="AG248" s="41">
        <f t="shared" si="49"/>
        <v>0</v>
      </c>
      <c r="AH248" s="42">
        <f t="shared" si="45"/>
        <v>0</v>
      </c>
      <c r="AI248" s="67">
        <v>46054</v>
      </c>
      <c r="AJ248" s="67">
        <v>46387</v>
      </c>
      <c r="AK248" s="44" t="s">
        <v>647</v>
      </c>
      <c r="AL248" s="44"/>
      <c r="AM248" s="45"/>
      <c r="AN248" s="46">
        <v>0</v>
      </c>
      <c r="AO248" s="46">
        <v>0</v>
      </c>
      <c r="AP248" s="46">
        <v>0</v>
      </c>
      <c r="AQ248" s="47"/>
      <c r="AR248" s="44" t="s">
        <v>83</v>
      </c>
      <c r="AS248" s="44" t="s">
        <v>721</v>
      </c>
      <c r="AT248" s="48" t="s">
        <v>758</v>
      </c>
      <c r="AU248" s="44" t="s">
        <v>831</v>
      </c>
      <c r="AV248" s="51" t="s">
        <v>854</v>
      </c>
      <c r="AW248" s="51" t="s">
        <v>855</v>
      </c>
      <c r="AZ248" s="50">
        <f t="shared" si="56"/>
        <v>100</v>
      </c>
      <c r="BA248" s="50">
        <f t="shared" si="57"/>
        <v>0</v>
      </c>
      <c r="BB248" s="117">
        <f t="shared" si="58"/>
        <v>0</v>
      </c>
      <c r="BC248" s="50">
        <f t="shared" si="59"/>
        <v>100</v>
      </c>
      <c r="BD248" s="51"/>
      <c r="BE248" s="52">
        <f t="shared" si="50"/>
        <v>30</v>
      </c>
      <c r="BF248" s="52">
        <f t="shared" si="51"/>
        <v>30</v>
      </c>
      <c r="BG248" s="52">
        <f t="shared" si="52"/>
        <v>30</v>
      </c>
      <c r="BH248" s="52">
        <f t="shared" si="53"/>
        <v>10</v>
      </c>
      <c r="BI248" s="52">
        <f t="shared" si="54"/>
        <v>100</v>
      </c>
    </row>
    <row r="249" spans="1:61" x14ac:dyDescent="0.3">
      <c r="A249" s="39">
        <v>245</v>
      </c>
      <c r="B249" s="44" t="s">
        <v>731</v>
      </c>
      <c r="C249" s="44" t="s">
        <v>86</v>
      </c>
      <c r="D249" s="44" t="s">
        <v>87</v>
      </c>
      <c r="E249" s="44" t="s">
        <v>700</v>
      </c>
      <c r="F249" s="44" t="s">
        <v>724</v>
      </c>
      <c r="G249" s="36" t="s">
        <v>682</v>
      </c>
      <c r="H249" s="36" t="s">
        <v>744</v>
      </c>
      <c r="I249" s="36" t="s">
        <v>385</v>
      </c>
      <c r="J249" s="36" t="s">
        <v>385</v>
      </c>
      <c r="K249" s="33" t="s">
        <v>725</v>
      </c>
      <c r="L249" s="33" t="s">
        <v>726</v>
      </c>
      <c r="M249" s="36"/>
      <c r="N249" s="36" t="s">
        <v>759</v>
      </c>
      <c r="O249" s="36" t="s">
        <v>631</v>
      </c>
      <c r="P249" s="36" t="s">
        <v>760</v>
      </c>
      <c r="Q249" s="36" t="s">
        <v>97</v>
      </c>
      <c r="R249" s="37">
        <v>4</v>
      </c>
      <c r="S249" s="33" t="s">
        <v>79</v>
      </c>
      <c r="T249" s="39">
        <v>7</v>
      </c>
      <c r="U249" s="39"/>
      <c r="V249" s="40">
        <f t="shared" si="48"/>
        <v>0</v>
      </c>
      <c r="W249" s="39">
        <v>7</v>
      </c>
      <c r="X249" s="39"/>
      <c r="Y249" s="40">
        <f t="shared" si="1"/>
        <v>0</v>
      </c>
      <c r="Z249" s="39">
        <v>7</v>
      </c>
      <c r="AA249" s="39"/>
      <c r="AB249" s="40">
        <f t="shared" si="2"/>
        <v>0</v>
      </c>
      <c r="AC249" s="39">
        <v>8</v>
      </c>
      <c r="AD249" s="39"/>
      <c r="AE249" s="40">
        <f t="shared" si="3"/>
        <v>0</v>
      </c>
      <c r="AF249" s="41">
        <f t="shared" si="55"/>
        <v>4</v>
      </c>
      <c r="AG249" s="41">
        <f t="shared" si="49"/>
        <v>0</v>
      </c>
      <c r="AH249" s="42">
        <f t="shared" si="45"/>
        <v>0</v>
      </c>
      <c r="AI249" s="67">
        <v>46054</v>
      </c>
      <c r="AJ249" s="67">
        <v>46387</v>
      </c>
      <c r="AK249" s="44" t="s">
        <v>647</v>
      </c>
      <c r="AL249" s="44"/>
      <c r="AM249" s="45"/>
      <c r="AN249" s="46">
        <v>0</v>
      </c>
      <c r="AO249" s="46">
        <v>0</v>
      </c>
      <c r="AP249" s="46">
        <v>0</v>
      </c>
      <c r="AQ249" s="47"/>
      <c r="AR249" s="44" t="s">
        <v>83</v>
      </c>
      <c r="AS249" s="44" t="s">
        <v>721</v>
      </c>
      <c r="AT249" s="48" t="s">
        <v>755</v>
      </c>
      <c r="AU249" s="44" t="s">
        <v>831</v>
      </c>
      <c r="AV249" s="51" t="s">
        <v>854</v>
      </c>
      <c r="AW249" s="51" t="s">
        <v>855</v>
      </c>
      <c r="AZ249" s="50">
        <f t="shared" si="56"/>
        <v>4</v>
      </c>
      <c r="BA249" s="50">
        <f t="shared" si="57"/>
        <v>0</v>
      </c>
      <c r="BB249" s="117">
        <f t="shared" si="58"/>
        <v>0</v>
      </c>
      <c r="BC249" s="50">
        <f t="shared" si="59"/>
        <v>4</v>
      </c>
      <c r="BD249" s="51"/>
      <c r="BE249" s="52">
        <f t="shared" si="50"/>
        <v>1.2</v>
      </c>
      <c r="BF249" s="52">
        <f t="shared" si="51"/>
        <v>1.2</v>
      </c>
      <c r="BG249" s="52">
        <f t="shared" si="52"/>
        <v>1.2</v>
      </c>
      <c r="BH249" s="52">
        <f t="shared" si="53"/>
        <v>0.4</v>
      </c>
      <c r="BI249" s="52">
        <f t="shared" si="54"/>
        <v>3.9999999999999996</v>
      </c>
    </row>
    <row r="250" spans="1:61" x14ac:dyDescent="0.3">
      <c r="A250" s="39">
        <v>246</v>
      </c>
      <c r="B250" s="44" t="s">
        <v>731</v>
      </c>
      <c r="C250" s="44" t="s">
        <v>86</v>
      </c>
      <c r="D250" s="44" t="s">
        <v>87</v>
      </c>
      <c r="E250" s="44" t="s">
        <v>700</v>
      </c>
      <c r="F250" s="44" t="s">
        <v>724</v>
      </c>
      <c r="G250" s="36" t="s">
        <v>682</v>
      </c>
      <c r="H250" s="36" t="s">
        <v>744</v>
      </c>
      <c r="I250" s="36" t="s">
        <v>385</v>
      </c>
      <c r="J250" s="36" t="s">
        <v>385</v>
      </c>
      <c r="K250" s="33" t="s">
        <v>725</v>
      </c>
      <c r="L250" s="33" t="s">
        <v>726</v>
      </c>
      <c r="M250" s="36"/>
      <c r="N250" s="36" t="s">
        <v>761</v>
      </c>
      <c r="O250" s="36" t="s">
        <v>631</v>
      </c>
      <c r="P250" s="36" t="s">
        <v>762</v>
      </c>
      <c r="Q250" s="36" t="s">
        <v>97</v>
      </c>
      <c r="R250" s="37">
        <v>100</v>
      </c>
      <c r="S250" s="33" t="s">
        <v>716</v>
      </c>
      <c r="T250" s="39">
        <v>7</v>
      </c>
      <c r="U250" s="39"/>
      <c r="V250" s="40">
        <f t="shared" si="48"/>
        <v>0</v>
      </c>
      <c r="W250" s="39">
        <v>7</v>
      </c>
      <c r="X250" s="39"/>
      <c r="Y250" s="40">
        <f t="shared" si="1"/>
        <v>0</v>
      </c>
      <c r="Z250" s="39">
        <v>7</v>
      </c>
      <c r="AA250" s="39"/>
      <c r="AB250" s="40">
        <f t="shared" si="2"/>
        <v>0</v>
      </c>
      <c r="AC250" s="39">
        <v>8</v>
      </c>
      <c r="AD250" s="39"/>
      <c r="AE250" s="40">
        <f t="shared" si="3"/>
        <v>0</v>
      </c>
      <c r="AF250" s="41">
        <f t="shared" si="55"/>
        <v>100</v>
      </c>
      <c r="AG250" s="41">
        <f t="shared" si="49"/>
        <v>0</v>
      </c>
      <c r="AH250" s="42">
        <f t="shared" si="45"/>
        <v>0</v>
      </c>
      <c r="AI250" s="67">
        <v>46054</v>
      </c>
      <c r="AJ250" s="67">
        <v>46387</v>
      </c>
      <c r="AK250" s="44" t="s">
        <v>647</v>
      </c>
      <c r="AL250" s="44"/>
      <c r="AM250" s="45"/>
      <c r="AN250" s="46">
        <v>0</v>
      </c>
      <c r="AO250" s="46">
        <v>0</v>
      </c>
      <c r="AP250" s="46">
        <v>0</v>
      </c>
      <c r="AQ250" s="47"/>
      <c r="AR250" s="44" t="s">
        <v>83</v>
      </c>
      <c r="AS250" s="44" t="s">
        <v>721</v>
      </c>
      <c r="AT250" s="48" t="s">
        <v>763</v>
      </c>
      <c r="AU250" s="44" t="s">
        <v>831</v>
      </c>
      <c r="AV250" s="51" t="s">
        <v>854</v>
      </c>
      <c r="AW250" s="51" t="s">
        <v>855</v>
      </c>
      <c r="AZ250" s="50">
        <f t="shared" si="56"/>
        <v>100</v>
      </c>
      <c r="BA250" s="50">
        <f t="shared" si="57"/>
        <v>0</v>
      </c>
      <c r="BB250" s="117">
        <f t="shared" si="58"/>
        <v>0</v>
      </c>
      <c r="BC250" s="50">
        <f t="shared" si="59"/>
        <v>100</v>
      </c>
      <c r="BD250" s="51"/>
      <c r="BE250" s="52">
        <f t="shared" si="50"/>
        <v>30</v>
      </c>
      <c r="BF250" s="52">
        <f t="shared" si="51"/>
        <v>30</v>
      </c>
      <c r="BG250" s="52">
        <f t="shared" si="52"/>
        <v>30</v>
      </c>
      <c r="BH250" s="52">
        <f t="shared" si="53"/>
        <v>10</v>
      </c>
      <c r="BI250" s="52">
        <f t="shared" si="54"/>
        <v>100</v>
      </c>
    </row>
    <row r="251" spans="1:61" x14ac:dyDescent="0.3">
      <c r="A251" s="39">
        <v>247</v>
      </c>
      <c r="B251" s="44" t="s">
        <v>731</v>
      </c>
      <c r="C251" s="44" t="s">
        <v>86</v>
      </c>
      <c r="D251" s="44" t="s">
        <v>87</v>
      </c>
      <c r="E251" s="44" t="s">
        <v>700</v>
      </c>
      <c r="F251" s="44" t="s">
        <v>724</v>
      </c>
      <c r="G251" s="36" t="s">
        <v>682</v>
      </c>
      <c r="H251" s="36" t="s">
        <v>744</v>
      </c>
      <c r="I251" s="36" t="s">
        <v>385</v>
      </c>
      <c r="J251" s="36" t="s">
        <v>385</v>
      </c>
      <c r="K251" s="33" t="s">
        <v>725</v>
      </c>
      <c r="L251" s="33" t="s">
        <v>726</v>
      </c>
      <c r="M251" s="36"/>
      <c r="N251" s="36" t="s">
        <v>764</v>
      </c>
      <c r="O251" s="36" t="s">
        <v>631</v>
      </c>
      <c r="P251" s="36" t="s">
        <v>765</v>
      </c>
      <c r="Q251" s="36" t="s">
        <v>97</v>
      </c>
      <c r="R251" s="37">
        <v>100</v>
      </c>
      <c r="S251" s="33" t="s">
        <v>716</v>
      </c>
      <c r="T251" s="39">
        <v>17</v>
      </c>
      <c r="U251" s="39"/>
      <c r="V251" s="40">
        <f t="shared" si="48"/>
        <v>0</v>
      </c>
      <c r="W251" s="39">
        <v>17</v>
      </c>
      <c r="X251" s="39"/>
      <c r="Y251" s="40">
        <f t="shared" si="1"/>
        <v>0</v>
      </c>
      <c r="Z251" s="39">
        <v>17</v>
      </c>
      <c r="AA251" s="39"/>
      <c r="AB251" s="40">
        <f t="shared" si="2"/>
        <v>0</v>
      </c>
      <c r="AC251" s="39">
        <v>18</v>
      </c>
      <c r="AD251" s="39"/>
      <c r="AE251" s="40">
        <f t="shared" si="3"/>
        <v>0</v>
      </c>
      <c r="AF251" s="41">
        <f t="shared" si="55"/>
        <v>100</v>
      </c>
      <c r="AG251" s="41">
        <f t="shared" si="49"/>
        <v>0</v>
      </c>
      <c r="AH251" s="42">
        <f t="shared" si="45"/>
        <v>0</v>
      </c>
      <c r="AI251" s="67">
        <v>46054</v>
      </c>
      <c r="AJ251" s="67">
        <v>46387</v>
      </c>
      <c r="AK251" s="44" t="s">
        <v>647</v>
      </c>
      <c r="AL251" s="44"/>
      <c r="AM251" s="45"/>
      <c r="AN251" s="46">
        <v>0</v>
      </c>
      <c r="AO251" s="46">
        <v>0</v>
      </c>
      <c r="AP251" s="46">
        <v>0</v>
      </c>
      <c r="AQ251" s="47"/>
      <c r="AR251" s="44" t="s">
        <v>83</v>
      </c>
      <c r="AS251" s="44" t="s">
        <v>721</v>
      </c>
      <c r="AT251" s="48" t="s">
        <v>763</v>
      </c>
      <c r="AU251" s="44" t="s">
        <v>831</v>
      </c>
      <c r="AV251" s="51" t="s">
        <v>854</v>
      </c>
      <c r="AW251" s="51" t="s">
        <v>855</v>
      </c>
      <c r="AZ251" s="50">
        <f t="shared" si="56"/>
        <v>100</v>
      </c>
      <c r="BA251" s="50">
        <f t="shared" si="57"/>
        <v>0</v>
      </c>
      <c r="BB251" s="117">
        <f t="shared" si="58"/>
        <v>0</v>
      </c>
      <c r="BC251" s="50">
        <f t="shared" si="59"/>
        <v>100</v>
      </c>
      <c r="BD251" s="51"/>
      <c r="BE251" s="52">
        <f t="shared" si="50"/>
        <v>30</v>
      </c>
      <c r="BF251" s="52">
        <f t="shared" si="51"/>
        <v>30</v>
      </c>
      <c r="BG251" s="52">
        <f t="shared" si="52"/>
        <v>30</v>
      </c>
      <c r="BH251" s="52">
        <f t="shared" si="53"/>
        <v>10</v>
      </c>
      <c r="BI251" s="52">
        <f t="shared" si="54"/>
        <v>100</v>
      </c>
    </row>
    <row r="252" spans="1:61" x14ac:dyDescent="0.3">
      <c r="A252" s="39">
        <v>248</v>
      </c>
      <c r="B252" s="44" t="s">
        <v>731</v>
      </c>
      <c r="C252" s="44" t="s">
        <v>86</v>
      </c>
      <c r="D252" s="44" t="s">
        <v>87</v>
      </c>
      <c r="E252" s="44" t="s">
        <v>700</v>
      </c>
      <c r="F252" s="44" t="s">
        <v>724</v>
      </c>
      <c r="G252" s="36" t="s">
        <v>682</v>
      </c>
      <c r="H252" s="36" t="s">
        <v>744</v>
      </c>
      <c r="I252" s="36" t="s">
        <v>385</v>
      </c>
      <c r="J252" s="36" t="s">
        <v>385</v>
      </c>
      <c r="K252" s="33" t="s">
        <v>725</v>
      </c>
      <c r="L252" s="33" t="s">
        <v>726</v>
      </c>
      <c r="M252" s="36"/>
      <c r="N252" s="36" t="s">
        <v>766</v>
      </c>
      <c r="O252" s="36" t="s">
        <v>631</v>
      </c>
      <c r="P252" s="36" t="s">
        <v>767</v>
      </c>
      <c r="Q252" s="36" t="s">
        <v>97</v>
      </c>
      <c r="R252" s="37">
        <v>80</v>
      </c>
      <c r="S252" s="33" t="s">
        <v>718</v>
      </c>
      <c r="T252" s="39">
        <v>25</v>
      </c>
      <c r="U252" s="39"/>
      <c r="V252" s="40">
        <f t="shared" si="48"/>
        <v>0</v>
      </c>
      <c r="W252" s="39">
        <v>25</v>
      </c>
      <c r="X252" s="39"/>
      <c r="Y252" s="40">
        <f t="shared" si="1"/>
        <v>0</v>
      </c>
      <c r="Z252" s="39">
        <v>25</v>
      </c>
      <c r="AA252" s="39"/>
      <c r="AB252" s="40">
        <f t="shared" si="2"/>
        <v>0</v>
      </c>
      <c r="AC252" s="39">
        <v>25</v>
      </c>
      <c r="AD252" s="39"/>
      <c r="AE252" s="40">
        <f t="shared" si="3"/>
        <v>0</v>
      </c>
      <c r="AF252" s="41">
        <f t="shared" si="55"/>
        <v>80</v>
      </c>
      <c r="AG252" s="41">
        <f t="shared" si="49"/>
        <v>0</v>
      </c>
      <c r="AH252" s="42">
        <f t="shared" si="45"/>
        <v>0</v>
      </c>
      <c r="AI252" s="67">
        <v>46054</v>
      </c>
      <c r="AJ252" s="67">
        <v>46387</v>
      </c>
      <c r="AK252" s="44" t="s">
        <v>647</v>
      </c>
      <c r="AL252" s="44"/>
      <c r="AM252" s="45"/>
      <c r="AN252" s="46">
        <v>0</v>
      </c>
      <c r="AO252" s="46">
        <v>0</v>
      </c>
      <c r="AP252" s="46">
        <v>0</v>
      </c>
      <c r="AQ252" s="47"/>
      <c r="AR252" s="44" t="s">
        <v>83</v>
      </c>
      <c r="AS252" s="44" t="s">
        <v>721</v>
      </c>
      <c r="AT252" s="48" t="s">
        <v>763</v>
      </c>
      <c r="AU252" s="44" t="s">
        <v>831</v>
      </c>
      <c r="AV252" s="51" t="s">
        <v>854</v>
      </c>
      <c r="AW252" s="51" t="s">
        <v>855</v>
      </c>
      <c r="AZ252" s="50">
        <f t="shared" si="56"/>
        <v>80</v>
      </c>
      <c r="BA252" s="50">
        <f t="shared" si="57"/>
        <v>0</v>
      </c>
      <c r="BB252" s="117">
        <f t="shared" si="58"/>
        <v>0</v>
      </c>
      <c r="BC252" s="50">
        <f t="shared" si="59"/>
        <v>80</v>
      </c>
      <c r="BD252" s="51"/>
      <c r="BE252" s="52">
        <f t="shared" si="50"/>
        <v>24</v>
      </c>
      <c r="BF252" s="52">
        <f t="shared" si="51"/>
        <v>24</v>
      </c>
      <c r="BG252" s="52">
        <f t="shared" si="52"/>
        <v>24</v>
      </c>
      <c r="BH252" s="52">
        <f t="shared" si="53"/>
        <v>8</v>
      </c>
      <c r="BI252" s="52">
        <f t="shared" si="54"/>
        <v>80</v>
      </c>
    </row>
    <row r="253" spans="1:61" x14ac:dyDescent="0.3">
      <c r="A253" s="39">
        <v>249</v>
      </c>
      <c r="B253" s="44" t="s">
        <v>731</v>
      </c>
      <c r="C253" s="44" t="s">
        <v>408</v>
      </c>
      <c r="D253" s="44" t="s">
        <v>768</v>
      </c>
      <c r="E253" s="44" t="s">
        <v>680</v>
      </c>
      <c r="F253" s="44" t="s">
        <v>724</v>
      </c>
      <c r="G253" s="36" t="s">
        <v>682</v>
      </c>
      <c r="H253" s="36" t="s">
        <v>744</v>
      </c>
      <c r="I253" s="36" t="s">
        <v>385</v>
      </c>
      <c r="J253" s="36" t="s">
        <v>385</v>
      </c>
      <c r="K253" s="33" t="s">
        <v>725</v>
      </c>
      <c r="L253" s="33" t="s">
        <v>726</v>
      </c>
      <c r="M253" s="36"/>
      <c r="N253" s="36" t="s">
        <v>769</v>
      </c>
      <c r="O253" s="36" t="s">
        <v>631</v>
      </c>
      <c r="P253" s="36" t="s">
        <v>770</v>
      </c>
      <c r="Q253" s="36" t="s">
        <v>97</v>
      </c>
      <c r="R253" s="37">
        <v>100</v>
      </c>
      <c r="S253" s="33" t="s">
        <v>716</v>
      </c>
      <c r="T253" s="39">
        <v>1</v>
      </c>
      <c r="U253" s="39"/>
      <c r="V253" s="40">
        <f t="shared" si="48"/>
        <v>0</v>
      </c>
      <c r="W253" s="39">
        <v>1</v>
      </c>
      <c r="X253" s="39"/>
      <c r="Y253" s="40">
        <f t="shared" si="1"/>
        <v>0</v>
      </c>
      <c r="Z253" s="39">
        <v>1</v>
      </c>
      <c r="AA253" s="39"/>
      <c r="AB253" s="40">
        <f t="shared" si="2"/>
        <v>0</v>
      </c>
      <c r="AC253" s="39">
        <v>1</v>
      </c>
      <c r="AD253" s="39"/>
      <c r="AE253" s="40">
        <f t="shared" si="3"/>
        <v>0</v>
      </c>
      <c r="AF253" s="41">
        <f t="shared" si="55"/>
        <v>100</v>
      </c>
      <c r="AG253" s="41">
        <f t="shared" si="49"/>
        <v>0</v>
      </c>
      <c r="AH253" s="42">
        <f t="shared" si="45"/>
        <v>0</v>
      </c>
      <c r="AI253" s="67">
        <v>46054</v>
      </c>
      <c r="AJ253" s="67">
        <v>46387</v>
      </c>
      <c r="AK253" s="44" t="s">
        <v>647</v>
      </c>
      <c r="AL253" s="44"/>
      <c r="AM253" s="45"/>
      <c r="AN253" s="46">
        <v>0</v>
      </c>
      <c r="AO253" s="46">
        <v>0</v>
      </c>
      <c r="AP253" s="46">
        <v>0</v>
      </c>
      <c r="AQ253" s="47"/>
      <c r="AR253" s="44" t="s">
        <v>83</v>
      </c>
      <c r="AS253" s="44" t="s">
        <v>721</v>
      </c>
      <c r="AT253" s="48" t="s">
        <v>771</v>
      </c>
      <c r="AU253" s="44" t="s">
        <v>831</v>
      </c>
      <c r="AV253" s="51" t="s">
        <v>854</v>
      </c>
      <c r="AW253" s="51" t="s">
        <v>856</v>
      </c>
      <c r="AZ253" s="50">
        <f t="shared" si="56"/>
        <v>100</v>
      </c>
      <c r="BA253" s="50">
        <f t="shared" si="57"/>
        <v>0</v>
      </c>
      <c r="BB253" s="117">
        <f t="shared" si="58"/>
        <v>0</v>
      </c>
      <c r="BC253" s="50">
        <f t="shared" si="59"/>
        <v>100</v>
      </c>
      <c r="BD253" s="51"/>
      <c r="BE253" s="52">
        <f t="shared" si="50"/>
        <v>30</v>
      </c>
      <c r="BF253" s="52">
        <f t="shared" si="51"/>
        <v>30</v>
      </c>
      <c r="BG253" s="52">
        <f t="shared" si="52"/>
        <v>30</v>
      </c>
      <c r="BH253" s="52">
        <f t="shared" si="53"/>
        <v>10</v>
      </c>
      <c r="BI253" s="52">
        <f t="shared" si="54"/>
        <v>100</v>
      </c>
    </row>
    <row r="254" spans="1:61" x14ac:dyDescent="0.3">
      <c r="A254" s="39">
        <v>250</v>
      </c>
      <c r="B254" s="44" t="s">
        <v>731</v>
      </c>
      <c r="C254" s="44" t="s">
        <v>64</v>
      </c>
      <c r="D254" s="44" t="s">
        <v>65</v>
      </c>
      <c r="E254" s="44" t="s">
        <v>736</v>
      </c>
      <c r="F254" s="44" t="s">
        <v>737</v>
      </c>
      <c r="G254" s="36" t="s">
        <v>738</v>
      </c>
      <c r="H254" s="36" t="s">
        <v>744</v>
      </c>
      <c r="I254" s="36" t="s">
        <v>385</v>
      </c>
      <c r="J254" s="36" t="s">
        <v>385</v>
      </c>
      <c r="K254" s="33" t="s">
        <v>725</v>
      </c>
      <c r="L254" s="33" t="s">
        <v>726</v>
      </c>
      <c r="M254" s="36"/>
      <c r="N254" s="36" t="s">
        <v>772</v>
      </c>
      <c r="O254" s="36" t="s">
        <v>636</v>
      </c>
      <c r="P254" s="36" t="s">
        <v>773</v>
      </c>
      <c r="Q254" s="36" t="s">
        <v>774</v>
      </c>
      <c r="R254" s="69">
        <v>100</v>
      </c>
      <c r="S254" s="33" t="s">
        <v>126</v>
      </c>
      <c r="T254" s="39">
        <v>25</v>
      </c>
      <c r="U254" s="39">
        <v>25</v>
      </c>
      <c r="V254" s="40">
        <f t="shared" si="48"/>
        <v>100</v>
      </c>
      <c r="W254" s="39">
        <v>25</v>
      </c>
      <c r="X254" s="39">
        <v>25</v>
      </c>
      <c r="Y254" s="40">
        <f t="shared" si="1"/>
        <v>100</v>
      </c>
      <c r="Z254" s="39">
        <v>25</v>
      </c>
      <c r="AA254" s="39"/>
      <c r="AB254" s="40">
        <f t="shared" si="2"/>
        <v>0</v>
      </c>
      <c r="AC254" s="39">
        <v>25</v>
      </c>
      <c r="AD254" s="39"/>
      <c r="AE254" s="40">
        <f t="shared" si="3"/>
        <v>0</v>
      </c>
      <c r="AF254" s="41">
        <f t="shared" si="55"/>
        <v>100</v>
      </c>
      <c r="AG254" s="41">
        <f t="shared" si="49"/>
        <v>50</v>
      </c>
      <c r="AH254" s="42">
        <f t="shared" si="45"/>
        <v>100</v>
      </c>
      <c r="AI254" s="67">
        <v>46054</v>
      </c>
      <c r="AJ254" s="67">
        <v>46387</v>
      </c>
      <c r="AK254" s="44" t="s">
        <v>647</v>
      </c>
      <c r="AL254" s="44"/>
      <c r="AM254" s="45"/>
      <c r="AN254" s="46">
        <v>0</v>
      </c>
      <c r="AO254" s="46">
        <v>0</v>
      </c>
      <c r="AP254" s="46">
        <v>0</v>
      </c>
      <c r="AQ254" s="47"/>
      <c r="AR254" s="44" t="s">
        <v>83</v>
      </c>
      <c r="AS254" s="44" t="s">
        <v>721</v>
      </c>
      <c r="AT254" s="48" t="s">
        <v>645</v>
      </c>
      <c r="AU254" s="49" t="s">
        <v>831</v>
      </c>
      <c r="AV254" s="51" t="s">
        <v>850</v>
      </c>
      <c r="AZ254" s="50">
        <f t="shared" si="56"/>
        <v>100</v>
      </c>
      <c r="BA254" s="50">
        <f t="shared" si="57"/>
        <v>50</v>
      </c>
      <c r="BB254" s="117">
        <f t="shared" si="58"/>
        <v>0.5</v>
      </c>
      <c r="BC254" s="50">
        <f t="shared" si="59"/>
        <v>50</v>
      </c>
      <c r="BD254" s="51"/>
      <c r="BE254" s="52">
        <f t="shared" si="50"/>
        <v>15</v>
      </c>
      <c r="BF254" s="52">
        <f t="shared" si="51"/>
        <v>15</v>
      </c>
      <c r="BG254" s="52">
        <f t="shared" si="52"/>
        <v>15</v>
      </c>
      <c r="BH254" s="52">
        <f t="shared" si="53"/>
        <v>5</v>
      </c>
      <c r="BI254" s="52">
        <f t="shared" si="54"/>
        <v>50</v>
      </c>
    </row>
    <row r="255" spans="1:61" x14ac:dyDescent="0.3">
      <c r="A255" s="39">
        <v>251</v>
      </c>
      <c r="B255" s="44" t="s">
        <v>775</v>
      </c>
      <c r="C255" s="44" t="s">
        <v>86</v>
      </c>
      <c r="D255" s="44" t="s">
        <v>65</v>
      </c>
      <c r="E255" s="44" t="s">
        <v>736</v>
      </c>
      <c r="F255" s="44" t="s">
        <v>737</v>
      </c>
      <c r="G255" s="36" t="s">
        <v>738</v>
      </c>
      <c r="H255" s="36" t="s">
        <v>744</v>
      </c>
      <c r="I255" s="36" t="s">
        <v>385</v>
      </c>
      <c r="J255" s="36" t="s">
        <v>385</v>
      </c>
      <c r="K255" s="33" t="s">
        <v>725</v>
      </c>
      <c r="L255" s="33" t="s">
        <v>647</v>
      </c>
      <c r="M255" s="36"/>
      <c r="N255" s="36" t="s">
        <v>772</v>
      </c>
      <c r="O255" s="36" t="s">
        <v>636</v>
      </c>
      <c r="P255" s="36" t="s">
        <v>776</v>
      </c>
      <c r="Q255" s="36" t="s">
        <v>774</v>
      </c>
      <c r="R255" s="70">
        <v>5</v>
      </c>
      <c r="S255" s="33" t="s">
        <v>79</v>
      </c>
      <c r="T255" s="39">
        <v>25</v>
      </c>
      <c r="U255" s="39">
        <v>25</v>
      </c>
      <c r="V255" s="40">
        <f t="shared" si="48"/>
        <v>100</v>
      </c>
      <c r="W255" s="39">
        <v>25</v>
      </c>
      <c r="X255" s="39">
        <v>12</v>
      </c>
      <c r="Y255" s="40">
        <f t="shared" si="1"/>
        <v>48</v>
      </c>
      <c r="Z255" s="39">
        <v>25</v>
      </c>
      <c r="AA255" s="39"/>
      <c r="AB255" s="40">
        <f t="shared" si="2"/>
        <v>0</v>
      </c>
      <c r="AC255" s="39">
        <v>25</v>
      </c>
      <c r="AD255" s="39"/>
      <c r="AE255" s="40">
        <f t="shared" si="3"/>
        <v>0</v>
      </c>
      <c r="AF255" s="41">
        <f t="shared" si="55"/>
        <v>5</v>
      </c>
      <c r="AG255" s="41">
        <f t="shared" si="49"/>
        <v>37</v>
      </c>
      <c r="AH255" s="42">
        <f t="shared" si="45"/>
        <v>74</v>
      </c>
      <c r="AI255" s="67">
        <v>46054</v>
      </c>
      <c r="AJ255" s="67">
        <v>46387</v>
      </c>
      <c r="AK255" s="44" t="s">
        <v>647</v>
      </c>
      <c r="AL255" s="44"/>
      <c r="AM255" s="45"/>
      <c r="AN255" s="46">
        <v>0</v>
      </c>
      <c r="AO255" s="46">
        <v>0</v>
      </c>
      <c r="AP255" s="46">
        <v>0</v>
      </c>
      <c r="AQ255" s="47"/>
      <c r="AR255" s="44" t="s">
        <v>83</v>
      </c>
      <c r="AS255" s="44" t="s">
        <v>721</v>
      </c>
      <c r="AT255" s="48" t="s">
        <v>645</v>
      </c>
      <c r="AU255" s="49" t="s">
        <v>831</v>
      </c>
      <c r="AV255" s="51" t="s">
        <v>850</v>
      </c>
      <c r="AZ255" s="50">
        <f t="shared" si="56"/>
        <v>5</v>
      </c>
      <c r="BA255" s="50">
        <f t="shared" si="57"/>
        <v>37</v>
      </c>
      <c r="BB255" s="117">
        <f t="shared" si="58"/>
        <v>7.4</v>
      </c>
      <c r="BC255" s="50">
        <f t="shared" si="59"/>
        <v>-32</v>
      </c>
      <c r="BD255" s="51"/>
      <c r="BE255" s="52">
        <f t="shared" si="50"/>
        <v>-9.6</v>
      </c>
      <c r="BF255" s="52">
        <f t="shared" si="51"/>
        <v>-9.6</v>
      </c>
      <c r="BG255" s="52">
        <f t="shared" si="52"/>
        <v>-9.6</v>
      </c>
      <c r="BH255" s="52">
        <f t="shared" si="53"/>
        <v>-3.2</v>
      </c>
      <c r="BI255" s="52">
        <f t="shared" si="54"/>
        <v>-31.999999999999996</v>
      </c>
    </row>
    <row r="256" spans="1:61" x14ac:dyDescent="0.3">
      <c r="A256" s="39">
        <v>252</v>
      </c>
      <c r="B256" s="44" t="s">
        <v>699</v>
      </c>
      <c r="C256" s="44" t="s">
        <v>86</v>
      </c>
      <c r="D256" s="44" t="s">
        <v>65</v>
      </c>
      <c r="E256" s="44" t="s">
        <v>736</v>
      </c>
      <c r="F256" s="44" t="s">
        <v>737</v>
      </c>
      <c r="G256" s="36" t="s">
        <v>738</v>
      </c>
      <c r="H256" s="36" t="s">
        <v>744</v>
      </c>
      <c r="I256" s="36" t="s">
        <v>385</v>
      </c>
      <c r="J256" s="36" t="s">
        <v>385</v>
      </c>
      <c r="K256" s="33" t="s">
        <v>725</v>
      </c>
      <c r="L256" s="33" t="s">
        <v>647</v>
      </c>
      <c r="M256" s="36"/>
      <c r="N256" s="36" t="s">
        <v>772</v>
      </c>
      <c r="O256" s="36" t="s">
        <v>636</v>
      </c>
      <c r="P256" s="36" t="s">
        <v>777</v>
      </c>
      <c r="Q256" s="36" t="s">
        <v>774</v>
      </c>
      <c r="R256" s="37">
        <v>5</v>
      </c>
      <c r="S256" s="33" t="s">
        <v>79</v>
      </c>
      <c r="T256" s="39">
        <v>20</v>
      </c>
      <c r="U256" s="39">
        <v>20</v>
      </c>
      <c r="V256" s="40">
        <f t="shared" si="48"/>
        <v>100</v>
      </c>
      <c r="W256" s="39">
        <v>20</v>
      </c>
      <c r="X256" s="39">
        <v>20</v>
      </c>
      <c r="Y256" s="40">
        <f t="shared" si="1"/>
        <v>100</v>
      </c>
      <c r="Z256" s="39">
        <v>20</v>
      </c>
      <c r="AA256" s="39"/>
      <c r="AB256" s="40">
        <f t="shared" si="2"/>
        <v>0</v>
      </c>
      <c r="AC256" s="39">
        <v>20</v>
      </c>
      <c r="AD256" s="39"/>
      <c r="AE256" s="40">
        <f t="shared" si="3"/>
        <v>0</v>
      </c>
      <c r="AF256" s="41">
        <f t="shared" si="55"/>
        <v>5</v>
      </c>
      <c r="AG256" s="41">
        <f t="shared" si="49"/>
        <v>40</v>
      </c>
      <c r="AH256" s="42">
        <f t="shared" si="45"/>
        <v>100</v>
      </c>
      <c r="AI256" s="67">
        <v>46054</v>
      </c>
      <c r="AJ256" s="67">
        <v>46387</v>
      </c>
      <c r="AK256" s="44" t="s">
        <v>647</v>
      </c>
      <c r="AL256" s="44"/>
      <c r="AM256" s="45"/>
      <c r="AN256" s="46">
        <v>0</v>
      </c>
      <c r="AO256" s="46">
        <v>0</v>
      </c>
      <c r="AP256" s="46">
        <v>0</v>
      </c>
      <c r="AQ256" s="47"/>
      <c r="AR256" s="44" t="s">
        <v>83</v>
      </c>
      <c r="AS256" s="44" t="s">
        <v>721</v>
      </c>
      <c r="AT256" s="48" t="s">
        <v>645</v>
      </c>
      <c r="AU256" s="49" t="s">
        <v>831</v>
      </c>
      <c r="AV256" s="51" t="s">
        <v>850</v>
      </c>
      <c r="AZ256" s="50">
        <f t="shared" si="56"/>
        <v>5</v>
      </c>
      <c r="BA256" s="50">
        <f t="shared" si="57"/>
        <v>40</v>
      </c>
      <c r="BB256" s="117">
        <f t="shared" si="58"/>
        <v>8</v>
      </c>
      <c r="BC256" s="50">
        <f t="shared" si="59"/>
        <v>-35</v>
      </c>
      <c r="BD256" s="51"/>
      <c r="BE256" s="52">
        <f t="shared" si="50"/>
        <v>-10.5</v>
      </c>
      <c r="BF256" s="52">
        <f t="shared" si="51"/>
        <v>-10.5</v>
      </c>
      <c r="BG256" s="52">
        <f t="shared" si="52"/>
        <v>-10.5</v>
      </c>
      <c r="BH256" s="52">
        <f t="shared" si="53"/>
        <v>-3.5</v>
      </c>
      <c r="BI256" s="52">
        <f t="shared" si="54"/>
        <v>-35</v>
      </c>
    </row>
    <row r="257" spans="1:61" x14ac:dyDescent="0.3">
      <c r="A257" s="39">
        <v>253</v>
      </c>
      <c r="B257" s="44" t="s">
        <v>699</v>
      </c>
      <c r="C257" s="44" t="s">
        <v>86</v>
      </c>
      <c r="D257" s="44" t="s">
        <v>87</v>
      </c>
      <c r="E257" s="44" t="s">
        <v>123</v>
      </c>
      <c r="F257" s="44" t="s">
        <v>778</v>
      </c>
      <c r="G257" s="36" t="s">
        <v>682</v>
      </c>
      <c r="H257" s="36" t="s">
        <v>628</v>
      </c>
      <c r="I257" s="36" t="s">
        <v>385</v>
      </c>
      <c r="J257" s="36" t="s">
        <v>385</v>
      </c>
      <c r="K257" s="33" t="s">
        <v>725</v>
      </c>
      <c r="L257" s="33" t="s">
        <v>647</v>
      </c>
      <c r="M257" s="36" t="s">
        <v>779</v>
      </c>
      <c r="N257" s="36" t="s">
        <v>780</v>
      </c>
      <c r="O257" s="36" t="s">
        <v>631</v>
      </c>
      <c r="P257" s="36" t="s">
        <v>781</v>
      </c>
      <c r="Q257" s="36" t="s">
        <v>774</v>
      </c>
      <c r="R257" s="37">
        <v>17</v>
      </c>
      <c r="S257" s="33" t="s">
        <v>79</v>
      </c>
      <c r="T257" s="39">
        <v>25</v>
      </c>
      <c r="U257" s="39"/>
      <c r="V257" s="40">
        <f t="shared" si="48"/>
        <v>0</v>
      </c>
      <c r="W257" s="39">
        <v>25</v>
      </c>
      <c r="X257" s="39"/>
      <c r="Y257" s="40">
        <f t="shared" si="1"/>
        <v>0</v>
      </c>
      <c r="Z257" s="39">
        <v>25</v>
      </c>
      <c r="AA257" s="39"/>
      <c r="AB257" s="40">
        <f t="shared" si="2"/>
        <v>0</v>
      </c>
      <c r="AC257" s="39">
        <v>25</v>
      </c>
      <c r="AD257" s="39"/>
      <c r="AE257" s="40">
        <f t="shared" si="3"/>
        <v>0</v>
      </c>
      <c r="AF257" s="41">
        <f t="shared" si="55"/>
        <v>17</v>
      </c>
      <c r="AG257" s="41">
        <f t="shared" si="49"/>
        <v>0</v>
      </c>
      <c r="AH257" s="42">
        <f t="shared" si="45"/>
        <v>0</v>
      </c>
      <c r="AI257" s="67">
        <v>46054</v>
      </c>
      <c r="AJ257" s="67">
        <v>46387</v>
      </c>
      <c r="AK257" s="44" t="s">
        <v>647</v>
      </c>
      <c r="AL257" s="44"/>
      <c r="AM257" s="45"/>
      <c r="AN257" s="46"/>
      <c r="AO257" s="46"/>
      <c r="AP257" s="46"/>
      <c r="AQ257" s="47"/>
      <c r="AR257" s="44" t="s">
        <v>670</v>
      </c>
      <c r="AS257" s="44" t="s">
        <v>721</v>
      </c>
      <c r="AT257" s="48" t="s">
        <v>624</v>
      </c>
      <c r="AU257" s="44" t="s">
        <v>831</v>
      </c>
      <c r="AV257" s="51" t="s">
        <v>849</v>
      </c>
      <c r="AZ257" s="50">
        <f t="shared" si="56"/>
        <v>17</v>
      </c>
      <c r="BA257" s="50">
        <f t="shared" si="57"/>
        <v>0</v>
      </c>
      <c r="BB257" s="117">
        <f t="shared" si="58"/>
        <v>0</v>
      </c>
      <c r="BC257" s="50">
        <f t="shared" si="59"/>
        <v>17</v>
      </c>
      <c r="BD257" s="51"/>
      <c r="BE257" s="52">
        <f t="shared" si="50"/>
        <v>5.0999999999999996</v>
      </c>
      <c r="BF257" s="52">
        <f t="shared" si="51"/>
        <v>5.0999999999999996</v>
      </c>
      <c r="BG257" s="52">
        <f t="shared" si="52"/>
        <v>5.0999999999999996</v>
      </c>
      <c r="BH257" s="52">
        <f t="shared" si="53"/>
        <v>1.7000000000000002</v>
      </c>
      <c r="BI257" s="52">
        <f t="shared" si="54"/>
        <v>17</v>
      </c>
    </row>
    <row r="258" spans="1:61" x14ac:dyDescent="0.3">
      <c r="A258" s="39">
        <v>254</v>
      </c>
      <c r="B258" s="44" t="s">
        <v>699</v>
      </c>
      <c r="C258" s="44" t="s">
        <v>86</v>
      </c>
      <c r="D258" s="44" t="s">
        <v>87</v>
      </c>
      <c r="E258" s="44" t="s">
        <v>123</v>
      </c>
      <c r="F258" s="44" t="s">
        <v>778</v>
      </c>
      <c r="G258" s="36" t="s">
        <v>682</v>
      </c>
      <c r="H258" s="36" t="s">
        <v>628</v>
      </c>
      <c r="I258" s="36" t="s">
        <v>385</v>
      </c>
      <c r="J258" s="36" t="s">
        <v>385</v>
      </c>
      <c r="K258" s="33" t="s">
        <v>725</v>
      </c>
      <c r="L258" s="33" t="s">
        <v>647</v>
      </c>
      <c r="M258" s="36" t="s">
        <v>779</v>
      </c>
      <c r="N258" s="36" t="s">
        <v>780</v>
      </c>
      <c r="O258" s="36" t="s">
        <v>631</v>
      </c>
      <c r="P258" s="36" t="s">
        <v>782</v>
      </c>
      <c r="Q258" s="36" t="s">
        <v>774</v>
      </c>
      <c r="R258" s="37">
        <v>5</v>
      </c>
      <c r="S258" s="33" t="s">
        <v>79</v>
      </c>
      <c r="T258" s="39">
        <v>25</v>
      </c>
      <c r="U258" s="39"/>
      <c r="V258" s="40">
        <f t="shared" si="48"/>
        <v>0</v>
      </c>
      <c r="W258" s="39">
        <v>25</v>
      </c>
      <c r="X258" s="39"/>
      <c r="Y258" s="40">
        <f t="shared" si="1"/>
        <v>0</v>
      </c>
      <c r="Z258" s="39">
        <v>25</v>
      </c>
      <c r="AA258" s="39"/>
      <c r="AB258" s="40">
        <f t="shared" si="2"/>
        <v>0</v>
      </c>
      <c r="AC258" s="39">
        <v>25</v>
      </c>
      <c r="AD258" s="39"/>
      <c r="AE258" s="40">
        <f t="shared" si="3"/>
        <v>0</v>
      </c>
      <c r="AF258" s="41">
        <f t="shared" si="55"/>
        <v>5</v>
      </c>
      <c r="AG258" s="41">
        <f t="shared" si="49"/>
        <v>0</v>
      </c>
      <c r="AH258" s="42">
        <f t="shared" si="45"/>
        <v>0</v>
      </c>
      <c r="AI258" s="67">
        <v>46054</v>
      </c>
      <c r="AJ258" s="67">
        <v>46387</v>
      </c>
      <c r="AK258" s="44" t="s">
        <v>647</v>
      </c>
      <c r="AL258" s="44"/>
      <c r="AM258" s="45"/>
      <c r="AN258" s="46"/>
      <c r="AO258" s="46"/>
      <c r="AP258" s="46"/>
      <c r="AQ258" s="47"/>
      <c r="AR258" s="44" t="s">
        <v>783</v>
      </c>
      <c r="AS258" s="44" t="s">
        <v>721</v>
      </c>
      <c r="AT258" s="48" t="s">
        <v>624</v>
      </c>
      <c r="AU258" s="44" t="s">
        <v>831</v>
      </c>
      <c r="AV258" s="51" t="s">
        <v>849</v>
      </c>
      <c r="AZ258" s="50">
        <f t="shared" si="56"/>
        <v>5</v>
      </c>
      <c r="BA258" s="50">
        <f t="shared" si="57"/>
        <v>0</v>
      </c>
      <c r="BB258" s="117">
        <f t="shared" si="58"/>
        <v>0</v>
      </c>
      <c r="BC258" s="50">
        <f t="shared" si="59"/>
        <v>5</v>
      </c>
      <c r="BD258" s="51"/>
      <c r="BE258" s="52">
        <f t="shared" si="50"/>
        <v>1.5</v>
      </c>
      <c r="BF258" s="52">
        <f t="shared" si="51"/>
        <v>1.5</v>
      </c>
      <c r="BG258" s="52">
        <f t="shared" si="52"/>
        <v>1.5</v>
      </c>
      <c r="BH258" s="52">
        <f t="shared" si="53"/>
        <v>0.5</v>
      </c>
      <c r="BI258" s="52">
        <f t="shared" si="54"/>
        <v>5</v>
      </c>
    </row>
    <row r="259" spans="1:61" x14ac:dyDescent="0.3">
      <c r="A259" s="39">
        <v>255</v>
      </c>
      <c r="B259" s="44" t="s">
        <v>699</v>
      </c>
      <c r="C259" s="44" t="s">
        <v>86</v>
      </c>
      <c r="D259" s="44" t="s">
        <v>87</v>
      </c>
      <c r="E259" s="44" t="s">
        <v>123</v>
      </c>
      <c r="F259" s="44" t="s">
        <v>778</v>
      </c>
      <c r="G259" s="36" t="s">
        <v>682</v>
      </c>
      <c r="H259" s="36" t="s">
        <v>628</v>
      </c>
      <c r="I259" s="36" t="s">
        <v>385</v>
      </c>
      <c r="J259" s="36" t="s">
        <v>385</v>
      </c>
      <c r="K259" s="33" t="s">
        <v>725</v>
      </c>
      <c r="L259" s="33" t="s">
        <v>647</v>
      </c>
      <c r="M259" s="36"/>
      <c r="N259" s="36" t="s">
        <v>780</v>
      </c>
      <c r="O259" s="36" t="s">
        <v>631</v>
      </c>
      <c r="P259" s="36" t="s">
        <v>784</v>
      </c>
      <c r="Q259" s="36" t="s">
        <v>774</v>
      </c>
      <c r="R259" s="37">
        <v>35</v>
      </c>
      <c r="S259" s="33" t="s">
        <v>79</v>
      </c>
      <c r="T259" s="39"/>
      <c r="U259" s="39"/>
      <c r="V259" s="40" t="e">
        <f t="shared" si="48"/>
        <v>#DIV/0!</v>
      </c>
      <c r="W259" s="39"/>
      <c r="X259" s="39"/>
      <c r="Y259" s="40" t="e">
        <f t="shared" si="1"/>
        <v>#DIV/0!</v>
      </c>
      <c r="Z259" s="39"/>
      <c r="AA259" s="39"/>
      <c r="AB259" s="40" t="e">
        <f t="shared" si="2"/>
        <v>#DIV/0!</v>
      </c>
      <c r="AC259" s="39">
        <v>5</v>
      </c>
      <c r="AD259" s="39"/>
      <c r="AE259" s="40">
        <f t="shared" si="3"/>
        <v>0</v>
      </c>
      <c r="AF259" s="41">
        <f t="shared" si="55"/>
        <v>35</v>
      </c>
      <c r="AG259" s="41">
        <f t="shared" si="49"/>
        <v>0</v>
      </c>
      <c r="AH259" s="42">
        <f t="shared" si="45"/>
        <v>0</v>
      </c>
      <c r="AI259" s="67">
        <v>46054</v>
      </c>
      <c r="AJ259" s="67">
        <v>46387</v>
      </c>
      <c r="AK259" s="44" t="s">
        <v>647</v>
      </c>
      <c r="AL259" s="44"/>
      <c r="AM259" s="45"/>
      <c r="AN259" s="46"/>
      <c r="AO259" s="46"/>
      <c r="AP259" s="46"/>
      <c r="AQ259" s="47"/>
      <c r="AR259" s="44" t="s">
        <v>783</v>
      </c>
      <c r="AS259" s="44" t="s">
        <v>721</v>
      </c>
      <c r="AT259" s="48" t="s">
        <v>624</v>
      </c>
      <c r="AU259" s="44" t="s">
        <v>831</v>
      </c>
      <c r="AV259" s="51" t="s">
        <v>849</v>
      </c>
      <c r="AZ259" s="50">
        <f t="shared" si="56"/>
        <v>35</v>
      </c>
      <c r="BA259" s="50">
        <f t="shared" si="57"/>
        <v>0</v>
      </c>
      <c r="BB259" s="117">
        <f t="shared" si="58"/>
        <v>0</v>
      </c>
      <c r="BC259" s="50">
        <f t="shared" si="59"/>
        <v>35</v>
      </c>
      <c r="BD259" s="51"/>
      <c r="BE259" s="52">
        <f t="shared" si="50"/>
        <v>10.5</v>
      </c>
      <c r="BF259" s="52">
        <f t="shared" si="51"/>
        <v>10.5</v>
      </c>
      <c r="BG259" s="52">
        <f t="shared" si="52"/>
        <v>10.5</v>
      </c>
      <c r="BH259" s="52">
        <f t="shared" si="53"/>
        <v>3.5</v>
      </c>
      <c r="BI259" s="52">
        <f t="shared" si="54"/>
        <v>35</v>
      </c>
    </row>
    <row r="260" spans="1:61" x14ac:dyDescent="0.3">
      <c r="A260" s="39">
        <v>256</v>
      </c>
      <c r="B260" s="44" t="s">
        <v>699</v>
      </c>
      <c r="C260" s="44" t="s">
        <v>86</v>
      </c>
      <c r="D260" s="44" t="s">
        <v>87</v>
      </c>
      <c r="E260" s="44" t="s">
        <v>123</v>
      </c>
      <c r="F260" s="44" t="s">
        <v>778</v>
      </c>
      <c r="G260" s="36" t="s">
        <v>682</v>
      </c>
      <c r="H260" s="36" t="s">
        <v>628</v>
      </c>
      <c r="I260" s="36" t="s">
        <v>385</v>
      </c>
      <c r="J260" s="36" t="s">
        <v>385</v>
      </c>
      <c r="K260" s="33" t="s">
        <v>725</v>
      </c>
      <c r="L260" s="33" t="s">
        <v>647</v>
      </c>
      <c r="M260" s="36"/>
      <c r="N260" s="36" t="s">
        <v>780</v>
      </c>
      <c r="O260" s="36" t="s">
        <v>631</v>
      </c>
      <c r="P260" s="36" t="s">
        <v>785</v>
      </c>
      <c r="Q260" s="36" t="s">
        <v>774</v>
      </c>
      <c r="R260" s="37">
        <v>1</v>
      </c>
      <c r="S260" s="33" t="s">
        <v>79</v>
      </c>
      <c r="T260" s="39"/>
      <c r="U260" s="39"/>
      <c r="V260" s="40" t="e">
        <f t="shared" si="48"/>
        <v>#DIV/0!</v>
      </c>
      <c r="W260" s="39"/>
      <c r="X260" s="39"/>
      <c r="Y260" s="40" t="e">
        <f t="shared" ref="Y260:Y281" si="60">X260/W260*100</f>
        <v>#DIV/0!</v>
      </c>
      <c r="Z260" s="39"/>
      <c r="AA260" s="39"/>
      <c r="AB260" s="40" t="e">
        <f t="shared" ref="AB260:AB281" si="61">AA260/Z260*100</f>
        <v>#DIV/0!</v>
      </c>
      <c r="AC260" s="39">
        <v>5</v>
      </c>
      <c r="AD260" s="39"/>
      <c r="AE260" s="40">
        <f t="shared" ref="AE260:AE281" si="62">AD260/AC260*100</f>
        <v>0</v>
      </c>
      <c r="AF260" s="41">
        <f t="shared" si="55"/>
        <v>1</v>
      </c>
      <c r="AG260" s="41">
        <f t="shared" si="49"/>
        <v>0</v>
      </c>
      <c r="AH260" s="42">
        <f t="shared" si="45"/>
        <v>0</v>
      </c>
      <c r="AI260" s="67">
        <v>46054</v>
      </c>
      <c r="AJ260" s="67">
        <v>46387</v>
      </c>
      <c r="AK260" s="44" t="s">
        <v>647</v>
      </c>
      <c r="AL260" s="44"/>
      <c r="AM260" s="45"/>
      <c r="AN260" s="46"/>
      <c r="AO260" s="46"/>
      <c r="AP260" s="46"/>
      <c r="AQ260" s="47"/>
      <c r="AR260" s="44" t="s">
        <v>783</v>
      </c>
      <c r="AS260" s="44" t="s">
        <v>721</v>
      </c>
      <c r="AT260" s="48" t="s">
        <v>786</v>
      </c>
      <c r="AU260" s="44" t="s">
        <v>831</v>
      </c>
      <c r="AV260" s="51" t="s">
        <v>852</v>
      </c>
      <c r="AZ260" s="50">
        <f t="shared" si="56"/>
        <v>1</v>
      </c>
      <c r="BA260" s="50">
        <f t="shared" si="57"/>
        <v>0</v>
      </c>
      <c r="BB260" s="117">
        <f t="shared" si="58"/>
        <v>0</v>
      </c>
      <c r="BC260" s="50">
        <f t="shared" si="59"/>
        <v>1</v>
      </c>
      <c r="BD260" s="51"/>
      <c r="BE260" s="52">
        <f t="shared" si="50"/>
        <v>0.3</v>
      </c>
      <c r="BF260" s="52">
        <f t="shared" si="51"/>
        <v>0.3</v>
      </c>
      <c r="BG260" s="52">
        <f t="shared" si="52"/>
        <v>0.3</v>
      </c>
      <c r="BH260" s="52">
        <f t="shared" si="53"/>
        <v>0.1</v>
      </c>
      <c r="BI260" s="52">
        <f t="shared" si="54"/>
        <v>0.99999999999999989</v>
      </c>
    </row>
    <row r="261" spans="1:61" x14ac:dyDescent="0.3">
      <c r="A261" s="39">
        <v>258</v>
      </c>
      <c r="B261" s="44" t="s">
        <v>699</v>
      </c>
      <c r="C261" s="44" t="s">
        <v>86</v>
      </c>
      <c r="D261" s="44" t="s">
        <v>87</v>
      </c>
      <c r="E261" s="44" t="s">
        <v>123</v>
      </c>
      <c r="F261" s="44" t="s">
        <v>778</v>
      </c>
      <c r="G261" s="36" t="s">
        <v>682</v>
      </c>
      <c r="H261" s="36" t="s">
        <v>628</v>
      </c>
      <c r="I261" s="36" t="s">
        <v>385</v>
      </c>
      <c r="J261" s="36" t="s">
        <v>385</v>
      </c>
      <c r="K261" s="33" t="s">
        <v>725</v>
      </c>
      <c r="L261" s="33" t="s">
        <v>647</v>
      </c>
      <c r="M261" s="36"/>
      <c r="N261" s="36" t="s">
        <v>780</v>
      </c>
      <c r="O261" s="36" t="s">
        <v>631</v>
      </c>
      <c r="P261" s="36" t="s">
        <v>787</v>
      </c>
      <c r="Q261" s="36" t="s">
        <v>774</v>
      </c>
      <c r="R261" s="37">
        <v>1</v>
      </c>
      <c r="S261" s="33" t="s">
        <v>708</v>
      </c>
      <c r="T261" s="39"/>
      <c r="U261" s="39"/>
      <c r="V261" s="40" t="e">
        <f t="shared" si="48"/>
        <v>#DIV/0!</v>
      </c>
      <c r="W261" s="39"/>
      <c r="X261" s="39"/>
      <c r="Y261" s="40" t="e">
        <f t="shared" si="60"/>
        <v>#DIV/0!</v>
      </c>
      <c r="Z261" s="39"/>
      <c r="AA261" s="39"/>
      <c r="AB261" s="40" t="e">
        <f t="shared" si="61"/>
        <v>#DIV/0!</v>
      </c>
      <c r="AC261" s="39">
        <v>17</v>
      </c>
      <c r="AD261" s="39"/>
      <c r="AE261" s="40">
        <f t="shared" si="62"/>
        <v>0</v>
      </c>
      <c r="AF261" s="41">
        <f t="shared" si="55"/>
        <v>1</v>
      </c>
      <c r="AG261" s="41">
        <f t="shared" ref="AG261:AG324" si="63">U261+X261+AA261+AD261</f>
        <v>0</v>
      </c>
      <c r="AH261" s="42">
        <f t="shared" si="45"/>
        <v>0</v>
      </c>
      <c r="AI261" s="67">
        <v>46054</v>
      </c>
      <c r="AJ261" s="67">
        <v>46387</v>
      </c>
      <c r="AK261" s="44" t="s">
        <v>647</v>
      </c>
      <c r="AL261" s="44"/>
      <c r="AM261" s="45"/>
      <c r="AN261" s="46"/>
      <c r="AO261" s="46"/>
      <c r="AP261" s="46"/>
      <c r="AQ261" s="47"/>
      <c r="AR261" s="44" t="s">
        <v>783</v>
      </c>
      <c r="AS261" s="44" t="s">
        <v>721</v>
      </c>
      <c r="AT261" s="48" t="s">
        <v>624</v>
      </c>
      <c r="AU261" s="44" t="s">
        <v>831</v>
      </c>
      <c r="AV261" s="51" t="s">
        <v>849</v>
      </c>
      <c r="AZ261" s="50">
        <f t="shared" si="56"/>
        <v>1</v>
      </c>
      <c r="BA261" s="50">
        <f t="shared" si="57"/>
        <v>0</v>
      </c>
      <c r="BB261" s="117">
        <f t="shared" si="58"/>
        <v>0</v>
      </c>
      <c r="BC261" s="50">
        <f t="shared" si="59"/>
        <v>1</v>
      </c>
      <c r="BD261" s="51"/>
      <c r="BE261" s="52">
        <f t="shared" ref="BE261:BE280" si="64">+BC261*$BF$3</f>
        <v>0.3</v>
      </c>
      <c r="BF261" s="52">
        <f t="shared" ref="BF261:BF280" si="65">+BC261*$BE$3</f>
        <v>0.3</v>
      </c>
      <c r="BG261" s="52">
        <f t="shared" ref="BG261:BG280" si="66">+BC261*$BG$3</f>
        <v>0.3</v>
      </c>
      <c r="BH261" s="52">
        <f t="shared" ref="BH261:BH280" si="67">+BC261*$BH$3</f>
        <v>0.1</v>
      </c>
      <c r="BI261" s="52">
        <f t="shared" ref="BI261:BI280" si="68">+BE261+BF261+BG261+BH261</f>
        <v>0.99999999999999989</v>
      </c>
    </row>
    <row r="262" spans="1:61" x14ac:dyDescent="0.3">
      <c r="A262" s="39">
        <v>259</v>
      </c>
      <c r="B262" s="44" t="s">
        <v>699</v>
      </c>
      <c r="C262" s="44" t="s">
        <v>86</v>
      </c>
      <c r="D262" s="44" t="s">
        <v>87</v>
      </c>
      <c r="E262" s="44" t="s">
        <v>123</v>
      </c>
      <c r="F262" s="44" t="s">
        <v>778</v>
      </c>
      <c r="G262" s="36" t="s">
        <v>682</v>
      </c>
      <c r="H262" s="36" t="s">
        <v>628</v>
      </c>
      <c r="I262" s="36" t="s">
        <v>385</v>
      </c>
      <c r="J262" s="36" t="s">
        <v>385</v>
      </c>
      <c r="K262" s="33" t="s">
        <v>725</v>
      </c>
      <c r="L262" s="33" t="s">
        <v>647</v>
      </c>
      <c r="M262" s="36"/>
      <c r="N262" s="36" t="s">
        <v>780</v>
      </c>
      <c r="O262" s="36" t="s">
        <v>631</v>
      </c>
      <c r="P262" s="36" t="s">
        <v>788</v>
      </c>
      <c r="Q262" s="36" t="s">
        <v>774</v>
      </c>
      <c r="R262" s="37">
        <v>100</v>
      </c>
      <c r="S262" s="33" t="s">
        <v>716</v>
      </c>
      <c r="T262" s="39"/>
      <c r="U262" s="39"/>
      <c r="V262" s="40" t="e">
        <f t="shared" si="48"/>
        <v>#DIV/0!</v>
      </c>
      <c r="W262" s="39"/>
      <c r="X262" s="39"/>
      <c r="Y262" s="40" t="e">
        <f t="shared" si="60"/>
        <v>#DIV/0!</v>
      </c>
      <c r="Z262" s="39"/>
      <c r="AA262" s="39"/>
      <c r="AB262" s="40" t="e">
        <f t="shared" si="61"/>
        <v>#DIV/0!</v>
      </c>
      <c r="AC262" s="39">
        <v>5</v>
      </c>
      <c r="AD262" s="39"/>
      <c r="AE262" s="40">
        <f t="shared" si="62"/>
        <v>0</v>
      </c>
      <c r="AF262" s="41">
        <f t="shared" ref="AF262:AF325" si="69">R262</f>
        <v>100</v>
      </c>
      <c r="AG262" s="41">
        <f t="shared" si="63"/>
        <v>0</v>
      </c>
      <c r="AH262" s="42">
        <f t="shared" si="45"/>
        <v>0</v>
      </c>
      <c r="AI262" s="67">
        <v>46054</v>
      </c>
      <c r="AJ262" s="67">
        <v>46387</v>
      </c>
      <c r="AK262" s="44" t="s">
        <v>647</v>
      </c>
      <c r="AL262" s="44"/>
      <c r="AM262" s="45"/>
      <c r="AN262" s="46"/>
      <c r="AO262" s="46"/>
      <c r="AP262" s="46"/>
      <c r="AQ262" s="47"/>
      <c r="AR262" s="44" t="s">
        <v>783</v>
      </c>
      <c r="AS262" s="44" t="s">
        <v>721</v>
      </c>
      <c r="AT262" s="48" t="s">
        <v>786</v>
      </c>
      <c r="AU262" s="44" t="s">
        <v>831</v>
      </c>
      <c r="AV262" s="51" t="s">
        <v>852</v>
      </c>
      <c r="AZ262" s="50">
        <f t="shared" ref="AZ262:AZ280" si="70">+R262</f>
        <v>100</v>
      </c>
      <c r="BA262" s="50">
        <f t="shared" ref="BA262:BA280" si="71">+U262+X262+AA262+AD262</f>
        <v>0</v>
      </c>
      <c r="BB262" s="117">
        <f t="shared" ref="BB262:BB280" si="72">+BA262/AZ262</f>
        <v>0</v>
      </c>
      <c r="BC262" s="50">
        <f t="shared" ref="BC262:BC280" si="73">+AZ262-BA262</f>
        <v>100</v>
      </c>
      <c r="BD262" s="51"/>
      <c r="BE262" s="52">
        <f t="shared" si="64"/>
        <v>30</v>
      </c>
      <c r="BF262" s="52">
        <f t="shared" si="65"/>
        <v>30</v>
      </c>
      <c r="BG262" s="52">
        <f t="shared" si="66"/>
        <v>30</v>
      </c>
      <c r="BH262" s="52">
        <f t="shared" si="67"/>
        <v>10</v>
      </c>
      <c r="BI262" s="52">
        <f t="shared" si="68"/>
        <v>100</v>
      </c>
    </row>
    <row r="263" spans="1:61" x14ac:dyDescent="0.3">
      <c r="A263" s="39">
        <v>260</v>
      </c>
      <c r="B263" s="44" t="s">
        <v>699</v>
      </c>
      <c r="C263" s="44" t="s">
        <v>86</v>
      </c>
      <c r="D263" s="44" t="s">
        <v>87</v>
      </c>
      <c r="E263" s="44" t="s">
        <v>123</v>
      </c>
      <c r="F263" s="44" t="s">
        <v>778</v>
      </c>
      <c r="G263" s="36" t="s">
        <v>682</v>
      </c>
      <c r="H263" s="36" t="s">
        <v>628</v>
      </c>
      <c r="I263" s="36" t="s">
        <v>385</v>
      </c>
      <c r="J263" s="36" t="s">
        <v>385</v>
      </c>
      <c r="K263" s="33" t="s">
        <v>725</v>
      </c>
      <c r="L263" s="33" t="s">
        <v>647</v>
      </c>
      <c r="M263" s="36"/>
      <c r="N263" s="36" t="s">
        <v>780</v>
      </c>
      <c r="O263" s="36" t="s">
        <v>631</v>
      </c>
      <c r="P263" s="36" t="s">
        <v>789</v>
      </c>
      <c r="Q263" s="36" t="s">
        <v>774</v>
      </c>
      <c r="R263" s="37">
        <v>1</v>
      </c>
      <c r="S263" s="33" t="s">
        <v>79</v>
      </c>
      <c r="T263" s="39"/>
      <c r="U263" s="39"/>
      <c r="V263" s="40" t="e">
        <f t="shared" si="48"/>
        <v>#DIV/0!</v>
      </c>
      <c r="W263" s="39"/>
      <c r="X263" s="39"/>
      <c r="Y263" s="40" t="e">
        <f t="shared" si="60"/>
        <v>#DIV/0!</v>
      </c>
      <c r="Z263" s="39"/>
      <c r="AA263" s="39"/>
      <c r="AB263" s="40" t="e">
        <f t="shared" si="61"/>
        <v>#DIV/0!</v>
      </c>
      <c r="AC263" s="39">
        <v>35</v>
      </c>
      <c r="AD263" s="39"/>
      <c r="AE263" s="40">
        <f t="shared" si="62"/>
        <v>0</v>
      </c>
      <c r="AF263" s="41">
        <f t="shared" si="69"/>
        <v>1</v>
      </c>
      <c r="AG263" s="41">
        <f t="shared" si="63"/>
        <v>0</v>
      </c>
      <c r="AH263" s="42">
        <f t="shared" si="45"/>
        <v>0</v>
      </c>
      <c r="AI263" s="67">
        <v>46054</v>
      </c>
      <c r="AJ263" s="67">
        <v>46387</v>
      </c>
      <c r="AK263" s="44" t="s">
        <v>647</v>
      </c>
      <c r="AL263" s="44"/>
      <c r="AM263" s="45"/>
      <c r="AN263" s="46"/>
      <c r="AO263" s="46"/>
      <c r="AP263" s="46"/>
      <c r="AQ263" s="47"/>
      <c r="AR263" s="44" t="s">
        <v>783</v>
      </c>
      <c r="AS263" s="44" t="s">
        <v>721</v>
      </c>
      <c r="AT263" s="48" t="s">
        <v>786</v>
      </c>
      <c r="AU263" s="44" t="s">
        <v>831</v>
      </c>
      <c r="AV263" s="51" t="s">
        <v>852</v>
      </c>
      <c r="AZ263" s="50">
        <f t="shared" si="70"/>
        <v>1</v>
      </c>
      <c r="BA263" s="50">
        <f t="shared" si="71"/>
        <v>0</v>
      </c>
      <c r="BB263" s="117">
        <f t="shared" si="72"/>
        <v>0</v>
      </c>
      <c r="BC263" s="50">
        <f t="shared" si="73"/>
        <v>1</v>
      </c>
      <c r="BD263" s="51"/>
      <c r="BE263" s="52">
        <f t="shared" si="64"/>
        <v>0.3</v>
      </c>
      <c r="BF263" s="52">
        <f t="shared" si="65"/>
        <v>0.3</v>
      </c>
      <c r="BG263" s="52">
        <f t="shared" si="66"/>
        <v>0.3</v>
      </c>
      <c r="BH263" s="52">
        <f t="shared" si="67"/>
        <v>0.1</v>
      </c>
      <c r="BI263" s="52">
        <f t="shared" si="68"/>
        <v>0.99999999999999989</v>
      </c>
    </row>
    <row r="264" spans="1:61" x14ac:dyDescent="0.3">
      <c r="A264" s="39">
        <v>261</v>
      </c>
      <c r="B264" s="44" t="s">
        <v>699</v>
      </c>
      <c r="C264" s="44" t="s">
        <v>86</v>
      </c>
      <c r="D264" s="44" t="s">
        <v>87</v>
      </c>
      <c r="E264" s="44" t="s">
        <v>123</v>
      </c>
      <c r="F264" s="44" t="s">
        <v>778</v>
      </c>
      <c r="G264" s="36" t="s">
        <v>571</v>
      </c>
      <c r="H264" s="36" t="s">
        <v>628</v>
      </c>
      <c r="I264" s="36" t="s">
        <v>385</v>
      </c>
      <c r="J264" s="36" t="s">
        <v>385</v>
      </c>
      <c r="K264" s="33" t="s">
        <v>725</v>
      </c>
      <c r="L264" s="33" t="s">
        <v>647</v>
      </c>
      <c r="M264" s="36"/>
      <c r="N264" s="36" t="s">
        <v>780</v>
      </c>
      <c r="O264" s="36" t="s">
        <v>631</v>
      </c>
      <c r="P264" s="36" t="s">
        <v>790</v>
      </c>
      <c r="Q264" s="36" t="s">
        <v>774</v>
      </c>
      <c r="R264" s="37">
        <v>100</v>
      </c>
      <c r="S264" s="33" t="s">
        <v>716</v>
      </c>
      <c r="T264" s="39">
        <v>1</v>
      </c>
      <c r="U264" s="39"/>
      <c r="V264" s="40">
        <f t="shared" si="48"/>
        <v>0</v>
      </c>
      <c r="W264" s="39"/>
      <c r="X264" s="39"/>
      <c r="Y264" s="40" t="e">
        <f t="shared" si="60"/>
        <v>#DIV/0!</v>
      </c>
      <c r="Z264" s="39"/>
      <c r="AA264" s="39"/>
      <c r="AB264" s="40" t="e">
        <f t="shared" si="61"/>
        <v>#DIV/0!</v>
      </c>
      <c r="AC264" s="39"/>
      <c r="AD264" s="39"/>
      <c r="AE264" s="40" t="e">
        <f t="shared" si="62"/>
        <v>#DIV/0!</v>
      </c>
      <c r="AF264" s="41">
        <f t="shared" si="69"/>
        <v>100</v>
      </c>
      <c r="AG264" s="41">
        <f t="shared" si="63"/>
        <v>0</v>
      </c>
      <c r="AH264" s="42">
        <f t="shared" si="45"/>
        <v>0</v>
      </c>
      <c r="AI264" s="67">
        <v>46053</v>
      </c>
      <c r="AJ264" s="67">
        <v>46387</v>
      </c>
      <c r="AK264" s="44" t="s">
        <v>647</v>
      </c>
      <c r="AL264" s="44"/>
      <c r="AM264" s="45"/>
      <c r="AN264" s="46"/>
      <c r="AO264" s="46"/>
      <c r="AP264" s="46"/>
      <c r="AQ264" s="47"/>
      <c r="AR264" s="44" t="s">
        <v>783</v>
      </c>
      <c r="AS264" s="44" t="s">
        <v>721</v>
      </c>
      <c r="AT264" s="48" t="s">
        <v>786</v>
      </c>
      <c r="AU264" s="44" t="s">
        <v>831</v>
      </c>
      <c r="AV264" s="51" t="s">
        <v>852</v>
      </c>
      <c r="AZ264" s="50">
        <f t="shared" si="70"/>
        <v>100</v>
      </c>
      <c r="BA264" s="50">
        <f t="shared" si="71"/>
        <v>0</v>
      </c>
      <c r="BB264" s="117">
        <f t="shared" si="72"/>
        <v>0</v>
      </c>
      <c r="BC264" s="50">
        <f t="shared" si="73"/>
        <v>100</v>
      </c>
      <c r="BD264" s="51"/>
      <c r="BE264" s="52">
        <f t="shared" si="64"/>
        <v>30</v>
      </c>
      <c r="BF264" s="52">
        <f t="shared" si="65"/>
        <v>30</v>
      </c>
      <c r="BG264" s="52">
        <f t="shared" si="66"/>
        <v>30</v>
      </c>
      <c r="BH264" s="52">
        <f t="shared" si="67"/>
        <v>10</v>
      </c>
      <c r="BI264" s="52">
        <f t="shared" si="68"/>
        <v>100</v>
      </c>
    </row>
    <row r="265" spans="1:61" x14ac:dyDescent="0.3">
      <c r="A265" s="39">
        <v>262</v>
      </c>
      <c r="B265" s="44" t="s">
        <v>699</v>
      </c>
      <c r="C265" s="44" t="s">
        <v>86</v>
      </c>
      <c r="D265" s="44" t="s">
        <v>87</v>
      </c>
      <c r="E265" s="44" t="s">
        <v>123</v>
      </c>
      <c r="F265" s="44" t="s">
        <v>778</v>
      </c>
      <c r="G265" s="36" t="s">
        <v>682</v>
      </c>
      <c r="H265" s="36" t="s">
        <v>628</v>
      </c>
      <c r="I265" s="36" t="s">
        <v>385</v>
      </c>
      <c r="J265" s="36" t="s">
        <v>385</v>
      </c>
      <c r="K265" s="33" t="s">
        <v>725</v>
      </c>
      <c r="L265" s="33" t="s">
        <v>647</v>
      </c>
      <c r="M265" s="36"/>
      <c r="N265" s="36" t="s">
        <v>780</v>
      </c>
      <c r="O265" s="36" t="s">
        <v>631</v>
      </c>
      <c r="P265" s="36" t="s">
        <v>791</v>
      </c>
      <c r="Q265" s="36" t="s">
        <v>774</v>
      </c>
      <c r="R265" s="37">
        <v>4</v>
      </c>
      <c r="S265" s="33" t="s">
        <v>79</v>
      </c>
      <c r="T265" s="39">
        <v>1</v>
      </c>
      <c r="U265" s="39"/>
      <c r="V265" s="40">
        <f t="shared" si="48"/>
        <v>0</v>
      </c>
      <c r="W265" s="39"/>
      <c r="X265" s="39"/>
      <c r="Y265" s="40" t="e">
        <f t="shared" si="60"/>
        <v>#DIV/0!</v>
      </c>
      <c r="Z265" s="39"/>
      <c r="AA265" s="39"/>
      <c r="AB265" s="40" t="e">
        <f t="shared" si="61"/>
        <v>#DIV/0!</v>
      </c>
      <c r="AC265" s="39"/>
      <c r="AD265" s="39"/>
      <c r="AE265" s="40" t="e">
        <f t="shared" si="62"/>
        <v>#DIV/0!</v>
      </c>
      <c r="AF265" s="41">
        <f t="shared" si="69"/>
        <v>4</v>
      </c>
      <c r="AG265" s="41">
        <f t="shared" si="63"/>
        <v>0</v>
      </c>
      <c r="AH265" s="42">
        <f t="shared" si="45"/>
        <v>0</v>
      </c>
      <c r="AI265" s="67">
        <v>46053</v>
      </c>
      <c r="AJ265" s="67">
        <v>46387</v>
      </c>
      <c r="AK265" s="44" t="s">
        <v>647</v>
      </c>
      <c r="AL265" s="44"/>
      <c r="AM265" s="45"/>
      <c r="AN265" s="46"/>
      <c r="AO265" s="46"/>
      <c r="AP265" s="46"/>
      <c r="AQ265" s="47"/>
      <c r="AR265" s="44" t="s">
        <v>783</v>
      </c>
      <c r="AS265" s="44" t="s">
        <v>721</v>
      </c>
      <c r="AT265" s="48" t="s">
        <v>786</v>
      </c>
      <c r="AU265" s="44" t="s">
        <v>831</v>
      </c>
      <c r="AV265" s="51" t="s">
        <v>852</v>
      </c>
      <c r="AZ265" s="50">
        <f t="shared" si="70"/>
        <v>4</v>
      </c>
      <c r="BA265" s="50">
        <f t="shared" si="71"/>
        <v>0</v>
      </c>
      <c r="BB265" s="117">
        <f t="shared" si="72"/>
        <v>0</v>
      </c>
      <c r="BC265" s="50">
        <f t="shared" si="73"/>
        <v>4</v>
      </c>
      <c r="BD265" s="51"/>
      <c r="BE265" s="52">
        <f t="shared" si="64"/>
        <v>1.2</v>
      </c>
      <c r="BF265" s="52">
        <f t="shared" si="65"/>
        <v>1.2</v>
      </c>
      <c r="BG265" s="52">
        <f t="shared" si="66"/>
        <v>1.2</v>
      </c>
      <c r="BH265" s="52">
        <f t="shared" si="67"/>
        <v>0.4</v>
      </c>
      <c r="BI265" s="52">
        <f t="shared" si="68"/>
        <v>3.9999999999999996</v>
      </c>
    </row>
    <row r="266" spans="1:61" x14ac:dyDescent="0.3">
      <c r="A266" s="39">
        <v>263</v>
      </c>
      <c r="B266" s="44" t="s">
        <v>699</v>
      </c>
      <c r="C266" s="44" t="s">
        <v>86</v>
      </c>
      <c r="D266" s="44" t="s">
        <v>87</v>
      </c>
      <c r="E266" s="44" t="s">
        <v>123</v>
      </c>
      <c r="F266" s="44" t="s">
        <v>778</v>
      </c>
      <c r="G266" s="36" t="s">
        <v>682</v>
      </c>
      <c r="H266" s="36" t="s">
        <v>628</v>
      </c>
      <c r="I266" s="36" t="s">
        <v>385</v>
      </c>
      <c r="J266" s="36" t="s">
        <v>385</v>
      </c>
      <c r="K266" s="33" t="s">
        <v>725</v>
      </c>
      <c r="L266" s="33" t="s">
        <v>647</v>
      </c>
      <c r="M266" s="36"/>
      <c r="N266" s="36" t="s">
        <v>780</v>
      </c>
      <c r="O266" s="36" t="s">
        <v>631</v>
      </c>
      <c r="P266" s="36" t="s">
        <v>792</v>
      </c>
      <c r="Q266" s="36" t="s">
        <v>774</v>
      </c>
      <c r="R266" s="37">
        <v>5</v>
      </c>
      <c r="S266" s="33" t="s">
        <v>79</v>
      </c>
      <c r="T266" s="39">
        <v>25</v>
      </c>
      <c r="U266" s="39"/>
      <c r="V266" s="40">
        <f t="shared" si="48"/>
        <v>0</v>
      </c>
      <c r="W266" s="39">
        <v>25</v>
      </c>
      <c r="X266" s="39"/>
      <c r="Y266" s="40">
        <f t="shared" si="60"/>
        <v>0</v>
      </c>
      <c r="Z266" s="39">
        <v>25</v>
      </c>
      <c r="AA266" s="39"/>
      <c r="AB266" s="40">
        <f t="shared" si="61"/>
        <v>0</v>
      </c>
      <c r="AC266" s="39">
        <v>25</v>
      </c>
      <c r="AD266" s="39"/>
      <c r="AE266" s="40">
        <f t="shared" si="62"/>
        <v>0</v>
      </c>
      <c r="AF266" s="41">
        <f t="shared" si="69"/>
        <v>5</v>
      </c>
      <c r="AG266" s="41">
        <f t="shared" si="63"/>
        <v>0</v>
      </c>
      <c r="AH266" s="42">
        <f t="shared" si="45"/>
        <v>0</v>
      </c>
      <c r="AI266" s="67">
        <v>46054</v>
      </c>
      <c r="AJ266" s="67">
        <v>46387</v>
      </c>
      <c r="AK266" s="44" t="s">
        <v>647</v>
      </c>
      <c r="AL266" s="44"/>
      <c r="AM266" s="45"/>
      <c r="AN266" s="46"/>
      <c r="AO266" s="46"/>
      <c r="AP266" s="46"/>
      <c r="AQ266" s="47"/>
      <c r="AR266" s="44" t="s">
        <v>783</v>
      </c>
      <c r="AS266" s="44" t="s">
        <v>721</v>
      </c>
      <c r="AT266" s="48" t="s">
        <v>786</v>
      </c>
      <c r="AU266" s="44" t="s">
        <v>831</v>
      </c>
      <c r="AV266" s="51" t="s">
        <v>852</v>
      </c>
      <c r="AZ266" s="50">
        <f t="shared" si="70"/>
        <v>5</v>
      </c>
      <c r="BA266" s="50">
        <f t="shared" si="71"/>
        <v>0</v>
      </c>
      <c r="BB266" s="117">
        <f t="shared" si="72"/>
        <v>0</v>
      </c>
      <c r="BC266" s="50">
        <f t="shared" si="73"/>
        <v>5</v>
      </c>
      <c r="BD266" s="51"/>
      <c r="BE266" s="52">
        <f t="shared" si="64"/>
        <v>1.5</v>
      </c>
      <c r="BF266" s="52">
        <f t="shared" si="65"/>
        <v>1.5</v>
      </c>
      <c r="BG266" s="52">
        <f t="shared" si="66"/>
        <v>1.5</v>
      </c>
      <c r="BH266" s="52">
        <f t="shared" si="67"/>
        <v>0.5</v>
      </c>
      <c r="BI266" s="52">
        <f t="shared" si="68"/>
        <v>5</v>
      </c>
    </row>
    <row r="267" spans="1:61" ht="39.6" x14ac:dyDescent="0.3">
      <c r="A267" s="39">
        <v>264</v>
      </c>
      <c r="B267" s="44" t="s">
        <v>699</v>
      </c>
      <c r="C267" s="44" t="s">
        <v>86</v>
      </c>
      <c r="D267" s="44" t="s">
        <v>87</v>
      </c>
      <c r="E267" s="44" t="s">
        <v>123</v>
      </c>
      <c r="F267" s="44" t="s">
        <v>778</v>
      </c>
      <c r="G267" s="36" t="s">
        <v>682</v>
      </c>
      <c r="H267" s="36" t="s">
        <v>628</v>
      </c>
      <c r="I267" s="36" t="s">
        <v>385</v>
      </c>
      <c r="J267" s="36" t="s">
        <v>385</v>
      </c>
      <c r="K267" s="33" t="s">
        <v>725</v>
      </c>
      <c r="L267" s="33" t="s">
        <v>647</v>
      </c>
      <c r="M267" s="36"/>
      <c r="N267" s="36" t="s">
        <v>780</v>
      </c>
      <c r="O267" s="36" t="s">
        <v>631</v>
      </c>
      <c r="P267" s="65" t="s">
        <v>793</v>
      </c>
      <c r="Q267" s="36" t="s">
        <v>774</v>
      </c>
      <c r="R267" s="37">
        <v>100</v>
      </c>
      <c r="S267" s="33" t="s">
        <v>716</v>
      </c>
      <c r="T267" s="39"/>
      <c r="U267" s="39"/>
      <c r="V267" s="40" t="e">
        <f t="shared" si="48"/>
        <v>#DIV/0!</v>
      </c>
      <c r="W267" s="39"/>
      <c r="X267" s="39"/>
      <c r="Y267" s="40" t="e">
        <f t="shared" si="60"/>
        <v>#DIV/0!</v>
      </c>
      <c r="Z267" s="39"/>
      <c r="AA267" s="39"/>
      <c r="AB267" s="40" t="e">
        <f t="shared" si="61"/>
        <v>#DIV/0!</v>
      </c>
      <c r="AC267" s="39">
        <v>1</v>
      </c>
      <c r="AD267" s="39"/>
      <c r="AE267" s="40">
        <f t="shared" si="62"/>
        <v>0</v>
      </c>
      <c r="AF267" s="41">
        <f t="shared" si="69"/>
        <v>100</v>
      </c>
      <c r="AG267" s="41">
        <f t="shared" si="63"/>
        <v>0</v>
      </c>
      <c r="AH267" s="42">
        <f t="shared" si="45"/>
        <v>0</v>
      </c>
      <c r="AI267" s="67">
        <v>46054</v>
      </c>
      <c r="AJ267" s="67">
        <v>46387</v>
      </c>
      <c r="AK267" s="44" t="s">
        <v>647</v>
      </c>
      <c r="AL267" s="44"/>
      <c r="AM267" s="45"/>
      <c r="AN267" s="46"/>
      <c r="AO267" s="46"/>
      <c r="AP267" s="46"/>
      <c r="AQ267" s="47"/>
      <c r="AR267" s="44" t="s">
        <v>783</v>
      </c>
      <c r="AS267" s="44" t="s">
        <v>721</v>
      </c>
      <c r="AT267" s="48" t="s">
        <v>794</v>
      </c>
      <c r="AU267" s="44" t="s">
        <v>831</v>
      </c>
      <c r="AV267" s="51" t="s">
        <v>849</v>
      </c>
      <c r="AW267" s="51" t="s">
        <v>794</v>
      </c>
      <c r="AZ267" s="50">
        <f t="shared" si="70"/>
        <v>100</v>
      </c>
      <c r="BA267" s="50">
        <f t="shared" si="71"/>
        <v>0</v>
      </c>
      <c r="BB267" s="117">
        <f t="shared" si="72"/>
        <v>0</v>
      </c>
      <c r="BC267" s="50">
        <f t="shared" si="73"/>
        <v>100</v>
      </c>
      <c r="BD267" s="51"/>
      <c r="BE267" s="52">
        <f t="shared" si="64"/>
        <v>30</v>
      </c>
      <c r="BF267" s="52">
        <f t="shared" si="65"/>
        <v>30</v>
      </c>
      <c r="BG267" s="52">
        <f t="shared" si="66"/>
        <v>30</v>
      </c>
      <c r="BH267" s="52">
        <f t="shared" si="67"/>
        <v>10</v>
      </c>
      <c r="BI267" s="52">
        <f t="shared" si="68"/>
        <v>100</v>
      </c>
    </row>
    <row r="268" spans="1:61" x14ac:dyDescent="0.3">
      <c r="A268" s="39">
        <v>265</v>
      </c>
      <c r="B268" s="44" t="s">
        <v>699</v>
      </c>
      <c r="C268" s="44" t="s">
        <v>86</v>
      </c>
      <c r="D268" s="44" t="s">
        <v>87</v>
      </c>
      <c r="E268" s="44" t="s">
        <v>123</v>
      </c>
      <c r="F268" s="44" t="s">
        <v>778</v>
      </c>
      <c r="G268" s="36" t="s">
        <v>682</v>
      </c>
      <c r="H268" s="36" t="s">
        <v>628</v>
      </c>
      <c r="I268" s="36" t="s">
        <v>385</v>
      </c>
      <c r="J268" s="36" t="s">
        <v>385</v>
      </c>
      <c r="K268" s="33" t="s">
        <v>725</v>
      </c>
      <c r="L268" s="33" t="s">
        <v>647</v>
      </c>
      <c r="M268" s="36"/>
      <c r="N268" s="36" t="s">
        <v>780</v>
      </c>
      <c r="O268" s="36" t="s">
        <v>631</v>
      </c>
      <c r="P268" s="36" t="s">
        <v>795</v>
      </c>
      <c r="Q268" s="36" t="s">
        <v>774</v>
      </c>
      <c r="R268" s="37">
        <v>100</v>
      </c>
      <c r="S268" s="33" t="s">
        <v>716</v>
      </c>
      <c r="T268" s="39">
        <v>25</v>
      </c>
      <c r="U268" s="39"/>
      <c r="V268" s="40">
        <f t="shared" si="48"/>
        <v>0</v>
      </c>
      <c r="W268" s="39">
        <v>25</v>
      </c>
      <c r="X268" s="39"/>
      <c r="Y268" s="40">
        <f t="shared" si="60"/>
        <v>0</v>
      </c>
      <c r="Z268" s="39">
        <v>25</v>
      </c>
      <c r="AA268" s="39"/>
      <c r="AB268" s="40">
        <f t="shared" si="61"/>
        <v>0</v>
      </c>
      <c r="AC268" s="39">
        <v>25</v>
      </c>
      <c r="AD268" s="39"/>
      <c r="AE268" s="40">
        <f t="shared" si="62"/>
        <v>0</v>
      </c>
      <c r="AF268" s="41">
        <f t="shared" si="69"/>
        <v>100</v>
      </c>
      <c r="AG268" s="41">
        <f t="shared" si="63"/>
        <v>0</v>
      </c>
      <c r="AH268" s="42">
        <f t="shared" si="45"/>
        <v>0</v>
      </c>
      <c r="AI268" s="67">
        <v>46054</v>
      </c>
      <c r="AJ268" s="67">
        <v>46387</v>
      </c>
      <c r="AK268" s="44" t="s">
        <v>647</v>
      </c>
      <c r="AL268" s="44"/>
      <c r="AM268" s="45"/>
      <c r="AN268" s="46"/>
      <c r="AO268" s="46"/>
      <c r="AP268" s="46"/>
      <c r="AQ268" s="47"/>
      <c r="AR268" s="44" t="s">
        <v>783</v>
      </c>
      <c r="AS268" s="44" t="s">
        <v>721</v>
      </c>
      <c r="AT268" s="48" t="s">
        <v>796</v>
      </c>
      <c r="AU268" s="44" t="s">
        <v>831</v>
      </c>
      <c r="AV268" s="51" t="s">
        <v>852</v>
      </c>
      <c r="AZ268" s="50">
        <f t="shared" si="70"/>
        <v>100</v>
      </c>
      <c r="BA268" s="50">
        <f t="shared" si="71"/>
        <v>0</v>
      </c>
      <c r="BB268" s="117">
        <f t="shared" si="72"/>
        <v>0</v>
      </c>
      <c r="BC268" s="50">
        <f t="shared" si="73"/>
        <v>100</v>
      </c>
      <c r="BD268" s="51"/>
      <c r="BE268" s="52">
        <f t="shared" si="64"/>
        <v>30</v>
      </c>
      <c r="BF268" s="52">
        <f t="shared" si="65"/>
        <v>30</v>
      </c>
      <c r="BG268" s="52">
        <f t="shared" si="66"/>
        <v>30</v>
      </c>
      <c r="BH268" s="52">
        <f t="shared" si="67"/>
        <v>10</v>
      </c>
      <c r="BI268" s="52">
        <f t="shared" si="68"/>
        <v>100</v>
      </c>
    </row>
    <row r="269" spans="1:61" x14ac:dyDescent="0.3">
      <c r="A269" s="39">
        <v>266</v>
      </c>
      <c r="B269" s="44" t="s">
        <v>699</v>
      </c>
      <c r="C269" s="44" t="s">
        <v>86</v>
      </c>
      <c r="D269" s="44" t="s">
        <v>87</v>
      </c>
      <c r="E269" s="44" t="s">
        <v>123</v>
      </c>
      <c r="F269" s="44" t="s">
        <v>778</v>
      </c>
      <c r="G269" s="36" t="s">
        <v>682</v>
      </c>
      <c r="H269" s="36" t="s">
        <v>628</v>
      </c>
      <c r="I269" s="36" t="s">
        <v>385</v>
      </c>
      <c r="J269" s="36" t="s">
        <v>385</v>
      </c>
      <c r="K269" s="33" t="s">
        <v>725</v>
      </c>
      <c r="L269" s="33" t="s">
        <v>647</v>
      </c>
      <c r="M269" s="36"/>
      <c r="N269" s="36" t="s">
        <v>780</v>
      </c>
      <c r="O269" s="36" t="s">
        <v>631</v>
      </c>
      <c r="P269" s="36" t="s">
        <v>797</v>
      </c>
      <c r="Q269" s="36" t="s">
        <v>774</v>
      </c>
      <c r="R269" s="37">
        <v>100</v>
      </c>
      <c r="S269" s="33" t="s">
        <v>716</v>
      </c>
      <c r="T269" s="39">
        <v>1</v>
      </c>
      <c r="U269" s="39"/>
      <c r="V269" s="40">
        <f t="shared" si="48"/>
        <v>0</v>
      </c>
      <c r="W269" s="39">
        <v>1</v>
      </c>
      <c r="X269" s="39"/>
      <c r="Y269" s="40">
        <f t="shared" si="60"/>
        <v>0</v>
      </c>
      <c r="Z269" s="39">
        <v>1</v>
      </c>
      <c r="AA269" s="39"/>
      <c r="AB269" s="40">
        <f t="shared" si="61"/>
        <v>0</v>
      </c>
      <c r="AC269" s="39">
        <v>1</v>
      </c>
      <c r="AD269" s="39"/>
      <c r="AE269" s="40">
        <f t="shared" si="62"/>
        <v>0</v>
      </c>
      <c r="AF269" s="41">
        <f t="shared" si="69"/>
        <v>100</v>
      </c>
      <c r="AG269" s="41">
        <f t="shared" si="63"/>
        <v>0</v>
      </c>
      <c r="AH269" s="42">
        <f t="shared" si="45"/>
        <v>0</v>
      </c>
      <c r="AI269" s="67">
        <v>46054</v>
      </c>
      <c r="AJ269" s="67">
        <v>46387</v>
      </c>
      <c r="AK269" s="44" t="s">
        <v>647</v>
      </c>
      <c r="AL269" s="44"/>
      <c r="AM269" s="45"/>
      <c r="AN269" s="46">
        <v>0</v>
      </c>
      <c r="AO269" s="46">
        <v>0</v>
      </c>
      <c r="AP269" s="46">
        <v>0</v>
      </c>
      <c r="AQ269" s="47"/>
      <c r="AR269" s="44" t="s">
        <v>783</v>
      </c>
      <c r="AS269" s="44" t="s">
        <v>721</v>
      </c>
      <c r="AT269" s="48" t="s">
        <v>796</v>
      </c>
      <c r="AU269" s="44" t="s">
        <v>831</v>
      </c>
      <c r="AV269" s="51" t="s">
        <v>852</v>
      </c>
      <c r="AZ269" s="50">
        <f t="shared" si="70"/>
        <v>100</v>
      </c>
      <c r="BA269" s="50">
        <f t="shared" si="71"/>
        <v>0</v>
      </c>
      <c r="BB269" s="117">
        <f t="shared" si="72"/>
        <v>0</v>
      </c>
      <c r="BC269" s="50">
        <f t="shared" si="73"/>
        <v>100</v>
      </c>
      <c r="BD269" s="51"/>
      <c r="BE269" s="52">
        <f t="shared" si="64"/>
        <v>30</v>
      </c>
      <c r="BF269" s="52">
        <f t="shared" si="65"/>
        <v>30</v>
      </c>
      <c r="BG269" s="52">
        <f t="shared" si="66"/>
        <v>30</v>
      </c>
      <c r="BH269" s="52">
        <f t="shared" si="67"/>
        <v>10</v>
      </c>
      <c r="BI269" s="52">
        <f t="shared" si="68"/>
        <v>100</v>
      </c>
    </row>
    <row r="270" spans="1:61" x14ac:dyDescent="0.3">
      <c r="A270" s="39">
        <v>267</v>
      </c>
      <c r="B270" s="44" t="s">
        <v>699</v>
      </c>
      <c r="C270" s="44" t="s">
        <v>86</v>
      </c>
      <c r="D270" s="44" t="s">
        <v>87</v>
      </c>
      <c r="E270" s="44" t="s">
        <v>123</v>
      </c>
      <c r="F270" s="44" t="s">
        <v>778</v>
      </c>
      <c r="G270" s="36" t="s">
        <v>682</v>
      </c>
      <c r="H270" s="36" t="s">
        <v>628</v>
      </c>
      <c r="I270" s="36" t="s">
        <v>385</v>
      </c>
      <c r="J270" s="36" t="s">
        <v>385</v>
      </c>
      <c r="K270" s="33" t="s">
        <v>725</v>
      </c>
      <c r="L270" s="33" t="s">
        <v>647</v>
      </c>
      <c r="M270" s="36"/>
      <c r="N270" s="36" t="s">
        <v>780</v>
      </c>
      <c r="O270" s="36" t="s">
        <v>631</v>
      </c>
      <c r="P270" s="36" t="s">
        <v>798</v>
      </c>
      <c r="Q270" s="36" t="s">
        <v>774</v>
      </c>
      <c r="R270" s="37">
        <v>100</v>
      </c>
      <c r="S270" s="33" t="s">
        <v>716</v>
      </c>
      <c r="T270" s="39"/>
      <c r="U270" s="39"/>
      <c r="V270" s="40" t="e">
        <f t="shared" si="48"/>
        <v>#DIV/0!</v>
      </c>
      <c r="W270" s="39"/>
      <c r="X270" s="39"/>
      <c r="Y270" s="40" t="e">
        <f t="shared" si="60"/>
        <v>#DIV/0!</v>
      </c>
      <c r="Z270" s="39">
        <v>5</v>
      </c>
      <c r="AA270" s="39"/>
      <c r="AB270" s="40">
        <f t="shared" si="61"/>
        <v>0</v>
      </c>
      <c r="AC270" s="39"/>
      <c r="AD270" s="39"/>
      <c r="AE270" s="40" t="e">
        <f t="shared" si="62"/>
        <v>#DIV/0!</v>
      </c>
      <c r="AF270" s="41">
        <f t="shared" si="69"/>
        <v>100</v>
      </c>
      <c r="AG270" s="41">
        <f t="shared" si="63"/>
        <v>0</v>
      </c>
      <c r="AH270" s="42">
        <f t="shared" si="45"/>
        <v>0</v>
      </c>
      <c r="AI270" s="67">
        <v>46054</v>
      </c>
      <c r="AJ270" s="67">
        <v>46387</v>
      </c>
      <c r="AK270" s="44" t="s">
        <v>647</v>
      </c>
      <c r="AL270" s="44"/>
      <c r="AM270" s="45"/>
      <c r="AN270" s="46">
        <v>0</v>
      </c>
      <c r="AO270" s="46">
        <v>0</v>
      </c>
      <c r="AP270" s="46">
        <v>0</v>
      </c>
      <c r="AQ270" s="47"/>
      <c r="AR270" s="44" t="s">
        <v>783</v>
      </c>
      <c r="AS270" s="44" t="s">
        <v>721</v>
      </c>
      <c r="AT270" s="48" t="s">
        <v>796</v>
      </c>
      <c r="AU270" s="44" t="s">
        <v>831</v>
      </c>
      <c r="AV270" s="51" t="s">
        <v>852</v>
      </c>
      <c r="AZ270" s="50">
        <f t="shared" si="70"/>
        <v>100</v>
      </c>
      <c r="BA270" s="50">
        <f t="shared" si="71"/>
        <v>0</v>
      </c>
      <c r="BB270" s="117">
        <f t="shared" si="72"/>
        <v>0</v>
      </c>
      <c r="BC270" s="50">
        <f t="shared" si="73"/>
        <v>100</v>
      </c>
      <c r="BD270" s="51"/>
      <c r="BE270" s="52">
        <f t="shared" si="64"/>
        <v>30</v>
      </c>
      <c r="BF270" s="52">
        <f t="shared" si="65"/>
        <v>30</v>
      </c>
      <c r="BG270" s="52">
        <f t="shared" si="66"/>
        <v>30</v>
      </c>
      <c r="BH270" s="52">
        <f t="shared" si="67"/>
        <v>10</v>
      </c>
      <c r="BI270" s="52">
        <f t="shared" si="68"/>
        <v>100</v>
      </c>
    </row>
    <row r="271" spans="1:61" x14ac:dyDescent="0.3">
      <c r="A271" s="39">
        <v>268</v>
      </c>
      <c r="B271" s="44" t="s">
        <v>699</v>
      </c>
      <c r="C271" s="44" t="s">
        <v>86</v>
      </c>
      <c r="D271" s="44" t="s">
        <v>87</v>
      </c>
      <c r="E271" s="44" t="s">
        <v>123</v>
      </c>
      <c r="F271" s="44" t="s">
        <v>778</v>
      </c>
      <c r="G271" s="36" t="s">
        <v>682</v>
      </c>
      <c r="H271" s="36" t="s">
        <v>628</v>
      </c>
      <c r="I271" s="36" t="s">
        <v>385</v>
      </c>
      <c r="J271" s="36" t="s">
        <v>385</v>
      </c>
      <c r="K271" s="33" t="s">
        <v>725</v>
      </c>
      <c r="L271" s="33" t="s">
        <v>647</v>
      </c>
      <c r="M271" s="36"/>
      <c r="N271" s="36" t="s">
        <v>780</v>
      </c>
      <c r="O271" s="36" t="s">
        <v>631</v>
      </c>
      <c r="P271" s="36" t="s">
        <v>799</v>
      </c>
      <c r="Q271" s="36" t="s">
        <v>774</v>
      </c>
      <c r="R271" s="37">
        <v>58</v>
      </c>
      <c r="S271" s="33" t="s">
        <v>800</v>
      </c>
      <c r="T271" s="39">
        <v>25</v>
      </c>
      <c r="U271" s="39"/>
      <c r="V271" s="40">
        <f t="shared" si="48"/>
        <v>0</v>
      </c>
      <c r="W271" s="39">
        <v>25</v>
      </c>
      <c r="X271" s="39"/>
      <c r="Y271" s="40">
        <f t="shared" si="60"/>
        <v>0</v>
      </c>
      <c r="Z271" s="39">
        <v>25</v>
      </c>
      <c r="AA271" s="39"/>
      <c r="AB271" s="40">
        <f t="shared" si="61"/>
        <v>0</v>
      </c>
      <c r="AC271" s="39">
        <v>25</v>
      </c>
      <c r="AD271" s="39"/>
      <c r="AE271" s="40">
        <f t="shared" si="62"/>
        <v>0</v>
      </c>
      <c r="AF271" s="41">
        <f t="shared" si="69"/>
        <v>58</v>
      </c>
      <c r="AG271" s="41">
        <f t="shared" si="63"/>
        <v>0</v>
      </c>
      <c r="AH271" s="42">
        <f t="shared" si="45"/>
        <v>0</v>
      </c>
      <c r="AI271" s="67">
        <v>46054</v>
      </c>
      <c r="AJ271" s="67">
        <v>46387</v>
      </c>
      <c r="AK271" s="44" t="s">
        <v>647</v>
      </c>
      <c r="AL271" s="44"/>
      <c r="AM271" s="45"/>
      <c r="AN271" s="46">
        <v>0</v>
      </c>
      <c r="AO271" s="46">
        <v>0</v>
      </c>
      <c r="AP271" s="46">
        <v>0</v>
      </c>
      <c r="AQ271" s="47"/>
      <c r="AR271" s="44" t="s">
        <v>783</v>
      </c>
      <c r="AS271" s="44" t="s">
        <v>721</v>
      </c>
      <c r="AT271" s="48" t="s">
        <v>796</v>
      </c>
      <c r="AU271" s="44" t="s">
        <v>831</v>
      </c>
      <c r="AV271" s="51" t="s">
        <v>852</v>
      </c>
      <c r="AZ271" s="50">
        <f t="shared" si="70"/>
        <v>58</v>
      </c>
      <c r="BA271" s="50">
        <f t="shared" si="71"/>
        <v>0</v>
      </c>
      <c r="BB271" s="117">
        <f t="shared" si="72"/>
        <v>0</v>
      </c>
      <c r="BC271" s="50">
        <f t="shared" si="73"/>
        <v>58</v>
      </c>
      <c r="BD271" s="51"/>
      <c r="BE271" s="52">
        <f t="shared" si="64"/>
        <v>17.399999999999999</v>
      </c>
      <c r="BF271" s="52">
        <f t="shared" si="65"/>
        <v>17.399999999999999</v>
      </c>
      <c r="BG271" s="52">
        <f t="shared" si="66"/>
        <v>17.399999999999999</v>
      </c>
      <c r="BH271" s="52">
        <f t="shared" si="67"/>
        <v>5.8000000000000007</v>
      </c>
      <c r="BI271" s="52">
        <f t="shared" si="68"/>
        <v>58</v>
      </c>
    </row>
    <row r="272" spans="1:61" x14ac:dyDescent="0.3">
      <c r="A272" s="39">
        <v>269</v>
      </c>
      <c r="B272" s="44" t="s">
        <v>699</v>
      </c>
      <c r="C272" s="44" t="s">
        <v>86</v>
      </c>
      <c r="D272" s="44" t="s">
        <v>87</v>
      </c>
      <c r="E272" s="44" t="s">
        <v>123</v>
      </c>
      <c r="F272" s="44" t="s">
        <v>778</v>
      </c>
      <c r="G272" s="36" t="s">
        <v>682</v>
      </c>
      <c r="H272" s="36" t="s">
        <v>628</v>
      </c>
      <c r="I272" s="36" t="s">
        <v>385</v>
      </c>
      <c r="J272" s="36" t="s">
        <v>385</v>
      </c>
      <c r="K272" s="33" t="s">
        <v>725</v>
      </c>
      <c r="L272" s="33" t="s">
        <v>647</v>
      </c>
      <c r="M272" s="36"/>
      <c r="N272" s="36" t="s">
        <v>780</v>
      </c>
      <c r="O272" s="36" t="s">
        <v>631</v>
      </c>
      <c r="P272" s="36" t="s">
        <v>801</v>
      </c>
      <c r="Q272" s="36" t="s">
        <v>774</v>
      </c>
      <c r="R272" s="37">
        <v>58</v>
      </c>
      <c r="S272" s="33" t="s">
        <v>802</v>
      </c>
      <c r="T272" s="39">
        <v>25</v>
      </c>
      <c r="U272" s="39"/>
      <c r="V272" s="40">
        <f t="shared" si="48"/>
        <v>0</v>
      </c>
      <c r="W272" s="39">
        <v>25</v>
      </c>
      <c r="X272" s="39"/>
      <c r="Y272" s="40">
        <f t="shared" si="60"/>
        <v>0</v>
      </c>
      <c r="Z272" s="39">
        <v>25</v>
      </c>
      <c r="AA272" s="39"/>
      <c r="AB272" s="40">
        <f t="shared" si="61"/>
        <v>0</v>
      </c>
      <c r="AC272" s="39">
        <v>25</v>
      </c>
      <c r="AD272" s="39"/>
      <c r="AE272" s="40">
        <f t="shared" si="62"/>
        <v>0</v>
      </c>
      <c r="AF272" s="41">
        <f t="shared" si="69"/>
        <v>58</v>
      </c>
      <c r="AG272" s="41">
        <f t="shared" si="63"/>
        <v>0</v>
      </c>
      <c r="AH272" s="42">
        <f t="shared" si="45"/>
        <v>0</v>
      </c>
      <c r="AI272" s="67">
        <v>46054</v>
      </c>
      <c r="AJ272" s="67">
        <v>46387</v>
      </c>
      <c r="AK272" s="44" t="s">
        <v>647</v>
      </c>
      <c r="AL272" s="44"/>
      <c r="AM272" s="45"/>
      <c r="AN272" s="46">
        <v>0</v>
      </c>
      <c r="AO272" s="46">
        <v>0</v>
      </c>
      <c r="AP272" s="46">
        <v>0</v>
      </c>
      <c r="AQ272" s="47"/>
      <c r="AR272" s="44" t="s">
        <v>783</v>
      </c>
      <c r="AS272" s="44" t="s">
        <v>721</v>
      </c>
      <c r="AT272" s="48" t="s">
        <v>803</v>
      </c>
      <c r="AU272" s="44" t="s">
        <v>831</v>
      </c>
      <c r="AV272" s="51" t="s">
        <v>852</v>
      </c>
      <c r="AZ272" s="50">
        <f t="shared" si="70"/>
        <v>58</v>
      </c>
      <c r="BA272" s="50">
        <f t="shared" si="71"/>
        <v>0</v>
      </c>
      <c r="BB272" s="117">
        <f t="shared" si="72"/>
        <v>0</v>
      </c>
      <c r="BC272" s="50">
        <f t="shared" si="73"/>
        <v>58</v>
      </c>
      <c r="BD272" s="51"/>
      <c r="BE272" s="52">
        <f t="shared" si="64"/>
        <v>17.399999999999999</v>
      </c>
      <c r="BF272" s="52">
        <f t="shared" si="65"/>
        <v>17.399999999999999</v>
      </c>
      <c r="BG272" s="52">
        <f t="shared" si="66"/>
        <v>17.399999999999999</v>
      </c>
      <c r="BH272" s="52">
        <f t="shared" si="67"/>
        <v>5.8000000000000007</v>
      </c>
      <c r="BI272" s="52">
        <f t="shared" si="68"/>
        <v>58</v>
      </c>
    </row>
    <row r="273" spans="1:61" x14ac:dyDescent="0.3">
      <c r="A273" s="39">
        <v>270</v>
      </c>
      <c r="B273" s="44" t="s">
        <v>699</v>
      </c>
      <c r="C273" s="44" t="s">
        <v>86</v>
      </c>
      <c r="D273" s="44" t="s">
        <v>87</v>
      </c>
      <c r="E273" s="44" t="s">
        <v>123</v>
      </c>
      <c r="F273" s="44" t="s">
        <v>778</v>
      </c>
      <c r="G273" s="36" t="s">
        <v>682</v>
      </c>
      <c r="H273" s="36" t="s">
        <v>628</v>
      </c>
      <c r="I273" s="36" t="s">
        <v>385</v>
      </c>
      <c r="J273" s="36" t="s">
        <v>385</v>
      </c>
      <c r="K273" s="33" t="s">
        <v>725</v>
      </c>
      <c r="L273" s="33" t="s">
        <v>647</v>
      </c>
      <c r="M273" s="36"/>
      <c r="N273" s="36" t="s">
        <v>780</v>
      </c>
      <c r="O273" s="36" t="s">
        <v>631</v>
      </c>
      <c r="P273" s="36" t="s">
        <v>804</v>
      </c>
      <c r="Q273" s="36" t="s">
        <v>774</v>
      </c>
      <c r="R273" s="37">
        <v>100</v>
      </c>
      <c r="S273" s="33" t="s">
        <v>716</v>
      </c>
      <c r="T273" s="39">
        <v>25</v>
      </c>
      <c r="U273" s="39"/>
      <c r="V273" s="40">
        <f t="shared" si="48"/>
        <v>0</v>
      </c>
      <c r="W273" s="39">
        <v>25</v>
      </c>
      <c r="X273" s="39"/>
      <c r="Y273" s="40">
        <f t="shared" si="60"/>
        <v>0</v>
      </c>
      <c r="Z273" s="39">
        <v>25</v>
      </c>
      <c r="AA273" s="39"/>
      <c r="AB273" s="40">
        <f t="shared" si="61"/>
        <v>0</v>
      </c>
      <c r="AC273" s="39">
        <v>25</v>
      </c>
      <c r="AD273" s="39"/>
      <c r="AE273" s="40">
        <f t="shared" si="62"/>
        <v>0</v>
      </c>
      <c r="AF273" s="41">
        <f t="shared" si="69"/>
        <v>100</v>
      </c>
      <c r="AG273" s="41">
        <f t="shared" si="63"/>
        <v>0</v>
      </c>
      <c r="AH273" s="42">
        <f t="shared" si="45"/>
        <v>0</v>
      </c>
      <c r="AI273" s="67">
        <v>46054</v>
      </c>
      <c r="AJ273" s="67">
        <v>46387</v>
      </c>
      <c r="AK273" s="44" t="s">
        <v>647</v>
      </c>
      <c r="AL273" s="44"/>
      <c r="AM273" s="45"/>
      <c r="AN273" s="46">
        <v>0</v>
      </c>
      <c r="AO273" s="46">
        <v>0</v>
      </c>
      <c r="AP273" s="46">
        <v>0</v>
      </c>
      <c r="AQ273" s="47"/>
      <c r="AR273" s="44" t="s">
        <v>783</v>
      </c>
      <c r="AS273" s="44" t="s">
        <v>721</v>
      </c>
      <c r="AT273" s="48" t="s">
        <v>803</v>
      </c>
      <c r="AU273" s="44" t="s">
        <v>831</v>
      </c>
      <c r="AV273" s="51" t="s">
        <v>852</v>
      </c>
      <c r="AZ273" s="50">
        <f t="shared" si="70"/>
        <v>100</v>
      </c>
      <c r="BA273" s="50">
        <f t="shared" si="71"/>
        <v>0</v>
      </c>
      <c r="BB273" s="117">
        <f t="shared" si="72"/>
        <v>0</v>
      </c>
      <c r="BC273" s="50">
        <f t="shared" si="73"/>
        <v>100</v>
      </c>
      <c r="BD273" s="51"/>
      <c r="BE273" s="52">
        <f t="shared" si="64"/>
        <v>30</v>
      </c>
      <c r="BF273" s="52">
        <f t="shared" si="65"/>
        <v>30</v>
      </c>
      <c r="BG273" s="52">
        <f t="shared" si="66"/>
        <v>30</v>
      </c>
      <c r="BH273" s="52">
        <f t="shared" si="67"/>
        <v>10</v>
      </c>
      <c r="BI273" s="52">
        <f t="shared" si="68"/>
        <v>100</v>
      </c>
    </row>
    <row r="274" spans="1:61" x14ac:dyDescent="0.3">
      <c r="A274" s="39">
        <v>271</v>
      </c>
      <c r="B274" s="44" t="s">
        <v>699</v>
      </c>
      <c r="C274" s="44" t="s">
        <v>86</v>
      </c>
      <c r="D274" s="44" t="s">
        <v>87</v>
      </c>
      <c r="E274" s="44" t="s">
        <v>123</v>
      </c>
      <c r="F274" s="44" t="s">
        <v>778</v>
      </c>
      <c r="G274" s="36" t="s">
        <v>682</v>
      </c>
      <c r="H274" s="36" t="s">
        <v>628</v>
      </c>
      <c r="I274" s="36" t="s">
        <v>385</v>
      </c>
      <c r="J274" s="36" t="s">
        <v>385</v>
      </c>
      <c r="K274" s="33" t="s">
        <v>725</v>
      </c>
      <c r="L274" s="33" t="s">
        <v>647</v>
      </c>
      <c r="M274" s="36"/>
      <c r="N274" s="36" t="s">
        <v>780</v>
      </c>
      <c r="O274" s="36" t="s">
        <v>631</v>
      </c>
      <c r="P274" s="36" t="s">
        <v>805</v>
      </c>
      <c r="Q274" s="36" t="s">
        <v>774</v>
      </c>
      <c r="R274" s="37">
        <v>22</v>
      </c>
      <c r="S274" s="33" t="s">
        <v>800</v>
      </c>
      <c r="T274" s="39">
        <v>25</v>
      </c>
      <c r="U274" s="39"/>
      <c r="V274" s="40">
        <f t="shared" si="48"/>
        <v>0</v>
      </c>
      <c r="W274" s="39">
        <v>25</v>
      </c>
      <c r="X274" s="39"/>
      <c r="Y274" s="40">
        <f t="shared" si="60"/>
        <v>0</v>
      </c>
      <c r="Z274" s="39">
        <v>25</v>
      </c>
      <c r="AA274" s="39"/>
      <c r="AB274" s="40">
        <f t="shared" si="61"/>
        <v>0</v>
      </c>
      <c r="AC274" s="39">
        <v>25</v>
      </c>
      <c r="AD274" s="39"/>
      <c r="AE274" s="40">
        <f t="shared" si="62"/>
        <v>0</v>
      </c>
      <c r="AF274" s="41">
        <f t="shared" si="69"/>
        <v>22</v>
      </c>
      <c r="AG274" s="41">
        <f t="shared" si="63"/>
        <v>0</v>
      </c>
      <c r="AH274" s="42">
        <f t="shared" si="45"/>
        <v>0</v>
      </c>
      <c r="AI274" s="67">
        <v>46054</v>
      </c>
      <c r="AJ274" s="67">
        <v>46387</v>
      </c>
      <c r="AK274" s="44" t="s">
        <v>647</v>
      </c>
      <c r="AL274" s="44"/>
      <c r="AM274" s="45"/>
      <c r="AN274" s="46">
        <v>0</v>
      </c>
      <c r="AO274" s="46">
        <v>0</v>
      </c>
      <c r="AP274" s="46">
        <v>0</v>
      </c>
      <c r="AQ274" s="47"/>
      <c r="AR274" s="44" t="s">
        <v>783</v>
      </c>
      <c r="AS274" s="44" t="s">
        <v>721</v>
      </c>
      <c r="AT274" s="48" t="s">
        <v>624</v>
      </c>
      <c r="AU274" s="44" t="s">
        <v>831</v>
      </c>
      <c r="AV274" s="51" t="s">
        <v>849</v>
      </c>
      <c r="AZ274" s="50">
        <f t="shared" si="70"/>
        <v>22</v>
      </c>
      <c r="BA274" s="50">
        <f t="shared" si="71"/>
        <v>0</v>
      </c>
      <c r="BB274" s="117">
        <f t="shared" si="72"/>
        <v>0</v>
      </c>
      <c r="BC274" s="50">
        <f t="shared" si="73"/>
        <v>22</v>
      </c>
      <c r="BD274" s="51"/>
      <c r="BE274" s="52">
        <f t="shared" si="64"/>
        <v>6.6</v>
      </c>
      <c r="BF274" s="52">
        <f t="shared" si="65"/>
        <v>6.6</v>
      </c>
      <c r="BG274" s="52">
        <f t="shared" si="66"/>
        <v>6.6</v>
      </c>
      <c r="BH274" s="52">
        <f t="shared" si="67"/>
        <v>2.2000000000000002</v>
      </c>
      <c r="BI274" s="52">
        <f t="shared" si="68"/>
        <v>21.999999999999996</v>
      </c>
    </row>
    <row r="275" spans="1:61" x14ac:dyDescent="0.3">
      <c r="A275" s="71">
        <v>272</v>
      </c>
      <c r="B275" s="34" t="s">
        <v>85</v>
      </c>
      <c r="C275" s="34" t="s">
        <v>86</v>
      </c>
      <c r="D275" s="34" t="s">
        <v>87</v>
      </c>
      <c r="E275" s="34" t="s">
        <v>88</v>
      </c>
      <c r="F275" s="34" t="s">
        <v>128</v>
      </c>
      <c r="G275" s="34" t="s">
        <v>90</v>
      </c>
      <c r="H275" s="34" t="s">
        <v>91</v>
      </c>
      <c r="I275" s="34" t="s">
        <v>121</v>
      </c>
      <c r="J275" s="34" t="s">
        <v>71</v>
      </c>
      <c r="K275" s="35" t="s">
        <v>72</v>
      </c>
      <c r="L275" s="35" t="s">
        <v>73</v>
      </c>
      <c r="M275" s="34" t="s">
        <v>74</v>
      </c>
      <c r="N275" s="34" t="s">
        <v>94</v>
      </c>
      <c r="O275" s="34" t="s">
        <v>95</v>
      </c>
      <c r="P275" s="34" t="s">
        <v>806</v>
      </c>
      <c r="Q275" s="34" t="s">
        <v>97</v>
      </c>
      <c r="R275" s="72">
        <v>100</v>
      </c>
      <c r="S275" s="35" t="s">
        <v>126</v>
      </c>
      <c r="T275" s="39">
        <v>0</v>
      </c>
      <c r="U275" s="39">
        <v>25</v>
      </c>
      <c r="V275" s="40" t="e">
        <f t="shared" si="48"/>
        <v>#DIV/0!</v>
      </c>
      <c r="W275" s="39">
        <v>30</v>
      </c>
      <c r="X275" s="39">
        <v>30</v>
      </c>
      <c r="Y275" s="40">
        <f t="shared" si="60"/>
        <v>100</v>
      </c>
      <c r="Z275" s="39">
        <v>40</v>
      </c>
      <c r="AA275" s="39"/>
      <c r="AB275" s="40">
        <f t="shared" si="61"/>
        <v>0</v>
      </c>
      <c r="AC275" s="39">
        <v>30</v>
      </c>
      <c r="AD275" s="39"/>
      <c r="AE275" s="40">
        <f t="shared" si="62"/>
        <v>0</v>
      </c>
      <c r="AF275" s="41">
        <f t="shared" si="69"/>
        <v>100</v>
      </c>
      <c r="AG275" s="41">
        <f t="shared" si="63"/>
        <v>55</v>
      </c>
      <c r="AH275" s="42">
        <f t="shared" si="45"/>
        <v>183.33333333333331</v>
      </c>
      <c r="AI275" s="67">
        <v>46054</v>
      </c>
      <c r="AJ275" s="67">
        <v>46387</v>
      </c>
      <c r="AK275" s="44" t="s">
        <v>647</v>
      </c>
      <c r="AL275" s="44"/>
      <c r="AM275" s="45"/>
      <c r="AN275" s="73">
        <v>162000364</v>
      </c>
      <c r="AO275" s="73">
        <v>162000364</v>
      </c>
      <c r="AP275" s="73">
        <v>162000364</v>
      </c>
      <c r="AQ275" s="47">
        <v>0</v>
      </c>
      <c r="AR275" s="44" t="s">
        <v>783</v>
      </c>
      <c r="AS275" s="44" t="s">
        <v>721</v>
      </c>
      <c r="AT275" s="54" t="s">
        <v>99</v>
      </c>
      <c r="AU275" s="49" t="s">
        <v>831</v>
      </c>
      <c r="AV275" s="51" t="s">
        <v>832</v>
      </c>
      <c r="AW275" s="51" t="s">
        <v>834</v>
      </c>
      <c r="AZ275" s="50">
        <f t="shared" si="70"/>
        <v>100</v>
      </c>
      <c r="BA275" s="50">
        <f t="shared" si="71"/>
        <v>55</v>
      </c>
      <c r="BB275" s="117">
        <f t="shared" si="72"/>
        <v>0.55000000000000004</v>
      </c>
      <c r="BC275" s="50">
        <f t="shared" si="73"/>
        <v>45</v>
      </c>
      <c r="BD275" s="51"/>
      <c r="BE275" s="52">
        <f t="shared" si="64"/>
        <v>13.5</v>
      </c>
      <c r="BF275" s="52">
        <f t="shared" si="65"/>
        <v>13.5</v>
      </c>
      <c r="BG275" s="52">
        <f t="shared" si="66"/>
        <v>13.5</v>
      </c>
      <c r="BH275" s="52">
        <f t="shared" si="67"/>
        <v>4.5</v>
      </c>
      <c r="BI275" s="52">
        <f t="shared" si="68"/>
        <v>45</v>
      </c>
    </row>
    <row r="276" spans="1:61" x14ac:dyDescent="0.3">
      <c r="A276" s="71">
        <v>273</v>
      </c>
      <c r="B276" s="74" t="s">
        <v>238</v>
      </c>
      <c r="C276" s="74" t="s">
        <v>86</v>
      </c>
      <c r="D276" s="74" t="s">
        <v>87</v>
      </c>
      <c r="E276" s="74" t="s">
        <v>123</v>
      </c>
      <c r="F276" s="74" t="s">
        <v>384</v>
      </c>
      <c r="G276" s="74" t="s">
        <v>377</v>
      </c>
      <c r="H276" s="74" t="s">
        <v>378</v>
      </c>
      <c r="I276" s="74" t="s">
        <v>385</v>
      </c>
      <c r="J276" s="74" t="s">
        <v>807</v>
      </c>
      <c r="K276" s="75" t="s">
        <v>72</v>
      </c>
      <c r="L276" s="75" t="s">
        <v>73</v>
      </c>
      <c r="M276" s="74" t="s">
        <v>74</v>
      </c>
      <c r="N276" s="74" t="s">
        <v>352</v>
      </c>
      <c r="O276" s="74" t="s">
        <v>95</v>
      </c>
      <c r="P276" s="74" t="s">
        <v>808</v>
      </c>
      <c r="Q276" s="74" t="s">
        <v>97</v>
      </c>
      <c r="R276" s="76">
        <v>1</v>
      </c>
      <c r="S276" s="75" t="s">
        <v>79</v>
      </c>
      <c r="T276" s="39">
        <v>1</v>
      </c>
      <c r="U276" s="39">
        <v>1</v>
      </c>
      <c r="V276" s="40">
        <f t="shared" si="48"/>
        <v>100</v>
      </c>
      <c r="W276" s="39">
        <v>1</v>
      </c>
      <c r="X276" s="39">
        <v>0</v>
      </c>
      <c r="Y276" s="40">
        <f t="shared" si="60"/>
        <v>0</v>
      </c>
      <c r="Z276" s="39">
        <v>29</v>
      </c>
      <c r="AA276" s="39"/>
      <c r="AB276" s="40">
        <f t="shared" si="61"/>
        <v>0</v>
      </c>
      <c r="AC276" s="39"/>
      <c r="AD276" s="39"/>
      <c r="AE276" s="40" t="e">
        <f t="shared" si="62"/>
        <v>#DIV/0!</v>
      </c>
      <c r="AF276" s="41">
        <f t="shared" si="69"/>
        <v>1</v>
      </c>
      <c r="AG276" s="41">
        <f t="shared" si="63"/>
        <v>1</v>
      </c>
      <c r="AH276" s="42">
        <f t="shared" si="45"/>
        <v>50</v>
      </c>
      <c r="AI276" s="67">
        <v>46054</v>
      </c>
      <c r="AJ276" s="67">
        <v>46387</v>
      </c>
      <c r="AK276" s="44" t="s">
        <v>647</v>
      </c>
      <c r="AL276" s="44"/>
      <c r="AM276" s="45"/>
      <c r="AN276" s="73">
        <v>25000000</v>
      </c>
      <c r="AO276" s="73">
        <v>25000000</v>
      </c>
      <c r="AP276" s="73">
        <v>25000000</v>
      </c>
      <c r="AQ276" s="47">
        <f>AO276</f>
        <v>25000000</v>
      </c>
      <c r="AR276" s="44" t="s">
        <v>783</v>
      </c>
      <c r="AS276" s="44" t="s">
        <v>721</v>
      </c>
      <c r="AT276" s="48" t="s">
        <v>809</v>
      </c>
      <c r="AU276" s="49" t="s">
        <v>831</v>
      </c>
      <c r="AV276" s="122" t="s">
        <v>832</v>
      </c>
      <c r="AW276" s="123" t="s">
        <v>842</v>
      </c>
      <c r="AX276" s="123"/>
      <c r="AY276" s="123"/>
      <c r="AZ276" s="50">
        <f t="shared" si="70"/>
        <v>1</v>
      </c>
      <c r="BA276" s="50">
        <f t="shared" si="71"/>
        <v>1</v>
      </c>
      <c r="BB276" s="117">
        <f t="shared" si="72"/>
        <v>1</v>
      </c>
      <c r="BC276" s="50">
        <f t="shared" si="73"/>
        <v>0</v>
      </c>
      <c r="BD276" s="51"/>
      <c r="BE276" s="52">
        <f t="shared" si="64"/>
        <v>0</v>
      </c>
      <c r="BF276" s="52">
        <f t="shared" si="65"/>
        <v>0</v>
      </c>
      <c r="BG276" s="52">
        <f t="shared" si="66"/>
        <v>0</v>
      </c>
      <c r="BH276" s="52">
        <f t="shared" si="67"/>
        <v>0</v>
      </c>
      <c r="BI276" s="52">
        <f t="shared" si="68"/>
        <v>0</v>
      </c>
    </row>
    <row r="277" spans="1:61" x14ac:dyDescent="0.3">
      <c r="A277" s="71">
        <v>274</v>
      </c>
      <c r="B277" s="74" t="s">
        <v>238</v>
      </c>
      <c r="C277" s="74" t="s">
        <v>86</v>
      </c>
      <c r="D277" s="74" t="s">
        <v>87</v>
      </c>
      <c r="E277" s="74" t="s">
        <v>123</v>
      </c>
      <c r="F277" s="74" t="s">
        <v>384</v>
      </c>
      <c r="G277" s="74" t="s">
        <v>377</v>
      </c>
      <c r="H277" s="74" t="s">
        <v>378</v>
      </c>
      <c r="I277" s="74" t="s">
        <v>385</v>
      </c>
      <c r="J277" s="74" t="s">
        <v>807</v>
      </c>
      <c r="K277" s="75" t="s">
        <v>72</v>
      </c>
      <c r="L277" s="75" t="s">
        <v>73</v>
      </c>
      <c r="M277" s="74" t="s">
        <v>74</v>
      </c>
      <c r="N277" s="74" t="s">
        <v>352</v>
      </c>
      <c r="O277" s="74" t="s">
        <v>95</v>
      </c>
      <c r="P277" s="74" t="s">
        <v>810</v>
      </c>
      <c r="Q277" s="74" t="s">
        <v>97</v>
      </c>
      <c r="R277" s="76">
        <v>4</v>
      </c>
      <c r="S277" s="75" t="s">
        <v>79</v>
      </c>
      <c r="T277" s="39">
        <v>1</v>
      </c>
      <c r="U277" s="39">
        <v>1</v>
      </c>
      <c r="V277" s="40">
        <f t="shared" si="48"/>
        <v>100</v>
      </c>
      <c r="W277" s="39">
        <v>1</v>
      </c>
      <c r="X277" s="39">
        <v>0</v>
      </c>
      <c r="Y277" s="40">
        <f t="shared" si="60"/>
        <v>0</v>
      </c>
      <c r="Z277" s="39">
        <v>1</v>
      </c>
      <c r="AA277" s="39"/>
      <c r="AB277" s="40">
        <f t="shared" si="61"/>
        <v>0</v>
      </c>
      <c r="AC277" s="39">
        <v>1</v>
      </c>
      <c r="AD277" s="39"/>
      <c r="AE277" s="40">
        <f t="shared" si="62"/>
        <v>0</v>
      </c>
      <c r="AF277" s="41">
        <f t="shared" si="69"/>
        <v>4</v>
      </c>
      <c r="AG277" s="41">
        <f t="shared" si="63"/>
        <v>1</v>
      </c>
      <c r="AH277" s="42">
        <f t="shared" si="45"/>
        <v>50</v>
      </c>
      <c r="AI277" s="67">
        <v>46054</v>
      </c>
      <c r="AJ277" s="67">
        <v>46387</v>
      </c>
      <c r="AK277" s="44" t="s">
        <v>647</v>
      </c>
      <c r="AL277" s="44"/>
      <c r="AM277" s="45"/>
      <c r="AN277" s="73">
        <v>50000000</v>
      </c>
      <c r="AO277" s="73">
        <v>50000000</v>
      </c>
      <c r="AP277" s="73">
        <v>50000000</v>
      </c>
      <c r="AQ277" s="47">
        <f>AO277</f>
        <v>50000000</v>
      </c>
      <c r="AR277" s="44" t="s">
        <v>783</v>
      </c>
      <c r="AS277" s="44" t="s">
        <v>721</v>
      </c>
      <c r="AT277" s="48" t="s">
        <v>809</v>
      </c>
      <c r="AU277" s="49" t="s">
        <v>831</v>
      </c>
      <c r="AV277" s="122" t="s">
        <v>832</v>
      </c>
      <c r="AW277" s="123" t="s">
        <v>842</v>
      </c>
      <c r="AX277" s="123"/>
      <c r="AY277" s="123"/>
      <c r="AZ277" s="50">
        <f t="shared" si="70"/>
        <v>4</v>
      </c>
      <c r="BA277" s="50">
        <f t="shared" si="71"/>
        <v>1</v>
      </c>
      <c r="BB277" s="117">
        <f t="shared" si="72"/>
        <v>0.25</v>
      </c>
      <c r="BC277" s="50">
        <f t="shared" si="73"/>
        <v>3</v>
      </c>
      <c r="BD277" s="51"/>
      <c r="BE277" s="52">
        <f t="shared" si="64"/>
        <v>0.89999999999999991</v>
      </c>
      <c r="BF277" s="52">
        <f t="shared" si="65"/>
        <v>0.89999999999999991</v>
      </c>
      <c r="BG277" s="52">
        <f t="shared" si="66"/>
        <v>0.89999999999999991</v>
      </c>
      <c r="BH277" s="52">
        <f t="shared" si="67"/>
        <v>0.30000000000000004</v>
      </c>
      <c r="BI277" s="52">
        <f t="shared" si="68"/>
        <v>3</v>
      </c>
    </row>
    <row r="278" spans="1:61" x14ac:dyDescent="0.3">
      <c r="A278" s="71">
        <v>275</v>
      </c>
      <c r="B278" s="34" t="s">
        <v>811</v>
      </c>
      <c r="C278" s="34" t="s">
        <v>86</v>
      </c>
      <c r="D278" s="34" t="s">
        <v>87</v>
      </c>
      <c r="E278" s="34" t="s">
        <v>123</v>
      </c>
      <c r="F278" s="34" t="s">
        <v>128</v>
      </c>
      <c r="G278" s="34" t="s">
        <v>90</v>
      </c>
      <c r="H278" s="34" t="s">
        <v>91</v>
      </c>
      <c r="I278" s="34" t="s">
        <v>92</v>
      </c>
      <c r="J278" s="34" t="s">
        <v>71</v>
      </c>
      <c r="K278" s="35" t="s">
        <v>72</v>
      </c>
      <c r="L278" s="35" t="s">
        <v>73</v>
      </c>
      <c r="M278" s="34" t="s">
        <v>74</v>
      </c>
      <c r="N278" s="34" t="s">
        <v>94</v>
      </c>
      <c r="O278" s="34" t="s">
        <v>95</v>
      </c>
      <c r="P278" s="34" t="s">
        <v>812</v>
      </c>
      <c r="Q278" s="34" t="s">
        <v>97</v>
      </c>
      <c r="R278" s="72">
        <v>1</v>
      </c>
      <c r="S278" s="35" t="s">
        <v>813</v>
      </c>
      <c r="T278" s="39">
        <v>0</v>
      </c>
      <c r="U278" s="39"/>
      <c r="V278" s="40" t="e">
        <f t="shared" si="48"/>
        <v>#DIV/0!</v>
      </c>
      <c r="W278" s="39">
        <v>1</v>
      </c>
      <c r="X278" s="39"/>
      <c r="Y278" s="40">
        <f t="shared" si="60"/>
        <v>0</v>
      </c>
      <c r="Z278" s="39"/>
      <c r="AA278" s="39"/>
      <c r="AB278" s="40" t="e">
        <f t="shared" si="61"/>
        <v>#DIV/0!</v>
      </c>
      <c r="AC278" s="39">
        <v>22</v>
      </c>
      <c r="AD278" s="39"/>
      <c r="AE278" s="40">
        <f t="shared" si="62"/>
        <v>0</v>
      </c>
      <c r="AF278" s="41">
        <f t="shared" si="69"/>
        <v>1</v>
      </c>
      <c r="AG278" s="41">
        <f t="shared" si="63"/>
        <v>0</v>
      </c>
      <c r="AH278" s="42">
        <f t="shared" si="45"/>
        <v>0</v>
      </c>
      <c r="AI278" s="67">
        <v>46054</v>
      </c>
      <c r="AJ278" s="67">
        <v>46387</v>
      </c>
      <c r="AK278" s="44" t="s">
        <v>647</v>
      </c>
      <c r="AL278" s="44"/>
      <c r="AM278" s="45"/>
      <c r="AN278" s="46">
        <v>40000000</v>
      </c>
      <c r="AO278" s="46">
        <v>40000000</v>
      </c>
      <c r="AP278" s="46">
        <v>40000000</v>
      </c>
      <c r="AQ278" s="47">
        <v>0</v>
      </c>
      <c r="AR278" s="44" t="s">
        <v>783</v>
      </c>
      <c r="AS278" s="44" t="s">
        <v>721</v>
      </c>
      <c r="AT278" s="48" t="s">
        <v>600</v>
      </c>
      <c r="AU278" s="49" t="s">
        <v>831</v>
      </c>
      <c r="AV278" s="51" t="s">
        <v>832</v>
      </c>
      <c r="AW278" s="51" t="s">
        <v>848</v>
      </c>
      <c r="AZ278" s="50">
        <f t="shared" si="70"/>
        <v>1</v>
      </c>
      <c r="BA278" s="50">
        <f t="shared" si="71"/>
        <v>0</v>
      </c>
      <c r="BB278" s="117">
        <f t="shared" si="72"/>
        <v>0</v>
      </c>
      <c r="BC278" s="50">
        <f t="shared" si="73"/>
        <v>1</v>
      </c>
      <c r="BD278" s="51"/>
      <c r="BE278" s="52">
        <f t="shared" si="64"/>
        <v>0.3</v>
      </c>
      <c r="BF278" s="52">
        <f t="shared" si="65"/>
        <v>0.3</v>
      </c>
      <c r="BG278" s="52">
        <f t="shared" si="66"/>
        <v>0.3</v>
      </c>
      <c r="BH278" s="52">
        <f t="shared" si="67"/>
        <v>0.1</v>
      </c>
      <c r="BI278" s="52">
        <f t="shared" si="68"/>
        <v>0.99999999999999989</v>
      </c>
    </row>
    <row r="279" spans="1:61" x14ac:dyDescent="0.3">
      <c r="A279" s="71">
        <v>276</v>
      </c>
      <c r="B279" s="77" t="s">
        <v>238</v>
      </c>
      <c r="C279" s="34" t="s">
        <v>86</v>
      </c>
      <c r="D279" s="34" t="s">
        <v>123</v>
      </c>
      <c r="E279" s="78" t="s">
        <v>541</v>
      </c>
      <c r="F279" s="79" t="s">
        <v>236</v>
      </c>
      <c r="G279" s="34" t="s">
        <v>90</v>
      </c>
      <c r="H279" s="34" t="s">
        <v>91</v>
      </c>
      <c r="I279" s="77" t="s">
        <v>70</v>
      </c>
      <c r="J279" s="77" t="s">
        <v>70</v>
      </c>
      <c r="K279" s="75" t="s">
        <v>72</v>
      </c>
      <c r="L279" s="35" t="s">
        <v>73</v>
      </c>
      <c r="M279" s="34" t="s">
        <v>74</v>
      </c>
      <c r="N279" s="58" t="s">
        <v>545</v>
      </c>
      <c r="O279" s="80" t="s">
        <v>631</v>
      </c>
      <c r="P279" s="81" t="s">
        <v>814</v>
      </c>
      <c r="Q279" s="34" t="s">
        <v>97</v>
      </c>
      <c r="R279" s="82">
        <v>29</v>
      </c>
      <c r="S279" s="124" t="s">
        <v>79</v>
      </c>
      <c r="T279" s="39">
        <v>3</v>
      </c>
      <c r="U279" s="39">
        <v>3</v>
      </c>
      <c r="V279" s="40">
        <f t="shared" si="48"/>
        <v>100</v>
      </c>
      <c r="W279" s="39">
        <v>4</v>
      </c>
      <c r="X279" s="39">
        <v>18</v>
      </c>
      <c r="Y279" s="40">
        <f t="shared" si="60"/>
        <v>450</v>
      </c>
      <c r="Z279" s="39">
        <v>11</v>
      </c>
      <c r="AA279" s="39"/>
      <c r="AB279" s="40">
        <f t="shared" si="61"/>
        <v>0</v>
      </c>
      <c r="AC279" s="39">
        <v>11</v>
      </c>
      <c r="AD279" s="39"/>
      <c r="AE279" s="40">
        <f t="shared" si="62"/>
        <v>0</v>
      </c>
      <c r="AF279" s="41">
        <f t="shared" si="69"/>
        <v>29</v>
      </c>
      <c r="AG279" s="41">
        <f t="shared" si="63"/>
        <v>21</v>
      </c>
      <c r="AH279" s="42">
        <f t="shared" si="45"/>
        <v>300</v>
      </c>
      <c r="AI279" s="67">
        <v>46054</v>
      </c>
      <c r="AJ279" s="67">
        <v>46387</v>
      </c>
      <c r="AK279" s="44"/>
      <c r="AL279" s="44"/>
      <c r="AM279" s="45"/>
      <c r="AN279" s="46"/>
      <c r="AO279" s="46"/>
      <c r="AP279" s="46"/>
      <c r="AQ279" s="47"/>
      <c r="AR279" s="44" t="s">
        <v>815</v>
      </c>
      <c r="AS279" s="44" t="s">
        <v>80</v>
      </c>
      <c r="AT279" s="54" t="s">
        <v>481</v>
      </c>
      <c r="AU279" s="49" t="s">
        <v>831</v>
      </c>
      <c r="AV279" s="51" t="s">
        <v>832</v>
      </c>
      <c r="AZ279" s="50">
        <f t="shared" si="70"/>
        <v>29</v>
      </c>
      <c r="BA279" s="50">
        <f t="shared" si="71"/>
        <v>21</v>
      </c>
      <c r="BB279" s="117">
        <f t="shared" si="72"/>
        <v>0.72413793103448276</v>
      </c>
      <c r="BC279" s="50">
        <f t="shared" si="73"/>
        <v>8</v>
      </c>
      <c r="BD279" s="51"/>
      <c r="BE279" s="52">
        <f t="shared" si="64"/>
        <v>2.4</v>
      </c>
      <c r="BF279" s="52">
        <f t="shared" si="65"/>
        <v>2.4</v>
      </c>
      <c r="BG279" s="52">
        <f t="shared" si="66"/>
        <v>2.4</v>
      </c>
      <c r="BH279" s="52">
        <f t="shared" si="67"/>
        <v>0.8</v>
      </c>
      <c r="BI279" s="52">
        <f t="shared" si="68"/>
        <v>7.9999999999999991</v>
      </c>
    </row>
    <row r="280" spans="1:61" x14ac:dyDescent="0.3">
      <c r="A280" s="71">
        <v>277</v>
      </c>
      <c r="B280" s="77" t="s">
        <v>238</v>
      </c>
      <c r="C280" s="34" t="s">
        <v>86</v>
      </c>
      <c r="D280" s="34" t="s">
        <v>123</v>
      </c>
      <c r="E280" s="78" t="s">
        <v>541</v>
      </c>
      <c r="F280" s="83" t="s">
        <v>236</v>
      </c>
      <c r="G280" s="34" t="s">
        <v>90</v>
      </c>
      <c r="H280" s="34" t="s">
        <v>91</v>
      </c>
      <c r="I280" s="77" t="s">
        <v>70</v>
      </c>
      <c r="J280" s="77" t="s">
        <v>70</v>
      </c>
      <c r="K280" s="75" t="s">
        <v>72</v>
      </c>
      <c r="L280" s="35" t="s">
        <v>73</v>
      </c>
      <c r="M280" s="34" t="s">
        <v>74</v>
      </c>
      <c r="N280" s="84" t="s">
        <v>545</v>
      </c>
      <c r="O280" s="85" t="s">
        <v>631</v>
      </c>
      <c r="P280" s="34" t="s">
        <v>816</v>
      </c>
      <c r="Q280" s="86" t="s">
        <v>97</v>
      </c>
      <c r="R280" s="87">
        <v>29</v>
      </c>
      <c r="S280" s="124" t="s">
        <v>79</v>
      </c>
      <c r="T280" s="39">
        <v>3</v>
      </c>
      <c r="U280" s="39">
        <v>3</v>
      </c>
      <c r="V280" s="40">
        <f t="shared" si="48"/>
        <v>100</v>
      </c>
      <c r="W280" s="39">
        <v>4</v>
      </c>
      <c r="X280" s="39">
        <v>18</v>
      </c>
      <c r="Y280" s="40">
        <f t="shared" si="60"/>
        <v>450</v>
      </c>
      <c r="Z280" s="39">
        <v>11</v>
      </c>
      <c r="AA280" s="39"/>
      <c r="AB280" s="40">
        <f t="shared" si="61"/>
        <v>0</v>
      </c>
      <c r="AC280" s="39">
        <v>11</v>
      </c>
      <c r="AD280" s="39"/>
      <c r="AE280" s="40">
        <f t="shared" si="62"/>
        <v>0</v>
      </c>
      <c r="AF280" s="41">
        <f t="shared" si="69"/>
        <v>29</v>
      </c>
      <c r="AG280" s="41">
        <f t="shared" si="63"/>
        <v>21</v>
      </c>
      <c r="AH280" s="42">
        <f t="shared" si="45"/>
        <v>300</v>
      </c>
      <c r="AI280" s="67">
        <v>46054</v>
      </c>
      <c r="AJ280" s="67">
        <v>46387</v>
      </c>
      <c r="AK280" s="44"/>
      <c r="AL280" s="44"/>
      <c r="AM280" s="45"/>
      <c r="AN280" s="46"/>
      <c r="AO280" s="46"/>
      <c r="AP280" s="46"/>
      <c r="AQ280" s="47"/>
      <c r="AR280" s="44" t="s">
        <v>815</v>
      </c>
      <c r="AS280" s="44" t="s">
        <v>80</v>
      </c>
      <c r="AT280" s="54" t="s">
        <v>481</v>
      </c>
      <c r="AU280" s="49" t="s">
        <v>831</v>
      </c>
      <c r="AV280" s="51" t="s">
        <v>832</v>
      </c>
      <c r="AZ280" s="50">
        <f t="shared" si="70"/>
        <v>29</v>
      </c>
      <c r="BA280" s="50">
        <f t="shared" si="71"/>
        <v>21</v>
      </c>
      <c r="BB280" s="117">
        <f t="shared" si="72"/>
        <v>0.72413793103448276</v>
      </c>
      <c r="BC280" s="50">
        <f t="shared" si="73"/>
        <v>8</v>
      </c>
      <c r="BD280" s="51"/>
      <c r="BE280" s="52">
        <f t="shared" si="64"/>
        <v>2.4</v>
      </c>
      <c r="BF280" s="52">
        <f t="shared" si="65"/>
        <v>2.4</v>
      </c>
      <c r="BG280" s="52">
        <f t="shared" si="66"/>
        <v>2.4</v>
      </c>
      <c r="BH280" s="52">
        <f t="shared" si="67"/>
        <v>0.8</v>
      </c>
      <c r="BI280" s="52">
        <f t="shared" si="68"/>
        <v>7.9999999999999991</v>
      </c>
    </row>
    <row r="281" spans="1:61" x14ac:dyDescent="0.3">
      <c r="A281" s="88"/>
      <c r="B281" s="44"/>
      <c r="C281" s="44"/>
      <c r="D281" s="44"/>
      <c r="E281" s="44"/>
      <c r="F281" s="44"/>
      <c r="G281" s="36"/>
      <c r="H281" s="36"/>
      <c r="I281" s="36"/>
      <c r="J281" s="36"/>
      <c r="K281" s="33"/>
      <c r="L281" s="33"/>
      <c r="M281" s="36"/>
      <c r="N281" s="36"/>
      <c r="O281" s="36"/>
      <c r="P281" s="36"/>
      <c r="Q281" s="36"/>
      <c r="R281" s="37"/>
      <c r="S281" s="33"/>
      <c r="T281" s="39"/>
      <c r="U281" s="39"/>
      <c r="V281" s="40" t="e">
        <f t="shared" si="48"/>
        <v>#DIV/0!</v>
      </c>
      <c r="W281" s="39"/>
      <c r="X281" s="39"/>
      <c r="Y281" s="40" t="e">
        <f t="shared" si="60"/>
        <v>#DIV/0!</v>
      </c>
      <c r="Z281" s="39"/>
      <c r="AA281" s="39"/>
      <c r="AB281" s="40" t="e">
        <f t="shared" si="61"/>
        <v>#DIV/0!</v>
      </c>
      <c r="AC281" s="39"/>
      <c r="AD281" s="39"/>
      <c r="AE281" s="40" t="e">
        <f t="shared" si="62"/>
        <v>#DIV/0!</v>
      </c>
      <c r="AF281" s="89">
        <f t="shared" ref="AF281:AG281" si="74">T281+W281+Z281+AC281</f>
        <v>0</v>
      </c>
      <c r="AG281" s="89">
        <f t="shared" si="74"/>
        <v>0</v>
      </c>
      <c r="AH281" s="42" t="e">
        <f t="shared" si="45"/>
        <v>#DIV/0!</v>
      </c>
      <c r="AI281" s="43"/>
      <c r="AJ281" s="43"/>
      <c r="AK281" s="44"/>
      <c r="AL281" s="44"/>
      <c r="AM281" s="45"/>
      <c r="AN281" s="44"/>
      <c r="AO281" s="44"/>
      <c r="AP281" s="90"/>
      <c r="AQ281" s="47"/>
      <c r="AR281" s="44"/>
      <c r="AS281" s="44"/>
      <c r="AT281" s="91"/>
      <c r="AU281" s="44"/>
      <c r="AZ281" s="92"/>
      <c r="BA281" s="93"/>
      <c r="BB281" s="93"/>
      <c r="BC281" s="51"/>
      <c r="BD281" s="51"/>
      <c r="BE281" s="51"/>
      <c r="BF281" s="51"/>
      <c r="BG281" s="51"/>
      <c r="BH281" s="51"/>
      <c r="BI281" s="51"/>
    </row>
    <row r="282" spans="1:61" x14ac:dyDescent="0.3">
      <c r="AF282" s="41">
        <f>SUM(AF5:AF281)</f>
        <v>110102</v>
      </c>
      <c r="AG282" s="95">
        <f>SUM(AG5:AG281)</f>
        <v>1500.6</v>
      </c>
      <c r="AH282" s="125">
        <f>+AG282/AF282</f>
        <v>1.3629180214709996E-2</v>
      </c>
      <c r="AZ282" s="50">
        <f>SUM(AZ5:AZ280)</f>
        <v>110102</v>
      </c>
      <c r="BA282" s="97">
        <f>SUM(BA5:BA280)</f>
        <v>1500.6</v>
      </c>
      <c r="BB282" s="126">
        <f t="shared" ref="BB282" si="75">+BA282/AZ282</f>
        <v>1.3629180214709996E-2</v>
      </c>
      <c r="BC282" s="97">
        <f t="shared" ref="BC282" si="76">+AZ282-BA282</f>
        <v>108601.4</v>
      </c>
      <c r="BD282" s="51"/>
      <c r="BE282" s="98">
        <f>+BC282*$BF$3</f>
        <v>32580.42</v>
      </c>
      <c r="BF282" s="98">
        <f>+BC282*$BE$3</f>
        <v>32580.42</v>
      </c>
      <c r="BG282" s="98">
        <f>+BC282*$BG$3</f>
        <v>32580.42</v>
      </c>
      <c r="BH282" s="98">
        <f>+BC282*$BH$3</f>
        <v>10860.14</v>
      </c>
      <c r="BI282" s="98">
        <f t="shared" ref="BI282" si="77">+BE282+BF282+BG282+BH282</f>
        <v>108601.4</v>
      </c>
    </row>
  </sheetData>
  <autoFilter ref="A4:BI4" xr:uid="{00000000-0001-0000-0200-000000000000}"/>
  <mergeCells count="6">
    <mergeCell ref="S1:AT1"/>
    <mergeCell ref="A2:AT2"/>
    <mergeCell ref="T3:AH3"/>
    <mergeCell ref="AI3:AJ3"/>
    <mergeCell ref="AK3:AQ3"/>
    <mergeCell ref="AZ3:BC3"/>
  </mergeCells>
  <conditionalFormatting sqref="AB5:AB281 AE5:AE281 V5:V281 Y5:Y281 AH5:AH281">
    <cfRule type="cellIs" dxfId="4" priority="1" operator="greaterThan">
      <formula>100</formula>
    </cfRule>
  </conditionalFormatting>
  <conditionalFormatting sqref="AB5:AB281 AE5:AE281 V5:V281 Y5:Y281 AH5:AH281">
    <cfRule type="cellIs" dxfId="3" priority="2" operator="greaterThan">
      <formula>79.9</formula>
    </cfRule>
  </conditionalFormatting>
  <conditionalFormatting sqref="AB5:AB281 AE5:AE281 V5:V281 Y5:Y281 AH5:AH281">
    <cfRule type="cellIs" dxfId="2" priority="3" operator="greaterThan">
      <formula>59.9</formula>
    </cfRule>
  </conditionalFormatting>
  <conditionalFormatting sqref="AB5:AB281 AE5:AE281 V5:V281 Y5:Y281 AH5:AH281">
    <cfRule type="cellIs" dxfId="1" priority="4" operator="greaterThan">
      <formula>0</formula>
    </cfRule>
  </conditionalFormatting>
  <conditionalFormatting sqref="AB5:AB281 AE5:AE281 V5:V281 Y5:Y281 AH5:AH281">
    <cfRule type="cellIs" dxfId="0" priority="5" operator="equal">
      <formula>0</formula>
    </cfRule>
  </conditionalFormatting>
  <dataValidations count="11">
    <dataValidation type="decimal" operator="greaterThan" allowBlank="1" showErrorMessage="1" sqref="A5:A281" xr:uid="{6991A93D-978E-41C4-805D-98BA09773BEB}">
      <formula1>0</formula1>
    </dataValidation>
    <dataValidation type="custom" allowBlank="1" showErrorMessage="1" sqref="AK5:AK281" xr:uid="{6CF6D65A-17A2-42D2-9AEA-CD08BB4C7A0B}">
      <formula1>AND(GTE(LEN(AK5),MIN((2),(500))),LTE(LEN(AK5),MAX((2),(500))))</formula1>
    </dataValidation>
    <dataValidation type="date" operator="greaterThan" allowBlank="1" showErrorMessage="1" sqref="AI5:AJ281" xr:uid="{D8BFED28-421A-4CEC-8840-31B3F3218E19}">
      <formula1>46022</formula1>
    </dataValidation>
    <dataValidation type="custom" allowBlank="1" showErrorMessage="1" sqref="AT5:AU281" xr:uid="{C48D343C-B80F-4FE8-9495-6DA9F43B0BF4}">
      <formula1>AND(GTE(LEN(AT5),MIN((10),(1000))),LTE(LEN(AT5),MAX((10),(1000))))</formula1>
    </dataValidation>
    <dataValidation type="custom" allowBlank="1" showErrorMessage="1" sqref="AS5:AS281" xr:uid="{40699285-967A-4FE0-A491-2F17B2A5CFCB}">
      <formula1>AND(GTE(LEN(AS5),MIN((9),(4000))),LTE(LEN(AS5),MAX((9),(4000))))</formula1>
    </dataValidation>
    <dataValidation type="custom" allowBlank="1" showErrorMessage="1" sqref="K279:N280 J5:N278 J281:N281 H5:H281 F5:F281 B5:B281 Q5:Q281" xr:uid="{3BF8821C-963B-4858-99B5-E456A2914EC0}">
      <formula1>AND(GTE(LEN(B5),MIN((10),(4000))),LTE(LEN(B5),MAX((10),(4000))))</formula1>
    </dataValidation>
    <dataValidation type="decimal" operator="greaterThanOrEqual" allowBlank="1" showErrorMessage="1" sqref="E1 J1" xr:uid="{4E275D53-4C40-4B44-9C76-BC7B436E274C}">
      <formula1>2024</formula1>
    </dataValidation>
    <dataValidation type="custom" allowBlank="1" showErrorMessage="1" sqref="G1" xr:uid="{2D005BB6-EA8C-4D21-9DE1-E1694FA3C15F}">
      <formula1>GT(LEN(G1),(1))</formula1>
    </dataValidation>
    <dataValidation type="decimal" operator="greaterThanOrEqual" allowBlank="1" showErrorMessage="1" sqref="I1" xr:uid="{E83A3DC5-093B-44EB-A15B-0723E5FE08B6}">
      <formula1>1</formula1>
    </dataValidation>
    <dataValidation type="custom" allowBlank="1" showErrorMessage="1" sqref="S5:S134 T135 S136:S281" xr:uid="{2694C39A-C8B8-41AB-9275-CDB1499C2EE0}">
      <formula1>AND(GTE(LEN(S5),MIN((1),(500))),LTE(LEN(S5),MAX((1),(500))))</formula1>
    </dataValidation>
    <dataValidation type="decimal" operator="greaterThanOrEqual" allowBlank="1" showErrorMessage="1" sqref="U135 T5:U134 AC5:AD281 AN5:AQ281 Z5:AA281 W5:X281 T136:U281 R5:R281 AF5:AG282" xr:uid="{5CB3F778-85F1-4DD2-9FE7-46B98B2D8BFB}">
      <formula1>0</formula1>
    </dataValidation>
  </dataValidations>
  <pageMargins left="0.70866141732283472" right="0.70866141732283472" top="0.74803149606299213" bottom="0.74803149606299213" header="0" footer="0"/>
  <pageSetup paperSize="9" scale="30"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94A3F-A558-4878-94FC-DEC654372937}">
  <sheetPr>
    <tabColor rgb="FFFFFF00"/>
  </sheetPr>
  <dimension ref="A1:F34"/>
  <sheetViews>
    <sheetView workbookViewId="0">
      <pane ySplit="1" topLeftCell="A2" activePane="bottomLeft" state="frozen"/>
      <selection pane="bottomLeft" activeCell="I14" sqref="I14"/>
    </sheetView>
  </sheetViews>
  <sheetFormatPr baseColWidth="10" defaultRowHeight="14.4" x14ac:dyDescent="0.3"/>
  <cols>
    <col min="1" max="1" width="4" style="131" bestFit="1" customWidth="1"/>
    <col min="2" max="2" width="26.44140625" style="131" bestFit="1" customWidth="1"/>
    <col min="3" max="3" width="17.33203125" style="131" bestFit="1" customWidth="1"/>
    <col min="4" max="4" width="9.77734375" style="131" bestFit="1" customWidth="1"/>
    <col min="5" max="5" width="26.21875" style="131" bestFit="1" customWidth="1"/>
    <col min="6" max="6" width="10.5546875" style="131" customWidth="1"/>
  </cols>
  <sheetData>
    <row r="1" spans="1:6" x14ac:dyDescent="0.3">
      <c r="A1" s="127" t="s">
        <v>827</v>
      </c>
      <c r="B1" s="127" t="s">
        <v>857</v>
      </c>
      <c r="C1" s="127" t="s">
        <v>828</v>
      </c>
      <c r="D1" s="127" t="s">
        <v>858</v>
      </c>
      <c r="E1" s="127" t="s">
        <v>829</v>
      </c>
      <c r="F1" s="127" t="s">
        <v>830</v>
      </c>
    </row>
    <row r="2" spans="1:6" x14ac:dyDescent="0.3">
      <c r="A2" s="128">
        <v>1</v>
      </c>
      <c r="B2" s="128" t="s">
        <v>859</v>
      </c>
      <c r="C2" s="128" t="s">
        <v>860</v>
      </c>
      <c r="D2" s="128"/>
      <c r="E2" s="128" t="s">
        <v>861</v>
      </c>
      <c r="F2" s="128" t="s">
        <v>862</v>
      </c>
    </row>
    <row r="3" spans="1:6" s="94" customFormat="1" x14ac:dyDescent="0.3">
      <c r="A3" s="129">
        <v>1</v>
      </c>
      <c r="B3" s="129" t="s">
        <v>859</v>
      </c>
      <c r="C3" s="129" t="s">
        <v>854</v>
      </c>
      <c r="D3" s="129"/>
      <c r="E3" s="129" t="s">
        <v>863</v>
      </c>
      <c r="F3" s="129" t="s">
        <v>862</v>
      </c>
    </row>
    <row r="4" spans="1:6" x14ac:dyDescent="0.3">
      <c r="A4" s="130">
        <v>1</v>
      </c>
      <c r="B4" s="130" t="s">
        <v>859</v>
      </c>
      <c r="C4" s="130" t="s">
        <v>854</v>
      </c>
      <c r="D4" s="130"/>
      <c r="E4" s="130" t="s">
        <v>864</v>
      </c>
      <c r="F4" s="130" t="s">
        <v>862</v>
      </c>
    </row>
    <row r="5" spans="1:6" x14ac:dyDescent="0.3">
      <c r="A5" s="130">
        <v>1</v>
      </c>
      <c r="B5" s="130" t="s">
        <v>859</v>
      </c>
      <c r="C5" s="130" t="s">
        <v>854</v>
      </c>
      <c r="D5" s="130"/>
      <c r="E5" s="130" t="s">
        <v>865</v>
      </c>
      <c r="F5" s="130" t="s">
        <v>866</v>
      </c>
    </row>
    <row r="6" spans="1:6" x14ac:dyDescent="0.3">
      <c r="A6" s="130">
        <v>1</v>
      </c>
      <c r="B6" s="130" t="s">
        <v>859</v>
      </c>
      <c r="C6" s="130" t="s">
        <v>854</v>
      </c>
      <c r="D6" s="130"/>
      <c r="E6" s="130" t="s">
        <v>867</v>
      </c>
      <c r="F6" s="130" t="s">
        <v>866</v>
      </c>
    </row>
    <row r="7" spans="1:6" x14ac:dyDescent="0.3">
      <c r="A7" s="130">
        <v>1</v>
      </c>
      <c r="B7" s="130" t="s">
        <v>859</v>
      </c>
      <c r="C7" s="130" t="s">
        <v>854</v>
      </c>
      <c r="D7" s="130"/>
      <c r="E7" s="130" t="s">
        <v>868</v>
      </c>
      <c r="F7" s="130" t="s">
        <v>866</v>
      </c>
    </row>
    <row r="8" spans="1:6" x14ac:dyDescent="0.3">
      <c r="A8" s="130">
        <v>1</v>
      </c>
      <c r="B8" s="130" t="s">
        <v>859</v>
      </c>
      <c r="C8" s="130" t="s">
        <v>854</v>
      </c>
      <c r="D8" s="130"/>
      <c r="E8" s="130" t="s">
        <v>869</v>
      </c>
      <c r="F8" s="130" t="s">
        <v>866</v>
      </c>
    </row>
    <row r="9" spans="1:6" s="94" customFormat="1" x14ac:dyDescent="0.3">
      <c r="A9" s="129">
        <v>1</v>
      </c>
      <c r="B9" s="129" t="s">
        <v>859</v>
      </c>
      <c r="C9" s="129" t="s">
        <v>870</v>
      </c>
      <c r="D9" s="129"/>
      <c r="E9" s="129" t="s">
        <v>771</v>
      </c>
      <c r="F9" s="129" t="s">
        <v>862</v>
      </c>
    </row>
    <row r="10" spans="1:6" x14ac:dyDescent="0.3">
      <c r="A10" s="130">
        <v>1</v>
      </c>
      <c r="B10" s="130" t="s">
        <v>859</v>
      </c>
      <c r="C10" s="130" t="s">
        <v>870</v>
      </c>
      <c r="D10" s="130"/>
      <c r="E10" s="130" t="s">
        <v>871</v>
      </c>
      <c r="F10" s="130" t="s">
        <v>866</v>
      </c>
    </row>
    <row r="11" spans="1:6" x14ac:dyDescent="0.3">
      <c r="A11" s="130">
        <v>1</v>
      </c>
      <c r="B11" s="130" t="s">
        <v>859</v>
      </c>
      <c r="C11" s="130" t="s">
        <v>870</v>
      </c>
      <c r="D11" s="130"/>
      <c r="E11" s="130" t="s">
        <v>872</v>
      </c>
      <c r="F11" s="130" t="s">
        <v>866</v>
      </c>
    </row>
    <row r="12" spans="1:6" x14ac:dyDescent="0.3">
      <c r="A12" s="130">
        <v>1</v>
      </c>
      <c r="B12" s="130" t="s">
        <v>859</v>
      </c>
      <c r="C12" s="130" t="s">
        <v>870</v>
      </c>
      <c r="D12" s="130"/>
      <c r="E12" s="130" t="s">
        <v>873</v>
      </c>
      <c r="F12" s="130" t="s">
        <v>866</v>
      </c>
    </row>
    <row r="13" spans="1:6" s="94" customFormat="1" x14ac:dyDescent="0.3">
      <c r="A13" s="129">
        <v>1</v>
      </c>
      <c r="B13" s="129" t="s">
        <v>859</v>
      </c>
      <c r="C13" s="129" t="s">
        <v>855</v>
      </c>
      <c r="D13" s="129"/>
      <c r="E13" s="129" t="s">
        <v>874</v>
      </c>
      <c r="F13" s="129" t="s">
        <v>862</v>
      </c>
    </row>
    <row r="14" spans="1:6" x14ac:dyDescent="0.3">
      <c r="A14" s="130">
        <v>1</v>
      </c>
      <c r="B14" s="130" t="s">
        <v>859</v>
      </c>
      <c r="C14" s="130" t="s">
        <v>855</v>
      </c>
      <c r="D14" s="130"/>
      <c r="E14" s="130" t="s">
        <v>875</v>
      </c>
      <c r="F14" s="130" t="s">
        <v>862</v>
      </c>
    </row>
    <row r="15" spans="1:6" x14ac:dyDescent="0.3">
      <c r="A15" s="130">
        <v>1</v>
      </c>
      <c r="B15" s="130" t="s">
        <v>859</v>
      </c>
      <c r="C15" s="130" t="s">
        <v>855</v>
      </c>
      <c r="D15" s="130"/>
      <c r="E15" s="130" t="s">
        <v>876</v>
      </c>
      <c r="F15" s="130" t="s">
        <v>866</v>
      </c>
    </row>
    <row r="16" spans="1:6" x14ac:dyDescent="0.3">
      <c r="A16" s="130">
        <v>1</v>
      </c>
      <c r="B16" s="130" t="s">
        <v>859</v>
      </c>
      <c r="C16" s="130" t="s">
        <v>855</v>
      </c>
      <c r="D16" s="130"/>
      <c r="E16" s="130" t="s">
        <v>877</v>
      </c>
      <c r="F16" s="130" t="s">
        <v>866</v>
      </c>
    </row>
    <row r="17" spans="1:6" x14ac:dyDescent="0.3">
      <c r="A17" s="130">
        <v>1</v>
      </c>
      <c r="B17" s="130" t="s">
        <v>859</v>
      </c>
      <c r="C17" s="130" t="s">
        <v>855</v>
      </c>
      <c r="D17" s="130"/>
      <c r="E17" s="130" t="s">
        <v>878</v>
      </c>
      <c r="F17" s="130" t="s">
        <v>866</v>
      </c>
    </row>
    <row r="18" spans="1:6" x14ac:dyDescent="0.3">
      <c r="A18" s="130">
        <v>1</v>
      </c>
      <c r="B18" s="130" t="s">
        <v>859</v>
      </c>
      <c r="C18" s="130" t="s">
        <v>855</v>
      </c>
      <c r="D18" s="130"/>
      <c r="E18" s="130" t="s">
        <v>879</v>
      </c>
      <c r="F18" s="130" t="s">
        <v>866</v>
      </c>
    </row>
    <row r="19" spans="1:6" x14ac:dyDescent="0.3">
      <c r="A19" s="130">
        <v>1</v>
      </c>
      <c r="B19" s="130" t="s">
        <v>859</v>
      </c>
      <c r="C19" s="130" t="s">
        <v>855</v>
      </c>
      <c r="D19" s="130"/>
      <c r="E19" s="130" t="s">
        <v>880</v>
      </c>
      <c r="F19" s="130" t="s">
        <v>866</v>
      </c>
    </row>
    <row r="20" spans="1:6" s="94" customFormat="1" x14ac:dyDescent="0.3">
      <c r="A20" s="129">
        <v>1</v>
      </c>
      <c r="B20" s="129" t="s">
        <v>859</v>
      </c>
      <c r="C20" s="129" t="s">
        <v>881</v>
      </c>
      <c r="D20" s="129"/>
      <c r="E20" s="129" t="s">
        <v>882</v>
      </c>
      <c r="F20" s="129" t="s">
        <v>862</v>
      </c>
    </row>
    <row r="21" spans="1:6" x14ac:dyDescent="0.3">
      <c r="A21" s="130">
        <v>1</v>
      </c>
      <c r="B21" s="130" t="s">
        <v>859</v>
      </c>
      <c r="C21" s="130" t="s">
        <v>881</v>
      </c>
      <c r="D21" s="130"/>
      <c r="E21" s="130" t="s">
        <v>883</v>
      </c>
      <c r="F21" s="130" t="s">
        <v>866</v>
      </c>
    </row>
    <row r="22" spans="1:6" x14ac:dyDescent="0.3">
      <c r="A22" s="130">
        <v>1</v>
      </c>
      <c r="B22" s="130" t="s">
        <v>859</v>
      </c>
      <c r="C22" s="130" t="s">
        <v>881</v>
      </c>
      <c r="D22" s="130"/>
      <c r="E22" s="130" t="s">
        <v>884</v>
      </c>
      <c r="F22" s="130" t="s">
        <v>866</v>
      </c>
    </row>
    <row r="23" spans="1:6" x14ac:dyDescent="0.3">
      <c r="A23" s="130">
        <v>1</v>
      </c>
      <c r="B23" s="130" t="s">
        <v>859</v>
      </c>
      <c r="C23" s="130" t="s">
        <v>881</v>
      </c>
      <c r="D23" s="130"/>
      <c r="E23" s="130" t="s">
        <v>885</v>
      </c>
      <c r="F23" s="130" t="s">
        <v>866</v>
      </c>
    </row>
    <row r="24" spans="1:6" x14ac:dyDescent="0.3">
      <c r="A24" s="130">
        <v>1</v>
      </c>
      <c r="B24" s="130" t="s">
        <v>859</v>
      </c>
      <c r="C24" s="130" t="s">
        <v>881</v>
      </c>
      <c r="D24" s="130"/>
      <c r="E24" s="130" t="s">
        <v>886</v>
      </c>
      <c r="F24" s="130" t="s">
        <v>866</v>
      </c>
    </row>
    <row r="25" spans="1:6" x14ac:dyDescent="0.3">
      <c r="A25" s="130">
        <v>1</v>
      </c>
      <c r="B25" s="130" t="s">
        <v>859</v>
      </c>
      <c r="C25" s="130" t="s">
        <v>881</v>
      </c>
      <c r="D25" s="130"/>
      <c r="E25" s="130" t="s">
        <v>887</v>
      </c>
      <c r="F25" s="130" t="s">
        <v>866</v>
      </c>
    </row>
    <row r="26" spans="1:6" x14ac:dyDescent="0.3">
      <c r="A26" s="130">
        <v>1</v>
      </c>
      <c r="B26" s="130" t="s">
        <v>859</v>
      </c>
      <c r="C26" s="130" t="s">
        <v>881</v>
      </c>
      <c r="D26" s="130"/>
      <c r="E26" s="130" t="s">
        <v>888</v>
      </c>
      <c r="F26" s="130" t="s">
        <v>866</v>
      </c>
    </row>
    <row r="27" spans="1:6" s="94" customFormat="1" x14ac:dyDescent="0.3">
      <c r="A27" s="129">
        <v>1</v>
      </c>
      <c r="B27" s="129" t="s">
        <v>859</v>
      </c>
      <c r="C27" s="129" t="s">
        <v>853</v>
      </c>
      <c r="D27" s="129"/>
      <c r="E27" s="129" t="s">
        <v>889</v>
      </c>
      <c r="F27" s="129" t="s">
        <v>862</v>
      </c>
    </row>
    <row r="28" spans="1:6" x14ac:dyDescent="0.3">
      <c r="A28" s="130">
        <v>1</v>
      </c>
      <c r="B28" s="130" t="s">
        <v>859</v>
      </c>
      <c r="C28" s="130" t="s">
        <v>853</v>
      </c>
      <c r="D28" s="130"/>
      <c r="E28" s="130" t="s">
        <v>890</v>
      </c>
      <c r="F28" s="130" t="s">
        <v>866</v>
      </c>
    </row>
    <row r="29" spans="1:6" x14ac:dyDescent="0.3">
      <c r="A29" s="130">
        <v>1</v>
      </c>
      <c r="B29" s="130" t="s">
        <v>859</v>
      </c>
      <c r="C29" s="130" t="s">
        <v>853</v>
      </c>
      <c r="D29" s="130"/>
      <c r="E29" s="130" t="s">
        <v>891</v>
      </c>
      <c r="F29" s="130" t="s">
        <v>866</v>
      </c>
    </row>
    <row r="30" spans="1:6" x14ac:dyDescent="0.3">
      <c r="A30" s="130">
        <v>1</v>
      </c>
      <c r="B30" s="130" t="s">
        <v>859</v>
      </c>
      <c r="C30" s="130" t="s">
        <v>853</v>
      </c>
      <c r="D30" s="130"/>
      <c r="E30" s="130" t="s">
        <v>892</v>
      </c>
      <c r="F30" s="130" t="s">
        <v>866</v>
      </c>
    </row>
    <row r="31" spans="1:6" x14ac:dyDescent="0.3">
      <c r="A31" s="130">
        <v>1</v>
      </c>
      <c r="B31" s="130" t="s">
        <v>859</v>
      </c>
      <c r="C31" s="130" t="s">
        <v>853</v>
      </c>
      <c r="D31" s="130"/>
      <c r="E31" s="130" t="s">
        <v>893</v>
      </c>
      <c r="F31" s="130" t="s">
        <v>866</v>
      </c>
    </row>
    <row r="32" spans="1:6" x14ac:dyDescent="0.3">
      <c r="A32" s="130">
        <v>1</v>
      </c>
      <c r="B32" s="130" t="s">
        <v>859</v>
      </c>
      <c r="C32" s="130" t="s">
        <v>853</v>
      </c>
      <c r="D32" s="130"/>
      <c r="E32" s="130" t="s">
        <v>894</v>
      </c>
      <c r="F32" s="130" t="s">
        <v>866</v>
      </c>
    </row>
    <row r="33" spans="1:6" x14ac:dyDescent="0.3">
      <c r="A33" s="130">
        <v>1</v>
      </c>
      <c r="B33" s="130" t="s">
        <v>859</v>
      </c>
      <c r="C33" s="130" t="s">
        <v>853</v>
      </c>
      <c r="D33" s="130"/>
      <c r="E33" s="130" t="s">
        <v>895</v>
      </c>
      <c r="F33" s="130" t="s">
        <v>866</v>
      </c>
    </row>
    <row r="34" spans="1:6" x14ac:dyDescent="0.3">
      <c r="A34" s="130">
        <v>1</v>
      </c>
      <c r="B34" s="130" t="s">
        <v>859</v>
      </c>
      <c r="C34" s="130" t="s">
        <v>853</v>
      </c>
      <c r="D34" s="130"/>
      <c r="E34" s="130" t="s">
        <v>896</v>
      </c>
      <c r="F34" s="130" t="s">
        <v>866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EF995-2081-47A2-BE90-2DA45DAF1BB1}">
  <dimension ref="A1:R278"/>
  <sheetViews>
    <sheetView tabSelected="1" topLeftCell="J1" workbookViewId="0">
      <pane ySplit="1" topLeftCell="A20" activePane="bottomLeft" state="frozen"/>
      <selection pane="bottomLeft" activeCell="R2" sqref="R2"/>
    </sheetView>
  </sheetViews>
  <sheetFormatPr baseColWidth="10" defaultRowHeight="14.4" x14ac:dyDescent="0.3"/>
  <cols>
    <col min="2" max="2" width="110.109375" style="99" customWidth="1"/>
    <col min="7" max="7" width="22.21875" bestFit="1" customWidth="1"/>
    <col min="8" max="8" width="39.77734375" bestFit="1" customWidth="1"/>
    <col min="9" max="9" width="14.109375" customWidth="1"/>
    <col min="10" max="10" width="30.6640625" style="51" customWidth="1"/>
    <col min="11" max="11" width="24.21875" style="51" bestFit="1" customWidth="1"/>
    <col min="12" max="12" width="16.77734375" style="51" bestFit="1" customWidth="1"/>
    <col min="13" max="13" width="12.6640625" style="51" bestFit="1" customWidth="1"/>
    <col min="14" max="14" width="12.77734375" style="51" bestFit="1" customWidth="1"/>
  </cols>
  <sheetData>
    <row r="1" spans="1:18" x14ac:dyDescent="0.3">
      <c r="A1" s="132" t="s">
        <v>817</v>
      </c>
      <c r="B1" s="132" t="s">
        <v>819</v>
      </c>
      <c r="C1" s="132" t="s">
        <v>818</v>
      </c>
      <c r="D1" s="132" t="s">
        <v>820</v>
      </c>
      <c r="E1" s="132" t="s">
        <v>897</v>
      </c>
      <c r="F1" s="132" t="s">
        <v>898</v>
      </c>
      <c r="G1" s="132" t="s">
        <v>821</v>
      </c>
      <c r="H1" s="132" t="s">
        <v>822</v>
      </c>
      <c r="I1" s="132" t="s">
        <v>826</v>
      </c>
      <c r="J1" s="132" t="s">
        <v>50</v>
      </c>
      <c r="K1" s="132" t="s">
        <v>827</v>
      </c>
      <c r="L1" s="132" t="s">
        <v>828</v>
      </c>
      <c r="M1" s="132" t="s">
        <v>829</v>
      </c>
      <c r="N1" s="132" t="s">
        <v>830</v>
      </c>
      <c r="O1" s="132" t="s">
        <v>54</v>
      </c>
      <c r="P1" s="132" t="s">
        <v>55</v>
      </c>
      <c r="Q1" s="132" t="s">
        <v>56</v>
      </c>
      <c r="R1" s="132" t="s">
        <v>57</v>
      </c>
    </row>
    <row r="2" spans="1:18" ht="43.2" x14ac:dyDescent="0.3">
      <c r="A2" s="31">
        <v>1</v>
      </c>
      <c r="B2" s="100" t="s">
        <v>77</v>
      </c>
      <c r="C2" s="51">
        <v>29</v>
      </c>
      <c r="D2" s="51" t="s">
        <v>79</v>
      </c>
      <c r="E2" s="43">
        <v>46113</v>
      </c>
      <c r="F2" s="43">
        <v>46477</v>
      </c>
      <c r="G2" s="51" t="s">
        <v>82</v>
      </c>
      <c r="H2" s="101" t="s">
        <v>823</v>
      </c>
      <c r="I2" s="103">
        <v>4344000000</v>
      </c>
      <c r="J2" s="51" t="s">
        <v>83</v>
      </c>
      <c r="K2" s="51" t="s">
        <v>832</v>
      </c>
      <c r="L2" s="51" t="s">
        <v>833</v>
      </c>
      <c r="O2" s="51">
        <v>29</v>
      </c>
      <c r="P2" s="51">
        <v>0</v>
      </c>
      <c r="Q2" s="133">
        <v>0</v>
      </c>
      <c r="R2" s="51">
        <v>29</v>
      </c>
    </row>
    <row r="3" spans="1:18" ht="28.8" x14ac:dyDescent="0.3">
      <c r="A3" s="31">
        <v>2</v>
      </c>
      <c r="B3" s="100" t="s">
        <v>96</v>
      </c>
      <c r="C3" s="51">
        <v>397</v>
      </c>
      <c r="D3" s="51" t="s">
        <v>79</v>
      </c>
      <c r="E3" s="43">
        <v>46113</v>
      </c>
      <c r="F3" s="43">
        <v>46477</v>
      </c>
      <c r="G3" s="51" t="s">
        <v>82</v>
      </c>
      <c r="H3" s="51" t="s">
        <v>823</v>
      </c>
      <c r="I3" s="103"/>
      <c r="J3" s="51" t="s">
        <v>98</v>
      </c>
      <c r="K3" s="51" t="s">
        <v>832</v>
      </c>
      <c r="L3" s="51" t="s">
        <v>834</v>
      </c>
      <c r="O3" s="51">
        <v>397</v>
      </c>
      <c r="P3" s="51">
        <v>225</v>
      </c>
      <c r="Q3" s="133">
        <v>0.56675062972292189</v>
      </c>
      <c r="R3" s="51">
        <v>172</v>
      </c>
    </row>
    <row r="4" spans="1:18" ht="28.8" x14ac:dyDescent="0.3">
      <c r="A4" s="31">
        <v>3</v>
      </c>
      <c r="B4" s="100" t="s">
        <v>109</v>
      </c>
      <c r="C4" s="51">
        <v>1</v>
      </c>
      <c r="D4" s="51" t="s">
        <v>79</v>
      </c>
      <c r="E4" s="43">
        <v>46113</v>
      </c>
      <c r="F4" s="43">
        <v>46477</v>
      </c>
      <c r="G4" s="51" t="s">
        <v>82</v>
      </c>
      <c r="H4" s="51" t="s">
        <v>823</v>
      </c>
      <c r="I4" s="103">
        <v>30000000</v>
      </c>
      <c r="J4" s="51" t="s">
        <v>98</v>
      </c>
      <c r="K4" s="51" t="s">
        <v>832</v>
      </c>
      <c r="L4" s="51" t="s">
        <v>834</v>
      </c>
      <c r="O4" s="51">
        <v>1</v>
      </c>
      <c r="P4" s="51">
        <v>1</v>
      </c>
      <c r="Q4" s="133">
        <v>1</v>
      </c>
      <c r="R4" s="51">
        <v>0</v>
      </c>
    </row>
    <row r="5" spans="1:18" ht="28.8" x14ac:dyDescent="0.3">
      <c r="A5" s="31">
        <v>4</v>
      </c>
      <c r="B5" s="100" t="s">
        <v>117</v>
      </c>
      <c r="C5" s="51">
        <v>1</v>
      </c>
      <c r="D5" s="51" t="s">
        <v>79</v>
      </c>
      <c r="E5" s="43">
        <v>46113</v>
      </c>
      <c r="F5" s="43">
        <v>46477</v>
      </c>
      <c r="G5" s="51" t="s">
        <v>82</v>
      </c>
      <c r="H5" s="51" t="s">
        <v>823</v>
      </c>
      <c r="I5" s="103">
        <v>30000000</v>
      </c>
      <c r="J5" s="51" t="s">
        <v>98</v>
      </c>
      <c r="K5" s="51" t="s">
        <v>832</v>
      </c>
      <c r="L5" s="51" t="s">
        <v>834</v>
      </c>
      <c r="O5" s="51">
        <v>1</v>
      </c>
      <c r="P5" s="51">
        <v>1</v>
      </c>
      <c r="Q5" s="133">
        <v>1</v>
      </c>
      <c r="R5" s="51">
        <v>0</v>
      </c>
    </row>
    <row r="6" spans="1:18" ht="28.8" x14ac:dyDescent="0.3">
      <c r="A6" s="31">
        <v>5</v>
      </c>
      <c r="B6" s="100" t="s">
        <v>122</v>
      </c>
      <c r="C6" s="51">
        <v>1</v>
      </c>
      <c r="D6" s="51" t="s">
        <v>79</v>
      </c>
      <c r="E6" s="43">
        <v>46113</v>
      </c>
      <c r="F6" s="43">
        <v>46477</v>
      </c>
      <c r="G6" s="51" t="s">
        <v>82</v>
      </c>
      <c r="H6" s="51" t="s">
        <v>823</v>
      </c>
      <c r="I6" s="103">
        <v>30000000</v>
      </c>
      <c r="J6" s="51" t="s">
        <v>83</v>
      </c>
      <c r="K6" s="51" t="s">
        <v>832</v>
      </c>
      <c r="L6" s="51" t="s">
        <v>834</v>
      </c>
      <c r="O6" s="51">
        <v>1</v>
      </c>
      <c r="P6" s="51">
        <v>1</v>
      </c>
      <c r="Q6" s="133">
        <v>1</v>
      </c>
      <c r="R6" s="51">
        <v>0</v>
      </c>
    </row>
    <row r="7" spans="1:18" ht="28.8" x14ac:dyDescent="0.3">
      <c r="A7" s="31">
        <v>6</v>
      </c>
      <c r="B7" s="100" t="s">
        <v>125</v>
      </c>
      <c r="C7" s="51">
        <v>1</v>
      </c>
      <c r="D7" s="51" t="s">
        <v>126</v>
      </c>
      <c r="E7" s="43">
        <v>46113</v>
      </c>
      <c r="F7" s="43">
        <v>46477</v>
      </c>
      <c r="G7" s="51" t="s">
        <v>82</v>
      </c>
      <c r="H7" s="51" t="s">
        <v>823</v>
      </c>
      <c r="I7" s="103"/>
      <c r="J7" s="51" t="s">
        <v>127</v>
      </c>
      <c r="K7" s="51" t="s">
        <v>832</v>
      </c>
      <c r="L7" s="51" t="s">
        <v>834</v>
      </c>
      <c r="O7" s="51">
        <v>1</v>
      </c>
      <c r="P7" s="51">
        <v>1</v>
      </c>
      <c r="Q7" s="133">
        <v>1</v>
      </c>
      <c r="R7" s="51">
        <v>0</v>
      </c>
    </row>
    <row r="8" spans="1:18" x14ac:dyDescent="0.3">
      <c r="A8" s="31">
        <v>7</v>
      </c>
      <c r="B8" s="100" t="s">
        <v>130</v>
      </c>
      <c r="C8" s="51">
        <v>30</v>
      </c>
      <c r="D8" s="51" t="s">
        <v>79</v>
      </c>
      <c r="E8" s="43">
        <v>46113</v>
      </c>
      <c r="F8" s="43">
        <v>46477</v>
      </c>
      <c r="G8" s="51" t="s">
        <v>82</v>
      </c>
      <c r="H8" s="51" t="s">
        <v>823</v>
      </c>
      <c r="I8" s="103">
        <v>200000000</v>
      </c>
      <c r="J8" s="51" t="s">
        <v>127</v>
      </c>
      <c r="K8" s="51" t="s">
        <v>832</v>
      </c>
      <c r="L8" s="51" t="s">
        <v>834</v>
      </c>
      <c r="O8" s="51">
        <v>30</v>
      </c>
      <c r="P8" s="51">
        <v>0</v>
      </c>
      <c r="Q8" s="133">
        <v>0</v>
      </c>
      <c r="R8" s="51">
        <v>30</v>
      </c>
    </row>
    <row r="9" spans="1:18" x14ac:dyDescent="0.3">
      <c r="A9" s="31">
        <v>8</v>
      </c>
      <c r="B9" s="100" t="s">
        <v>131</v>
      </c>
      <c r="C9" s="51">
        <v>100</v>
      </c>
      <c r="D9" s="51" t="s">
        <v>126</v>
      </c>
      <c r="E9" s="43">
        <v>46113</v>
      </c>
      <c r="F9" s="43">
        <v>46477</v>
      </c>
      <c r="G9" s="51" t="s">
        <v>82</v>
      </c>
      <c r="H9" s="51" t="s">
        <v>823</v>
      </c>
      <c r="I9" s="103">
        <v>45000000</v>
      </c>
      <c r="J9" s="51" t="s">
        <v>127</v>
      </c>
      <c r="K9" s="51" t="s">
        <v>832</v>
      </c>
      <c r="L9" s="51" t="s">
        <v>834</v>
      </c>
      <c r="O9" s="51">
        <v>100</v>
      </c>
      <c r="P9" s="51">
        <v>0</v>
      </c>
      <c r="Q9" s="133">
        <v>0</v>
      </c>
      <c r="R9" s="51">
        <v>100</v>
      </c>
    </row>
    <row r="10" spans="1:18" x14ac:dyDescent="0.3">
      <c r="A10" s="31">
        <v>9</v>
      </c>
      <c r="B10" s="100" t="s">
        <v>134</v>
      </c>
      <c r="C10" s="51">
        <v>1</v>
      </c>
      <c r="D10" s="51" t="s">
        <v>79</v>
      </c>
      <c r="E10" s="43">
        <v>46113</v>
      </c>
      <c r="F10" s="43">
        <v>46477</v>
      </c>
      <c r="G10" s="51" t="s">
        <v>82</v>
      </c>
      <c r="H10" s="51" t="s">
        <v>823</v>
      </c>
      <c r="I10" s="103">
        <v>30000000</v>
      </c>
      <c r="J10" s="51" t="s">
        <v>127</v>
      </c>
      <c r="K10" s="51" t="s">
        <v>832</v>
      </c>
      <c r="L10" s="51" t="s">
        <v>834</v>
      </c>
      <c r="O10" s="51">
        <v>1</v>
      </c>
      <c r="P10" s="51">
        <v>1</v>
      </c>
      <c r="Q10" s="133">
        <v>1</v>
      </c>
      <c r="R10" s="51">
        <v>0</v>
      </c>
    </row>
    <row r="11" spans="1:18" x14ac:dyDescent="0.3">
      <c r="A11" s="31">
        <v>10</v>
      </c>
      <c r="B11" s="100" t="s">
        <v>135</v>
      </c>
      <c r="C11" s="51">
        <v>100</v>
      </c>
      <c r="D11" s="51" t="s">
        <v>126</v>
      </c>
      <c r="E11" s="43">
        <v>46054</v>
      </c>
      <c r="F11" s="43">
        <v>46477</v>
      </c>
      <c r="G11" s="51" t="s">
        <v>82</v>
      </c>
      <c r="H11" s="51" t="s">
        <v>823</v>
      </c>
      <c r="I11" s="103"/>
      <c r="J11" s="51" t="s">
        <v>83</v>
      </c>
      <c r="K11" s="51" t="s">
        <v>832</v>
      </c>
      <c r="L11" s="51" t="s">
        <v>834</v>
      </c>
      <c r="O11" s="51">
        <v>100</v>
      </c>
      <c r="P11" s="51">
        <v>55</v>
      </c>
      <c r="Q11" s="133">
        <v>0.55000000000000004</v>
      </c>
      <c r="R11" s="51">
        <v>45</v>
      </c>
    </row>
    <row r="12" spans="1:18" x14ac:dyDescent="0.3">
      <c r="A12" s="31">
        <v>11</v>
      </c>
      <c r="B12" s="100" t="s">
        <v>136</v>
      </c>
      <c r="C12" s="51">
        <v>100</v>
      </c>
      <c r="D12" s="51" t="s">
        <v>126</v>
      </c>
      <c r="E12" s="43">
        <v>46113</v>
      </c>
      <c r="F12" s="43">
        <v>46477</v>
      </c>
      <c r="G12" s="51" t="s">
        <v>82</v>
      </c>
      <c r="H12" s="51" t="s">
        <v>823</v>
      </c>
      <c r="I12" s="103">
        <v>260000000</v>
      </c>
      <c r="J12" s="51" t="s">
        <v>83</v>
      </c>
      <c r="K12" s="51" t="s">
        <v>832</v>
      </c>
      <c r="L12" s="51" t="s">
        <v>834</v>
      </c>
      <c r="O12" s="51">
        <v>100</v>
      </c>
      <c r="P12" s="51">
        <v>40</v>
      </c>
      <c r="Q12" s="133">
        <v>0.4</v>
      </c>
      <c r="R12" s="51">
        <v>60</v>
      </c>
    </row>
    <row r="13" spans="1:18" ht="43.2" x14ac:dyDescent="0.3">
      <c r="A13" s="31">
        <v>12</v>
      </c>
      <c r="B13" s="100" t="s">
        <v>138</v>
      </c>
      <c r="C13" s="51">
        <v>32</v>
      </c>
      <c r="D13" s="51" t="s">
        <v>79</v>
      </c>
      <c r="E13" s="43">
        <v>46113</v>
      </c>
      <c r="F13" s="43">
        <v>46477</v>
      </c>
      <c r="G13" s="51" t="s">
        <v>82</v>
      </c>
      <c r="H13" s="51" t="s">
        <v>823</v>
      </c>
      <c r="I13" s="103"/>
      <c r="J13" s="51" t="s">
        <v>83</v>
      </c>
      <c r="K13" s="51" t="s">
        <v>832</v>
      </c>
      <c r="L13" s="51" t="s">
        <v>834</v>
      </c>
      <c r="O13" s="51">
        <v>32</v>
      </c>
      <c r="P13" s="51">
        <v>14</v>
      </c>
      <c r="Q13" s="133">
        <v>0.4375</v>
      </c>
      <c r="R13" s="51">
        <v>18</v>
      </c>
    </row>
    <row r="14" spans="1:18" x14ac:dyDescent="0.3">
      <c r="A14" s="31">
        <v>13</v>
      </c>
      <c r="B14" s="100" t="s">
        <v>139</v>
      </c>
      <c r="C14" s="51">
        <v>100</v>
      </c>
      <c r="D14" s="51" t="s">
        <v>126</v>
      </c>
      <c r="E14" s="43">
        <v>46113</v>
      </c>
      <c r="F14" s="43">
        <v>46477</v>
      </c>
      <c r="G14" s="51" t="s">
        <v>82</v>
      </c>
      <c r="H14" s="51" t="s">
        <v>823</v>
      </c>
      <c r="I14" s="103"/>
      <c r="J14" s="51" t="s">
        <v>83</v>
      </c>
      <c r="K14" s="51" t="s">
        <v>832</v>
      </c>
      <c r="L14" s="51" t="s">
        <v>834</v>
      </c>
      <c r="O14" s="51">
        <v>100</v>
      </c>
      <c r="P14" s="51">
        <v>55</v>
      </c>
      <c r="Q14" s="133">
        <v>0.55000000000000004</v>
      </c>
      <c r="R14" s="51">
        <v>45</v>
      </c>
    </row>
    <row r="15" spans="1:18" ht="28.8" x14ac:dyDescent="0.3">
      <c r="A15" s="31">
        <v>14</v>
      </c>
      <c r="B15" s="100" t="s">
        <v>143</v>
      </c>
      <c r="C15" s="51">
        <v>30000</v>
      </c>
      <c r="D15" s="51" t="s">
        <v>79</v>
      </c>
      <c r="E15" s="43">
        <v>46054</v>
      </c>
      <c r="F15" s="43">
        <v>46477</v>
      </c>
      <c r="G15" s="51" t="s">
        <v>82</v>
      </c>
      <c r="H15" s="51" t="s">
        <v>823</v>
      </c>
      <c r="I15" s="103">
        <v>400000000</v>
      </c>
      <c r="J15" s="51" t="s">
        <v>83</v>
      </c>
      <c r="K15" s="51" t="s">
        <v>832</v>
      </c>
      <c r="L15" s="51" t="s">
        <v>834</v>
      </c>
      <c r="O15" s="51">
        <v>30000</v>
      </c>
      <c r="P15" s="51">
        <v>0</v>
      </c>
      <c r="Q15" s="133">
        <v>0</v>
      </c>
      <c r="R15" s="51">
        <v>30000</v>
      </c>
    </row>
    <row r="16" spans="1:18" x14ac:dyDescent="0.3">
      <c r="A16" s="31">
        <v>15</v>
      </c>
      <c r="B16" s="100" t="s">
        <v>147</v>
      </c>
      <c r="C16" s="51">
        <v>1</v>
      </c>
      <c r="D16" s="51" t="s">
        <v>79</v>
      </c>
      <c r="E16" s="43">
        <v>46113</v>
      </c>
      <c r="F16" s="43">
        <v>46477</v>
      </c>
      <c r="G16" s="51" t="s">
        <v>82</v>
      </c>
      <c r="H16" s="51" t="s">
        <v>823</v>
      </c>
      <c r="I16" s="103">
        <v>26000000</v>
      </c>
      <c r="J16" s="51" t="s">
        <v>83</v>
      </c>
      <c r="K16" s="51" t="s">
        <v>832</v>
      </c>
      <c r="L16" s="51" t="s">
        <v>834</v>
      </c>
      <c r="O16" s="51">
        <v>1</v>
      </c>
      <c r="P16" s="51">
        <v>0</v>
      </c>
      <c r="Q16" s="133">
        <v>0</v>
      </c>
      <c r="R16" s="51">
        <v>1</v>
      </c>
    </row>
    <row r="17" spans="1:18" x14ac:dyDescent="0.3">
      <c r="A17" s="31">
        <v>16</v>
      </c>
      <c r="B17" s="100" t="s">
        <v>149</v>
      </c>
      <c r="C17" s="51">
        <v>1</v>
      </c>
      <c r="D17" s="51" t="s">
        <v>79</v>
      </c>
      <c r="E17" s="43">
        <v>46054</v>
      </c>
      <c r="F17" s="43">
        <v>46477</v>
      </c>
      <c r="G17" s="51" t="s">
        <v>82</v>
      </c>
      <c r="H17" s="51" t="s">
        <v>823</v>
      </c>
      <c r="I17" s="103">
        <v>50000000</v>
      </c>
      <c r="J17" s="51" t="s">
        <v>127</v>
      </c>
      <c r="K17" s="51" t="s">
        <v>832</v>
      </c>
      <c r="L17" s="51" t="s">
        <v>834</v>
      </c>
      <c r="O17" s="51">
        <v>1</v>
      </c>
      <c r="P17" s="51">
        <v>0</v>
      </c>
      <c r="Q17" s="133">
        <v>0</v>
      </c>
      <c r="R17" s="51">
        <v>1</v>
      </c>
    </row>
    <row r="18" spans="1:18" x14ac:dyDescent="0.3">
      <c r="A18" s="31">
        <v>17</v>
      </c>
      <c r="B18" s="100" t="s">
        <v>152</v>
      </c>
      <c r="C18" s="51">
        <v>1</v>
      </c>
      <c r="D18" s="51" t="s">
        <v>79</v>
      </c>
      <c r="E18" s="43">
        <v>46054</v>
      </c>
      <c r="F18" s="43">
        <v>46477</v>
      </c>
      <c r="G18" s="51" t="s">
        <v>82</v>
      </c>
      <c r="H18" s="51" t="s">
        <v>823</v>
      </c>
      <c r="I18" s="103">
        <v>15000000</v>
      </c>
      <c r="J18" s="51" t="s">
        <v>127</v>
      </c>
      <c r="K18" s="51" t="s">
        <v>832</v>
      </c>
      <c r="L18" s="51" t="s">
        <v>834</v>
      </c>
      <c r="O18" s="51">
        <v>1</v>
      </c>
      <c r="P18" s="51">
        <v>1</v>
      </c>
      <c r="Q18" s="133">
        <v>1</v>
      </c>
      <c r="R18" s="51">
        <v>0</v>
      </c>
    </row>
    <row r="19" spans="1:18" ht="43.2" x14ac:dyDescent="0.3">
      <c r="A19" s="31">
        <v>18</v>
      </c>
      <c r="B19" s="100" t="s">
        <v>158</v>
      </c>
      <c r="C19" s="51">
        <v>100</v>
      </c>
      <c r="D19" s="51" t="s">
        <v>126</v>
      </c>
      <c r="E19" s="43">
        <v>46113</v>
      </c>
      <c r="F19" s="43">
        <v>46477</v>
      </c>
      <c r="G19" s="51" t="s">
        <v>82</v>
      </c>
      <c r="H19" s="51" t="s">
        <v>823</v>
      </c>
      <c r="I19" s="103">
        <v>1600000000</v>
      </c>
      <c r="J19" s="51" t="s">
        <v>159</v>
      </c>
      <c r="K19" s="51" t="s">
        <v>832</v>
      </c>
      <c r="L19" s="51" t="s">
        <v>834</v>
      </c>
      <c r="O19" s="51">
        <v>100</v>
      </c>
      <c r="P19" s="51">
        <v>5</v>
      </c>
      <c r="Q19" s="133">
        <v>0.05</v>
      </c>
      <c r="R19" s="51">
        <v>95</v>
      </c>
    </row>
    <row r="20" spans="1:18" ht="57.6" x14ac:dyDescent="0.3">
      <c r="A20" s="31">
        <v>19</v>
      </c>
      <c r="B20" s="100" t="s">
        <v>160</v>
      </c>
      <c r="C20" s="51">
        <v>100</v>
      </c>
      <c r="D20" s="51" t="s">
        <v>126</v>
      </c>
      <c r="E20" s="43">
        <v>46113</v>
      </c>
      <c r="F20" s="43">
        <v>46477</v>
      </c>
      <c r="G20" s="51" t="s">
        <v>82</v>
      </c>
      <c r="H20" s="51" t="s">
        <v>823</v>
      </c>
      <c r="I20" s="103">
        <v>700000000</v>
      </c>
      <c r="J20" s="51" t="s">
        <v>127</v>
      </c>
      <c r="K20" s="51" t="s">
        <v>832</v>
      </c>
      <c r="L20" s="51" t="s">
        <v>834</v>
      </c>
      <c r="O20" s="51">
        <v>100</v>
      </c>
      <c r="P20" s="51">
        <v>33.299999999999997</v>
      </c>
      <c r="Q20" s="133">
        <v>0.33299999999999996</v>
      </c>
      <c r="R20" s="51">
        <v>66.7</v>
      </c>
    </row>
    <row r="21" spans="1:18" x14ac:dyDescent="0.3">
      <c r="A21" s="31">
        <v>20</v>
      </c>
      <c r="B21" s="100" t="s">
        <v>162</v>
      </c>
      <c r="C21" s="51">
        <v>100</v>
      </c>
      <c r="D21" s="51" t="s">
        <v>126</v>
      </c>
      <c r="E21" s="43">
        <v>46113</v>
      </c>
      <c r="F21" s="43">
        <v>46477</v>
      </c>
      <c r="G21" s="51" t="s">
        <v>82</v>
      </c>
      <c r="H21" s="51" t="s">
        <v>823</v>
      </c>
      <c r="I21" s="103">
        <v>30000000</v>
      </c>
      <c r="J21" s="51" t="s">
        <v>127</v>
      </c>
      <c r="K21" s="51" t="s">
        <v>832</v>
      </c>
      <c r="L21" s="51" t="s">
        <v>834</v>
      </c>
      <c r="O21" s="51">
        <v>100</v>
      </c>
      <c r="P21" s="51">
        <v>0</v>
      </c>
      <c r="Q21" s="133">
        <v>0</v>
      </c>
      <c r="R21" s="51">
        <v>100</v>
      </c>
    </row>
    <row r="22" spans="1:18" ht="28.8" x14ac:dyDescent="0.3">
      <c r="A22" s="31">
        <v>21</v>
      </c>
      <c r="B22" s="100" t="s">
        <v>166</v>
      </c>
      <c r="C22" s="51">
        <v>100</v>
      </c>
      <c r="D22" s="51" t="s">
        <v>126</v>
      </c>
      <c r="E22" s="43">
        <v>46113</v>
      </c>
      <c r="F22" s="43">
        <v>46477</v>
      </c>
      <c r="G22" s="51" t="s">
        <v>82</v>
      </c>
      <c r="H22" s="51" t="s">
        <v>823</v>
      </c>
      <c r="I22" s="103">
        <v>182400000</v>
      </c>
      <c r="J22" s="51" t="s">
        <v>127</v>
      </c>
      <c r="K22" s="51" t="s">
        <v>832</v>
      </c>
      <c r="L22" s="51" t="s">
        <v>834</v>
      </c>
      <c r="O22" s="51">
        <v>100</v>
      </c>
      <c r="P22" s="51">
        <v>5</v>
      </c>
      <c r="Q22" s="133">
        <v>0.05</v>
      </c>
      <c r="R22" s="51">
        <v>95</v>
      </c>
    </row>
    <row r="23" spans="1:18" x14ac:dyDescent="0.3">
      <c r="A23" s="31">
        <v>22</v>
      </c>
      <c r="B23" s="100" t="s">
        <v>167</v>
      </c>
      <c r="C23" s="51">
        <v>100</v>
      </c>
      <c r="D23" s="51" t="s">
        <v>126</v>
      </c>
      <c r="E23" s="43">
        <v>46113</v>
      </c>
      <c r="F23" s="43">
        <v>46477</v>
      </c>
      <c r="G23" s="51" t="s">
        <v>82</v>
      </c>
      <c r="H23" s="51" t="s">
        <v>823</v>
      </c>
      <c r="I23" s="103"/>
      <c r="J23" s="51" t="s">
        <v>159</v>
      </c>
      <c r="K23" s="51" t="s">
        <v>832</v>
      </c>
      <c r="L23" s="51" t="s">
        <v>835</v>
      </c>
      <c r="O23" s="51">
        <v>100</v>
      </c>
      <c r="P23" s="51">
        <v>0</v>
      </c>
      <c r="Q23" s="133">
        <v>0</v>
      </c>
      <c r="R23" s="51">
        <v>100</v>
      </c>
    </row>
    <row r="24" spans="1:18" x14ac:dyDescent="0.3">
      <c r="A24" s="31">
        <v>23</v>
      </c>
      <c r="B24" s="100" t="s">
        <v>169</v>
      </c>
      <c r="C24" s="51">
        <v>100</v>
      </c>
      <c r="D24" s="51" t="s">
        <v>126</v>
      </c>
      <c r="E24" s="43">
        <v>46113</v>
      </c>
      <c r="F24" s="43">
        <v>46477</v>
      </c>
      <c r="G24" s="51" t="s">
        <v>82</v>
      </c>
      <c r="H24" s="51" t="s">
        <v>823</v>
      </c>
      <c r="I24" s="103">
        <v>140000000</v>
      </c>
      <c r="J24" s="51" t="s">
        <v>159</v>
      </c>
      <c r="K24" s="51" t="s">
        <v>832</v>
      </c>
      <c r="L24" s="51" t="s">
        <v>835</v>
      </c>
      <c r="O24" s="51">
        <v>100</v>
      </c>
      <c r="P24" s="51">
        <v>33.299999999999997</v>
      </c>
      <c r="Q24" s="133">
        <v>0.33299999999999996</v>
      </c>
      <c r="R24" s="51">
        <v>66.7</v>
      </c>
    </row>
    <row r="25" spans="1:18" ht="28.8" x14ac:dyDescent="0.3">
      <c r="A25" s="31">
        <v>24</v>
      </c>
      <c r="B25" s="100" t="s">
        <v>172</v>
      </c>
      <c r="C25" s="51">
        <v>29</v>
      </c>
      <c r="D25" s="51" t="s">
        <v>79</v>
      </c>
      <c r="E25" s="43">
        <v>46113</v>
      </c>
      <c r="F25" s="43">
        <v>46477</v>
      </c>
      <c r="G25" s="51" t="s">
        <v>82</v>
      </c>
      <c r="H25" s="51" t="s">
        <v>823</v>
      </c>
      <c r="I25" s="103">
        <v>60000000</v>
      </c>
      <c r="J25" s="51" t="s">
        <v>127</v>
      </c>
      <c r="K25" s="51" t="s">
        <v>832</v>
      </c>
      <c r="L25" s="51" t="s">
        <v>835</v>
      </c>
      <c r="O25" s="51">
        <v>29</v>
      </c>
      <c r="P25" s="51">
        <v>0</v>
      </c>
      <c r="Q25" s="133">
        <v>0</v>
      </c>
      <c r="R25" s="51">
        <v>29</v>
      </c>
    </row>
    <row r="26" spans="1:18" ht="28.8" x14ac:dyDescent="0.3">
      <c r="A26" s="31">
        <v>25</v>
      </c>
      <c r="B26" s="100" t="s">
        <v>174</v>
      </c>
      <c r="C26" s="51">
        <v>29</v>
      </c>
      <c r="D26" s="51" t="s">
        <v>79</v>
      </c>
      <c r="E26" s="43">
        <v>46113</v>
      </c>
      <c r="F26" s="43">
        <v>46477</v>
      </c>
      <c r="G26" s="51" t="s">
        <v>82</v>
      </c>
      <c r="H26" s="51" t="s">
        <v>823</v>
      </c>
      <c r="I26" s="103">
        <v>100000000</v>
      </c>
      <c r="J26" s="51" t="s">
        <v>175</v>
      </c>
      <c r="K26" s="51" t="s">
        <v>832</v>
      </c>
      <c r="L26" s="51" t="s">
        <v>835</v>
      </c>
      <c r="O26" s="51">
        <v>29</v>
      </c>
      <c r="P26" s="51">
        <v>0</v>
      </c>
      <c r="Q26" s="133">
        <v>0</v>
      </c>
      <c r="R26" s="51">
        <v>29</v>
      </c>
    </row>
    <row r="27" spans="1:18" ht="28.8" x14ac:dyDescent="0.3">
      <c r="A27" s="31">
        <v>26</v>
      </c>
      <c r="B27" s="100" t="s">
        <v>176</v>
      </c>
      <c r="C27" s="51">
        <v>29</v>
      </c>
      <c r="D27" s="51" t="s">
        <v>79</v>
      </c>
      <c r="E27" s="43">
        <v>46054</v>
      </c>
      <c r="F27" s="43">
        <v>46477</v>
      </c>
      <c r="G27" s="51" t="s">
        <v>82</v>
      </c>
      <c r="H27" s="51" t="s">
        <v>823</v>
      </c>
      <c r="I27" s="103">
        <v>80000000</v>
      </c>
      <c r="J27" s="51" t="s">
        <v>159</v>
      </c>
      <c r="K27" s="51" t="s">
        <v>832</v>
      </c>
      <c r="L27" s="51" t="s">
        <v>835</v>
      </c>
      <c r="O27" s="51">
        <v>29</v>
      </c>
      <c r="P27" s="51">
        <v>0</v>
      </c>
      <c r="Q27" s="133">
        <v>0</v>
      </c>
      <c r="R27" s="51">
        <v>29</v>
      </c>
    </row>
    <row r="28" spans="1:18" x14ac:dyDescent="0.3">
      <c r="A28" s="31">
        <v>27</v>
      </c>
      <c r="B28" s="100" t="s">
        <v>177</v>
      </c>
      <c r="C28" s="51">
        <v>50</v>
      </c>
      <c r="D28" s="51" t="s">
        <v>126</v>
      </c>
      <c r="E28" s="43">
        <v>46113</v>
      </c>
      <c r="F28" s="43">
        <v>46477</v>
      </c>
      <c r="G28" s="51" t="s">
        <v>82</v>
      </c>
      <c r="H28" s="51" t="s">
        <v>823</v>
      </c>
      <c r="I28" s="103"/>
      <c r="J28" s="51" t="s">
        <v>159</v>
      </c>
      <c r="K28" s="51" t="s">
        <v>832</v>
      </c>
      <c r="L28" s="51" t="s">
        <v>835</v>
      </c>
      <c r="O28" s="51">
        <v>50</v>
      </c>
      <c r="P28" s="51">
        <v>25</v>
      </c>
      <c r="Q28" s="133">
        <v>0.5</v>
      </c>
      <c r="R28" s="51">
        <v>25</v>
      </c>
    </row>
    <row r="29" spans="1:18" ht="28.8" x14ac:dyDescent="0.3">
      <c r="A29" s="31">
        <v>28</v>
      </c>
      <c r="B29" s="100" t="s">
        <v>179</v>
      </c>
      <c r="C29" s="51">
        <v>100</v>
      </c>
      <c r="D29" s="51" t="s">
        <v>126</v>
      </c>
      <c r="E29" s="43">
        <v>46113</v>
      </c>
      <c r="F29" s="43">
        <v>46477</v>
      </c>
      <c r="G29" s="51" t="s">
        <v>82</v>
      </c>
      <c r="H29" s="51" t="s">
        <v>823</v>
      </c>
      <c r="I29" s="103"/>
      <c r="J29" s="51" t="s">
        <v>159</v>
      </c>
      <c r="K29" s="51" t="s">
        <v>832</v>
      </c>
      <c r="L29" s="51" t="s">
        <v>835</v>
      </c>
      <c r="O29" s="51">
        <v>100</v>
      </c>
      <c r="P29" s="51">
        <v>50</v>
      </c>
      <c r="Q29" s="133">
        <v>0.5</v>
      </c>
      <c r="R29" s="51">
        <v>50</v>
      </c>
    </row>
    <row r="30" spans="1:18" ht="28.8" x14ac:dyDescent="0.3">
      <c r="A30" s="31">
        <v>29</v>
      </c>
      <c r="B30" s="100" t="s">
        <v>181</v>
      </c>
      <c r="C30" s="51">
        <v>1</v>
      </c>
      <c r="D30" s="51" t="s">
        <v>79</v>
      </c>
      <c r="E30" s="43">
        <v>46113</v>
      </c>
      <c r="F30" s="43">
        <v>46477</v>
      </c>
      <c r="G30" s="51" t="s">
        <v>82</v>
      </c>
      <c r="H30" s="51" t="s">
        <v>823</v>
      </c>
      <c r="I30" s="103">
        <v>40000000</v>
      </c>
      <c r="J30" s="51" t="s">
        <v>159</v>
      </c>
      <c r="K30" s="51" t="s">
        <v>832</v>
      </c>
      <c r="L30" s="51" t="s">
        <v>835</v>
      </c>
      <c r="O30" s="51">
        <v>1</v>
      </c>
      <c r="P30" s="51">
        <v>0</v>
      </c>
      <c r="Q30" s="133">
        <v>0</v>
      </c>
      <c r="R30" s="51">
        <v>1</v>
      </c>
    </row>
    <row r="31" spans="1:18" ht="28.8" x14ac:dyDescent="0.3">
      <c r="A31" s="31">
        <v>30</v>
      </c>
      <c r="B31" s="100" t="s">
        <v>182</v>
      </c>
      <c r="C31" s="51">
        <v>1</v>
      </c>
      <c r="D31" s="51" t="s">
        <v>79</v>
      </c>
      <c r="E31" s="43">
        <v>46113</v>
      </c>
      <c r="F31" s="43">
        <v>46477</v>
      </c>
      <c r="G31" s="51" t="s">
        <v>82</v>
      </c>
      <c r="H31" s="51" t="s">
        <v>823</v>
      </c>
      <c r="I31" s="103">
        <v>40000000</v>
      </c>
      <c r="J31" s="51" t="s">
        <v>159</v>
      </c>
      <c r="K31" s="51" t="s">
        <v>832</v>
      </c>
      <c r="L31" s="51" t="s">
        <v>835</v>
      </c>
      <c r="O31" s="51">
        <v>1</v>
      </c>
      <c r="P31" s="51">
        <v>1</v>
      </c>
      <c r="Q31" s="133">
        <v>1</v>
      </c>
      <c r="R31" s="51">
        <v>0</v>
      </c>
    </row>
    <row r="32" spans="1:18" ht="43.2" x14ac:dyDescent="0.3">
      <c r="A32" s="31">
        <v>31</v>
      </c>
      <c r="B32" s="100" t="s">
        <v>188</v>
      </c>
      <c r="C32" s="51">
        <v>29</v>
      </c>
      <c r="D32" s="51" t="s">
        <v>79</v>
      </c>
      <c r="E32" s="43">
        <v>46054</v>
      </c>
      <c r="F32" s="43">
        <v>46477</v>
      </c>
      <c r="G32" s="51" t="s">
        <v>82</v>
      </c>
      <c r="H32" s="51" t="s">
        <v>823</v>
      </c>
      <c r="I32" s="103">
        <v>200000000</v>
      </c>
      <c r="J32" s="51" t="s">
        <v>127</v>
      </c>
      <c r="K32" s="51" t="s">
        <v>832</v>
      </c>
      <c r="L32" s="51" t="s">
        <v>836</v>
      </c>
      <c r="O32" s="51">
        <v>29</v>
      </c>
      <c r="P32" s="51">
        <v>0</v>
      </c>
      <c r="Q32" s="133">
        <v>0</v>
      </c>
      <c r="R32" s="51">
        <v>29</v>
      </c>
    </row>
    <row r="33" spans="1:18" ht="43.2" x14ac:dyDescent="0.3">
      <c r="A33" s="31">
        <v>32</v>
      </c>
      <c r="B33" s="100" t="s">
        <v>191</v>
      </c>
      <c r="C33" s="51">
        <v>29</v>
      </c>
      <c r="D33" s="51" t="s">
        <v>79</v>
      </c>
      <c r="E33" s="43">
        <v>46054</v>
      </c>
      <c r="F33" s="43">
        <v>46477</v>
      </c>
      <c r="G33" s="51" t="s">
        <v>82</v>
      </c>
      <c r="H33" s="51" t="s">
        <v>823</v>
      </c>
      <c r="I33" s="103">
        <v>100000000</v>
      </c>
      <c r="J33" s="51" t="s">
        <v>127</v>
      </c>
      <c r="K33" s="51" t="s">
        <v>832</v>
      </c>
      <c r="L33" s="51" t="s">
        <v>836</v>
      </c>
      <c r="O33" s="51">
        <v>29</v>
      </c>
      <c r="P33" s="51">
        <v>0</v>
      </c>
      <c r="Q33" s="133">
        <v>0</v>
      </c>
      <c r="R33" s="51">
        <v>29</v>
      </c>
    </row>
    <row r="34" spans="1:18" ht="57.6" x14ac:dyDescent="0.3">
      <c r="A34" s="31">
        <v>33</v>
      </c>
      <c r="B34" s="100" t="s">
        <v>193</v>
      </c>
      <c r="C34" s="51">
        <v>29</v>
      </c>
      <c r="D34" s="51" t="s">
        <v>79</v>
      </c>
      <c r="E34" s="43">
        <v>46113</v>
      </c>
      <c r="F34" s="43">
        <v>46477</v>
      </c>
      <c r="G34" s="51" t="s">
        <v>82</v>
      </c>
      <c r="H34" s="51" t="s">
        <v>823</v>
      </c>
      <c r="I34" s="103">
        <v>120000000</v>
      </c>
      <c r="J34" s="51" t="s">
        <v>127</v>
      </c>
      <c r="K34" s="51" t="s">
        <v>832</v>
      </c>
      <c r="L34" s="51" t="s">
        <v>836</v>
      </c>
      <c r="O34" s="51">
        <v>29</v>
      </c>
      <c r="P34" s="51">
        <v>0</v>
      </c>
      <c r="Q34" s="133">
        <v>0</v>
      </c>
      <c r="R34" s="51">
        <v>29</v>
      </c>
    </row>
    <row r="35" spans="1:18" ht="28.8" x14ac:dyDescent="0.3">
      <c r="A35" s="31">
        <v>34</v>
      </c>
      <c r="B35" s="100" t="s">
        <v>196</v>
      </c>
      <c r="C35" s="51">
        <v>3</v>
      </c>
      <c r="D35" s="51" t="s">
        <v>79</v>
      </c>
      <c r="E35" s="43">
        <v>46113</v>
      </c>
      <c r="F35" s="43">
        <v>46477</v>
      </c>
      <c r="G35" s="51" t="s">
        <v>82</v>
      </c>
      <c r="H35" s="51" t="s">
        <v>823</v>
      </c>
      <c r="I35" s="103">
        <v>12000000</v>
      </c>
      <c r="J35" s="51" t="s">
        <v>127</v>
      </c>
      <c r="K35" s="51" t="s">
        <v>832</v>
      </c>
      <c r="L35" s="51" t="s">
        <v>836</v>
      </c>
      <c r="O35" s="51">
        <v>3</v>
      </c>
      <c r="P35" s="51">
        <v>0</v>
      </c>
      <c r="Q35" s="133">
        <v>0</v>
      </c>
      <c r="R35" s="51">
        <v>3</v>
      </c>
    </row>
    <row r="36" spans="1:18" ht="43.2" x14ac:dyDescent="0.3">
      <c r="A36" s="31">
        <v>35</v>
      </c>
      <c r="B36" s="100" t="s">
        <v>200</v>
      </c>
      <c r="C36" s="51">
        <v>29</v>
      </c>
      <c r="D36" s="51" t="s">
        <v>79</v>
      </c>
      <c r="E36" s="43">
        <v>46113</v>
      </c>
      <c r="F36" s="43">
        <v>46477</v>
      </c>
      <c r="G36" s="51" t="s">
        <v>82</v>
      </c>
      <c r="H36" s="51" t="s">
        <v>823</v>
      </c>
      <c r="I36" s="103"/>
      <c r="J36" s="51" t="s">
        <v>201</v>
      </c>
      <c r="K36" s="51" t="s">
        <v>832</v>
      </c>
      <c r="L36" s="51" t="s">
        <v>836</v>
      </c>
      <c r="O36" s="51">
        <v>29</v>
      </c>
      <c r="P36" s="51">
        <v>7</v>
      </c>
      <c r="Q36" s="133">
        <v>0.2413793103448276</v>
      </c>
      <c r="R36" s="51">
        <v>22</v>
      </c>
    </row>
    <row r="37" spans="1:18" ht="28.8" x14ac:dyDescent="0.3">
      <c r="A37" s="31">
        <v>36</v>
      </c>
      <c r="B37" s="100" t="s">
        <v>204</v>
      </c>
      <c r="C37" s="51">
        <v>4</v>
      </c>
      <c r="D37" s="101" t="s">
        <v>79</v>
      </c>
      <c r="E37" s="43">
        <v>46113</v>
      </c>
      <c r="F37" s="43">
        <v>46477</v>
      </c>
      <c r="G37" s="51" t="s">
        <v>82</v>
      </c>
      <c r="H37" s="51" t="s">
        <v>823</v>
      </c>
      <c r="I37" s="103">
        <v>16000000</v>
      </c>
      <c r="J37" s="51" t="s">
        <v>159</v>
      </c>
      <c r="K37" s="51" t="s">
        <v>832</v>
      </c>
      <c r="L37" s="51" t="s">
        <v>836</v>
      </c>
      <c r="O37" s="51">
        <v>4</v>
      </c>
      <c r="P37" s="51">
        <v>2</v>
      </c>
      <c r="Q37" s="133">
        <v>0.5</v>
      </c>
      <c r="R37" s="51">
        <v>2</v>
      </c>
    </row>
    <row r="38" spans="1:18" ht="43.2" x14ac:dyDescent="0.3">
      <c r="A38" s="31">
        <v>37</v>
      </c>
      <c r="B38" s="100" t="s">
        <v>205</v>
      </c>
      <c r="C38" s="51">
        <v>4</v>
      </c>
      <c r="D38" s="51" t="s">
        <v>79</v>
      </c>
      <c r="E38" s="43">
        <v>46113</v>
      </c>
      <c r="F38" s="43">
        <v>46477</v>
      </c>
      <c r="G38" s="51" t="s">
        <v>82</v>
      </c>
      <c r="H38" s="51" t="s">
        <v>823</v>
      </c>
      <c r="I38" s="103">
        <v>50000000</v>
      </c>
      <c r="J38" s="51" t="s">
        <v>159</v>
      </c>
      <c r="K38" s="51" t="s">
        <v>832</v>
      </c>
      <c r="L38" s="51" t="s">
        <v>836</v>
      </c>
      <c r="O38" s="51">
        <v>4</v>
      </c>
      <c r="P38" s="51">
        <v>0</v>
      </c>
      <c r="Q38" s="133">
        <v>0</v>
      </c>
      <c r="R38" s="51">
        <v>4</v>
      </c>
    </row>
    <row r="39" spans="1:18" ht="28.8" x14ac:dyDescent="0.3">
      <c r="A39" s="31">
        <v>38</v>
      </c>
      <c r="B39" s="100" t="s">
        <v>206</v>
      </c>
      <c r="C39" s="51">
        <v>1</v>
      </c>
      <c r="D39" s="51" t="s">
        <v>79</v>
      </c>
      <c r="E39" s="43">
        <v>46113</v>
      </c>
      <c r="F39" s="43">
        <v>46477</v>
      </c>
      <c r="G39" s="51" t="s">
        <v>82</v>
      </c>
      <c r="H39" s="51" t="s">
        <v>823</v>
      </c>
      <c r="I39" s="103">
        <v>30000000</v>
      </c>
      <c r="J39" s="51" t="s">
        <v>127</v>
      </c>
      <c r="K39" s="51" t="s">
        <v>832</v>
      </c>
      <c r="L39" s="51" t="s">
        <v>836</v>
      </c>
      <c r="O39" s="51">
        <v>1</v>
      </c>
      <c r="P39" s="51">
        <v>0</v>
      </c>
      <c r="Q39" s="133">
        <v>0</v>
      </c>
      <c r="R39" s="51">
        <v>1</v>
      </c>
    </row>
    <row r="40" spans="1:18" ht="57.6" x14ac:dyDescent="0.3">
      <c r="A40" s="31">
        <v>39</v>
      </c>
      <c r="B40" s="100" t="s">
        <v>213</v>
      </c>
      <c r="C40" s="51">
        <v>35</v>
      </c>
      <c r="D40" s="51" t="s">
        <v>79</v>
      </c>
      <c r="E40" s="43">
        <v>46054</v>
      </c>
      <c r="F40" s="43">
        <v>46477</v>
      </c>
      <c r="G40" s="51" t="s">
        <v>82</v>
      </c>
      <c r="H40" s="51" t="s">
        <v>823</v>
      </c>
      <c r="I40" s="103">
        <v>419200000</v>
      </c>
      <c r="J40" s="51" t="s">
        <v>214</v>
      </c>
      <c r="K40" s="51" t="s">
        <v>832</v>
      </c>
      <c r="L40" s="51" t="s">
        <v>837</v>
      </c>
      <c r="O40" s="51">
        <v>35</v>
      </c>
      <c r="P40" s="51">
        <v>10</v>
      </c>
      <c r="Q40" s="133">
        <v>0.2857142857142857</v>
      </c>
      <c r="R40" s="51">
        <v>25</v>
      </c>
    </row>
    <row r="41" spans="1:18" ht="43.2" x14ac:dyDescent="0.3">
      <c r="A41" s="31">
        <v>40</v>
      </c>
      <c r="B41" s="100" t="s">
        <v>216</v>
      </c>
      <c r="C41" s="51">
        <v>102</v>
      </c>
      <c r="D41" s="51" t="s">
        <v>79</v>
      </c>
      <c r="E41" s="43">
        <v>46113</v>
      </c>
      <c r="F41" s="43">
        <v>46477</v>
      </c>
      <c r="G41" s="51" t="s">
        <v>82</v>
      </c>
      <c r="H41" s="51" t="s">
        <v>823</v>
      </c>
      <c r="I41" s="103">
        <v>171000000</v>
      </c>
      <c r="J41" s="51" t="s">
        <v>214</v>
      </c>
      <c r="K41" s="51" t="s">
        <v>832</v>
      </c>
      <c r="L41" s="51" t="s">
        <v>837</v>
      </c>
      <c r="O41" s="51">
        <v>102</v>
      </c>
      <c r="P41" s="51">
        <v>24</v>
      </c>
      <c r="Q41" s="133">
        <v>0.23529411764705882</v>
      </c>
      <c r="R41" s="51">
        <v>78</v>
      </c>
    </row>
    <row r="42" spans="1:18" ht="57.6" x14ac:dyDescent="0.3">
      <c r="A42" s="31">
        <v>41</v>
      </c>
      <c r="B42" s="100" t="s">
        <v>217</v>
      </c>
      <c r="C42" s="51">
        <v>102</v>
      </c>
      <c r="D42" s="51" t="s">
        <v>79</v>
      </c>
      <c r="E42" s="43">
        <v>46113</v>
      </c>
      <c r="F42" s="43">
        <v>46477</v>
      </c>
      <c r="G42" s="51" t="s">
        <v>82</v>
      </c>
      <c r="H42" s="51" t="s">
        <v>823</v>
      </c>
      <c r="I42" s="103">
        <v>119000000</v>
      </c>
      <c r="J42" s="51" t="s">
        <v>127</v>
      </c>
      <c r="K42" s="51" t="s">
        <v>832</v>
      </c>
      <c r="L42" s="51" t="s">
        <v>837</v>
      </c>
      <c r="O42" s="51">
        <v>102</v>
      </c>
      <c r="P42" s="51">
        <v>29</v>
      </c>
      <c r="Q42" s="133">
        <v>0.28431372549019607</v>
      </c>
      <c r="R42" s="51">
        <v>73</v>
      </c>
    </row>
    <row r="43" spans="1:18" ht="57.6" x14ac:dyDescent="0.3">
      <c r="A43" s="31">
        <v>42</v>
      </c>
      <c r="B43" s="100" t="s">
        <v>224</v>
      </c>
      <c r="C43" s="51">
        <v>1</v>
      </c>
      <c r="D43" s="51" t="s">
        <v>79</v>
      </c>
      <c r="E43" s="43">
        <v>46054</v>
      </c>
      <c r="F43" s="43">
        <v>46477</v>
      </c>
      <c r="G43" s="51" t="s">
        <v>82</v>
      </c>
      <c r="H43" s="51" t="s">
        <v>823</v>
      </c>
      <c r="I43" s="103">
        <v>120000000</v>
      </c>
      <c r="J43" s="51" t="s">
        <v>214</v>
      </c>
      <c r="K43" s="51" t="s">
        <v>832</v>
      </c>
      <c r="L43" s="51" t="s">
        <v>837</v>
      </c>
      <c r="O43" s="51">
        <v>1</v>
      </c>
      <c r="P43" s="51">
        <v>0</v>
      </c>
      <c r="Q43" s="133">
        <v>0</v>
      </c>
      <c r="R43" s="51">
        <v>1</v>
      </c>
    </row>
    <row r="44" spans="1:18" ht="187.2" x14ac:dyDescent="0.3">
      <c r="A44" s="31">
        <v>43</v>
      </c>
      <c r="B44" s="100" t="s">
        <v>229</v>
      </c>
      <c r="C44" s="51">
        <v>4</v>
      </c>
      <c r="D44" s="51" t="s">
        <v>79</v>
      </c>
      <c r="E44" s="43">
        <v>46113</v>
      </c>
      <c r="F44" s="43">
        <v>46477</v>
      </c>
      <c r="G44" s="51" t="s">
        <v>82</v>
      </c>
      <c r="H44" s="51" t="s">
        <v>823</v>
      </c>
      <c r="I44" s="103">
        <v>120000000</v>
      </c>
      <c r="J44" s="104" t="s">
        <v>230</v>
      </c>
      <c r="K44" s="51" t="s">
        <v>832</v>
      </c>
      <c r="L44" s="51" t="s">
        <v>837</v>
      </c>
      <c r="O44" s="51">
        <v>4</v>
      </c>
      <c r="P44" s="51">
        <v>0</v>
      </c>
      <c r="Q44" s="133">
        <v>0</v>
      </c>
      <c r="R44" s="51">
        <v>4</v>
      </c>
    </row>
    <row r="45" spans="1:18" ht="187.2" x14ac:dyDescent="0.3">
      <c r="A45" s="31">
        <v>44</v>
      </c>
      <c r="B45" s="100" t="s">
        <v>231</v>
      </c>
      <c r="C45" s="51">
        <v>4</v>
      </c>
      <c r="D45" s="51" t="s">
        <v>79</v>
      </c>
      <c r="E45" s="43">
        <v>46113</v>
      </c>
      <c r="F45" s="43">
        <v>46477</v>
      </c>
      <c r="G45" s="51" t="s">
        <v>82</v>
      </c>
      <c r="H45" s="51" t="s">
        <v>823</v>
      </c>
      <c r="I45" s="103">
        <v>120000000</v>
      </c>
      <c r="J45" s="104" t="s">
        <v>230</v>
      </c>
      <c r="K45" s="51" t="s">
        <v>832</v>
      </c>
      <c r="L45" s="51" t="s">
        <v>837</v>
      </c>
      <c r="O45" s="51">
        <v>4</v>
      </c>
      <c r="P45" s="51">
        <v>0</v>
      </c>
      <c r="Q45" s="133">
        <v>0</v>
      </c>
      <c r="R45" s="51">
        <v>4</v>
      </c>
    </row>
    <row r="46" spans="1:18" ht="187.2" x14ac:dyDescent="0.3">
      <c r="A46" s="31">
        <v>45</v>
      </c>
      <c r="B46" s="100" t="s">
        <v>232</v>
      </c>
      <c r="C46" s="51">
        <v>2</v>
      </c>
      <c r="D46" s="51" t="s">
        <v>79</v>
      </c>
      <c r="E46" s="43">
        <v>46113</v>
      </c>
      <c r="F46" s="43">
        <v>46477</v>
      </c>
      <c r="G46" s="51" t="s">
        <v>82</v>
      </c>
      <c r="H46" s="51" t="s">
        <v>823</v>
      </c>
      <c r="I46" s="103">
        <v>60000000</v>
      </c>
      <c r="J46" s="104" t="s">
        <v>230</v>
      </c>
      <c r="K46" s="51" t="s">
        <v>832</v>
      </c>
      <c r="L46" s="51" t="s">
        <v>837</v>
      </c>
      <c r="O46" s="51">
        <v>2</v>
      </c>
      <c r="P46" s="51">
        <v>0</v>
      </c>
      <c r="Q46" s="133">
        <v>0</v>
      </c>
      <c r="R46" s="51">
        <v>2</v>
      </c>
    </row>
    <row r="47" spans="1:18" x14ac:dyDescent="0.3">
      <c r="A47" s="31">
        <v>46</v>
      </c>
      <c r="B47" s="100" t="s">
        <v>235</v>
      </c>
      <c r="C47" s="51">
        <v>1</v>
      </c>
      <c r="D47" s="51" t="s">
        <v>79</v>
      </c>
      <c r="E47" s="43">
        <v>46113</v>
      </c>
      <c r="F47" s="43">
        <v>46477</v>
      </c>
      <c r="G47" s="51" t="s">
        <v>82</v>
      </c>
      <c r="H47" s="51" t="s">
        <v>823</v>
      </c>
      <c r="I47" s="103">
        <v>50000000</v>
      </c>
      <c r="J47" s="51" t="s">
        <v>127</v>
      </c>
      <c r="K47" s="51" t="s">
        <v>832</v>
      </c>
      <c r="L47" s="51" t="s">
        <v>837</v>
      </c>
      <c r="O47" s="51">
        <v>1</v>
      </c>
      <c r="P47" s="51">
        <v>0</v>
      </c>
      <c r="Q47" s="133">
        <v>0</v>
      </c>
      <c r="R47" s="51">
        <v>1</v>
      </c>
    </row>
    <row r="48" spans="1:18" ht="28.8" x14ac:dyDescent="0.3">
      <c r="A48" s="31">
        <v>47</v>
      </c>
      <c r="B48" s="100" t="s">
        <v>237</v>
      </c>
      <c r="C48" s="51">
        <v>9</v>
      </c>
      <c r="D48" s="51" t="s">
        <v>79</v>
      </c>
      <c r="E48" s="43">
        <v>46113</v>
      </c>
      <c r="F48" s="43">
        <v>46477</v>
      </c>
      <c r="G48" s="51" t="s">
        <v>82</v>
      </c>
      <c r="H48" s="51" t="s">
        <v>823</v>
      </c>
      <c r="I48" s="103">
        <v>32000000</v>
      </c>
      <c r="J48" s="51" t="s">
        <v>127</v>
      </c>
      <c r="K48" s="51" t="s">
        <v>832</v>
      </c>
      <c r="L48" s="51" t="s">
        <v>837</v>
      </c>
      <c r="O48" s="51">
        <v>9</v>
      </c>
      <c r="P48" s="51">
        <v>2</v>
      </c>
      <c r="Q48" s="133">
        <v>0.22222222222222221</v>
      </c>
      <c r="R48" s="51">
        <v>7</v>
      </c>
    </row>
    <row r="49" spans="1:18" ht="28.8" x14ac:dyDescent="0.3">
      <c r="A49" s="31">
        <v>48</v>
      </c>
      <c r="B49" s="100" t="s">
        <v>245</v>
      </c>
      <c r="C49" s="51">
        <v>29</v>
      </c>
      <c r="D49" s="51" t="s">
        <v>79</v>
      </c>
      <c r="E49" s="43">
        <v>46113</v>
      </c>
      <c r="F49" s="43">
        <v>46477</v>
      </c>
      <c r="G49" s="51" t="s">
        <v>82</v>
      </c>
      <c r="H49" s="51" t="s">
        <v>823</v>
      </c>
      <c r="I49" s="103">
        <v>150000000</v>
      </c>
      <c r="J49" s="51" t="s">
        <v>127</v>
      </c>
      <c r="K49" s="51" t="s">
        <v>832</v>
      </c>
      <c r="L49" s="51" t="s">
        <v>838</v>
      </c>
      <c r="O49" s="51">
        <v>29</v>
      </c>
      <c r="P49" s="51">
        <v>0</v>
      </c>
      <c r="Q49" s="133">
        <v>0</v>
      </c>
      <c r="R49" s="51">
        <v>29</v>
      </c>
    </row>
    <row r="50" spans="1:18" ht="43.2" x14ac:dyDescent="0.3">
      <c r="A50" s="31">
        <v>49</v>
      </c>
      <c r="B50" s="100" t="s">
        <v>251</v>
      </c>
      <c r="C50" s="51">
        <v>4</v>
      </c>
      <c r="D50" s="51" t="s">
        <v>79</v>
      </c>
      <c r="E50" s="43">
        <v>46113</v>
      </c>
      <c r="F50" s="43">
        <v>46477</v>
      </c>
      <c r="G50" s="51" t="s">
        <v>82</v>
      </c>
      <c r="H50" s="51" t="s">
        <v>823</v>
      </c>
      <c r="I50" s="103">
        <v>80274232</v>
      </c>
      <c r="J50" s="51" t="s">
        <v>127</v>
      </c>
      <c r="K50" s="51" t="s">
        <v>832</v>
      </c>
      <c r="L50" s="51" t="s">
        <v>838</v>
      </c>
      <c r="O50" s="51">
        <v>4</v>
      </c>
      <c r="P50" s="51">
        <v>0</v>
      </c>
      <c r="Q50" s="133">
        <v>0</v>
      </c>
      <c r="R50" s="51">
        <v>4</v>
      </c>
    </row>
    <row r="51" spans="1:18" ht="43.2" x14ac:dyDescent="0.3">
      <c r="A51" s="31">
        <v>50</v>
      </c>
      <c r="B51" s="100" t="s">
        <v>257</v>
      </c>
      <c r="C51" s="51">
        <v>200</v>
      </c>
      <c r="D51" s="51" t="s">
        <v>79</v>
      </c>
      <c r="E51" s="43">
        <v>46113</v>
      </c>
      <c r="F51" s="43">
        <v>46477</v>
      </c>
      <c r="G51" s="51" t="s">
        <v>82</v>
      </c>
      <c r="H51" s="51" t="s">
        <v>823</v>
      </c>
      <c r="I51" s="103">
        <v>310000000</v>
      </c>
      <c r="J51" s="51" t="s">
        <v>127</v>
      </c>
      <c r="K51" s="51" t="s">
        <v>832</v>
      </c>
      <c r="L51" s="51" t="s">
        <v>838</v>
      </c>
      <c r="O51" s="51">
        <v>200</v>
      </c>
      <c r="P51" s="51">
        <v>0</v>
      </c>
      <c r="Q51" s="133">
        <v>0</v>
      </c>
      <c r="R51" s="51">
        <v>200</v>
      </c>
    </row>
    <row r="52" spans="1:18" ht="28.8" x14ac:dyDescent="0.3">
      <c r="A52" s="31">
        <v>51</v>
      </c>
      <c r="B52" s="100" t="s">
        <v>263</v>
      </c>
      <c r="C52" s="51">
        <v>1</v>
      </c>
      <c r="D52" s="51" t="s">
        <v>79</v>
      </c>
      <c r="E52" s="43">
        <v>46113</v>
      </c>
      <c r="F52" s="43">
        <v>46477</v>
      </c>
      <c r="G52" s="51" t="s">
        <v>82</v>
      </c>
      <c r="H52" s="51" t="s">
        <v>823</v>
      </c>
      <c r="I52" s="103">
        <v>20000000</v>
      </c>
      <c r="J52" s="51" t="s">
        <v>127</v>
      </c>
      <c r="K52" s="51" t="s">
        <v>832</v>
      </c>
      <c r="L52" s="51" t="s">
        <v>838</v>
      </c>
      <c r="O52" s="51">
        <v>1</v>
      </c>
      <c r="P52" s="51">
        <v>1</v>
      </c>
      <c r="Q52" s="133">
        <v>1</v>
      </c>
      <c r="R52" s="51">
        <v>0</v>
      </c>
    </row>
    <row r="53" spans="1:18" ht="57.6" x14ac:dyDescent="0.3">
      <c r="A53" s="31">
        <v>52</v>
      </c>
      <c r="B53" s="100" t="s">
        <v>265</v>
      </c>
      <c r="C53" s="51">
        <v>29</v>
      </c>
      <c r="D53" s="51" t="s">
        <v>79</v>
      </c>
      <c r="E53" s="43">
        <v>46113</v>
      </c>
      <c r="F53" s="43">
        <v>46477</v>
      </c>
      <c r="G53" s="51" t="s">
        <v>82</v>
      </c>
      <c r="H53" s="51" t="s">
        <v>823</v>
      </c>
      <c r="I53" s="103">
        <v>90000000</v>
      </c>
      <c r="J53" s="51" t="s">
        <v>266</v>
      </c>
      <c r="K53" s="51" t="s">
        <v>832</v>
      </c>
      <c r="L53" s="51" t="s">
        <v>838</v>
      </c>
      <c r="O53" s="51">
        <v>29</v>
      </c>
      <c r="P53" s="51">
        <v>0</v>
      </c>
      <c r="Q53" s="133">
        <v>0</v>
      </c>
      <c r="R53" s="51">
        <v>29</v>
      </c>
    </row>
    <row r="54" spans="1:18" ht="28.8" x14ac:dyDescent="0.3">
      <c r="A54" s="31">
        <v>53</v>
      </c>
      <c r="B54" s="100" t="s">
        <v>267</v>
      </c>
      <c r="C54" s="51">
        <v>2</v>
      </c>
      <c r="D54" s="51" t="s">
        <v>79</v>
      </c>
      <c r="E54" s="43">
        <v>46113</v>
      </c>
      <c r="F54" s="43">
        <v>46477</v>
      </c>
      <c r="G54" s="51" t="s">
        <v>82</v>
      </c>
      <c r="H54" s="51" t="s">
        <v>823</v>
      </c>
      <c r="I54" s="103">
        <v>60000000</v>
      </c>
      <c r="J54" s="51" t="s">
        <v>175</v>
      </c>
      <c r="K54" s="51" t="s">
        <v>832</v>
      </c>
      <c r="L54" s="51" t="s">
        <v>838</v>
      </c>
      <c r="O54" s="51">
        <v>2</v>
      </c>
      <c r="P54" s="51">
        <v>1</v>
      </c>
      <c r="Q54" s="133">
        <v>0.5</v>
      </c>
      <c r="R54" s="51">
        <v>1</v>
      </c>
    </row>
    <row r="55" spans="1:18" ht="57.6" x14ac:dyDescent="0.3">
      <c r="A55" s="31">
        <v>54</v>
      </c>
      <c r="B55" s="100" t="s">
        <v>270</v>
      </c>
      <c r="C55" s="51">
        <v>29</v>
      </c>
      <c r="D55" s="51" t="s">
        <v>79</v>
      </c>
      <c r="E55" s="43">
        <v>46113</v>
      </c>
      <c r="F55" s="43">
        <v>46477</v>
      </c>
      <c r="G55" s="51" t="s">
        <v>82</v>
      </c>
      <c r="H55" s="51" t="s">
        <v>823</v>
      </c>
      <c r="I55" s="103"/>
      <c r="J55" s="51" t="s">
        <v>271</v>
      </c>
      <c r="K55" s="51" t="s">
        <v>832</v>
      </c>
      <c r="O55" s="51">
        <v>29</v>
      </c>
      <c r="P55" s="51">
        <v>0</v>
      </c>
      <c r="Q55" s="133">
        <v>0</v>
      </c>
      <c r="R55" s="51">
        <v>29</v>
      </c>
    </row>
    <row r="56" spans="1:18" ht="57.6" x14ac:dyDescent="0.3">
      <c r="A56" s="31">
        <v>55</v>
      </c>
      <c r="B56" s="100" t="s">
        <v>273</v>
      </c>
      <c r="C56" s="51">
        <v>4</v>
      </c>
      <c r="D56" s="51" t="s">
        <v>79</v>
      </c>
      <c r="E56" s="43">
        <v>46113</v>
      </c>
      <c r="F56" s="43">
        <v>46477</v>
      </c>
      <c r="G56" s="51" t="s">
        <v>82</v>
      </c>
      <c r="H56" s="51" t="s">
        <v>823</v>
      </c>
      <c r="I56" s="103">
        <v>20000000</v>
      </c>
      <c r="J56" s="51" t="s">
        <v>98</v>
      </c>
      <c r="K56" s="51" t="s">
        <v>832</v>
      </c>
      <c r="L56" s="51" t="s">
        <v>838</v>
      </c>
      <c r="O56" s="51">
        <v>4</v>
      </c>
      <c r="P56" s="51">
        <v>1</v>
      </c>
      <c r="Q56" s="133">
        <v>0.25</v>
      </c>
      <c r="R56" s="51">
        <v>3</v>
      </c>
    </row>
    <row r="57" spans="1:18" ht="28.8" x14ac:dyDescent="0.3">
      <c r="A57" s="31">
        <v>56</v>
      </c>
      <c r="B57" s="100" t="s">
        <v>274</v>
      </c>
      <c r="C57" s="51">
        <v>29</v>
      </c>
      <c r="D57" s="51" t="s">
        <v>79</v>
      </c>
      <c r="E57" s="43">
        <v>46113</v>
      </c>
      <c r="F57" s="43">
        <v>46477</v>
      </c>
      <c r="G57" s="51" t="s">
        <v>82</v>
      </c>
      <c r="H57" s="51" t="s">
        <v>823</v>
      </c>
      <c r="I57" s="103">
        <v>70000000</v>
      </c>
      <c r="J57" s="51" t="s">
        <v>275</v>
      </c>
      <c r="K57" s="51" t="s">
        <v>832</v>
      </c>
      <c r="L57" s="51" t="s">
        <v>838</v>
      </c>
      <c r="O57" s="51">
        <v>29</v>
      </c>
      <c r="P57" s="51">
        <v>0</v>
      </c>
      <c r="Q57" s="133">
        <v>0</v>
      </c>
      <c r="R57" s="51">
        <v>29</v>
      </c>
    </row>
    <row r="58" spans="1:18" ht="57.6" x14ac:dyDescent="0.3">
      <c r="A58" s="31">
        <v>57</v>
      </c>
      <c r="B58" s="100" t="s">
        <v>276</v>
      </c>
      <c r="C58" s="51">
        <v>29</v>
      </c>
      <c r="D58" s="51" t="s">
        <v>79</v>
      </c>
      <c r="E58" s="43">
        <v>46113</v>
      </c>
      <c r="F58" s="43">
        <v>46477</v>
      </c>
      <c r="G58" s="51" t="s">
        <v>82</v>
      </c>
      <c r="H58" s="51" t="s">
        <v>823</v>
      </c>
      <c r="I58" s="103">
        <v>70000000</v>
      </c>
      <c r="J58" s="51" t="s">
        <v>98</v>
      </c>
      <c r="K58" s="51" t="s">
        <v>832</v>
      </c>
      <c r="L58" s="51" t="s">
        <v>838</v>
      </c>
      <c r="O58" s="51">
        <v>29</v>
      </c>
      <c r="P58" s="51">
        <v>10</v>
      </c>
      <c r="Q58" s="133">
        <v>0.34482758620689657</v>
      </c>
      <c r="R58" s="51">
        <v>19</v>
      </c>
    </row>
    <row r="59" spans="1:18" ht="57.6" x14ac:dyDescent="0.3">
      <c r="A59" s="31">
        <v>58</v>
      </c>
      <c r="B59" s="100" t="s">
        <v>277</v>
      </c>
      <c r="C59" s="51">
        <v>4</v>
      </c>
      <c r="D59" s="51" t="s">
        <v>79</v>
      </c>
      <c r="E59" s="43">
        <v>46113</v>
      </c>
      <c r="F59" s="43">
        <v>46477</v>
      </c>
      <c r="G59" s="51" t="s">
        <v>82</v>
      </c>
      <c r="H59" s="51" t="s">
        <v>823</v>
      </c>
      <c r="I59" s="103">
        <v>80000000</v>
      </c>
      <c r="J59" s="51" t="s">
        <v>275</v>
      </c>
      <c r="K59" s="51" t="s">
        <v>832</v>
      </c>
      <c r="O59" s="51">
        <v>4</v>
      </c>
      <c r="P59" s="51">
        <v>0</v>
      </c>
      <c r="Q59" s="133">
        <v>0</v>
      </c>
      <c r="R59" s="51">
        <v>4</v>
      </c>
    </row>
    <row r="60" spans="1:18" x14ac:dyDescent="0.3">
      <c r="A60" s="31">
        <v>59</v>
      </c>
      <c r="B60" s="100" t="s">
        <v>279</v>
      </c>
      <c r="C60" s="51">
        <v>1</v>
      </c>
      <c r="D60" s="51" t="s">
        <v>79</v>
      </c>
      <c r="E60" s="43">
        <v>46113</v>
      </c>
      <c r="F60" s="43">
        <v>46477</v>
      </c>
      <c r="G60" s="51" t="s">
        <v>82</v>
      </c>
      <c r="H60" s="51" t="s">
        <v>823</v>
      </c>
      <c r="I60" s="103"/>
      <c r="J60" s="51" t="s">
        <v>83</v>
      </c>
      <c r="K60" s="51" t="s">
        <v>832</v>
      </c>
      <c r="O60" s="51">
        <v>1</v>
      </c>
      <c r="P60" s="51">
        <v>1</v>
      </c>
      <c r="Q60" s="133">
        <v>1</v>
      </c>
      <c r="R60" s="51">
        <v>0</v>
      </c>
    </row>
    <row r="61" spans="1:18" ht="43.2" x14ac:dyDescent="0.3">
      <c r="A61" s="31">
        <v>60</v>
      </c>
      <c r="B61" s="100" t="s">
        <v>282</v>
      </c>
      <c r="C61" s="51">
        <v>4</v>
      </c>
      <c r="D61" s="51" t="s">
        <v>79</v>
      </c>
      <c r="E61" s="43">
        <v>46113</v>
      </c>
      <c r="F61" s="43">
        <v>46477</v>
      </c>
      <c r="G61" s="51" t="s">
        <v>82</v>
      </c>
      <c r="H61" s="51" t="s">
        <v>823</v>
      </c>
      <c r="I61" s="103"/>
      <c r="J61" s="51" t="s">
        <v>98</v>
      </c>
      <c r="K61" s="51" t="s">
        <v>832</v>
      </c>
      <c r="L61" s="51" t="s">
        <v>839</v>
      </c>
      <c r="O61" s="51">
        <v>4</v>
      </c>
      <c r="P61" s="51">
        <v>1</v>
      </c>
      <c r="Q61" s="133">
        <v>0.25</v>
      </c>
      <c r="R61" s="51">
        <v>3</v>
      </c>
    </row>
    <row r="62" spans="1:18" ht="43.2" x14ac:dyDescent="0.3">
      <c r="A62" s="31">
        <v>61</v>
      </c>
      <c r="B62" s="100" t="s">
        <v>289</v>
      </c>
      <c r="C62" s="51">
        <v>29</v>
      </c>
      <c r="D62" s="51" t="s">
        <v>79</v>
      </c>
      <c r="E62" s="43">
        <v>46113</v>
      </c>
      <c r="F62" s="43">
        <v>46477</v>
      </c>
      <c r="G62" s="51" t="s">
        <v>82</v>
      </c>
      <c r="H62" s="51" t="s">
        <v>823</v>
      </c>
      <c r="I62" s="103">
        <v>100000000</v>
      </c>
      <c r="J62" s="51" t="s">
        <v>98</v>
      </c>
      <c r="K62" s="51" t="s">
        <v>832</v>
      </c>
      <c r="L62" s="51" t="s">
        <v>838</v>
      </c>
      <c r="O62" s="51">
        <v>29</v>
      </c>
      <c r="P62" s="51">
        <v>0</v>
      </c>
      <c r="Q62" s="133">
        <v>0</v>
      </c>
      <c r="R62" s="51">
        <v>29</v>
      </c>
    </row>
    <row r="63" spans="1:18" ht="57.6" x14ac:dyDescent="0.3">
      <c r="A63" s="31">
        <v>62</v>
      </c>
      <c r="B63" s="100" t="s">
        <v>291</v>
      </c>
      <c r="C63" s="51">
        <v>29</v>
      </c>
      <c r="D63" s="51" t="s">
        <v>79</v>
      </c>
      <c r="E63" s="43">
        <v>46113</v>
      </c>
      <c r="F63" s="43">
        <v>46477</v>
      </c>
      <c r="G63" s="51" t="s">
        <v>82</v>
      </c>
      <c r="H63" s="51" t="s">
        <v>823</v>
      </c>
      <c r="I63" s="103">
        <v>110000000</v>
      </c>
      <c r="J63" s="51" t="s">
        <v>98</v>
      </c>
      <c r="K63" s="51" t="s">
        <v>832</v>
      </c>
      <c r="L63" s="51" t="s">
        <v>838</v>
      </c>
      <c r="O63" s="51">
        <v>29</v>
      </c>
      <c r="P63" s="51">
        <v>0</v>
      </c>
      <c r="Q63" s="133">
        <v>0</v>
      </c>
      <c r="R63" s="51">
        <v>29</v>
      </c>
    </row>
    <row r="64" spans="1:18" ht="28.8" x14ac:dyDescent="0.3">
      <c r="A64" s="31">
        <v>63</v>
      </c>
      <c r="B64" s="100" t="s">
        <v>295</v>
      </c>
      <c r="C64" s="51">
        <v>4</v>
      </c>
      <c r="D64" s="51" t="s">
        <v>79</v>
      </c>
      <c r="E64" s="43">
        <v>46113</v>
      </c>
      <c r="F64" s="43">
        <v>46477</v>
      </c>
      <c r="G64" s="51" t="s">
        <v>82</v>
      </c>
      <c r="H64" s="51" t="s">
        <v>823</v>
      </c>
      <c r="I64" s="103">
        <v>80000000</v>
      </c>
      <c r="J64" s="51" t="s">
        <v>98</v>
      </c>
      <c r="K64" s="51" t="s">
        <v>832</v>
      </c>
      <c r="O64" s="51">
        <v>4</v>
      </c>
      <c r="P64" s="51">
        <v>0</v>
      </c>
      <c r="Q64" s="133">
        <v>0</v>
      </c>
      <c r="R64" s="51">
        <v>4</v>
      </c>
    </row>
    <row r="65" spans="1:18" ht="28.8" x14ac:dyDescent="0.3">
      <c r="A65" s="31">
        <v>64</v>
      </c>
      <c r="B65" s="100" t="s">
        <v>296</v>
      </c>
      <c r="C65" s="51">
        <v>4</v>
      </c>
      <c r="D65" s="51" t="s">
        <v>79</v>
      </c>
      <c r="E65" s="43">
        <v>46113</v>
      </c>
      <c r="F65" s="43">
        <v>46477</v>
      </c>
      <c r="G65" s="51" t="s">
        <v>82</v>
      </c>
      <c r="H65" s="51" t="s">
        <v>823</v>
      </c>
      <c r="I65" s="103">
        <v>80000000</v>
      </c>
      <c r="J65" s="51" t="s">
        <v>83</v>
      </c>
      <c r="K65" s="51" t="s">
        <v>832</v>
      </c>
      <c r="L65" s="51" t="s">
        <v>839</v>
      </c>
      <c r="O65" s="51">
        <v>4</v>
      </c>
      <c r="P65" s="51">
        <v>0</v>
      </c>
      <c r="Q65" s="133">
        <v>0</v>
      </c>
      <c r="R65" s="51">
        <v>4</v>
      </c>
    </row>
    <row r="66" spans="1:18" ht="43.2" x14ac:dyDescent="0.3">
      <c r="A66" s="31">
        <v>65</v>
      </c>
      <c r="B66" s="100" t="s">
        <v>298</v>
      </c>
      <c r="C66" s="51">
        <v>2</v>
      </c>
      <c r="D66" s="51" t="s">
        <v>79</v>
      </c>
      <c r="E66" s="43">
        <v>46113</v>
      </c>
      <c r="F66" s="43">
        <v>46477</v>
      </c>
      <c r="G66" s="51" t="s">
        <v>82</v>
      </c>
      <c r="H66" s="51" t="s">
        <v>823</v>
      </c>
      <c r="I66" s="103">
        <v>100274232</v>
      </c>
      <c r="J66" s="51" t="s">
        <v>299</v>
      </c>
      <c r="K66" s="51" t="s">
        <v>832</v>
      </c>
      <c r="L66" s="51" t="s">
        <v>840</v>
      </c>
      <c r="O66" s="51">
        <v>2</v>
      </c>
      <c r="P66" s="51">
        <v>0</v>
      </c>
      <c r="Q66" s="133">
        <v>0</v>
      </c>
      <c r="R66" s="51">
        <v>2</v>
      </c>
    </row>
    <row r="67" spans="1:18" ht="43.2" x14ac:dyDescent="0.3">
      <c r="A67" s="31">
        <v>66</v>
      </c>
      <c r="B67" s="100" t="s">
        <v>301</v>
      </c>
      <c r="C67" s="51">
        <v>1</v>
      </c>
      <c r="D67" s="51" t="s">
        <v>79</v>
      </c>
      <c r="E67" s="43">
        <v>46113</v>
      </c>
      <c r="F67" s="43">
        <v>46477</v>
      </c>
      <c r="G67" s="51" t="s">
        <v>82</v>
      </c>
      <c r="H67" s="51" t="s">
        <v>823</v>
      </c>
      <c r="I67" s="103">
        <v>60000000</v>
      </c>
      <c r="J67" s="51" t="s">
        <v>302</v>
      </c>
      <c r="K67" s="51" t="s">
        <v>832</v>
      </c>
      <c r="L67" s="51" t="s">
        <v>840</v>
      </c>
      <c r="O67" s="51">
        <v>1</v>
      </c>
      <c r="P67" s="51">
        <v>0</v>
      </c>
      <c r="Q67" s="133">
        <v>0</v>
      </c>
      <c r="R67" s="51">
        <v>1</v>
      </c>
    </row>
    <row r="68" spans="1:18" ht="43.2" x14ac:dyDescent="0.3">
      <c r="A68" s="31">
        <v>67</v>
      </c>
      <c r="B68" s="100" t="s">
        <v>303</v>
      </c>
      <c r="C68" s="51">
        <v>29</v>
      </c>
      <c r="D68" s="51" t="s">
        <v>79</v>
      </c>
      <c r="E68" s="43">
        <v>46113</v>
      </c>
      <c r="F68" s="43">
        <v>46477</v>
      </c>
      <c r="G68" s="51" t="s">
        <v>82</v>
      </c>
      <c r="H68" s="51" t="s">
        <v>823</v>
      </c>
      <c r="I68" s="103"/>
      <c r="J68" s="51" t="s">
        <v>175</v>
      </c>
      <c r="K68" s="51" t="s">
        <v>832</v>
      </c>
      <c r="L68" s="51" t="s">
        <v>840</v>
      </c>
      <c r="O68" s="51">
        <v>29</v>
      </c>
      <c r="P68" s="51">
        <v>4</v>
      </c>
      <c r="Q68" s="133">
        <v>0.13793103448275862</v>
      </c>
      <c r="R68" s="51">
        <v>25</v>
      </c>
    </row>
    <row r="69" spans="1:18" ht="28.8" x14ac:dyDescent="0.3">
      <c r="A69" s="31">
        <v>68</v>
      </c>
      <c r="B69" s="100" t="s">
        <v>304</v>
      </c>
      <c r="C69" s="51">
        <v>29</v>
      </c>
      <c r="D69" s="51" t="s">
        <v>79</v>
      </c>
      <c r="E69" s="43">
        <v>46113</v>
      </c>
      <c r="F69" s="43">
        <v>46477</v>
      </c>
      <c r="G69" s="51" t="s">
        <v>82</v>
      </c>
      <c r="H69" s="51" t="s">
        <v>823</v>
      </c>
      <c r="I69" s="103">
        <v>100000000</v>
      </c>
      <c r="J69" s="51" t="s">
        <v>175</v>
      </c>
      <c r="K69" s="51" t="s">
        <v>832</v>
      </c>
      <c r="L69" s="51" t="s">
        <v>840</v>
      </c>
      <c r="O69" s="51">
        <v>29</v>
      </c>
      <c r="P69" s="51">
        <v>0</v>
      </c>
      <c r="Q69" s="133">
        <v>0</v>
      </c>
      <c r="R69" s="51">
        <v>29</v>
      </c>
    </row>
    <row r="70" spans="1:18" ht="28.8" x14ac:dyDescent="0.3">
      <c r="A70" s="31">
        <v>69</v>
      </c>
      <c r="B70" s="100" t="s">
        <v>306</v>
      </c>
      <c r="C70" s="51">
        <v>29</v>
      </c>
      <c r="D70" s="51" t="s">
        <v>79</v>
      </c>
      <c r="E70" s="43">
        <v>46113</v>
      </c>
      <c r="F70" s="43">
        <v>46477</v>
      </c>
      <c r="G70" s="51" t="s">
        <v>82</v>
      </c>
      <c r="H70" s="51" t="s">
        <v>823</v>
      </c>
      <c r="I70" s="103">
        <v>100000000</v>
      </c>
      <c r="J70" s="51" t="s">
        <v>127</v>
      </c>
      <c r="K70" s="51" t="s">
        <v>832</v>
      </c>
      <c r="L70" s="51" t="s">
        <v>840</v>
      </c>
      <c r="O70" s="51">
        <v>29</v>
      </c>
      <c r="P70" s="51">
        <v>0</v>
      </c>
      <c r="Q70" s="133">
        <v>0</v>
      </c>
      <c r="R70" s="51">
        <v>29</v>
      </c>
    </row>
    <row r="71" spans="1:18" x14ac:dyDescent="0.3">
      <c r="A71" s="31">
        <v>70</v>
      </c>
      <c r="B71" s="100" t="s">
        <v>308</v>
      </c>
      <c r="C71" s="51">
        <v>2</v>
      </c>
      <c r="D71" s="51" t="s">
        <v>79</v>
      </c>
      <c r="E71" s="43">
        <v>46113</v>
      </c>
      <c r="F71" s="43">
        <v>46477</v>
      </c>
      <c r="G71" s="51" t="s">
        <v>82</v>
      </c>
      <c r="H71" s="51" t="s">
        <v>823</v>
      </c>
      <c r="I71" s="103">
        <v>50000000</v>
      </c>
      <c r="J71" s="51" t="s">
        <v>127</v>
      </c>
      <c r="K71" s="51" t="s">
        <v>832</v>
      </c>
      <c r="L71" s="51" t="s">
        <v>840</v>
      </c>
      <c r="O71" s="51">
        <v>2</v>
      </c>
      <c r="P71" s="51">
        <v>0</v>
      </c>
      <c r="Q71" s="133">
        <v>0</v>
      </c>
      <c r="R71" s="51">
        <v>2</v>
      </c>
    </row>
    <row r="72" spans="1:18" x14ac:dyDescent="0.3">
      <c r="A72" s="31">
        <v>71</v>
      </c>
      <c r="B72" s="100" t="s">
        <v>312</v>
      </c>
      <c r="C72" s="51">
        <v>30</v>
      </c>
      <c r="D72" s="51" t="s">
        <v>126</v>
      </c>
      <c r="E72" s="43">
        <v>46054</v>
      </c>
      <c r="F72" s="43">
        <v>46477</v>
      </c>
      <c r="G72" s="51" t="s">
        <v>82</v>
      </c>
      <c r="H72" s="51" t="s">
        <v>823</v>
      </c>
      <c r="I72" s="103">
        <v>30000000</v>
      </c>
      <c r="K72" s="51" t="s">
        <v>832</v>
      </c>
      <c r="L72" s="51" t="s">
        <v>841</v>
      </c>
      <c r="O72" s="51">
        <v>30</v>
      </c>
      <c r="P72" s="51">
        <v>0</v>
      </c>
      <c r="Q72" s="133">
        <v>0</v>
      </c>
      <c r="R72" s="51">
        <v>30</v>
      </c>
    </row>
    <row r="73" spans="1:18" x14ac:dyDescent="0.3">
      <c r="A73" s="31">
        <v>72</v>
      </c>
      <c r="B73" s="100" t="s">
        <v>318</v>
      </c>
      <c r="C73" s="51">
        <v>12</v>
      </c>
      <c r="D73" s="51" t="s">
        <v>79</v>
      </c>
      <c r="E73" s="43">
        <v>46113</v>
      </c>
      <c r="F73" s="43">
        <v>46477</v>
      </c>
      <c r="G73" s="51" t="s">
        <v>82</v>
      </c>
      <c r="H73" s="51" t="s">
        <v>823</v>
      </c>
      <c r="I73" s="103"/>
      <c r="J73" s="51" t="s">
        <v>299</v>
      </c>
      <c r="K73" s="51" t="s">
        <v>832</v>
      </c>
      <c r="L73" s="51" t="s">
        <v>841</v>
      </c>
      <c r="O73" s="51">
        <v>12</v>
      </c>
      <c r="P73" s="51">
        <v>0</v>
      </c>
      <c r="Q73" s="133">
        <v>0</v>
      </c>
      <c r="R73" s="51">
        <v>12</v>
      </c>
    </row>
    <row r="74" spans="1:18" x14ac:dyDescent="0.3">
      <c r="A74" s="31">
        <v>73</v>
      </c>
      <c r="B74" s="100" t="s">
        <v>321</v>
      </c>
      <c r="C74" s="51">
        <v>4</v>
      </c>
      <c r="D74" s="51" t="s">
        <v>79</v>
      </c>
      <c r="E74" s="43">
        <v>46113</v>
      </c>
      <c r="F74" s="43">
        <v>46477</v>
      </c>
      <c r="G74" s="51" t="s">
        <v>82</v>
      </c>
      <c r="H74" s="51" t="s">
        <v>823</v>
      </c>
      <c r="I74" s="103"/>
      <c r="J74" s="51" t="s">
        <v>299</v>
      </c>
      <c r="K74" s="51" t="s">
        <v>832</v>
      </c>
      <c r="L74" s="51" t="s">
        <v>841</v>
      </c>
      <c r="O74" s="51">
        <v>4</v>
      </c>
      <c r="P74" s="51">
        <v>2</v>
      </c>
      <c r="Q74" s="133">
        <v>0.5</v>
      </c>
      <c r="R74" s="51">
        <v>2</v>
      </c>
    </row>
    <row r="75" spans="1:18" x14ac:dyDescent="0.3">
      <c r="A75" s="31">
        <v>74</v>
      </c>
      <c r="B75" s="100" t="s">
        <v>323</v>
      </c>
      <c r="C75" s="51">
        <v>100</v>
      </c>
      <c r="D75" s="51" t="s">
        <v>126</v>
      </c>
      <c r="E75" s="43">
        <v>46113</v>
      </c>
      <c r="F75" s="43">
        <v>46477</v>
      </c>
      <c r="G75" s="51" t="s">
        <v>82</v>
      </c>
      <c r="H75" s="51" t="s">
        <v>823</v>
      </c>
      <c r="I75" s="103">
        <v>30000000</v>
      </c>
      <c r="J75" s="51" t="s">
        <v>127</v>
      </c>
      <c r="K75" s="51" t="s">
        <v>832</v>
      </c>
      <c r="L75" s="51" t="s">
        <v>841</v>
      </c>
      <c r="O75" s="51">
        <v>100</v>
      </c>
      <c r="P75" s="51">
        <v>0</v>
      </c>
      <c r="Q75" s="133">
        <v>0</v>
      </c>
      <c r="R75" s="51">
        <v>100</v>
      </c>
    </row>
    <row r="76" spans="1:18" ht="28.8" x14ac:dyDescent="0.3">
      <c r="A76" s="31">
        <v>75</v>
      </c>
      <c r="B76" s="100" t="s">
        <v>324</v>
      </c>
      <c r="C76" s="51">
        <v>2</v>
      </c>
      <c r="D76" s="51" t="s">
        <v>79</v>
      </c>
      <c r="E76" s="43">
        <v>46113</v>
      </c>
      <c r="F76" s="43">
        <v>46477</v>
      </c>
      <c r="G76" s="51" t="s">
        <v>82</v>
      </c>
      <c r="H76" s="51" t="s">
        <v>823</v>
      </c>
      <c r="I76" s="103">
        <v>40000000</v>
      </c>
      <c r="K76" s="51" t="s">
        <v>832</v>
      </c>
      <c r="L76" s="51" t="s">
        <v>841</v>
      </c>
      <c r="O76" s="51">
        <v>2</v>
      </c>
      <c r="P76" s="51">
        <v>1</v>
      </c>
      <c r="Q76" s="133">
        <v>0.5</v>
      </c>
      <c r="R76" s="51">
        <v>1</v>
      </c>
    </row>
    <row r="77" spans="1:18" ht="43.2" x14ac:dyDescent="0.3">
      <c r="A77" s="31">
        <v>76</v>
      </c>
      <c r="B77" s="100" t="s">
        <v>328</v>
      </c>
      <c r="C77" s="51">
        <v>1</v>
      </c>
      <c r="D77" s="51" t="s">
        <v>79</v>
      </c>
      <c r="E77" s="43">
        <v>46054</v>
      </c>
      <c r="F77" s="43">
        <v>46477</v>
      </c>
      <c r="G77" s="51" t="s">
        <v>82</v>
      </c>
      <c r="H77" s="51" t="s">
        <v>823</v>
      </c>
      <c r="I77" s="103">
        <v>50000000</v>
      </c>
      <c r="J77" s="51" t="s">
        <v>127</v>
      </c>
      <c r="K77" s="51" t="s">
        <v>832</v>
      </c>
      <c r="L77" s="51" t="s">
        <v>841</v>
      </c>
      <c r="O77" s="51">
        <v>1</v>
      </c>
      <c r="P77" s="51">
        <v>0.5</v>
      </c>
      <c r="Q77" s="133">
        <v>0.5</v>
      </c>
      <c r="R77" s="51">
        <v>0.5</v>
      </c>
    </row>
    <row r="78" spans="1:18" ht="57.6" x14ac:dyDescent="0.3">
      <c r="A78" s="31">
        <v>77</v>
      </c>
      <c r="B78" s="100" t="s">
        <v>329</v>
      </c>
      <c r="C78" s="51">
        <v>1</v>
      </c>
      <c r="D78" s="51" t="s">
        <v>126</v>
      </c>
      <c r="E78" s="43">
        <v>46054</v>
      </c>
      <c r="F78" s="43">
        <v>46477</v>
      </c>
      <c r="G78" s="51" t="s">
        <v>82</v>
      </c>
      <c r="H78" s="51" t="s">
        <v>823</v>
      </c>
      <c r="I78" s="103">
        <v>10000000</v>
      </c>
      <c r="J78" s="51" t="s">
        <v>127</v>
      </c>
      <c r="K78" s="51" t="s">
        <v>832</v>
      </c>
      <c r="L78" s="51" t="s">
        <v>841</v>
      </c>
      <c r="O78" s="51">
        <v>1</v>
      </c>
      <c r="P78" s="51">
        <v>0.5</v>
      </c>
      <c r="Q78" s="133">
        <v>0.5</v>
      </c>
      <c r="R78" s="51">
        <v>0.5</v>
      </c>
    </row>
    <row r="79" spans="1:18" ht="43.2" x14ac:dyDescent="0.3">
      <c r="A79" s="31">
        <v>78</v>
      </c>
      <c r="B79" s="100" t="s">
        <v>331</v>
      </c>
      <c r="C79" s="51">
        <v>1</v>
      </c>
      <c r="D79" s="51" t="s">
        <v>79</v>
      </c>
      <c r="E79" s="43">
        <v>46113</v>
      </c>
      <c r="F79" s="43">
        <v>46477</v>
      </c>
      <c r="G79" s="51" t="s">
        <v>82</v>
      </c>
      <c r="H79" s="51" t="s">
        <v>823</v>
      </c>
      <c r="I79" s="103"/>
      <c r="J79" s="51" t="s">
        <v>127</v>
      </c>
      <c r="K79" s="51" t="s">
        <v>832</v>
      </c>
      <c r="L79" s="51" t="s">
        <v>841</v>
      </c>
      <c r="O79" s="51">
        <v>1</v>
      </c>
      <c r="P79" s="51">
        <v>0</v>
      </c>
      <c r="Q79" s="133">
        <v>0</v>
      </c>
      <c r="R79" s="51">
        <v>1</v>
      </c>
    </row>
    <row r="80" spans="1:18" x14ac:dyDescent="0.3">
      <c r="A80" s="31">
        <v>79</v>
      </c>
      <c r="B80" s="100" t="s">
        <v>334</v>
      </c>
      <c r="C80" s="51">
        <v>1</v>
      </c>
      <c r="D80" s="51" t="s">
        <v>79</v>
      </c>
      <c r="E80" s="43">
        <v>46113</v>
      </c>
      <c r="F80" s="43">
        <v>46477</v>
      </c>
      <c r="G80" s="51" t="s">
        <v>82</v>
      </c>
      <c r="H80" s="51" t="s">
        <v>823</v>
      </c>
      <c r="I80" s="103"/>
      <c r="J80" s="51" t="s">
        <v>127</v>
      </c>
      <c r="K80" s="51" t="s">
        <v>832</v>
      </c>
      <c r="L80" s="51" t="s">
        <v>841</v>
      </c>
      <c r="O80" s="51">
        <v>1</v>
      </c>
      <c r="P80" s="51">
        <v>1</v>
      </c>
      <c r="Q80" s="133">
        <v>1</v>
      </c>
      <c r="R80" s="51">
        <v>0</v>
      </c>
    </row>
    <row r="81" spans="1:18" ht="28.8" x14ac:dyDescent="0.3">
      <c r="A81" s="31">
        <v>80</v>
      </c>
      <c r="B81" s="100" t="s">
        <v>337</v>
      </c>
      <c r="C81" s="51">
        <v>100</v>
      </c>
      <c r="D81" s="51" t="s">
        <v>126</v>
      </c>
      <c r="E81" s="43">
        <v>46113</v>
      </c>
      <c r="F81" s="43">
        <v>46477</v>
      </c>
      <c r="G81" s="51" t="s">
        <v>82</v>
      </c>
      <c r="H81" s="51" t="s">
        <v>823</v>
      </c>
      <c r="I81" s="103"/>
      <c r="J81" s="51" t="s">
        <v>127</v>
      </c>
      <c r="K81" s="51" t="s">
        <v>832</v>
      </c>
      <c r="L81" s="51" t="s">
        <v>841</v>
      </c>
      <c r="O81" s="51">
        <v>100</v>
      </c>
      <c r="P81" s="51">
        <v>0</v>
      </c>
      <c r="Q81" s="133">
        <v>0</v>
      </c>
      <c r="R81" s="51">
        <v>100</v>
      </c>
    </row>
    <row r="82" spans="1:18" ht="28.8" x14ac:dyDescent="0.3">
      <c r="A82" s="31">
        <v>81</v>
      </c>
      <c r="B82" s="100" t="s">
        <v>338</v>
      </c>
      <c r="C82" s="51">
        <v>29</v>
      </c>
      <c r="D82" s="51" t="s">
        <v>79</v>
      </c>
      <c r="E82" s="43">
        <v>46113</v>
      </c>
      <c r="F82" s="43">
        <v>46477</v>
      </c>
      <c r="G82" s="51" t="s">
        <v>82</v>
      </c>
      <c r="H82" s="51" t="s">
        <v>823</v>
      </c>
      <c r="I82" s="103"/>
      <c r="J82" s="51" t="s">
        <v>127</v>
      </c>
      <c r="K82" s="51" t="s">
        <v>832</v>
      </c>
      <c r="L82" s="51" t="s">
        <v>841</v>
      </c>
      <c r="O82" s="51">
        <v>29</v>
      </c>
      <c r="P82" s="51">
        <v>12</v>
      </c>
      <c r="Q82" s="133">
        <v>0.41379310344827586</v>
      </c>
      <c r="R82" s="51">
        <v>17</v>
      </c>
    </row>
    <row r="83" spans="1:18" ht="28.8" x14ac:dyDescent="0.3">
      <c r="A83" s="31">
        <v>82</v>
      </c>
      <c r="B83" s="100" t="s">
        <v>339</v>
      </c>
      <c r="C83" s="51">
        <v>29</v>
      </c>
      <c r="D83" s="51" t="s">
        <v>79</v>
      </c>
      <c r="E83" s="43">
        <v>46113</v>
      </c>
      <c r="F83" s="43">
        <v>46477</v>
      </c>
      <c r="G83" s="51" t="s">
        <v>82</v>
      </c>
      <c r="H83" s="51" t="s">
        <v>823</v>
      </c>
      <c r="I83" s="103"/>
      <c r="J83" s="51" t="s">
        <v>127</v>
      </c>
      <c r="K83" s="51" t="s">
        <v>832</v>
      </c>
      <c r="L83" s="51" t="s">
        <v>841</v>
      </c>
      <c r="O83" s="51">
        <v>29</v>
      </c>
      <c r="P83" s="51">
        <v>18</v>
      </c>
      <c r="Q83" s="133">
        <v>0.62068965517241381</v>
      </c>
      <c r="R83" s="51">
        <v>11</v>
      </c>
    </row>
    <row r="84" spans="1:18" ht="28.8" x14ac:dyDescent="0.3">
      <c r="A84" s="31">
        <v>83</v>
      </c>
      <c r="B84" s="100" t="s">
        <v>340</v>
      </c>
      <c r="C84" s="51">
        <v>29</v>
      </c>
      <c r="D84" s="51" t="s">
        <v>79</v>
      </c>
      <c r="E84" s="43">
        <v>46054</v>
      </c>
      <c r="F84" s="43">
        <v>46477</v>
      </c>
      <c r="G84" s="51" t="s">
        <v>82</v>
      </c>
      <c r="H84" s="51" t="s">
        <v>823</v>
      </c>
      <c r="I84" s="103">
        <v>110000000</v>
      </c>
      <c r="J84" s="51" t="s">
        <v>175</v>
      </c>
      <c r="K84" s="51" t="s">
        <v>832</v>
      </c>
      <c r="L84" s="51" t="s">
        <v>841</v>
      </c>
      <c r="O84" s="51">
        <v>29</v>
      </c>
      <c r="P84" s="51">
        <v>5</v>
      </c>
      <c r="Q84" s="133">
        <v>0.17241379310344829</v>
      </c>
      <c r="R84" s="51">
        <v>24</v>
      </c>
    </row>
    <row r="85" spans="1:18" ht="28.8" x14ac:dyDescent="0.3">
      <c r="A85" s="31">
        <v>84</v>
      </c>
      <c r="B85" s="100" t="s">
        <v>343</v>
      </c>
      <c r="C85" s="51">
        <v>29</v>
      </c>
      <c r="D85" s="51" t="s">
        <v>79</v>
      </c>
      <c r="E85" s="43">
        <v>46113</v>
      </c>
      <c r="F85" s="43">
        <v>46477</v>
      </c>
      <c r="G85" s="51" t="s">
        <v>82</v>
      </c>
      <c r="H85" s="51" t="s">
        <v>823</v>
      </c>
      <c r="I85" s="103">
        <v>60000000</v>
      </c>
      <c r="K85" s="51" t="s">
        <v>832</v>
      </c>
      <c r="L85" s="51" t="s">
        <v>841</v>
      </c>
      <c r="O85" s="51">
        <v>29</v>
      </c>
      <c r="P85" s="51">
        <v>0</v>
      </c>
      <c r="Q85" s="133">
        <v>0</v>
      </c>
      <c r="R85" s="51">
        <v>29</v>
      </c>
    </row>
    <row r="86" spans="1:18" ht="28.8" x14ac:dyDescent="0.3">
      <c r="A86" s="31">
        <v>85</v>
      </c>
      <c r="B86" s="100" t="s">
        <v>346</v>
      </c>
      <c r="C86" s="51">
        <v>12</v>
      </c>
      <c r="D86" s="51" t="s">
        <v>79</v>
      </c>
      <c r="E86" s="43">
        <v>46113</v>
      </c>
      <c r="F86" s="43">
        <v>46477</v>
      </c>
      <c r="G86" s="51" t="s">
        <v>82</v>
      </c>
      <c r="H86" s="51" t="s">
        <v>823</v>
      </c>
      <c r="I86" s="103"/>
      <c r="K86" s="51" t="s">
        <v>832</v>
      </c>
      <c r="L86" s="51" t="s">
        <v>841</v>
      </c>
      <c r="O86" s="51">
        <v>12</v>
      </c>
      <c r="P86" s="51">
        <v>3</v>
      </c>
      <c r="Q86" s="133">
        <v>0.25</v>
      </c>
      <c r="R86" s="51">
        <v>9</v>
      </c>
    </row>
    <row r="87" spans="1:18" ht="28.8" x14ac:dyDescent="0.3">
      <c r="A87" s="31">
        <v>86</v>
      </c>
      <c r="B87" s="100" t="s">
        <v>349</v>
      </c>
      <c r="C87" s="51">
        <v>1</v>
      </c>
      <c r="D87" s="51" t="s">
        <v>79</v>
      </c>
      <c r="E87" s="43">
        <v>46113</v>
      </c>
      <c r="F87" s="43">
        <v>46477</v>
      </c>
      <c r="G87" s="51" t="s">
        <v>82</v>
      </c>
      <c r="H87" s="51" t="s">
        <v>823</v>
      </c>
      <c r="I87" s="103">
        <v>30000000</v>
      </c>
      <c r="K87" s="51" t="s">
        <v>832</v>
      </c>
      <c r="L87" s="51" t="s">
        <v>841</v>
      </c>
      <c r="O87" s="51">
        <v>1</v>
      </c>
      <c r="P87" s="51">
        <v>0</v>
      </c>
      <c r="Q87" s="133">
        <v>0</v>
      </c>
      <c r="R87" s="51">
        <v>1</v>
      </c>
    </row>
    <row r="88" spans="1:18" ht="57.6" x14ac:dyDescent="0.3">
      <c r="A88" s="31">
        <v>87</v>
      </c>
      <c r="B88" s="100" t="s">
        <v>353</v>
      </c>
      <c r="C88" s="51">
        <v>29</v>
      </c>
      <c r="D88" s="51" t="s">
        <v>79</v>
      </c>
      <c r="E88" s="43">
        <v>46113</v>
      </c>
      <c r="F88" s="43">
        <v>46477</v>
      </c>
      <c r="G88" s="51" t="s">
        <v>82</v>
      </c>
      <c r="H88" s="51" t="s">
        <v>823</v>
      </c>
      <c r="I88" s="103">
        <v>150000000</v>
      </c>
      <c r="J88" s="51" t="s">
        <v>159</v>
      </c>
      <c r="K88" s="51" t="s">
        <v>832</v>
      </c>
      <c r="L88" s="51" t="s">
        <v>842</v>
      </c>
      <c r="O88" s="51">
        <v>29</v>
      </c>
      <c r="P88" s="51">
        <v>1</v>
      </c>
      <c r="Q88" s="133">
        <v>3.4482758620689655E-2</v>
      </c>
      <c r="R88" s="51">
        <v>28</v>
      </c>
    </row>
    <row r="89" spans="1:18" ht="28.8" x14ac:dyDescent="0.3">
      <c r="A89" s="31">
        <v>88</v>
      </c>
      <c r="B89" s="100" t="s">
        <v>356</v>
      </c>
      <c r="C89" s="51">
        <v>29</v>
      </c>
      <c r="D89" s="51" t="s">
        <v>79</v>
      </c>
      <c r="E89" s="43">
        <v>46113</v>
      </c>
      <c r="F89" s="43">
        <v>46477</v>
      </c>
      <c r="G89" s="51" t="s">
        <v>82</v>
      </c>
      <c r="H89" s="51" t="s">
        <v>823</v>
      </c>
      <c r="I89" s="103">
        <v>120000000</v>
      </c>
      <c r="J89" s="51" t="s">
        <v>357</v>
      </c>
      <c r="K89" s="51" t="s">
        <v>832</v>
      </c>
      <c r="L89" s="51" t="s">
        <v>842</v>
      </c>
      <c r="O89" s="51">
        <v>29</v>
      </c>
      <c r="P89" s="51">
        <v>0</v>
      </c>
      <c r="Q89" s="133">
        <v>0</v>
      </c>
      <c r="R89" s="51">
        <v>29</v>
      </c>
    </row>
    <row r="90" spans="1:18" ht="57.6" x14ac:dyDescent="0.3">
      <c r="A90" s="31">
        <v>89</v>
      </c>
      <c r="B90" s="100" t="s">
        <v>361</v>
      </c>
      <c r="C90" s="51">
        <v>4</v>
      </c>
      <c r="D90" s="51" t="s">
        <v>79</v>
      </c>
      <c r="E90" s="43">
        <v>46054</v>
      </c>
      <c r="F90" s="43">
        <v>46477</v>
      </c>
      <c r="G90" s="51" t="s">
        <v>82</v>
      </c>
      <c r="H90" s="51" t="s">
        <v>823</v>
      </c>
      <c r="I90" s="103">
        <v>80000000</v>
      </c>
      <c r="J90" s="51" t="s">
        <v>127</v>
      </c>
      <c r="K90" s="51" t="s">
        <v>832</v>
      </c>
      <c r="L90" s="51" t="s">
        <v>842</v>
      </c>
      <c r="O90" s="51">
        <v>4</v>
      </c>
      <c r="P90" s="51">
        <v>0</v>
      </c>
      <c r="Q90" s="133">
        <v>0</v>
      </c>
      <c r="R90" s="51">
        <v>4</v>
      </c>
    </row>
    <row r="91" spans="1:18" ht="43.2" x14ac:dyDescent="0.3">
      <c r="A91" s="31">
        <v>90</v>
      </c>
      <c r="B91" s="100" t="s">
        <v>367</v>
      </c>
      <c r="C91" s="51">
        <v>2</v>
      </c>
      <c r="D91" s="51" t="s">
        <v>79</v>
      </c>
      <c r="E91" s="43">
        <v>46113</v>
      </c>
      <c r="F91" s="43">
        <v>46477</v>
      </c>
      <c r="G91" s="51" t="s">
        <v>82</v>
      </c>
      <c r="H91" s="51" t="s">
        <v>823</v>
      </c>
      <c r="I91" s="103"/>
      <c r="K91" s="51" t="s">
        <v>832</v>
      </c>
      <c r="L91" s="51" t="s">
        <v>842</v>
      </c>
      <c r="O91" s="51">
        <v>2</v>
      </c>
      <c r="P91" s="51">
        <v>1</v>
      </c>
      <c r="Q91" s="133">
        <v>0.5</v>
      </c>
      <c r="R91" s="51">
        <v>1</v>
      </c>
    </row>
    <row r="92" spans="1:18" ht="43.2" x14ac:dyDescent="0.3">
      <c r="A92" s="31">
        <v>91</v>
      </c>
      <c r="B92" s="100" t="s">
        <v>368</v>
      </c>
      <c r="C92" s="51">
        <v>1</v>
      </c>
      <c r="D92" s="51" t="s">
        <v>126</v>
      </c>
      <c r="E92" s="43">
        <v>46113</v>
      </c>
      <c r="F92" s="43">
        <v>46477</v>
      </c>
      <c r="G92" s="51" t="s">
        <v>82</v>
      </c>
      <c r="H92" s="51" t="s">
        <v>823</v>
      </c>
      <c r="I92" s="103">
        <v>60000000</v>
      </c>
      <c r="J92" s="51" t="s">
        <v>83</v>
      </c>
      <c r="K92" s="51" t="s">
        <v>832</v>
      </c>
      <c r="L92" s="51" t="s">
        <v>842</v>
      </c>
      <c r="O92" s="51">
        <v>1</v>
      </c>
      <c r="P92" s="51">
        <v>1</v>
      </c>
      <c r="Q92" s="133">
        <v>1</v>
      </c>
      <c r="R92" s="51">
        <v>0</v>
      </c>
    </row>
    <row r="93" spans="1:18" ht="28.8" x14ac:dyDescent="0.3">
      <c r="A93" s="31">
        <v>92</v>
      </c>
      <c r="B93" s="100" t="s">
        <v>371</v>
      </c>
      <c r="C93" s="51">
        <v>4</v>
      </c>
      <c r="D93" s="51" t="s">
        <v>79</v>
      </c>
      <c r="E93" s="43">
        <v>46113</v>
      </c>
      <c r="F93" s="43">
        <v>46477</v>
      </c>
      <c r="G93" s="51" t="s">
        <v>82</v>
      </c>
      <c r="H93" s="51" t="s">
        <v>823</v>
      </c>
      <c r="I93" s="103">
        <v>100000000</v>
      </c>
      <c r="J93" s="51" t="s">
        <v>83</v>
      </c>
      <c r="K93" s="51" t="s">
        <v>832</v>
      </c>
      <c r="L93" s="51" t="s">
        <v>842</v>
      </c>
      <c r="O93" s="51">
        <v>4</v>
      </c>
      <c r="P93" s="51">
        <v>0</v>
      </c>
      <c r="Q93" s="133">
        <v>0</v>
      </c>
      <c r="R93" s="51">
        <v>4</v>
      </c>
    </row>
    <row r="94" spans="1:18" ht="28.8" x14ac:dyDescent="0.3">
      <c r="A94" s="31">
        <v>93</v>
      </c>
      <c r="B94" s="100" t="s">
        <v>373</v>
      </c>
      <c r="C94" s="51">
        <v>1</v>
      </c>
      <c r="D94" s="51" t="s">
        <v>79</v>
      </c>
      <c r="E94" s="43">
        <v>46113</v>
      </c>
      <c r="F94" s="43">
        <v>46477</v>
      </c>
      <c r="G94" s="51" t="s">
        <v>82</v>
      </c>
      <c r="H94" s="51" t="s">
        <v>823</v>
      </c>
      <c r="I94" s="103">
        <v>50000000</v>
      </c>
      <c r="J94" s="51" t="s">
        <v>175</v>
      </c>
      <c r="K94" s="51" t="s">
        <v>832</v>
      </c>
      <c r="L94" s="51" t="s">
        <v>842</v>
      </c>
      <c r="O94" s="51">
        <v>1</v>
      </c>
      <c r="P94" s="51">
        <v>0</v>
      </c>
      <c r="Q94" s="133">
        <v>0</v>
      </c>
      <c r="R94" s="51">
        <v>1</v>
      </c>
    </row>
    <row r="95" spans="1:18" ht="28.8" x14ac:dyDescent="0.3">
      <c r="A95" s="31">
        <v>94</v>
      </c>
      <c r="B95" s="100" t="s">
        <v>375</v>
      </c>
      <c r="C95" s="51">
        <v>29</v>
      </c>
      <c r="D95" s="51" t="s">
        <v>79</v>
      </c>
      <c r="E95" s="43">
        <v>46113</v>
      </c>
      <c r="F95" s="43">
        <v>46477</v>
      </c>
      <c r="G95" s="51" t="s">
        <v>82</v>
      </c>
      <c r="H95" s="51" t="s">
        <v>823</v>
      </c>
      <c r="I95" s="103"/>
      <c r="J95" s="51" t="s">
        <v>83</v>
      </c>
      <c r="K95" s="51" t="s">
        <v>832</v>
      </c>
      <c r="L95" s="51" t="s">
        <v>842</v>
      </c>
      <c r="O95" s="51">
        <v>29</v>
      </c>
      <c r="P95" s="51">
        <v>2</v>
      </c>
      <c r="Q95" s="133">
        <v>6.8965517241379309E-2</v>
      </c>
      <c r="R95" s="51">
        <v>27</v>
      </c>
    </row>
    <row r="96" spans="1:18" x14ac:dyDescent="0.3">
      <c r="A96" s="31">
        <v>95</v>
      </c>
      <c r="B96" s="100" t="s">
        <v>379</v>
      </c>
      <c r="C96" s="51">
        <v>12</v>
      </c>
      <c r="D96" s="51" t="s">
        <v>126</v>
      </c>
      <c r="E96" s="43">
        <v>46113</v>
      </c>
      <c r="F96" s="43">
        <v>46477</v>
      </c>
      <c r="G96" s="51" t="s">
        <v>82</v>
      </c>
      <c r="H96" s="51" t="s">
        <v>823</v>
      </c>
      <c r="I96" s="103">
        <v>75000000</v>
      </c>
      <c r="J96" s="51" t="s">
        <v>83</v>
      </c>
      <c r="K96" s="51" t="s">
        <v>832</v>
      </c>
      <c r="L96" s="51" t="s">
        <v>842</v>
      </c>
      <c r="O96" s="51">
        <v>12</v>
      </c>
      <c r="P96" s="51">
        <v>6</v>
      </c>
      <c r="Q96" s="133">
        <v>0.5</v>
      </c>
      <c r="R96" s="51">
        <v>6</v>
      </c>
    </row>
    <row r="97" spans="1:18" x14ac:dyDescent="0.3">
      <c r="A97" s="31">
        <v>96</v>
      </c>
      <c r="B97" s="100" t="s">
        <v>381</v>
      </c>
      <c r="C97" s="51">
        <v>1</v>
      </c>
      <c r="D97" s="51" t="s">
        <v>126</v>
      </c>
      <c r="E97" s="43">
        <v>46113</v>
      </c>
      <c r="F97" s="43">
        <v>46477</v>
      </c>
      <c r="G97" s="51" t="s">
        <v>82</v>
      </c>
      <c r="H97" s="51" t="s">
        <v>823</v>
      </c>
      <c r="I97" s="103">
        <v>67000000</v>
      </c>
      <c r="J97" s="51" t="s">
        <v>127</v>
      </c>
      <c r="K97" s="51" t="s">
        <v>832</v>
      </c>
      <c r="L97" s="51" t="s">
        <v>842</v>
      </c>
      <c r="O97" s="51">
        <v>1</v>
      </c>
      <c r="P97" s="51">
        <v>1</v>
      </c>
      <c r="Q97" s="133">
        <v>1</v>
      </c>
      <c r="R97" s="51">
        <v>0</v>
      </c>
    </row>
    <row r="98" spans="1:18" ht="28.8" x14ac:dyDescent="0.3">
      <c r="A98" s="31">
        <v>97</v>
      </c>
      <c r="B98" s="100" t="s">
        <v>382</v>
      </c>
      <c r="C98" s="51">
        <v>1</v>
      </c>
      <c r="D98" s="51" t="s">
        <v>126</v>
      </c>
      <c r="E98" s="43">
        <v>46113</v>
      </c>
      <c r="F98" s="43">
        <v>46477</v>
      </c>
      <c r="G98" s="51" t="s">
        <v>82</v>
      </c>
      <c r="H98" s="51" t="s">
        <v>823</v>
      </c>
      <c r="I98" s="103"/>
      <c r="J98" s="51" t="s">
        <v>127</v>
      </c>
      <c r="K98" s="51" t="s">
        <v>832</v>
      </c>
      <c r="L98" s="51" t="s">
        <v>842</v>
      </c>
      <c r="O98" s="51">
        <v>1</v>
      </c>
      <c r="P98" s="51">
        <v>6</v>
      </c>
      <c r="Q98" s="133">
        <v>6</v>
      </c>
      <c r="R98" s="51">
        <v>-5</v>
      </c>
    </row>
    <row r="99" spans="1:18" ht="28.8" x14ac:dyDescent="0.3">
      <c r="A99" s="31">
        <v>98</v>
      </c>
      <c r="B99" s="100" t="s">
        <v>383</v>
      </c>
      <c r="C99" s="51">
        <v>1</v>
      </c>
      <c r="D99" s="51" t="s">
        <v>126</v>
      </c>
      <c r="E99" s="43">
        <v>46054</v>
      </c>
      <c r="F99" s="43">
        <v>46477</v>
      </c>
      <c r="G99" s="51" t="s">
        <v>82</v>
      </c>
      <c r="H99" s="51" t="s">
        <v>823</v>
      </c>
      <c r="I99" s="103">
        <v>100000000</v>
      </c>
      <c r="J99" s="51" t="s">
        <v>127</v>
      </c>
      <c r="K99" s="51" t="s">
        <v>832</v>
      </c>
      <c r="L99" s="51" t="s">
        <v>842</v>
      </c>
      <c r="O99" s="51">
        <v>1</v>
      </c>
      <c r="P99" s="51">
        <v>1</v>
      </c>
      <c r="Q99" s="133">
        <v>1</v>
      </c>
      <c r="R99" s="51">
        <v>0</v>
      </c>
    </row>
    <row r="100" spans="1:18" ht="28.8" x14ac:dyDescent="0.3">
      <c r="A100" s="31">
        <v>99</v>
      </c>
      <c r="B100" s="100" t="s">
        <v>386</v>
      </c>
      <c r="C100" s="51">
        <v>4</v>
      </c>
      <c r="D100" s="51" t="s">
        <v>79</v>
      </c>
      <c r="E100" s="43">
        <v>46113</v>
      </c>
      <c r="F100" s="43">
        <v>46477</v>
      </c>
      <c r="G100" s="51" t="s">
        <v>82</v>
      </c>
      <c r="H100" s="51" t="s">
        <v>823</v>
      </c>
      <c r="I100" s="103">
        <v>32000000</v>
      </c>
      <c r="K100" s="51" t="s">
        <v>832</v>
      </c>
      <c r="L100" s="51" t="s">
        <v>842</v>
      </c>
      <c r="O100" s="51">
        <v>4</v>
      </c>
      <c r="P100" s="51">
        <v>1</v>
      </c>
      <c r="Q100" s="133">
        <v>0.25</v>
      </c>
      <c r="R100" s="51">
        <v>3</v>
      </c>
    </row>
    <row r="101" spans="1:18" ht="28.8" x14ac:dyDescent="0.3">
      <c r="A101" s="31">
        <v>100</v>
      </c>
      <c r="B101" s="100" t="s">
        <v>388</v>
      </c>
      <c r="C101" s="51">
        <v>1</v>
      </c>
      <c r="D101" s="51" t="s">
        <v>126</v>
      </c>
      <c r="E101" s="43">
        <v>46113</v>
      </c>
      <c r="F101" s="43">
        <v>46477</v>
      </c>
      <c r="G101" s="51" t="s">
        <v>82</v>
      </c>
      <c r="H101" s="51" t="s">
        <v>823</v>
      </c>
      <c r="I101" s="103"/>
      <c r="K101" s="51" t="s">
        <v>832</v>
      </c>
      <c r="L101" s="51" t="s">
        <v>842</v>
      </c>
      <c r="O101" s="51">
        <v>1</v>
      </c>
      <c r="P101" s="51">
        <v>1</v>
      </c>
      <c r="Q101" s="133">
        <v>1</v>
      </c>
      <c r="R101" s="51">
        <v>0</v>
      </c>
    </row>
    <row r="102" spans="1:18" ht="28.8" x14ac:dyDescent="0.3">
      <c r="A102" s="31">
        <v>101</v>
      </c>
      <c r="B102" s="100" t="s">
        <v>389</v>
      </c>
      <c r="C102" s="51">
        <v>29</v>
      </c>
      <c r="D102" s="51" t="s">
        <v>79</v>
      </c>
      <c r="E102" s="43">
        <v>46054</v>
      </c>
      <c r="F102" s="43">
        <v>46477</v>
      </c>
      <c r="G102" s="51" t="s">
        <v>82</v>
      </c>
      <c r="H102" s="51" t="s">
        <v>823</v>
      </c>
      <c r="I102" s="103"/>
      <c r="K102" s="51" t="s">
        <v>832</v>
      </c>
      <c r="L102" s="51" t="s">
        <v>842</v>
      </c>
      <c r="O102" s="51">
        <v>29</v>
      </c>
      <c r="P102" s="51">
        <v>29</v>
      </c>
      <c r="Q102" s="133">
        <v>1</v>
      </c>
      <c r="R102" s="51">
        <v>0</v>
      </c>
    </row>
    <row r="103" spans="1:18" ht="43.2" x14ac:dyDescent="0.3">
      <c r="A103" s="31">
        <v>102</v>
      </c>
      <c r="B103" s="100" t="s">
        <v>391</v>
      </c>
      <c r="C103" s="51">
        <v>4</v>
      </c>
      <c r="D103" s="51" t="s">
        <v>79</v>
      </c>
      <c r="E103" s="43">
        <v>46113</v>
      </c>
      <c r="F103" s="43">
        <v>46477</v>
      </c>
      <c r="G103" s="51" t="s">
        <v>82</v>
      </c>
      <c r="H103" s="51" t="s">
        <v>823</v>
      </c>
      <c r="I103" s="103"/>
      <c r="K103" s="51" t="s">
        <v>832</v>
      </c>
      <c r="L103" s="51" t="s">
        <v>842</v>
      </c>
      <c r="O103" s="51">
        <v>4</v>
      </c>
      <c r="P103" s="51">
        <v>2</v>
      </c>
      <c r="Q103" s="133">
        <v>0.5</v>
      </c>
      <c r="R103" s="51">
        <v>2</v>
      </c>
    </row>
    <row r="104" spans="1:18" ht="43.2" x14ac:dyDescent="0.3">
      <c r="A104" s="31">
        <v>103</v>
      </c>
      <c r="B104" s="100" t="s">
        <v>393</v>
      </c>
      <c r="C104" s="51">
        <v>4</v>
      </c>
      <c r="D104" s="51" t="s">
        <v>126</v>
      </c>
      <c r="E104" s="43">
        <v>46113</v>
      </c>
      <c r="F104" s="43">
        <v>46477</v>
      </c>
      <c r="G104" s="51" t="s">
        <v>82</v>
      </c>
      <c r="H104" s="51" t="s">
        <v>823</v>
      </c>
      <c r="I104" s="103"/>
      <c r="J104" s="51" t="s">
        <v>127</v>
      </c>
      <c r="K104" s="51" t="s">
        <v>832</v>
      </c>
      <c r="L104" s="51" t="s">
        <v>842</v>
      </c>
      <c r="O104" s="51">
        <v>4</v>
      </c>
      <c r="P104" s="51">
        <v>2</v>
      </c>
      <c r="Q104" s="133">
        <v>0.5</v>
      </c>
      <c r="R104" s="51">
        <v>2</v>
      </c>
    </row>
    <row r="105" spans="1:18" ht="28.8" x14ac:dyDescent="0.3">
      <c r="A105" s="31">
        <v>104</v>
      </c>
      <c r="B105" s="100" t="s">
        <v>398</v>
      </c>
      <c r="C105" s="51">
        <v>29</v>
      </c>
      <c r="D105" s="51" t="s">
        <v>79</v>
      </c>
      <c r="E105" s="43">
        <v>46054</v>
      </c>
      <c r="F105" s="43">
        <v>46477</v>
      </c>
      <c r="G105" s="51" t="s">
        <v>82</v>
      </c>
      <c r="H105" s="51" t="s">
        <v>823</v>
      </c>
      <c r="I105" s="103">
        <v>100000000</v>
      </c>
      <c r="J105" s="51" t="s">
        <v>127</v>
      </c>
      <c r="K105" s="51" t="s">
        <v>832</v>
      </c>
      <c r="L105" s="51" t="s">
        <v>843</v>
      </c>
      <c r="O105" s="51">
        <v>29</v>
      </c>
      <c r="P105" s="51">
        <v>1</v>
      </c>
      <c r="Q105" s="133">
        <v>3.4482758620689655E-2</v>
      </c>
      <c r="R105" s="51">
        <v>28</v>
      </c>
    </row>
    <row r="106" spans="1:18" ht="43.2" x14ac:dyDescent="0.3">
      <c r="A106" s="31">
        <v>105</v>
      </c>
      <c r="B106" s="100" t="s">
        <v>404</v>
      </c>
      <c r="C106" s="51">
        <v>1</v>
      </c>
      <c r="D106" s="51" t="s">
        <v>79</v>
      </c>
      <c r="E106" s="43">
        <v>46054</v>
      </c>
      <c r="F106" s="43">
        <v>46477</v>
      </c>
      <c r="G106" s="51" t="s">
        <v>82</v>
      </c>
      <c r="H106" s="51" t="s">
        <v>823</v>
      </c>
      <c r="I106" s="103">
        <v>30000000</v>
      </c>
      <c r="J106" s="51" t="s">
        <v>127</v>
      </c>
      <c r="K106" s="51" t="s">
        <v>832</v>
      </c>
      <c r="L106" s="51" t="s">
        <v>843</v>
      </c>
      <c r="O106" s="51">
        <v>1</v>
      </c>
      <c r="P106" s="51">
        <v>0</v>
      </c>
      <c r="Q106" s="133">
        <v>0</v>
      </c>
      <c r="R106" s="51">
        <v>1</v>
      </c>
    </row>
    <row r="107" spans="1:18" ht="28.8" x14ac:dyDescent="0.3">
      <c r="A107" s="31">
        <v>106</v>
      </c>
      <c r="B107" s="100" t="s">
        <v>407</v>
      </c>
      <c r="C107" s="51">
        <v>29</v>
      </c>
      <c r="D107" s="51" t="s">
        <v>79</v>
      </c>
      <c r="E107" s="43">
        <v>46054</v>
      </c>
      <c r="F107" s="43">
        <v>46477</v>
      </c>
      <c r="G107" s="51" t="s">
        <v>82</v>
      </c>
      <c r="H107" s="51" t="s">
        <v>823</v>
      </c>
      <c r="I107" s="103">
        <v>100000000</v>
      </c>
      <c r="J107" s="51" t="s">
        <v>127</v>
      </c>
      <c r="K107" s="51" t="s">
        <v>832</v>
      </c>
      <c r="L107" s="51" t="s">
        <v>843</v>
      </c>
      <c r="O107" s="51">
        <v>29</v>
      </c>
      <c r="P107" s="51">
        <v>0</v>
      </c>
      <c r="Q107" s="133">
        <v>0</v>
      </c>
      <c r="R107" s="51">
        <v>29</v>
      </c>
    </row>
    <row r="108" spans="1:18" ht="28.8" x14ac:dyDescent="0.3">
      <c r="A108" s="31">
        <v>107</v>
      </c>
      <c r="B108" s="100" t="s">
        <v>412</v>
      </c>
      <c r="C108" s="51">
        <v>29</v>
      </c>
      <c r="D108" s="51" t="s">
        <v>79</v>
      </c>
      <c r="E108" s="43">
        <v>46026</v>
      </c>
      <c r="F108" s="43">
        <v>46477</v>
      </c>
      <c r="G108" s="51" t="s">
        <v>82</v>
      </c>
      <c r="H108" s="51" t="s">
        <v>823</v>
      </c>
      <c r="I108" s="103">
        <v>126000000</v>
      </c>
      <c r="J108" s="51" t="s">
        <v>127</v>
      </c>
      <c r="K108" s="51" t="s">
        <v>832</v>
      </c>
      <c r="L108" s="51" t="s">
        <v>843</v>
      </c>
      <c r="O108" s="51">
        <v>29</v>
      </c>
      <c r="P108" s="51">
        <v>10</v>
      </c>
      <c r="Q108" s="133">
        <v>0.34482758620689657</v>
      </c>
      <c r="R108" s="51">
        <v>19</v>
      </c>
    </row>
    <row r="109" spans="1:18" ht="28.8" x14ac:dyDescent="0.3">
      <c r="A109" s="31">
        <v>108</v>
      </c>
      <c r="B109" s="100" t="s">
        <v>413</v>
      </c>
      <c r="C109" s="51">
        <v>1</v>
      </c>
      <c r="D109" s="51" t="s">
        <v>79</v>
      </c>
      <c r="E109" s="43">
        <v>46113</v>
      </c>
      <c r="F109" s="43">
        <v>46477</v>
      </c>
      <c r="G109" s="51" t="s">
        <v>82</v>
      </c>
      <c r="H109" s="51" t="s">
        <v>823</v>
      </c>
      <c r="I109" s="103">
        <v>18000000</v>
      </c>
      <c r="J109" s="51" t="s">
        <v>83</v>
      </c>
      <c r="K109" s="51" t="s">
        <v>832</v>
      </c>
      <c r="L109" s="51" t="s">
        <v>843</v>
      </c>
      <c r="O109" s="51">
        <v>1</v>
      </c>
      <c r="P109" s="51">
        <v>0</v>
      </c>
      <c r="Q109" s="133">
        <v>0</v>
      </c>
      <c r="R109" s="51">
        <v>1</v>
      </c>
    </row>
    <row r="110" spans="1:18" x14ac:dyDescent="0.3">
      <c r="A110" s="31">
        <v>109</v>
      </c>
      <c r="B110" s="100" t="s">
        <v>416</v>
      </c>
      <c r="C110" s="51">
        <v>1</v>
      </c>
      <c r="D110" s="51" t="s">
        <v>79</v>
      </c>
      <c r="E110" s="43">
        <v>46113</v>
      </c>
      <c r="F110" s="43">
        <v>46477</v>
      </c>
      <c r="G110" s="51" t="s">
        <v>82</v>
      </c>
      <c r="H110" s="51" t="s">
        <v>823</v>
      </c>
      <c r="I110" s="103">
        <v>18000000</v>
      </c>
      <c r="J110" s="51" t="s">
        <v>127</v>
      </c>
      <c r="K110" s="51" t="s">
        <v>832</v>
      </c>
      <c r="L110" s="51" t="s">
        <v>843</v>
      </c>
      <c r="O110" s="51">
        <v>1</v>
      </c>
      <c r="P110" s="51">
        <v>0</v>
      </c>
      <c r="Q110" s="133">
        <v>0</v>
      </c>
      <c r="R110" s="51">
        <v>1</v>
      </c>
    </row>
    <row r="111" spans="1:18" ht="28.8" x14ac:dyDescent="0.3">
      <c r="A111" s="31">
        <v>110</v>
      </c>
      <c r="B111" s="100" t="s">
        <v>413</v>
      </c>
      <c r="C111" s="51">
        <v>1</v>
      </c>
      <c r="D111" s="51" t="s">
        <v>79</v>
      </c>
      <c r="E111" s="43">
        <v>46113</v>
      </c>
      <c r="F111" s="43">
        <v>46477</v>
      </c>
      <c r="G111" s="51" t="s">
        <v>82</v>
      </c>
      <c r="H111" s="51" t="s">
        <v>823</v>
      </c>
      <c r="I111" s="103">
        <v>20000000</v>
      </c>
      <c r="J111" s="51" t="s">
        <v>83</v>
      </c>
      <c r="K111" s="51" t="s">
        <v>832</v>
      </c>
      <c r="L111" s="51" t="s">
        <v>843</v>
      </c>
      <c r="O111" s="51">
        <v>1</v>
      </c>
      <c r="P111" s="51">
        <v>0</v>
      </c>
      <c r="Q111" s="133">
        <v>0</v>
      </c>
      <c r="R111" s="51">
        <v>1</v>
      </c>
    </row>
    <row r="112" spans="1:18" ht="28.8" x14ac:dyDescent="0.3">
      <c r="A112" s="31">
        <v>111</v>
      </c>
      <c r="B112" s="100" t="s">
        <v>417</v>
      </c>
      <c r="C112" s="51">
        <v>29</v>
      </c>
      <c r="D112" s="51" t="s">
        <v>79</v>
      </c>
      <c r="E112" s="43">
        <v>46054</v>
      </c>
      <c r="F112" s="43">
        <v>46477</v>
      </c>
      <c r="G112" s="51" t="s">
        <v>82</v>
      </c>
      <c r="H112" s="51" t="s">
        <v>823</v>
      </c>
      <c r="I112" s="103">
        <v>100000000</v>
      </c>
      <c r="J112" s="51" t="s">
        <v>127</v>
      </c>
      <c r="K112" s="51" t="s">
        <v>832</v>
      </c>
      <c r="L112" s="51" t="s">
        <v>843</v>
      </c>
      <c r="O112" s="51">
        <v>29</v>
      </c>
      <c r="P112" s="51">
        <v>0</v>
      </c>
      <c r="Q112" s="133">
        <v>0</v>
      </c>
      <c r="R112" s="51">
        <v>29</v>
      </c>
    </row>
    <row r="113" spans="1:18" ht="72" x14ac:dyDescent="0.3">
      <c r="A113" s="31">
        <v>112</v>
      </c>
      <c r="B113" s="100" t="s">
        <v>420</v>
      </c>
      <c r="C113" s="51">
        <v>29</v>
      </c>
      <c r="D113" s="51" t="s">
        <v>79</v>
      </c>
      <c r="E113" s="43">
        <v>46113</v>
      </c>
      <c r="F113" s="43">
        <v>46477</v>
      </c>
      <c r="G113" s="51" t="s">
        <v>82</v>
      </c>
      <c r="H113" s="51" t="s">
        <v>823</v>
      </c>
      <c r="I113" s="103">
        <v>200000000</v>
      </c>
      <c r="J113" s="51" t="s">
        <v>127</v>
      </c>
      <c r="K113" s="51" t="s">
        <v>832</v>
      </c>
      <c r="L113" s="51" t="s">
        <v>844</v>
      </c>
      <c r="O113" s="51">
        <v>29</v>
      </c>
      <c r="P113" s="51">
        <v>0</v>
      </c>
      <c r="Q113" s="133">
        <v>0</v>
      </c>
      <c r="R113" s="51">
        <v>29</v>
      </c>
    </row>
    <row r="114" spans="1:18" ht="43.2" x14ac:dyDescent="0.3">
      <c r="A114" s="31">
        <v>113</v>
      </c>
      <c r="B114" s="100" t="s">
        <v>424</v>
      </c>
      <c r="C114" s="51">
        <v>58</v>
      </c>
      <c r="D114" s="51" t="s">
        <v>79</v>
      </c>
      <c r="E114" s="43">
        <v>46113</v>
      </c>
      <c r="F114" s="43">
        <v>46477</v>
      </c>
      <c r="G114" s="51" t="s">
        <v>82</v>
      </c>
      <c r="H114" s="51" t="s">
        <v>823</v>
      </c>
      <c r="I114" s="103">
        <v>100000000</v>
      </c>
      <c r="J114" s="51" t="s">
        <v>127</v>
      </c>
      <c r="K114" s="51" t="s">
        <v>832</v>
      </c>
      <c r="L114" s="51" t="s">
        <v>844</v>
      </c>
      <c r="O114" s="51">
        <v>58</v>
      </c>
      <c r="P114" s="51">
        <v>0</v>
      </c>
      <c r="Q114" s="133">
        <v>0</v>
      </c>
      <c r="R114" s="51">
        <v>58</v>
      </c>
    </row>
    <row r="115" spans="1:18" ht="43.2" x14ac:dyDescent="0.3">
      <c r="A115" s="31">
        <v>114</v>
      </c>
      <c r="B115" s="100" t="s">
        <v>426</v>
      </c>
      <c r="C115" s="51">
        <v>4</v>
      </c>
      <c r="D115" s="51" t="s">
        <v>79</v>
      </c>
      <c r="E115" s="43">
        <v>46113</v>
      </c>
      <c r="F115" s="43">
        <v>46477</v>
      </c>
      <c r="G115" s="51" t="s">
        <v>82</v>
      </c>
      <c r="H115" s="51" t="s">
        <v>823</v>
      </c>
      <c r="I115" s="103">
        <v>80000000</v>
      </c>
      <c r="J115" s="51" t="s">
        <v>127</v>
      </c>
      <c r="K115" s="51" t="s">
        <v>832</v>
      </c>
      <c r="L115" s="51" t="s">
        <v>844</v>
      </c>
      <c r="O115" s="51">
        <v>4</v>
      </c>
      <c r="P115" s="51">
        <v>0</v>
      </c>
      <c r="Q115" s="133">
        <v>0</v>
      </c>
      <c r="R115" s="51">
        <v>4</v>
      </c>
    </row>
    <row r="116" spans="1:18" ht="43.2" x14ac:dyDescent="0.3">
      <c r="A116" s="31">
        <v>115</v>
      </c>
      <c r="B116" s="100" t="s">
        <v>429</v>
      </c>
      <c r="C116" s="51">
        <v>1</v>
      </c>
      <c r="D116" s="51" t="s">
        <v>79</v>
      </c>
      <c r="E116" s="43">
        <v>46113</v>
      </c>
      <c r="F116" s="43">
        <v>46477</v>
      </c>
      <c r="G116" s="51" t="s">
        <v>82</v>
      </c>
      <c r="H116" s="51" t="s">
        <v>823</v>
      </c>
      <c r="I116" s="103">
        <v>20000000</v>
      </c>
      <c r="J116" s="51" t="s">
        <v>430</v>
      </c>
      <c r="K116" s="51" t="s">
        <v>832</v>
      </c>
      <c r="L116" s="51" t="s">
        <v>844</v>
      </c>
      <c r="O116" s="51">
        <v>1</v>
      </c>
      <c r="P116" s="51">
        <v>0</v>
      </c>
      <c r="Q116" s="133">
        <v>0</v>
      </c>
      <c r="R116" s="51">
        <v>1</v>
      </c>
    </row>
    <row r="117" spans="1:18" ht="28.8" x14ac:dyDescent="0.3">
      <c r="A117" s="31">
        <v>116</v>
      </c>
      <c r="B117" s="100" t="s">
        <v>432</v>
      </c>
      <c r="C117" s="51">
        <v>1</v>
      </c>
      <c r="D117" s="51" t="s">
        <v>79</v>
      </c>
      <c r="E117" s="43">
        <v>46113</v>
      </c>
      <c r="F117" s="43">
        <v>46477</v>
      </c>
      <c r="G117" s="51" t="s">
        <v>82</v>
      </c>
      <c r="H117" s="51" t="s">
        <v>823</v>
      </c>
      <c r="I117" s="103">
        <v>50000000</v>
      </c>
      <c r="J117" s="51" t="s">
        <v>433</v>
      </c>
      <c r="K117" s="51" t="s">
        <v>832</v>
      </c>
      <c r="L117" s="51" t="s">
        <v>844</v>
      </c>
      <c r="O117" s="51">
        <v>1</v>
      </c>
      <c r="P117" s="51">
        <v>0</v>
      </c>
      <c r="Q117" s="133">
        <v>0</v>
      </c>
      <c r="R117" s="51">
        <v>1</v>
      </c>
    </row>
    <row r="118" spans="1:18" ht="28.8" x14ac:dyDescent="0.3">
      <c r="A118" s="31">
        <v>117</v>
      </c>
      <c r="B118" s="100" t="s">
        <v>435</v>
      </c>
      <c r="C118" s="51">
        <v>4</v>
      </c>
      <c r="D118" s="51" t="s">
        <v>79</v>
      </c>
      <c r="E118" s="43">
        <v>46113</v>
      </c>
      <c r="F118" s="43">
        <v>46477</v>
      </c>
      <c r="G118" s="51" t="s">
        <v>82</v>
      </c>
      <c r="H118" s="51" t="s">
        <v>823</v>
      </c>
      <c r="I118" s="103"/>
      <c r="J118" s="51" t="s">
        <v>436</v>
      </c>
      <c r="K118" s="51" t="s">
        <v>832</v>
      </c>
      <c r="L118" s="51" t="s">
        <v>844</v>
      </c>
      <c r="O118" s="51">
        <v>4</v>
      </c>
      <c r="P118" s="51">
        <v>0</v>
      </c>
      <c r="Q118" s="133">
        <v>0</v>
      </c>
      <c r="R118" s="51">
        <v>4</v>
      </c>
    </row>
    <row r="119" spans="1:18" ht="28.8" x14ac:dyDescent="0.3">
      <c r="A119" s="31">
        <v>118</v>
      </c>
      <c r="B119" s="100" t="s">
        <v>442</v>
      </c>
      <c r="C119" s="51">
        <v>1</v>
      </c>
      <c r="D119" s="51" t="s">
        <v>79</v>
      </c>
      <c r="E119" s="43">
        <v>46113</v>
      </c>
      <c r="F119" s="43">
        <v>46477</v>
      </c>
      <c r="G119" s="51" t="s">
        <v>82</v>
      </c>
      <c r="H119" s="51" t="s">
        <v>823</v>
      </c>
      <c r="I119" s="103">
        <v>20000000</v>
      </c>
      <c r="J119" s="51" t="s">
        <v>175</v>
      </c>
      <c r="K119" s="51" t="s">
        <v>832</v>
      </c>
      <c r="O119" s="51">
        <v>1</v>
      </c>
      <c r="P119" s="51">
        <v>0</v>
      </c>
      <c r="Q119" s="133">
        <v>0</v>
      </c>
      <c r="R119" s="51">
        <v>1</v>
      </c>
    </row>
    <row r="120" spans="1:18" x14ac:dyDescent="0.3">
      <c r="A120" s="31">
        <v>119</v>
      </c>
      <c r="B120" s="100" t="s">
        <v>445</v>
      </c>
      <c r="C120" s="51">
        <v>29</v>
      </c>
      <c r="D120" s="51" t="s">
        <v>79</v>
      </c>
      <c r="E120" s="43">
        <v>46113</v>
      </c>
      <c r="F120" s="43">
        <v>46477</v>
      </c>
      <c r="G120" s="51" t="s">
        <v>82</v>
      </c>
      <c r="H120" s="51" t="s">
        <v>823</v>
      </c>
      <c r="I120" s="103">
        <v>50000000</v>
      </c>
      <c r="J120" s="51" t="s">
        <v>127</v>
      </c>
      <c r="K120" s="51" t="s">
        <v>832</v>
      </c>
      <c r="L120" s="51" t="s">
        <v>844</v>
      </c>
      <c r="O120" s="51">
        <v>29</v>
      </c>
      <c r="P120" s="51">
        <v>0</v>
      </c>
      <c r="Q120" s="133">
        <v>0</v>
      </c>
      <c r="R120" s="51">
        <v>29</v>
      </c>
    </row>
    <row r="121" spans="1:18" ht="43.2" x14ac:dyDescent="0.3">
      <c r="A121" s="31">
        <v>120</v>
      </c>
      <c r="B121" s="100" t="s">
        <v>447</v>
      </c>
      <c r="C121" s="51">
        <v>29</v>
      </c>
      <c r="D121" s="51" t="s">
        <v>79</v>
      </c>
      <c r="E121" s="43">
        <v>46113</v>
      </c>
      <c r="F121" s="43">
        <v>46477</v>
      </c>
      <c r="G121" s="51" t="s">
        <v>82</v>
      </c>
      <c r="H121" s="51" t="s">
        <v>823</v>
      </c>
      <c r="I121" s="103">
        <v>120000000</v>
      </c>
      <c r="J121" s="51" t="s">
        <v>127</v>
      </c>
      <c r="K121" s="51" t="s">
        <v>832</v>
      </c>
      <c r="L121" s="51" t="s">
        <v>844</v>
      </c>
      <c r="O121" s="51">
        <v>29</v>
      </c>
      <c r="P121" s="51">
        <v>0</v>
      </c>
      <c r="Q121" s="133">
        <v>0</v>
      </c>
      <c r="R121" s="51">
        <v>29</v>
      </c>
    </row>
    <row r="122" spans="1:18" ht="43.2" x14ac:dyDescent="0.3">
      <c r="A122" s="31">
        <v>121</v>
      </c>
      <c r="B122" s="100" t="s">
        <v>448</v>
      </c>
      <c r="C122" s="51">
        <v>29</v>
      </c>
      <c r="D122" s="51" t="s">
        <v>79</v>
      </c>
      <c r="E122" s="43">
        <v>46054</v>
      </c>
      <c r="F122" s="43">
        <v>46477</v>
      </c>
      <c r="G122" s="51" t="s">
        <v>82</v>
      </c>
      <c r="H122" s="51" t="s">
        <v>823</v>
      </c>
      <c r="I122" s="103">
        <v>9239653</v>
      </c>
      <c r="K122" s="51" t="s">
        <v>832</v>
      </c>
      <c r="L122" s="51" t="s">
        <v>844</v>
      </c>
      <c r="O122" s="51">
        <v>29</v>
      </c>
      <c r="P122" s="51">
        <v>0</v>
      </c>
      <c r="Q122" s="133">
        <v>0</v>
      </c>
      <c r="R122" s="51">
        <v>29</v>
      </c>
    </row>
    <row r="123" spans="1:18" ht="43.2" x14ac:dyDescent="0.3">
      <c r="A123" s="31">
        <v>122</v>
      </c>
      <c r="B123" s="100" t="s">
        <v>448</v>
      </c>
      <c r="C123" s="51">
        <v>29</v>
      </c>
      <c r="D123" s="51" t="s">
        <v>79</v>
      </c>
      <c r="E123" s="43">
        <v>46113</v>
      </c>
      <c r="F123" s="43">
        <v>46477</v>
      </c>
      <c r="G123" s="51" t="s">
        <v>82</v>
      </c>
      <c r="H123" s="51" t="s">
        <v>823</v>
      </c>
      <c r="I123" s="103">
        <v>92000000</v>
      </c>
      <c r="J123" s="51" t="s">
        <v>127</v>
      </c>
      <c r="K123" s="51" t="s">
        <v>832</v>
      </c>
      <c r="L123" s="51" t="s">
        <v>844</v>
      </c>
      <c r="O123" s="51">
        <v>29</v>
      </c>
      <c r="P123" s="51">
        <v>0</v>
      </c>
      <c r="Q123" s="133">
        <v>0</v>
      </c>
      <c r="R123" s="51">
        <v>29</v>
      </c>
    </row>
    <row r="124" spans="1:18" ht="28.8" x14ac:dyDescent="0.3">
      <c r="A124" s="31">
        <v>123</v>
      </c>
      <c r="B124" s="100" t="s">
        <v>449</v>
      </c>
      <c r="C124" s="51">
        <v>1</v>
      </c>
      <c r="D124" s="51" t="s">
        <v>79</v>
      </c>
      <c r="E124" s="43">
        <v>46113</v>
      </c>
      <c r="F124" s="43">
        <v>46477</v>
      </c>
      <c r="G124" s="51" t="s">
        <v>82</v>
      </c>
      <c r="H124" s="51" t="s">
        <v>823</v>
      </c>
      <c r="I124" s="103">
        <v>9239653</v>
      </c>
      <c r="J124" s="51" t="s">
        <v>433</v>
      </c>
      <c r="K124" s="51" t="s">
        <v>832</v>
      </c>
      <c r="L124" s="51" t="s">
        <v>844</v>
      </c>
      <c r="O124" s="51">
        <v>1</v>
      </c>
      <c r="P124" s="51">
        <v>0</v>
      </c>
      <c r="Q124" s="133">
        <v>0</v>
      </c>
      <c r="R124" s="51">
        <v>1</v>
      </c>
    </row>
    <row r="125" spans="1:18" ht="28.8" x14ac:dyDescent="0.3">
      <c r="A125" s="31">
        <v>124</v>
      </c>
      <c r="B125" s="100" t="s">
        <v>449</v>
      </c>
      <c r="C125" s="51">
        <v>1</v>
      </c>
      <c r="D125" s="51" t="s">
        <v>79</v>
      </c>
      <c r="E125" s="43">
        <v>46113</v>
      </c>
      <c r="F125" s="43">
        <v>46477</v>
      </c>
      <c r="G125" s="51" t="s">
        <v>82</v>
      </c>
      <c r="H125" s="51" t="s">
        <v>823</v>
      </c>
      <c r="I125" s="103">
        <v>15000000</v>
      </c>
      <c r="J125" s="51" t="s">
        <v>83</v>
      </c>
      <c r="K125" s="51" t="s">
        <v>832</v>
      </c>
      <c r="L125" s="51" t="s">
        <v>845</v>
      </c>
      <c r="O125" s="51">
        <v>1</v>
      </c>
      <c r="P125" s="51">
        <v>0</v>
      </c>
      <c r="Q125" s="133">
        <v>0</v>
      </c>
      <c r="R125" s="51">
        <v>1</v>
      </c>
    </row>
    <row r="126" spans="1:18" ht="28.8" x14ac:dyDescent="0.3">
      <c r="A126" s="31">
        <v>125</v>
      </c>
      <c r="B126" s="100" t="s">
        <v>455</v>
      </c>
      <c r="C126" s="51">
        <v>100</v>
      </c>
      <c r="D126" s="51" t="s">
        <v>126</v>
      </c>
      <c r="E126" s="43">
        <v>46113</v>
      </c>
      <c r="F126" s="43">
        <v>46477</v>
      </c>
      <c r="G126" s="51" t="s">
        <v>82</v>
      </c>
      <c r="H126" s="51" t="s">
        <v>823</v>
      </c>
      <c r="I126" s="103">
        <v>58261013</v>
      </c>
      <c r="J126" s="51" t="s">
        <v>83</v>
      </c>
      <c r="K126" s="51" t="s">
        <v>832</v>
      </c>
      <c r="L126" s="51" t="s">
        <v>845</v>
      </c>
      <c r="O126" s="51">
        <v>100</v>
      </c>
      <c r="P126" s="51">
        <v>0</v>
      </c>
      <c r="Q126" s="133">
        <v>0</v>
      </c>
      <c r="R126" s="51">
        <v>100</v>
      </c>
    </row>
    <row r="127" spans="1:18" ht="43.2" x14ac:dyDescent="0.3">
      <c r="A127" s="31">
        <v>126</v>
      </c>
      <c r="B127" s="100" t="s">
        <v>458</v>
      </c>
      <c r="C127" s="51">
        <v>29</v>
      </c>
      <c r="D127" s="51" t="s">
        <v>79</v>
      </c>
      <c r="E127" s="43">
        <v>46113</v>
      </c>
      <c r="F127" s="43">
        <v>46477</v>
      </c>
      <c r="G127" s="51" t="s">
        <v>82</v>
      </c>
      <c r="H127" s="51" t="s">
        <v>823</v>
      </c>
      <c r="I127" s="103">
        <v>100000000</v>
      </c>
      <c r="J127" s="51" t="s">
        <v>83</v>
      </c>
      <c r="K127" s="51" t="s">
        <v>832</v>
      </c>
      <c r="L127" s="51" t="s">
        <v>845</v>
      </c>
      <c r="O127" s="51">
        <v>29</v>
      </c>
      <c r="P127" s="51">
        <v>0</v>
      </c>
      <c r="Q127" s="133">
        <v>0</v>
      </c>
      <c r="R127" s="51">
        <v>29</v>
      </c>
    </row>
    <row r="128" spans="1:18" ht="57.6" x14ac:dyDescent="0.3">
      <c r="A128" s="31">
        <v>127</v>
      </c>
      <c r="B128" s="100" t="s">
        <v>464</v>
      </c>
      <c r="C128" s="51">
        <v>29</v>
      </c>
      <c r="D128" s="51" t="s">
        <v>79</v>
      </c>
      <c r="E128" s="43">
        <v>46113</v>
      </c>
      <c r="F128" s="43">
        <v>46477</v>
      </c>
      <c r="G128" s="51" t="s">
        <v>82</v>
      </c>
      <c r="H128" s="51" t="s">
        <v>823</v>
      </c>
      <c r="I128" s="103">
        <v>60000000</v>
      </c>
      <c r="J128" s="51" t="s">
        <v>127</v>
      </c>
      <c r="K128" s="51" t="s">
        <v>832</v>
      </c>
      <c r="L128" s="51" t="s">
        <v>845</v>
      </c>
      <c r="O128" s="51">
        <v>29</v>
      </c>
      <c r="P128" s="51">
        <v>0</v>
      </c>
      <c r="Q128" s="133">
        <v>0</v>
      </c>
      <c r="R128" s="51">
        <v>29</v>
      </c>
    </row>
    <row r="129" spans="1:18" ht="28.8" x14ac:dyDescent="0.3">
      <c r="A129" s="31">
        <v>128</v>
      </c>
      <c r="B129" s="100" t="s">
        <v>468</v>
      </c>
      <c r="C129" s="51">
        <v>1</v>
      </c>
      <c r="D129" s="51" t="s">
        <v>79</v>
      </c>
      <c r="E129" s="43">
        <v>46113</v>
      </c>
      <c r="F129" s="43">
        <v>46477</v>
      </c>
      <c r="G129" s="51" t="s">
        <v>82</v>
      </c>
      <c r="H129" s="51" t="s">
        <v>823</v>
      </c>
      <c r="I129" s="103">
        <v>30000000</v>
      </c>
      <c r="J129" s="51" t="s">
        <v>127</v>
      </c>
      <c r="K129" s="51" t="s">
        <v>832</v>
      </c>
      <c r="L129" s="51" t="s">
        <v>845</v>
      </c>
      <c r="O129" s="51">
        <v>1</v>
      </c>
      <c r="P129" s="51">
        <v>0</v>
      </c>
      <c r="Q129" s="133">
        <v>0</v>
      </c>
      <c r="R129" s="51">
        <v>1</v>
      </c>
    </row>
    <row r="130" spans="1:18" x14ac:dyDescent="0.3">
      <c r="A130" s="31">
        <v>129</v>
      </c>
      <c r="B130" s="100" t="s">
        <v>471</v>
      </c>
      <c r="C130" s="51">
        <v>1</v>
      </c>
      <c r="D130" s="51" t="s">
        <v>79</v>
      </c>
      <c r="E130" s="43">
        <v>46113</v>
      </c>
      <c r="F130" s="43">
        <v>46477</v>
      </c>
      <c r="G130" s="51" t="s">
        <v>82</v>
      </c>
      <c r="H130" s="51" t="s">
        <v>823</v>
      </c>
      <c r="I130" s="103"/>
      <c r="J130" s="51" t="s">
        <v>127</v>
      </c>
      <c r="K130" s="51" t="s">
        <v>832</v>
      </c>
      <c r="L130" s="51" t="s">
        <v>845</v>
      </c>
      <c r="O130" s="51">
        <v>1</v>
      </c>
      <c r="P130" s="51">
        <v>0</v>
      </c>
      <c r="Q130" s="133">
        <v>0</v>
      </c>
      <c r="R130" s="51">
        <v>1</v>
      </c>
    </row>
    <row r="131" spans="1:18" ht="28.8" x14ac:dyDescent="0.3">
      <c r="A131" s="31">
        <v>130</v>
      </c>
      <c r="B131" s="100" t="s">
        <v>474</v>
      </c>
      <c r="C131" s="51">
        <v>1</v>
      </c>
      <c r="D131" s="51" t="s">
        <v>79</v>
      </c>
      <c r="E131" s="43">
        <v>46113</v>
      </c>
      <c r="F131" s="43">
        <v>46387</v>
      </c>
      <c r="G131" s="51" t="s">
        <v>82</v>
      </c>
      <c r="H131" s="51" t="s">
        <v>823</v>
      </c>
      <c r="I131" s="103">
        <v>30000000</v>
      </c>
      <c r="J131" s="51" t="s">
        <v>83</v>
      </c>
      <c r="K131" s="51" t="s">
        <v>832</v>
      </c>
      <c r="L131" s="51" t="s">
        <v>845</v>
      </c>
      <c r="O131" s="51">
        <v>1</v>
      </c>
      <c r="P131" s="51">
        <v>0</v>
      </c>
      <c r="Q131" s="133">
        <v>0</v>
      </c>
      <c r="R131" s="51">
        <v>1</v>
      </c>
    </row>
    <row r="132" spans="1:18" ht="28.8" x14ac:dyDescent="0.3">
      <c r="A132" s="31">
        <v>131</v>
      </c>
      <c r="B132" s="100" t="s">
        <v>479</v>
      </c>
      <c r="C132" s="51">
        <v>29</v>
      </c>
      <c r="D132" s="51" t="s">
        <v>79</v>
      </c>
      <c r="E132" s="43">
        <v>46113</v>
      </c>
      <c r="F132" s="43">
        <v>46447</v>
      </c>
      <c r="G132" s="51" t="s">
        <v>82</v>
      </c>
      <c r="H132" s="51" t="s">
        <v>823</v>
      </c>
      <c r="I132" s="103"/>
      <c r="J132" s="51" t="s">
        <v>480</v>
      </c>
      <c r="K132" s="51" t="s">
        <v>832</v>
      </c>
      <c r="O132" s="51">
        <v>29</v>
      </c>
      <c r="P132" s="51">
        <v>10</v>
      </c>
      <c r="Q132" s="133">
        <v>0.34482758620689657</v>
      </c>
      <c r="R132" s="51">
        <v>19</v>
      </c>
    </row>
    <row r="133" spans="1:18" ht="28.8" x14ac:dyDescent="0.3">
      <c r="A133" s="31">
        <v>132</v>
      </c>
      <c r="B133" s="100" t="s">
        <v>483</v>
      </c>
      <c r="C133" s="51">
        <v>29</v>
      </c>
      <c r="D133" s="51" t="s">
        <v>79</v>
      </c>
      <c r="E133" s="43">
        <v>46082</v>
      </c>
      <c r="F133" s="43">
        <v>46447</v>
      </c>
      <c r="G133" s="51" t="s">
        <v>82</v>
      </c>
      <c r="H133" s="51" t="s">
        <v>823</v>
      </c>
      <c r="I133" s="103"/>
      <c r="J133" s="51" t="s">
        <v>480</v>
      </c>
      <c r="K133" s="51" t="s">
        <v>832</v>
      </c>
      <c r="O133" s="51">
        <v>29</v>
      </c>
      <c r="P133" s="51">
        <v>4</v>
      </c>
      <c r="Q133" s="133">
        <v>0.13793103448275862</v>
      </c>
      <c r="R133" s="51">
        <v>25</v>
      </c>
    </row>
    <row r="134" spans="1:18" ht="28.8" x14ac:dyDescent="0.3">
      <c r="A134" s="31">
        <v>133</v>
      </c>
      <c r="B134" s="100" t="s">
        <v>485</v>
      </c>
      <c r="C134" s="51">
        <v>29</v>
      </c>
      <c r="D134" s="51" t="s">
        <v>79</v>
      </c>
      <c r="E134" s="43">
        <v>46082</v>
      </c>
      <c r="F134" s="43">
        <v>46447</v>
      </c>
      <c r="G134" s="51" t="s">
        <v>82</v>
      </c>
      <c r="H134" s="51" t="s">
        <v>823</v>
      </c>
      <c r="I134" s="103"/>
      <c r="J134" s="51" t="s">
        <v>480</v>
      </c>
      <c r="K134" s="51" t="s">
        <v>832</v>
      </c>
      <c r="O134" s="51">
        <v>29</v>
      </c>
      <c r="P134" s="51">
        <v>12</v>
      </c>
      <c r="Q134" s="133">
        <v>0.41379310344827586</v>
      </c>
      <c r="R134" s="51">
        <v>17</v>
      </c>
    </row>
    <row r="135" spans="1:18" x14ac:dyDescent="0.3">
      <c r="A135" s="31">
        <v>134</v>
      </c>
      <c r="B135" s="100" t="s">
        <v>487</v>
      </c>
      <c r="C135" s="51">
        <v>1</v>
      </c>
      <c r="D135" s="51" t="s">
        <v>79</v>
      </c>
      <c r="E135" s="43">
        <v>46082</v>
      </c>
      <c r="F135" s="43">
        <v>46447</v>
      </c>
      <c r="G135" s="51" t="s">
        <v>82</v>
      </c>
      <c r="H135" s="51" t="s">
        <v>823</v>
      </c>
      <c r="I135" s="103">
        <v>10000000</v>
      </c>
      <c r="J135" s="51" t="s">
        <v>480</v>
      </c>
      <c r="K135" s="51" t="s">
        <v>832</v>
      </c>
      <c r="O135" s="51">
        <v>1</v>
      </c>
      <c r="P135" s="51">
        <v>1</v>
      </c>
      <c r="Q135" s="133">
        <v>1</v>
      </c>
      <c r="R135" s="51">
        <v>0</v>
      </c>
    </row>
    <row r="136" spans="1:18" ht="28.8" x14ac:dyDescent="0.3">
      <c r="A136" s="31">
        <v>135</v>
      </c>
      <c r="B136" s="100" t="s">
        <v>491</v>
      </c>
      <c r="C136" s="51">
        <v>29</v>
      </c>
      <c r="D136" s="51" t="s">
        <v>79</v>
      </c>
      <c r="E136" s="43">
        <v>46032</v>
      </c>
      <c r="F136" s="43">
        <v>46387</v>
      </c>
      <c r="G136" s="51" t="s">
        <v>82</v>
      </c>
      <c r="H136" s="51" t="s">
        <v>823</v>
      </c>
      <c r="I136" s="103"/>
      <c r="J136" s="51" t="s">
        <v>480</v>
      </c>
      <c r="K136" s="51" t="s">
        <v>832</v>
      </c>
      <c r="O136" s="51">
        <v>29</v>
      </c>
      <c r="P136" s="51">
        <v>22</v>
      </c>
      <c r="Q136" s="133">
        <v>0.75862068965517238</v>
      </c>
      <c r="R136" s="51">
        <v>7</v>
      </c>
    </row>
    <row r="137" spans="1:18" ht="28.8" x14ac:dyDescent="0.3">
      <c r="A137" s="31">
        <v>136</v>
      </c>
      <c r="B137" s="100" t="s">
        <v>493</v>
      </c>
      <c r="C137" s="51">
        <v>15</v>
      </c>
      <c r="D137" s="51" t="s">
        <v>79</v>
      </c>
      <c r="E137" s="43">
        <v>46054</v>
      </c>
      <c r="F137" s="43">
        <v>46477</v>
      </c>
      <c r="G137" s="51" t="s">
        <v>82</v>
      </c>
      <c r="H137" s="51" t="s">
        <v>823</v>
      </c>
      <c r="I137" s="103"/>
      <c r="K137" s="51" t="s">
        <v>832</v>
      </c>
      <c r="O137" s="51">
        <v>15</v>
      </c>
      <c r="P137" s="51">
        <v>5</v>
      </c>
      <c r="Q137" s="133">
        <v>0.33333333333333331</v>
      </c>
      <c r="R137" s="51">
        <v>10</v>
      </c>
    </row>
    <row r="138" spans="1:18" ht="28.8" x14ac:dyDescent="0.3">
      <c r="A138" s="31">
        <v>137</v>
      </c>
      <c r="B138" s="100" t="s">
        <v>494</v>
      </c>
      <c r="C138" s="51">
        <v>2</v>
      </c>
      <c r="D138" s="51" t="s">
        <v>79</v>
      </c>
      <c r="E138" s="43">
        <v>46054</v>
      </c>
      <c r="F138" s="43">
        <v>46477</v>
      </c>
      <c r="G138" s="51" t="s">
        <v>82</v>
      </c>
      <c r="H138" s="51" t="s">
        <v>823</v>
      </c>
      <c r="I138" s="103"/>
      <c r="K138" s="51" t="s">
        <v>832</v>
      </c>
      <c r="O138" s="51">
        <v>2</v>
      </c>
      <c r="P138" s="51">
        <v>0</v>
      </c>
      <c r="Q138" s="133">
        <v>0</v>
      </c>
      <c r="R138" s="51">
        <v>2</v>
      </c>
    </row>
    <row r="139" spans="1:18" x14ac:dyDescent="0.3">
      <c r="A139" s="31">
        <v>138</v>
      </c>
      <c r="B139" s="100" t="s">
        <v>495</v>
      </c>
      <c r="C139" s="51">
        <v>29</v>
      </c>
      <c r="D139" s="51" t="s">
        <v>79</v>
      </c>
      <c r="E139" s="43">
        <v>46113</v>
      </c>
      <c r="F139" s="43">
        <v>46477</v>
      </c>
      <c r="G139" s="51" t="s">
        <v>82</v>
      </c>
      <c r="H139" s="51" t="s">
        <v>823</v>
      </c>
      <c r="I139" s="103"/>
      <c r="J139" s="51" t="s">
        <v>127</v>
      </c>
      <c r="K139" s="51" t="s">
        <v>832</v>
      </c>
      <c r="O139" s="51">
        <v>29</v>
      </c>
      <c r="P139" s="51">
        <v>22</v>
      </c>
      <c r="Q139" s="133">
        <v>0.75862068965517238</v>
      </c>
      <c r="R139" s="51">
        <v>7</v>
      </c>
    </row>
    <row r="140" spans="1:18" ht="28.8" x14ac:dyDescent="0.3">
      <c r="A140" s="31">
        <v>139</v>
      </c>
      <c r="B140" s="100" t="s">
        <v>496</v>
      </c>
      <c r="C140" s="51">
        <v>4</v>
      </c>
      <c r="D140" s="51" t="s">
        <v>79</v>
      </c>
      <c r="E140" s="43">
        <v>46054</v>
      </c>
      <c r="F140" s="43">
        <v>46477</v>
      </c>
      <c r="G140" s="51" t="s">
        <v>82</v>
      </c>
      <c r="H140" s="51" t="s">
        <v>823</v>
      </c>
      <c r="I140" s="103">
        <v>40000000</v>
      </c>
      <c r="K140" s="51" t="s">
        <v>832</v>
      </c>
      <c r="O140" s="51">
        <v>4</v>
      </c>
      <c r="P140" s="51">
        <v>0</v>
      </c>
      <c r="Q140" s="133">
        <v>0</v>
      </c>
      <c r="R140" s="51">
        <v>4</v>
      </c>
    </row>
    <row r="141" spans="1:18" x14ac:dyDescent="0.3">
      <c r="A141" s="31">
        <v>140</v>
      </c>
      <c r="B141" s="100" t="s">
        <v>497</v>
      </c>
      <c r="C141" s="51">
        <v>1</v>
      </c>
      <c r="D141" s="51" t="s">
        <v>79</v>
      </c>
      <c r="E141" s="43">
        <v>46054</v>
      </c>
      <c r="F141" s="43">
        <v>46477</v>
      </c>
      <c r="G141" s="51" t="s">
        <v>82</v>
      </c>
      <c r="H141" s="51" t="s">
        <v>823</v>
      </c>
      <c r="I141" s="103">
        <v>20000000</v>
      </c>
      <c r="K141" s="51" t="s">
        <v>832</v>
      </c>
      <c r="O141" s="51">
        <v>1</v>
      </c>
      <c r="P141" s="51">
        <v>0</v>
      </c>
      <c r="Q141" s="133">
        <v>0</v>
      </c>
      <c r="R141" s="51">
        <v>1</v>
      </c>
    </row>
    <row r="142" spans="1:18" ht="57.6" x14ac:dyDescent="0.3">
      <c r="A142" s="31">
        <v>141</v>
      </c>
      <c r="B142" s="100" t="s">
        <v>500</v>
      </c>
      <c r="C142" s="51">
        <v>29</v>
      </c>
      <c r="D142" s="51" t="s">
        <v>79</v>
      </c>
      <c r="E142" s="43">
        <v>46054</v>
      </c>
      <c r="F142" s="43">
        <v>46477</v>
      </c>
      <c r="G142" s="51" t="s">
        <v>82</v>
      </c>
      <c r="H142" s="51" t="s">
        <v>823</v>
      </c>
      <c r="I142" s="103">
        <v>60000000</v>
      </c>
      <c r="K142" s="51" t="s">
        <v>832</v>
      </c>
      <c r="O142" s="51">
        <v>29</v>
      </c>
      <c r="P142" s="51">
        <v>0</v>
      </c>
      <c r="Q142" s="133">
        <v>0</v>
      </c>
      <c r="R142" s="51">
        <v>29</v>
      </c>
    </row>
    <row r="143" spans="1:18" ht="28.8" x14ac:dyDescent="0.3">
      <c r="A143" s="31">
        <v>142</v>
      </c>
      <c r="B143" s="100" t="s">
        <v>503</v>
      </c>
      <c r="C143" s="51">
        <v>29</v>
      </c>
      <c r="D143" s="51" t="s">
        <v>79</v>
      </c>
      <c r="E143" s="43">
        <v>46054</v>
      </c>
      <c r="F143" s="43">
        <v>46477</v>
      </c>
      <c r="G143" s="51" t="s">
        <v>82</v>
      </c>
      <c r="H143" s="51" t="s">
        <v>823</v>
      </c>
      <c r="I143" s="103"/>
      <c r="K143" s="51" t="s">
        <v>832</v>
      </c>
      <c r="O143" s="51">
        <v>29</v>
      </c>
      <c r="P143" s="51">
        <v>17</v>
      </c>
      <c r="Q143" s="133">
        <v>0.58620689655172409</v>
      </c>
      <c r="R143" s="51">
        <v>12</v>
      </c>
    </row>
    <row r="144" spans="1:18" ht="28.8" x14ac:dyDescent="0.3">
      <c r="A144" s="31">
        <v>143</v>
      </c>
      <c r="B144" s="100" t="s">
        <v>504</v>
      </c>
      <c r="C144" s="51">
        <v>29</v>
      </c>
      <c r="D144" s="51" t="s">
        <v>79</v>
      </c>
      <c r="E144" s="43">
        <v>46113</v>
      </c>
      <c r="F144" s="43">
        <v>46477</v>
      </c>
      <c r="G144" s="51" t="s">
        <v>82</v>
      </c>
      <c r="H144" s="51" t="s">
        <v>823</v>
      </c>
      <c r="I144" s="103"/>
      <c r="J144" s="51" t="s">
        <v>505</v>
      </c>
      <c r="K144" s="51" t="s">
        <v>832</v>
      </c>
      <c r="O144" s="51">
        <v>29</v>
      </c>
      <c r="P144" s="51">
        <v>17</v>
      </c>
      <c r="Q144" s="133">
        <v>0.58620689655172409</v>
      </c>
      <c r="R144" s="51">
        <v>12</v>
      </c>
    </row>
    <row r="145" spans="1:18" x14ac:dyDescent="0.3">
      <c r="A145" s="31">
        <v>144</v>
      </c>
      <c r="B145" s="100" t="s">
        <v>507</v>
      </c>
      <c r="C145" s="51">
        <v>1</v>
      </c>
      <c r="D145" s="51" t="s">
        <v>79</v>
      </c>
      <c r="E145" s="43">
        <v>46113</v>
      </c>
      <c r="F145" s="43">
        <v>46477</v>
      </c>
      <c r="G145" s="51" t="s">
        <v>82</v>
      </c>
      <c r="H145" s="51" t="s">
        <v>823</v>
      </c>
      <c r="I145" s="103">
        <v>10000000</v>
      </c>
      <c r="J145" s="51" t="s">
        <v>127</v>
      </c>
      <c r="K145" s="51" t="s">
        <v>832</v>
      </c>
      <c r="O145" s="51">
        <v>1</v>
      </c>
      <c r="P145" s="51">
        <v>1</v>
      </c>
      <c r="Q145" s="133">
        <v>1</v>
      </c>
      <c r="R145" s="51">
        <v>0</v>
      </c>
    </row>
    <row r="146" spans="1:18" ht="43.2" x14ac:dyDescent="0.3">
      <c r="A146" s="31">
        <v>145</v>
      </c>
      <c r="B146" s="100" t="s">
        <v>512</v>
      </c>
      <c r="C146" s="51">
        <v>29</v>
      </c>
      <c r="D146" s="51" t="s">
        <v>79</v>
      </c>
      <c r="E146" s="43">
        <v>46113</v>
      </c>
      <c r="F146" s="43">
        <v>46477</v>
      </c>
      <c r="G146" s="51" t="s">
        <v>82</v>
      </c>
      <c r="H146" s="51" t="s">
        <v>823</v>
      </c>
      <c r="I146" s="103">
        <v>60000000</v>
      </c>
      <c r="J146" s="51" t="s">
        <v>505</v>
      </c>
      <c r="K146" s="51" t="s">
        <v>832</v>
      </c>
      <c r="O146" s="51">
        <v>29</v>
      </c>
      <c r="P146" s="51">
        <v>0</v>
      </c>
      <c r="Q146" s="133">
        <v>0</v>
      </c>
      <c r="R146" s="51">
        <v>29</v>
      </c>
    </row>
    <row r="147" spans="1:18" ht="28.8" x14ac:dyDescent="0.3">
      <c r="A147" s="31">
        <v>146</v>
      </c>
      <c r="B147" s="100" t="s">
        <v>513</v>
      </c>
      <c r="C147" s="51">
        <v>29</v>
      </c>
      <c r="D147" s="51" t="s">
        <v>79</v>
      </c>
      <c r="E147" s="43">
        <v>46054</v>
      </c>
      <c r="F147" s="43">
        <v>46477</v>
      </c>
      <c r="G147" s="51" t="s">
        <v>82</v>
      </c>
      <c r="H147" s="51" t="s">
        <v>823</v>
      </c>
      <c r="I147" s="103"/>
      <c r="K147" s="51" t="s">
        <v>832</v>
      </c>
      <c r="O147" s="51">
        <v>29</v>
      </c>
      <c r="P147" s="51">
        <v>15</v>
      </c>
      <c r="Q147" s="133">
        <v>0.51724137931034486</v>
      </c>
      <c r="R147" s="51">
        <v>14</v>
      </c>
    </row>
    <row r="148" spans="1:18" ht="28.8" x14ac:dyDescent="0.3">
      <c r="A148" s="31">
        <v>147</v>
      </c>
      <c r="B148" s="100" t="s">
        <v>514</v>
      </c>
      <c r="C148" s="51">
        <v>29</v>
      </c>
      <c r="D148" s="51" t="s">
        <v>79</v>
      </c>
      <c r="E148" s="43">
        <v>46054</v>
      </c>
      <c r="F148" s="43">
        <v>46477</v>
      </c>
      <c r="G148" s="51" t="s">
        <v>82</v>
      </c>
      <c r="H148" s="51" t="s">
        <v>823</v>
      </c>
      <c r="I148" s="103"/>
      <c r="K148" s="51" t="s">
        <v>832</v>
      </c>
      <c r="O148" s="51">
        <v>29</v>
      </c>
      <c r="P148" s="51">
        <v>16</v>
      </c>
      <c r="Q148" s="133">
        <v>0.55172413793103448</v>
      </c>
      <c r="R148" s="51">
        <v>13</v>
      </c>
    </row>
    <row r="149" spans="1:18" ht="43.2" x14ac:dyDescent="0.3">
      <c r="A149" s="31">
        <v>148</v>
      </c>
      <c r="B149" s="100" t="s">
        <v>515</v>
      </c>
      <c r="C149" s="51">
        <v>1</v>
      </c>
      <c r="D149" s="51" t="s">
        <v>79</v>
      </c>
      <c r="E149" s="43">
        <v>46113</v>
      </c>
      <c r="F149" s="43">
        <v>46477</v>
      </c>
      <c r="G149" s="51" t="s">
        <v>82</v>
      </c>
      <c r="H149" s="51" t="s">
        <v>823</v>
      </c>
      <c r="I149" s="103">
        <v>80000000</v>
      </c>
      <c r="J149" s="51" t="s">
        <v>127</v>
      </c>
      <c r="K149" s="51" t="s">
        <v>832</v>
      </c>
      <c r="O149" s="51">
        <v>1</v>
      </c>
      <c r="P149" s="51">
        <v>0</v>
      </c>
      <c r="Q149" s="133">
        <v>0</v>
      </c>
      <c r="R149" s="51">
        <v>1</v>
      </c>
    </row>
    <row r="150" spans="1:18" ht="43.2" x14ac:dyDescent="0.3">
      <c r="A150" s="31">
        <v>149</v>
      </c>
      <c r="B150" s="100" t="s">
        <v>517</v>
      </c>
      <c r="C150" s="51">
        <v>29</v>
      </c>
      <c r="D150" s="51" t="s">
        <v>79</v>
      </c>
      <c r="E150" s="43">
        <v>46113</v>
      </c>
      <c r="F150" s="43">
        <v>46477</v>
      </c>
      <c r="G150" s="51" t="s">
        <v>82</v>
      </c>
      <c r="H150" s="51" t="s">
        <v>823</v>
      </c>
      <c r="I150" s="103">
        <v>60000000</v>
      </c>
      <c r="J150" s="51" t="s">
        <v>518</v>
      </c>
      <c r="K150" s="51" t="s">
        <v>832</v>
      </c>
      <c r="O150" s="51">
        <v>29</v>
      </c>
      <c r="P150" s="51">
        <v>15</v>
      </c>
      <c r="Q150" s="133">
        <v>0.51724137931034486</v>
      </c>
      <c r="R150" s="51">
        <v>14</v>
      </c>
    </row>
    <row r="151" spans="1:18" x14ac:dyDescent="0.3">
      <c r="A151" s="31">
        <v>150</v>
      </c>
      <c r="B151" s="100" t="s">
        <v>523</v>
      </c>
      <c r="C151" s="51">
        <v>1</v>
      </c>
      <c r="D151" s="51" t="s">
        <v>79</v>
      </c>
      <c r="E151" s="43">
        <v>46054</v>
      </c>
      <c r="F151" s="43">
        <v>46477</v>
      </c>
      <c r="G151" s="51" t="s">
        <v>82</v>
      </c>
      <c r="H151" s="51" t="s">
        <v>823</v>
      </c>
      <c r="I151" s="103"/>
      <c r="K151" s="51" t="s">
        <v>832</v>
      </c>
      <c r="O151" s="51">
        <v>1</v>
      </c>
      <c r="P151" s="51">
        <v>0</v>
      </c>
      <c r="Q151" s="133">
        <v>0</v>
      </c>
      <c r="R151" s="51">
        <v>1</v>
      </c>
    </row>
    <row r="152" spans="1:18" ht="28.8" x14ac:dyDescent="0.3">
      <c r="A152" s="31">
        <v>151</v>
      </c>
      <c r="B152" s="100" t="s">
        <v>524</v>
      </c>
      <c r="C152" s="51">
        <v>12</v>
      </c>
      <c r="D152" s="51" t="s">
        <v>79</v>
      </c>
      <c r="E152" s="43">
        <v>46054</v>
      </c>
      <c r="F152" s="43">
        <v>46477</v>
      </c>
      <c r="G152" s="51" t="s">
        <v>82</v>
      </c>
      <c r="H152" s="51" t="s">
        <v>823</v>
      </c>
      <c r="I152" s="103">
        <v>40000000</v>
      </c>
      <c r="K152" s="51" t="s">
        <v>832</v>
      </c>
      <c r="O152" s="51">
        <v>12</v>
      </c>
      <c r="P152" s="51">
        <v>0</v>
      </c>
      <c r="Q152" s="133">
        <v>0</v>
      </c>
      <c r="R152" s="51">
        <v>12</v>
      </c>
    </row>
    <row r="153" spans="1:18" x14ac:dyDescent="0.3">
      <c r="A153" s="31">
        <v>152</v>
      </c>
      <c r="B153" s="100" t="s">
        <v>525</v>
      </c>
      <c r="C153" s="51">
        <v>4</v>
      </c>
      <c r="D153" s="51" t="s">
        <v>79</v>
      </c>
      <c r="E153" s="43">
        <v>46113</v>
      </c>
      <c r="F153" s="43">
        <v>46477</v>
      </c>
      <c r="G153" s="51" t="s">
        <v>82</v>
      </c>
      <c r="H153" s="51" t="s">
        <v>823</v>
      </c>
      <c r="I153" s="103">
        <v>40000000</v>
      </c>
      <c r="J153" s="51" t="s">
        <v>83</v>
      </c>
      <c r="K153" s="51" t="s">
        <v>832</v>
      </c>
      <c r="O153" s="51">
        <v>4</v>
      </c>
      <c r="P153" s="51">
        <v>4</v>
      </c>
      <c r="Q153" s="133">
        <v>1</v>
      </c>
      <c r="R153" s="51">
        <v>0</v>
      </c>
    </row>
    <row r="154" spans="1:18" ht="28.8" x14ac:dyDescent="0.3">
      <c r="A154" s="31">
        <v>153</v>
      </c>
      <c r="B154" s="100" t="s">
        <v>527</v>
      </c>
      <c r="C154" s="51">
        <v>2</v>
      </c>
      <c r="D154" s="51" t="s">
        <v>79</v>
      </c>
      <c r="E154" s="43">
        <v>46113</v>
      </c>
      <c r="F154" s="43">
        <v>46477</v>
      </c>
      <c r="G154" s="51" t="s">
        <v>82</v>
      </c>
      <c r="H154" s="51" t="s">
        <v>823</v>
      </c>
      <c r="I154" s="103">
        <v>40000000</v>
      </c>
      <c r="J154" s="51" t="s">
        <v>83</v>
      </c>
      <c r="K154" s="51" t="s">
        <v>832</v>
      </c>
      <c r="O154" s="51">
        <v>2</v>
      </c>
      <c r="P154" s="51">
        <v>0</v>
      </c>
      <c r="Q154" s="133">
        <v>0</v>
      </c>
      <c r="R154" s="51">
        <v>2</v>
      </c>
    </row>
    <row r="155" spans="1:18" ht="28.8" x14ac:dyDescent="0.3">
      <c r="A155" s="31">
        <v>154</v>
      </c>
      <c r="B155" s="100" t="s">
        <v>528</v>
      </c>
      <c r="C155" s="51">
        <v>2</v>
      </c>
      <c r="D155" s="51" t="s">
        <v>79</v>
      </c>
      <c r="E155" s="43">
        <v>46054</v>
      </c>
      <c r="F155" s="43">
        <v>46477</v>
      </c>
      <c r="G155" s="51" t="s">
        <v>82</v>
      </c>
      <c r="H155" s="51" t="s">
        <v>823</v>
      </c>
      <c r="I155" s="103">
        <v>40000000</v>
      </c>
      <c r="J155" s="51" t="s">
        <v>127</v>
      </c>
      <c r="K155" s="51" t="s">
        <v>832</v>
      </c>
      <c r="O155" s="51">
        <v>2</v>
      </c>
      <c r="P155" s="51">
        <v>0</v>
      </c>
      <c r="Q155" s="133">
        <v>0</v>
      </c>
      <c r="R155" s="51">
        <v>2</v>
      </c>
    </row>
    <row r="156" spans="1:18" ht="28.8" x14ac:dyDescent="0.3">
      <c r="A156" s="31">
        <v>155</v>
      </c>
      <c r="B156" s="100" t="s">
        <v>529</v>
      </c>
      <c r="C156" s="51">
        <v>2</v>
      </c>
      <c r="D156" s="51" t="s">
        <v>79</v>
      </c>
      <c r="E156" s="43">
        <v>46113</v>
      </c>
      <c r="F156" s="43">
        <v>46477</v>
      </c>
      <c r="G156" s="51" t="s">
        <v>82</v>
      </c>
      <c r="H156" s="51" t="s">
        <v>823</v>
      </c>
      <c r="I156" s="103">
        <v>40000000</v>
      </c>
      <c r="J156" s="51" t="s">
        <v>530</v>
      </c>
      <c r="K156" s="51" t="s">
        <v>832</v>
      </c>
      <c r="O156" s="51">
        <v>2</v>
      </c>
      <c r="P156" s="51">
        <v>0</v>
      </c>
      <c r="Q156" s="133">
        <v>0</v>
      </c>
      <c r="R156" s="51">
        <v>2</v>
      </c>
    </row>
    <row r="157" spans="1:18" ht="43.2" x14ac:dyDescent="0.3">
      <c r="A157" s="31">
        <v>156</v>
      </c>
      <c r="B157" s="100" t="s">
        <v>531</v>
      </c>
      <c r="C157" s="51">
        <v>2</v>
      </c>
      <c r="D157" s="51" t="s">
        <v>79</v>
      </c>
      <c r="E157" s="43">
        <v>46113</v>
      </c>
      <c r="F157" s="43">
        <v>46477</v>
      </c>
      <c r="G157" s="51" t="s">
        <v>82</v>
      </c>
      <c r="H157" s="51" t="s">
        <v>823</v>
      </c>
      <c r="I157" s="103">
        <v>40000000</v>
      </c>
      <c r="J157" s="51" t="s">
        <v>530</v>
      </c>
      <c r="K157" s="51" t="s">
        <v>832</v>
      </c>
      <c r="O157" s="51">
        <v>2</v>
      </c>
      <c r="P157" s="51">
        <v>0</v>
      </c>
      <c r="Q157" s="133">
        <v>0</v>
      </c>
      <c r="R157" s="51">
        <v>2</v>
      </c>
    </row>
    <row r="158" spans="1:18" ht="43.2" x14ac:dyDescent="0.3">
      <c r="A158" s="31">
        <v>157</v>
      </c>
      <c r="B158" s="100" t="s">
        <v>533</v>
      </c>
      <c r="C158" s="51">
        <v>1</v>
      </c>
      <c r="D158" s="51" t="s">
        <v>79</v>
      </c>
      <c r="E158" s="43">
        <v>46113</v>
      </c>
      <c r="F158" s="43">
        <v>46477</v>
      </c>
      <c r="G158" s="51" t="s">
        <v>82</v>
      </c>
      <c r="H158" s="51" t="s">
        <v>823</v>
      </c>
      <c r="I158" s="103">
        <v>129400000</v>
      </c>
      <c r="J158" s="51" t="s">
        <v>530</v>
      </c>
      <c r="K158" s="51" t="s">
        <v>832</v>
      </c>
      <c r="O158" s="51">
        <v>1</v>
      </c>
      <c r="P158" s="51">
        <v>0</v>
      </c>
      <c r="Q158" s="133">
        <v>0</v>
      </c>
      <c r="R158" s="51">
        <v>1</v>
      </c>
    </row>
    <row r="159" spans="1:18" ht="43.2" x14ac:dyDescent="0.3">
      <c r="A159" s="31">
        <v>158</v>
      </c>
      <c r="B159" s="100" t="s">
        <v>536</v>
      </c>
      <c r="C159" s="51">
        <v>1</v>
      </c>
      <c r="D159" s="51" t="s">
        <v>79</v>
      </c>
      <c r="E159" s="43">
        <v>46113</v>
      </c>
      <c r="F159" s="43">
        <v>46477</v>
      </c>
      <c r="G159" s="51" t="s">
        <v>82</v>
      </c>
      <c r="H159" s="51" t="s">
        <v>823</v>
      </c>
      <c r="I159" s="103"/>
      <c r="J159" s="51" t="s">
        <v>530</v>
      </c>
      <c r="K159" s="51" t="s">
        <v>832</v>
      </c>
      <c r="O159" s="51">
        <v>1</v>
      </c>
      <c r="P159" s="51">
        <v>2</v>
      </c>
      <c r="Q159" s="133">
        <v>2</v>
      </c>
      <c r="R159" s="51">
        <v>-1</v>
      </c>
    </row>
    <row r="160" spans="1:18" x14ac:dyDescent="0.3">
      <c r="A160" s="31">
        <v>159</v>
      </c>
      <c r="B160" s="100" t="s">
        <v>537</v>
      </c>
      <c r="C160" s="51">
        <v>2</v>
      </c>
      <c r="D160" s="51" t="s">
        <v>79</v>
      </c>
      <c r="E160" s="43">
        <v>46113</v>
      </c>
      <c r="F160" s="43">
        <v>46477</v>
      </c>
      <c r="G160" s="51" t="s">
        <v>82</v>
      </c>
      <c r="H160" s="51" t="s">
        <v>823</v>
      </c>
      <c r="I160" s="103">
        <v>10000000</v>
      </c>
      <c r="J160" s="51" t="s">
        <v>530</v>
      </c>
      <c r="K160" s="51" t="s">
        <v>832</v>
      </c>
      <c r="O160" s="51">
        <v>2</v>
      </c>
      <c r="P160" s="51">
        <v>0</v>
      </c>
      <c r="Q160" s="133">
        <v>0</v>
      </c>
      <c r="R160" s="51">
        <v>2</v>
      </c>
    </row>
    <row r="161" spans="1:18" ht="28.8" x14ac:dyDescent="0.3">
      <c r="A161" s="31">
        <v>160</v>
      </c>
      <c r="B161" s="100" t="s">
        <v>540</v>
      </c>
      <c r="C161" s="51">
        <v>1</v>
      </c>
      <c r="D161" s="51" t="s">
        <v>79</v>
      </c>
      <c r="E161" s="43">
        <v>46113</v>
      </c>
      <c r="F161" s="43">
        <v>46477</v>
      </c>
      <c r="G161" s="51" t="s">
        <v>82</v>
      </c>
      <c r="H161" s="51" t="s">
        <v>823</v>
      </c>
      <c r="I161" s="103">
        <v>30000000</v>
      </c>
      <c r="J161" s="51" t="s">
        <v>530</v>
      </c>
      <c r="K161" s="51" t="s">
        <v>832</v>
      </c>
      <c r="O161" s="51">
        <v>1</v>
      </c>
      <c r="P161" s="51">
        <v>0</v>
      </c>
      <c r="Q161" s="133">
        <v>0</v>
      </c>
      <c r="R161" s="51">
        <v>1</v>
      </c>
    </row>
    <row r="162" spans="1:18" ht="28.8" x14ac:dyDescent="0.3">
      <c r="A162" s="31">
        <v>161</v>
      </c>
      <c r="B162" s="100" t="s">
        <v>543</v>
      </c>
      <c r="C162" s="51">
        <v>4</v>
      </c>
      <c r="D162" s="51" t="s">
        <v>79</v>
      </c>
      <c r="E162" s="43">
        <v>46113</v>
      </c>
      <c r="F162" s="43">
        <v>46477</v>
      </c>
      <c r="G162" s="51" t="s">
        <v>82</v>
      </c>
      <c r="H162" s="51" t="s">
        <v>823</v>
      </c>
      <c r="I162" s="103">
        <v>40000000</v>
      </c>
      <c r="J162" s="51" t="s">
        <v>530</v>
      </c>
      <c r="K162" s="51" t="s">
        <v>832</v>
      </c>
      <c r="O162" s="51">
        <v>4</v>
      </c>
      <c r="P162" s="51">
        <v>1</v>
      </c>
      <c r="Q162" s="133">
        <v>0.25</v>
      </c>
      <c r="R162" s="51">
        <v>3</v>
      </c>
    </row>
    <row r="163" spans="1:18" ht="43.2" x14ac:dyDescent="0.3">
      <c r="A163" s="31">
        <v>162</v>
      </c>
      <c r="B163" s="100" t="s">
        <v>546</v>
      </c>
      <c r="C163" s="51">
        <v>4</v>
      </c>
      <c r="D163" s="51" t="s">
        <v>79</v>
      </c>
      <c r="E163" s="43">
        <v>46113</v>
      </c>
      <c r="F163" s="43">
        <v>46477</v>
      </c>
      <c r="G163" s="51" t="s">
        <v>82</v>
      </c>
      <c r="H163" s="51" t="s">
        <v>823</v>
      </c>
      <c r="I163" s="103">
        <v>40000000</v>
      </c>
      <c r="K163" s="51" t="s">
        <v>832</v>
      </c>
      <c r="O163" s="51">
        <v>4</v>
      </c>
      <c r="P163" s="51">
        <v>0</v>
      </c>
      <c r="Q163" s="133">
        <v>0</v>
      </c>
      <c r="R163" s="51">
        <v>4</v>
      </c>
    </row>
    <row r="164" spans="1:18" x14ac:dyDescent="0.3">
      <c r="A164" s="31">
        <v>163</v>
      </c>
      <c r="B164" s="100" t="s">
        <v>548</v>
      </c>
      <c r="C164" s="51">
        <v>29</v>
      </c>
      <c r="D164" s="51" t="s">
        <v>79</v>
      </c>
      <c r="E164" s="43">
        <v>46113</v>
      </c>
      <c r="F164" s="43">
        <v>46477</v>
      </c>
      <c r="G164" s="51" t="s">
        <v>82</v>
      </c>
      <c r="H164" s="51" t="s">
        <v>823</v>
      </c>
      <c r="I164" s="103">
        <v>120000000</v>
      </c>
      <c r="J164" s="51" t="s">
        <v>127</v>
      </c>
      <c r="K164" s="51" t="s">
        <v>832</v>
      </c>
      <c r="O164" s="51">
        <v>29</v>
      </c>
      <c r="P164" s="51">
        <v>0</v>
      </c>
      <c r="Q164" s="133">
        <v>0</v>
      </c>
      <c r="R164" s="51">
        <v>29</v>
      </c>
    </row>
    <row r="165" spans="1:18" ht="57.6" x14ac:dyDescent="0.3">
      <c r="A165" s="31">
        <v>164</v>
      </c>
      <c r="B165" s="100" t="s">
        <v>552</v>
      </c>
      <c r="C165" s="51">
        <v>4</v>
      </c>
      <c r="D165" s="51" t="s">
        <v>79</v>
      </c>
      <c r="E165" s="43">
        <v>46113</v>
      </c>
      <c r="F165" s="43">
        <v>46477</v>
      </c>
      <c r="G165" s="51" t="s">
        <v>82</v>
      </c>
      <c r="H165" s="51" t="s">
        <v>823</v>
      </c>
      <c r="I165" s="103">
        <v>80000000</v>
      </c>
      <c r="J165" s="51" t="s">
        <v>127</v>
      </c>
      <c r="K165" s="51" t="s">
        <v>832</v>
      </c>
      <c r="O165" s="51">
        <v>4</v>
      </c>
      <c r="P165" s="51">
        <v>0</v>
      </c>
      <c r="Q165" s="133">
        <v>0</v>
      </c>
      <c r="R165" s="51">
        <v>4</v>
      </c>
    </row>
    <row r="166" spans="1:18" ht="28.8" x14ac:dyDescent="0.3">
      <c r="A166" s="31">
        <v>165</v>
      </c>
      <c r="B166" s="100" t="s">
        <v>553</v>
      </c>
      <c r="C166" s="51">
        <v>4</v>
      </c>
      <c r="D166" s="51" t="s">
        <v>79</v>
      </c>
      <c r="E166" s="43">
        <v>46113</v>
      </c>
      <c r="F166" s="43">
        <v>46477</v>
      </c>
      <c r="G166" s="51" t="s">
        <v>82</v>
      </c>
      <c r="H166" s="51" t="s">
        <v>823</v>
      </c>
      <c r="I166" s="103">
        <v>80000000</v>
      </c>
      <c r="J166" s="51" t="s">
        <v>175</v>
      </c>
      <c r="K166" s="51" t="s">
        <v>832</v>
      </c>
      <c r="O166" s="51">
        <v>4</v>
      </c>
      <c r="P166" s="51">
        <v>0</v>
      </c>
      <c r="Q166" s="133">
        <v>0</v>
      </c>
      <c r="R166" s="51">
        <v>4</v>
      </c>
    </row>
    <row r="167" spans="1:18" ht="43.2" x14ac:dyDescent="0.3">
      <c r="A167" s="31">
        <v>166</v>
      </c>
      <c r="B167" s="100" t="s">
        <v>554</v>
      </c>
      <c r="C167" s="51">
        <v>4</v>
      </c>
      <c r="D167" s="51" t="s">
        <v>79</v>
      </c>
      <c r="E167" s="43">
        <v>46113</v>
      </c>
      <c r="F167" s="43">
        <v>46477</v>
      </c>
      <c r="G167" s="51" t="s">
        <v>82</v>
      </c>
      <c r="H167" s="51" t="s">
        <v>823</v>
      </c>
      <c r="I167" s="103">
        <v>80000000</v>
      </c>
      <c r="J167" s="51" t="s">
        <v>127</v>
      </c>
      <c r="K167" s="51" t="s">
        <v>832</v>
      </c>
      <c r="O167" s="51">
        <v>4</v>
      </c>
      <c r="P167" s="51">
        <v>0</v>
      </c>
      <c r="Q167" s="133">
        <v>0</v>
      </c>
      <c r="R167" s="51">
        <v>4</v>
      </c>
    </row>
    <row r="168" spans="1:18" ht="57.6" x14ac:dyDescent="0.3">
      <c r="A168" s="31">
        <v>167</v>
      </c>
      <c r="B168" s="100" t="s">
        <v>555</v>
      </c>
      <c r="C168" s="51">
        <v>4</v>
      </c>
      <c r="D168" s="51" t="s">
        <v>79</v>
      </c>
      <c r="E168" s="43">
        <v>46113</v>
      </c>
      <c r="F168" s="43">
        <v>46477</v>
      </c>
      <c r="G168" s="51" t="s">
        <v>82</v>
      </c>
      <c r="H168" s="51" t="s">
        <v>823</v>
      </c>
      <c r="I168" s="103">
        <v>576000000</v>
      </c>
      <c r="J168" s="51" t="s">
        <v>556</v>
      </c>
      <c r="K168" s="51" t="s">
        <v>832</v>
      </c>
      <c r="O168" s="51">
        <v>4</v>
      </c>
      <c r="P168" s="51">
        <v>0</v>
      </c>
      <c r="Q168" s="133">
        <v>0</v>
      </c>
      <c r="R168" s="51">
        <v>4</v>
      </c>
    </row>
    <row r="169" spans="1:18" ht="43.2" x14ac:dyDescent="0.3">
      <c r="A169" s="31">
        <v>168</v>
      </c>
      <c r="B169" s="100" t="s">
        <v>557</v>
      </c>
      <c r="C169" s="51">
        <v>4</v>
      </c>
      <c r="D169" s="51" t="s">
        <v>79</v>
      </c>
      <c r="E169" s="43">
        <v>46113</v>
      </c>
      <c r="F169" s="43">
        <v>46477</v>
      </c>
      <c r="G169" s="51" t="s">
        <v>82</v>
      </c>
      <c r="H169" s="51" t="s">
        <v>823</v>
      </c>
      <c r="I169" s="103">
        <v>18000000</v>
      </c>
      <c r="J169" s="51" t="s">
        <v>175</v>
      </c>
      <c r="K169" s="51" t="s">
        <v>832</v>
      </c>
      <c r="O169" s="51">
        <v>4</v>
      </c>
      <c r="P169" s="51">
        <v>0</v>
      </c>
      <c r="Q169" s="133">
        <v>0</v>
      </c>
      <c r="R169" s="51">
        <v>4</v>
      </c>
    </row>
    <row r="170" spans="1:18" ht="43.2" x14ac:dyDescent="0.3">
      <c r="A170" s="31">
        <v>169</v>
      </c>
      <c r="B170" s="100" t="s">
        <v>557</v>
      </c>
      <c r="C170" s="51">
        <v>4</v>
      </c>
      <c r="D170" s="51" t="s">
        <v>79</v>
      </c>
      <c r="E170" s="43">
        <v>46113</v>
      </c>
      <c r="F170" s="43">
        <v>46477</v>
      </c>
      <c r="G170" s="51" t="s">
        <v>82</v>
      </c>
      <c r="H170" s="51" t="s">
        <v>823</v>
      </c>
      <c r="I170" s="103">
        <v>80000000</v>
      </c>
      <c r="J170" s="51" t="s">
        <v>175</v>
      </c>
      <c r="K170" s="51" t="s">
        <v>832</v>
      </c>
      <c r="O170" s="51">
        <v>4</v>
      </c>
      <c r="P170" s="51">
        <v>0</v>
      </c>
      <c r="Q170" s="133">
        <v>0</v>
      </c>
      <c r="R170" s="51">
        <v>4</v>
      </c>
    </row>
    <row r="171" spans="1:18" x14ac:dyDescent="0.3">
      <c r="A171" s="31">
        <v>170</v>
      </c>
      <c r="B171" s="100" t="s">
        <v>558</v>
      </c>
      <c r="C171" s="51">
        <v>6</v>
      </c>
      <c r="D171" s="51" t="s">
        <v>79</v>
      </c>
      <c r="E171" s="43">
        <v>46113</v>
      </c>
      <c r="F171" s="43">
        <v>46477</v>
      </c>
      <c r="G171" s="51" t="s">
        <v>82</v>
      </c>
      <c r="H171" s="51" t="s">
        <v>823</v>
      </c>
      <c r="I171" s="103">
        <v>60000000</v>
      </c>
      <c r="J171" s="51" t="s">
        <v>175</v>
      </c>
      <c r="K171" s="51" t="s">
        <v>832</v>
      </c>
      <c r="O171" s="51">
        <v>6</v>
      </c>
      <c r="P171" s="51">
        <v>0</v>
      </c>
      <c r="Q171" s="133">
        <v>0</v>
      </c>
      <c r="R171" s="51">
        <v>6</v>
      </c>
    </row>
    <row r="172" spans="1:18" ht="28.8" x14ac:dyDescent="0.3">
      <c r="A172" s="31">
        <v>171</v>
      </c>
      <c r="B172" s="100" t="s">
        <v>563</v>
      </c>
      <c r="C172" s="51">
        <v>1</v>
      </c>
      <c r="D172" s="51" t="s">
        <v>79</v>
      </c>
      <c r="E172" s="43">
        <v>46113</v>
      </c>
      <c r="F172" s="43">
        <v>46477</v>
      </c>
      <c r="G172" s="51" t="s">
        <v>82</v>
      </c>
      <c r="H172" s="51" t="s">
        <v>823</v>
      </c>
      <c r="I172" s="103">
        <v>30000000</v>
      </c>
      <c r="J172" s="51" t="s">
        <v>175</v>
      </c>
      <c r="K172" s="51" t="s">
        <v>832</v>
      </c>
      <c r="O172" s="51">
        <v>1</v>
      </c>
      <c r="P172" s="51">
        <v>0</v>
      </c>
      <c r="Q172" s="133">
        <v>0</v>
      </c>
      <c r="R172" s="51">
        <v>1</v>
      </c>
    </row>
    <row r="173" spans="1:18" ht="28.8" x14ac:dyDescent="0.3">
      <c r="A173" s="31">
        <v>172</v>
      </c>
      <c r="B173" s="100" t="s">
        <v>565</v>
      </c>
      <c r="C173" s="51">
        <v>4</v>
      </c>
      <c r="D173" s="51" t="s">
        <v>79</v>
      </c>
      <c r="E173" s="43">
        <v>46113</v>
      </c>
      <c r="F173" s="43">
        <v>46477</v>
      </c>
      <c r="G173" s="51" t="s">
        <v>82</v>
      </c>
      <c r="H173" s="51" t="s">
        <v>823</v>
      </c>
      <c r="I173" s="103">
        <v>60000000</v>
      </c>
      <c r="J173" s="51" t="s">
        <v>175</v>
      </c>
      <c r="K173" s="51" t="s">
        <v>832</v>
      </c>
      <c r="O173" s="51">
        <v>4</v>
      </c>
      <c r="P173" s="51">
        <v>0</v>
      </c>
      <c r="Q173" s="133">
        <v>0</v>
      </c>
      <c r="R173" s="51">
        <v>4</v>
      </c>
    </row>
    <row r="174" spans="1:18" ht="28.8" x14ac:dyDescent="0.3">
      <c r="A174" s="31">
        <v>173</v>
      </c>
      <c r="B174" s="100" t="s">
        <v>566</v>
      </c>
      <c r="C174" s="51">
        <v>5</v>
      </c>
      <c r="D174" s="51" t="s">
        <v>79</v>
      </c>
      <c r="E174" s="43">
        <v>46113</v>
      </c>
      <c r="F174" s="43">
        <v>46477</v>
      </c>
      <c r="G174" s="51" t="s">
        <v>82</v>
      </c>
      <c r="H174" s="51" t="s">
        <v>823</v>
      </c>
      <c r="I174" s="103">
        <v>60000000</v>
      </c>
      <c r="J174" s="51" t="s">
        <v>175</v>
      </c>
      <c r="K174" s="51" t="s">
        <v>832</v>
      </c>
      <c r="O174" s="51">
        <v>5</v>
      </c>
      <c r="P174" s="51">
        <v>0</v>
      </c>
      <c r="Q174" s="133">
        <v>0</v>
      </c>
      <c r="R174" s="51">
        <v>5</v>
      </c>
    </row>
    <row r="175" spans="1:18" ht="28.8" x14ac:dyDescent="0.3">
      <c r="A175" s="31">
        <v>174</v>
      </c>
      <c r="B175" s="100" t="s">
        <v>567</v>
      </c>
      <c r="C175" s="51">
        <v>1</v>
      </c>
      <c r="D175" s="51" t="s">
        <v>79</v>
      </c>
      <c r="E175" s="43">
        <v>46113</v>
      </c>
      <c r="F175" s="43">
        <v>46477</v>
      </c>
      <c r="G175" s="51" t="s">
        <v>82</v>
      </c>
      <c r="H175" s="51" t="s">
        <v>823</v>
      </c>
      <c r="I175" s="103">
        <v>270081900</v>
      </c>
      <c r="K175" s="51" t="s">
        <v>832</v>
      </c>
      <c r="L175" s="51" t="s">
        <v>846</v>
      </c>
      <c r="O175" s="51">
        <v>1</v>
      </c>
      <c r="P175" s="51">
        <v>1</v>
      </c>
      <c r="Q175" s="133">
        <v>1</v>
      </c>
      <c r="R175" s="51">
        <v>0</v>
      </c>
    </row>
    <row r="176" spans="1:18" x14ac:dyDescent="0.3">
      <c r="A176" s="31">
        <v>175</v>
      </c>
      <c r="B176" s="100" t="s">
        <v>568</v>
      </c>
      <c r="C176" s="51">
        <v>1000</v>
      </c>
      <c r="D176" s="51" t="s">
        <v>79</v>
      </c>
      <c r="E176" s="43">
        <v>46113</v>
      </c>
      <c r="F176" s="43">
        <v>46477</v>
      </c>
      <c r="G176" s="51" t="s">
        <v>82</v>
      </c>
      <c r="H176" s="51" t="s">
        <v>823</v>
      </c>
      <c r="I176" s="103">
        <v>20000000</v>
      </c>
      <c r="K176" s="51" t="s">
        <v>832</v>
      </c>
      <c r="L176" s="51" t="s">
        <v>834</v>
      </c>
      <c r="O176" s="51">
        <v>1000</v>
      </c>
      <c r="P176" s="51">
        <v>0</v>
      </c>
      <c r="Q176" s="133">
        <v>0</v>
      </c>
      <c r="R176" s="51">
        <v>1000</v>
      </c>
    </row>
    <row r="177" spans="1:18" ht="43.2" x14ac:dyDescent="0.3">
      <c r="A177" s="31">
        <v>176</v>
      </c>
      <c r="B177" s="100" t="s">
        <v>569</v>
      </c>
      <c r="C177" s="51">
        <v>100</v>
      </c>
      <c r="D177" s="51" t="s">
        <v>79</v>
      </c>
      <c r="E177" s="43">
        <v>46113</v>
      </c>
      <c r="F177" s="43">
        <v>46477</v>
      </c>
      <c r="G177" s="51" t="s">
        <v>82</v>
      </c>
      <c r="H177" s="51" t="s">
        <v>823</v>
      </c>
      <c r="I177" s="103">
        <v>71161000</v>
      </c>
      <c r="J177" s="51" t="s">
        <v>127</v>
      </c>
      <c r="K177" s="51" t="s">
        <v>832</v>
      </c>
      <c r="L177" s="51" t="s">
        <v>834</v>
      </c>
      <c r="O177" s="51">
        <v>100</v>
      </c>
      <c r="P177" s="51">
        <v>0</v>
      </c>
      <c r="Q177" s="133">
        <v>0</v>
      </c>
      <c r="R177" s="51">
        <v>100</v>
      </c>
    </row>
    <row r="178" spans="1:18" ht="43.2" x14ac:dyDescent="0.3">
      <c r="A178" s="31">
        <v>177</v>
      </c>
      <c r="B178" s="100" t="s">
        <v>573</v>
      </c>
      <c r="C178" s="51">
        <v>22</v>
      </c>
      <c r="D178" s="51" t="s">
        <v>79</v>
      </c>
      <c r="E178" s="43">
        <v>46113</v>
      </c>
      <c r="F178" s="43">
        <v>46477</v>
      </c>
      <c r="G178" s="51" t="s">
        <v>82</v>
      </c>
      <c r="H178" s="51" t="s">
        <v>823</v>
      </c>
      <c r="I178" s="103">
        <v>65000000</v>
      </c>
      <c r="J178" s="51" t="s">
        <v>127</v>
      </c>
      <c r="K178" s="51" t="s">
        <v>832</v>
      </c>
      <c r="L178" s="51" t="s">
        <v>847</v>
      </c>
      <c r="O178" s="51">
        <v>22</v>
      </c>
      <c r="P178" s="51">
        <v>10</v>
      </c>
      <c r="Q178" s="133">
        <v>0.45454545454545453</v>
      </c>
      <c r="R178" s="51">
        <v>12</v>
      </c>
    </row>
    <row r="179" spans="1:18" ht="28.8" x14ac:dyDescent="0.3">
      <c r="A179" s="31">
        <v>178</v>
      </c>
      <c r="B179" s="100" t="s">
        <v>575</v>
      </c>
      <c r="C179" s="51">
        <v>5</v>
      </c>
      <c r="D179" s="51" t="s">
        <v>79</v>
      </c>
      <c r="E179" s="43">
        <v>46113</v>
      </c>
      <c r="F179" s="43">
        <v>46477</v>
      </c>
      <c r="G179" s="51" t="s">
        <v>577</v>
      </c>
      <c r="H179" s="101" t="s">
        <v>825</v>
      </c>
      <c r="I179" s="103">
        <v>218000000</v>
      </c>
      <c r="J179" s="51" t="s">
        <v>127</v>
      </c>
      <c r="K179" s="51" t="s">
        <v>832</v>
      </c>
      <c r="L179" s="51" t="s">
        <v>847</v>
      </c>
      <c r="O179" s="51">
        <v>5</v>
      </c>
      <c r="P179" s="51">
        <v>4</v>
      </c>
      <c r="Q179" s="133">
        <v>0.8</v>
      </c>
      <c r="R179" s="51">
        <v>1</v>
      </c>
    </row>
    <row r="180" spans="1:18" x14ac:dyDescent="0.3">
      <c r="A180" s="31">
        <v>179</v>
      </c>
      <c r="B180" s="100" t="s">
        <v>578</v>
      </c>
      <c r="C180" s="51">
        <v>1</v>
      </c>
      <c r="D180" s="51" t="s">
        <v>579</v>
      </c>
      <c r="E180" s="43">
        <v>46113</v>
      </c>
      <c r="F180" s="43">
        <v>46477</v>
      </c>
      <c r="G180" s="51" t="s">
        <v>577</v>
      </c>
      <c r="H180" s="101" t="s">
        <v>825</v>
      </c>
      <c r="I180" s="103">
        <v>190000000</v>
      </c>
      <c r="J180" s="51" t="s">
        <v>127</v>
      </c>
      <c r="K180" s="51" t="s">
        <v>832</v>
      </c>
      <c r="L180" s="51" t="s">
        <v>847</v>
      </c>
      <c r="O180" s="51">
        <v>1</v>
      </c>
      <c r="P180" s="51">
        <v>0</v>
      </c>
      <c r="Q180" s="133">
        <v>0</v>
      </c>
      <c r="R180" s="51">
        <v>1</v>
      </c>
    </row>
    <row r="181" spans="1:18" ht="43.2" x14ac:dyDescent="0.3">
      <c r="A181" s="31">
        <v>180</v>
      </c>
      <c r="B181" s="100" t="s">
        <v>580</v>
      </c>
      <c r="C181" s="51">
        <v>100</v>
      </c>
      <c r="D181" s="51" t="s">
        <v>126</v>
      </c>
      <c r="E181" s="43">
        <v>46113</v>
      </c>
      <c r="F181" s="43">
        <v>46477</v>
      </c>
      <c r="G181" s="51" t="s">
        <v>577</v>
      </c>
      <c r="H181" s="101" t="s">
        <v>825</v>
      </c>
      <c r="I181" s="103"/>
      <c r="J181" s="51" t="s">
        <v>127</v>
      </c>
      <c r="K181" s="51" t="s">
        <v>832</v>
      </c>
      <c r="L181" s="51" t="s">
        <v>847</v>
      </c>
      <c r="O181" s="51">
        <v>100</v>
      </c>
      <c r="P181" s="51">
        <v>176</v>
      </c>
      <c r="Q181" s="133">
        <v>1.76</v>
      </c>
      <c r="R181" s="51">
        <v>-76</v>
      </c>
    </row>
    <row r="182" spans="1:18" ht="43.2" x14ac:dyDescent="0.3">
      <c r="A182" s="31">
        <v>181</v>
      </c>
      <c r="B182" s="100" t="s">
        <v>581</v>
      </c>
      <c r="C182" s="51">
        <v>1</v>
      </c>
      <c r="D182" s="51" t="s">
        <v>579</v>
      </c>
      <c r="E182" s="43">
        <v>46113</v>
      </c>
      <c r="F182" s="43">
        <v>46477</v>
      </c>
      <c r="G182" s="51" t="s">
        <v>82</v>
      </c>
      <c r="H182" s="51" t="s">
        <v>823</v>
      </c>
      <c r="I182" s="103">
        <v>60000000</v>
      </c>
      <c r="K182" s="51" t="s">
        <v>832</v>
      </c>
      <c r="L182" s="51" t="s">
        <v>847</v>
      </c>
      <c r="O182" s="51">
        <v>1</v>
      </c>
      <c r="P182" s="51">
        <v>0</v>
      </c>
      <c r="Q182" s="133">
        <v>0</v>
      </c>
      <c r="R182" s="51">
        <v>1</v>
      </c>
    </row>
    <row r="183" spans="1:18" x14ac:dyDescent="0.3">
      <c r="A183" s="31">
        <v>182</v>
      </c>
      <c r="B183" s="100" t="s">
        <v>582</v>
      </c>
      <c r="C183" s="51">
        <v>70</v>
      </c>
      <c r="D183" s="51" t="s">
        <v>126</v>
      </c>
      <c r="E183" s="43">
        <v>46113</v>
      </c>
      <c r="F183" s="43">
        <v>46477</v>
      </c>
      <c r="G183" s="51" t="s">
        <v>82</v>
      </c>
      <c r="H183" s="51" t="s">
        <v>823</v>
      </c>
      <c r="I183" s="103"/>
      <c r="K183" s="51" t="s">
        <v>832</v>
      </c>
      <c r="L183" s="51" t="s">
        <v>847</v>
      </c>
      <c r="O183" s="51">
        <v>70</v>
      </c>
      <c r="P183" s="51">
        <v>41</v>
      </c>
      <c r="Q183" s="133">
        <v>0.58571428571428574</v>
      </c>
      <c r="R183" s="51">
        <v>29</v>
      </c>
    </row>
    <row r="184" spans="1:18" ht="43.2" x14ac:dyDescent="0.3">
      <c r="A184" s="31">
        <v>183</v>
      </c>
      <c r="B184" s="100" t="s">
        <v>584</v>
      </c>
      <c r="C184" s="51">
        <v>5</v>
      </c>
      <c r="D184" s="51" t="s">
        <v>79</v>
      </c>
      <c r="E184" s="43">
        <v>46113</v>
      </c>
      <c r="F184" s="43">
        <v>46477</v>
      </c>
      <c r="G184" s="51" t="s">
        <v>82</v>
      </c>
      <c r="H184" s="51" t="s">
        <v>823</v>
      </c>
      <c r="I184" s="103">
        <v>327000000</v>
      </c>
      <c r="J184" s="51" t="s">
        <v>159</v>
      </c>
      <c r="K184" s="51" t="s">
        <v>832</v>
      </c>
      <c r="L184" s="51" t="s">
        <v>847</v>
      </c>
      <c r="O184" s="51">
        <v>5</v>
      </c>
      <c r="P184" s="51">
        <v>4</v>
      </c>
      <c r="Q184" s="133">
        <v>0.8</v>
      </c>
      <c r="R184" s="51">
        <v>1</v>
      </c>
    </row>
    <row r="185" spans="1:18" ht="28.8" x14ac:dyDescent="0.3">
      <c r="A185" s="31">
        <v>184</v>
      </c>
      <c r="B185" s="100" t="s">
        <v>589</v>
      </c>
      <c r="C185" s="51">
        <v>2</v>
      </c>
      <c r="D185" s="51" t="s">
        <v>79</v>
      </c>
      <c r="E185" s="43">
        <v>46054</v>
      </c>
      <c r="F185" s="43">
        <v>46477</v>
      </c>
      <c r="G185" s="51" t="s">
        <v>82</v>
      </c>
      <c r="H185" s="51" t="s">
        <v>823</v>
      </c>
      <c r="I185" s="103">
        <v>80000000</v>
      </c>
      <c r="J185" s="51" t="s">
        <v>127</v>
      </c>
      <c r="K185" s="51" t="s">
        <v>832</v>
      </c>
      <c r="L185" s="51" t="s">
        <v>847</v>
      </c>
      <c r="O185" s="51">
        <v>2</v>
      </c>
      <c r="P185" s="51">
        <v>2</v>
      </c>
      <c r="Q185" s="133">
        <v>1</v>
      </c>
      <c r="R185" s="51">
        <v>0</v>
      </c>
    </row>
    <row r="186" spans="1:18" ht="57.6" x14ac:dyDescent="0.3">
      <c r="A186" s="31">
        <v>185</v>
      </c>
      <c r="B186" s="100" t="s">
        <v>591</v>
      </c>
      <c r="C186" s="51">
        <v>24</v>
      </c>
      <c r="D186" s="51" t="s">
        <v>579</v>
      </c>
      <c r="E186" s="43">
        <v>46113</v>
      </c>
      <c r="F186" s="43">
        <v>46477</v>
      </c>
      <c r="G186" s="51" t="s">
        <v>82</v>
      </c>
      <c r="H186" s="51" t="s">
        <v>823</v>
      </c>
      <c r="I186" s="103"/>
      <c r="J186" s="51" t="s">
        <v>127</v>
      </c>
      <c r="K186" s="51" t="s">
        <v>832</v>
      </c>
      <c r="L186" s="51" t="s">
        <v>847</v>
      </c>
      <c r="O186" s="51">
        <v>24</v>
      </c>
      <c r="P186" s="51">
        <v>12</v>
      </c>
      <c r="Q186" s="133">
        <v>0.5</v>
      </c>
      <c r="R186" s="51">
        <v>12</v>
      </c>
    </row>
    <row r="187" spans="1:18" ht="57.6" x14ac:dyDescent="0.3">
      <c r="A187" s="31">
        <v>186</v>
      </c>
      <c r="B187" s="100" t="s">
        <v>592</v>
      </c>
      <c r="C187" s="51">
        <v>55</v>
      </c>
      <c r="D187" s="51" t="s">
        <v>579</v>
      </c>
      <c r="E187" s="43">
        <v>46054</v>
      </c>
      <c r="F187" s="43">
        <v>46477</v>
      </c>
      <c r="G187" s="51" t="s">
        <v>82</v>
      </c>
      <c r="H187" s="51" t="s">
        <v>823</v>
      </c>
      <c r="I187" s="103"/>
      <c r="J187" s="51" t="s">
        <v>127</v>
      </c>
      <c r="K187" s="51" t="s">
        <v>832</v>
      </c>
      <c r="L187" s="51" t="s">
        <v>847</v>
      </c>
      <c r="O187" s="51">
        <v>55</v>
      </c>
      <c r="P187" s="51">
        <v>66</v>
      </c>
      <c r="Q187" s="133">
        <v>1.2</v>
      </c>
      <c r="R187" s="51">
        <v>-11</v>
      </c>
    </row>
    <row r="188" spans="1:18" x14ac:dyDescent="0.3">
      <c r="A188" s="31">
        <v>187</v>
      </c>
      <c r="B188" s="100" t="s">
        <v>595</v>
      </c>
      <c r="C188" s="51">
        <v>100</v>
      </c>
      <c r="D188" s="51" t="s">
        <v>126</v>
      </c>
      <c r="E188" s="43">
        <v>46113</v>
      </c>
      <c r="F188" s="43">
        <v>46477</v>
      </c>
      <c r="G188" s="51" t="s">
        <v>82</v>
      </c>
      <c r="H188" s="51" t="s">
        <v>823</v>
      </c>
      <c r="I188" s="103">
        <v>25000000</v>
      </c>
      <c r="J188" s="51" t="s">
        <v>127</v>
      </c>
      <c r="K188" s="51" t="s">
        <v>832</v>
      </c>
      <c r="L188" s="51" t="s">
        <v>848</v>
      </c>
      <c r="O188" s="51">
        <v>100</v>
      </c>
      <c r="P188" s="51">
        <v>0</v>
      </c>
      <c r="Q188" s="133">
        <v>0</v>
      </c>
      <c r="R188" s="51">
        <v>100</v>
      </c>
    </row>
    <row r="189" spans="1:18" ht="28.8" x14ac:dyDescent="0.3">
      <c r="A189" s="31">
        <v>188</v>
      </c>
      <c r="B189" s="100" t="s">
        <v>596</v>
      </c>
      <c r="C189" s="51">
        <v>100</v>
      </c>
      <c r="D189" s="51" t="s">
        <v>126</v>
      </c>
      <c r="E189" s="43">
        <v>46113</v>
      </c>
      <c r="F189" s="43">
        <v>46477</v>
      </c>
      <c r="G189" s="51" t="s">
        <v>82</v>
      </c>
      <c r="H189" s="51" t="s">
        <v>823</v>
      </c>
      <c r="I189" s="103">
        <v>70000000</v>
      </c>
      <c r="J189" s="51" t="s">
        <v>159</v>
      </c>
      <c r="K189" s="51" t="s">
        <v>832</v>
      </c>
      <c r="L189" s="51" t="s">
        <v>848</v>
      </c>
      <c r="O189" s="51">
        <v>100</v>
      </c>
      <c r="P189" s="51">
        <v>0</v>
      </c>
      <c r="Q189" s="133">
        <v>0</v>
      </c>
      <c r="R189" s="51">
        <v>100</v>
      </c>
    </row>
    <row r="190" spans="1:18" ht="28.8" x14ac:dyDescent="0.3">
      <c r="A190" s="31">
        <v>189</v>
      </c>
      <c r="B190" s="100" t="s">
        <v>597</v>
      </c>
      <c r="C190" s="51">
        <v>5</v>
      </c>
      <c r="D190" s="51" t="s">
        <v>79</v>
      </c>
      <c r="E190" s="43">
        <v>46113</v>
      </c>
      <c r="F190" s="43">
        <v>46477</v>
      </c>
      <c r="G190" s="51" t="s">
        <v>82</v>
      </c>
      <c r="H190" s="51" t="s">
        <v>823</v>
      </c>
      <c r="I190" s="103">
        <v>110000000</v>
      </c>
      <c r="J190" s="51" t="s">
        <v>127</v>
      </c>
      <c r="K190" s="51" t="s">
        <v>832</v>
      </c>
      <c r="O190" s="51">
        <v>5</v>
      </c>
      <c r="P190" s="51">
        <v>0</v>
      </c>
      <c r="Q190" s="133">
        <v>0</v>
      </c>
      <c r="R190" s="51">
        <v>5</v>
      </c>
    </row>
    <row r="191" spans="1:18" x14ac:dyDescent="0.3">
      <c r="A191" s="31">
        <v>190</v>
      </c>
      <c r="B191" s="100" t="s">
        <v>598</v>
      </c>
      <c r="C191" s="51">
        <v>4</v>
      </c>
      <c r="D191" s="51" t="s">
        <v>79</v>
      </c>
      <c r="E191" s="43">
        <v>46054</v>
      </c>
      <c r="F191" s="43">
        <v>46477</v>
      </c>
      <c r="G191" s="51" t="s">
        <v>82</v>
      </c>
      <c r="H191" s="51" t="s">
        <v>823</v>
      </c>
      <c r="I191" s="103">
        <v>80000000</v>
      </c>
      <c r="J191" s="51" t="s">
        <v>127</v>
      </c>
      <c r="K191" s="51" t="s">
        <v>832</v>
      </c>
      <c r="O191" s="51">
        <v>4</v>
      </c>
      <c r="P191" s="51">
        <v>0</v>
      </c>
      <c r="Q191" s="133">
        <v>0</v>
      </c>
      <c r="R191" s="51">
        <v>4</v>
      </c>
    </row>
    <row r="192" spans="1:18" ht="43.2" x14ac:dyDescent="0.3">
      <c r="A192" s="31">
        <v>191</v>
      </c>
      <c r="B192" s="100" t="s">
        <v>599</v>
      </c>
      <c r="C192" s="51">
        <v>100</v>
      </c>
      <c r="D192" s="51" t="s">
        <v>126</v>
      </c>
      <c r="E192" s="43">
        <v>46113</v>
      </c>
      <c r="F192" s="43">
        <v>46477</v>
      </c>
      <c r="G192" s="51" t="s">
        <v>82</v>
      </c>
      <c r="H192" s="51" t="s">
        <v>823</v>
      </c>
      <c r="I192" s="103">
        <v>500000000</v>
      </c>
      <c r="J192" s="51" t="s">
        <v>127</v>
      </c>
      <c r="K192" s="51" t="s">
        <v>832</v>
      </c>
      <c r="L192" s="51" t="s">
        <v>848</v>
      </c>
      <c r="O192" s="51">
        <v>100</v>
      </c>
      <c r="P192" s="51">
        <v>0</v>
      </c>
      <c r="Q192" s="133">
        <v>0</v>
      </c>
      <c r="R192" s="51">
        <v>100</v>
      </c>
    </row>
    <row r="193" spans="1:18" ht="43.2" x14ac:dyDescent="0.3">
      <c r="A193" s="31">
        <v>192</v>
      </c>
      <c r="B193" s="100" t="s">
        <v>601</v>
      </c>
      <c r="C193" s="51">
        <v>100</v>
      </c>
      <c r="D193" s="51" t="s">
        <v>126</v>
      </c>
      <c r="E193" s="43">
        <v>46113</v>
      </c>
      <c r="F193" s="43">
        <v>46477</v>
      </c>
      <c r="G193" s="51" t="s">
        <v>82</v>
      </c>
      <c r="H193" s="51" t="s">
        <v>823</v>
      </c>
      <c r="I193" s="103">
        <v>40000000</v>
      </c>
      <c r="J193" s="51" t="s">
        <v>127</v>
      </c>
      <c r="K193" s="51" t="s">
        <v>832</v>
      </c>
      <c r="L193" s="51" t="s">
        <v>848</v>
      </c>
      <c r="O193" s="51">
        <v>100</v>
      </c>
      <c r="P193" s="51">
        <v>0</v>
      </c>
      <c r="Q193" s="133">
        <v>0</v>
      </c>
      <c r="R193" s="51">
        <v>100</v>
      </c>
    </row>
    <row r="194" spans="1:18" ht="28.8" x14ac:dyDescent="0.3">
      <c r="A194" s="31">
        <v>193</v>
      </c>
      <c r="B194" s="100" t="s">
        <v>602</v>
      </c>
      <c r="C194" s="51">
        <v>100</v>
      </c>
      <c r="D194" s="51" t="s">
        <v>126</v>
      </c>
      <c r="E194" s="43">
        <v>46113</v>
      </c>
      <c r="F194" s="43">
        <v>46477</v>
      </c>
      <c r="G194" s="51" t="s">
        <v>82</v>
      </c>
      <c r="H194" s="51" t="s">
        <v>823</v>
      </c>
      <c r="I194" s="103">
        <v>500000000</v>
      </c>
      <c r="J194" s="51" t="s">
        <v>127</v>
      </c>
      <c r="K194" s="51" t="s">
        <v>832</v>
      </c>
      <c r="L194" s="51" t="s">
        <v>848</v>
      </c>
      <c r="O194" s="51">
        <v>100</v>
      </c>
      <c r="P194" s="51">
        <v>0</v>
      </c>
      <c r="Q194" s="133">
        <v>0</v>
      </c>
      <c r="R194" s="51">
        <v>100</v>
      </c>
    </row>
    <row r="195" spans="1:18" ht="28.8" x14ac:dyDescent="0.3">
      <c r="A195" s="31">
        <v>194</v>
      </c>
      <c r="B195" s="100" t="s">
        <v>603</v>
      </c>
      <c r="C195" s="51">
        <v>100</v>
      </c>
      <c r="D195" s="51" t="s">
        <v>126</v>
      </c>
      <c r="E195" s="43">
        <v>46113</v>
      </c>
      <c r="F195" s="43">
        <v>46477</v>
      </c>
      <c r="G195" s="51" t="s">
        <v>82</v>
      </c>
      <c r="H195" s="51" t="s">
        <v>823</v>
      </c>
      <c r="I195" s="103">
        <v>1000000000</v>
      </c>
      <c r="J195" s="51" t="s">
        <v>127</v>
      </c>
      <c r="K195" s="51" t="s">
        <v>832</v>
      </c>
      <c r="L195" s="51" t="s">
        <v>848</v>
      </c>
      <c r="O195" s="51">
        <v>100</v>
      </c>
      <c r="P195" s="51">
        <v>0</v>
      </c>
      <c r="Q195" s="133">
        <v>0</v>
      </c>
      <c r="R195" s="51">
        <v>100</v>
      </c>
    </row>
    <row r="196" spans="1:18" x14ac:dyDescent="0.3">
      <c r="A196" s="31">
        <v>195</v>
      </c>
      <c r="B196" s="100" t="s">
        <v>604</v>
      </c>
      <c r="C196" s="51">
        <v>100</v>
      </c>
      <c r="D196" s="51" t="s">
        <v>126</v>
      </c>
      <c r="E196" s="43">
        <v>46113</v>
      </c>
      <c r="F196" s="43">
        <v>46477</v>
      </c>
      <c r="G196" s="51" t="s">
        <v>82</v>
      </c>
      <c r="H196" s="51" t="s">
        <v>823</v>
      </c>
      <c r="I196" s="103">
        <v>100000000</v>
      </c>
      <c r="J196" s="51" t="s">
        <v>127</v>
      </c>
      <c r="K196" s="51" t="s">
        <v>832</v>
      </c>
      <c r="L196" s="51" t="s">
        <v>848</v>
      </c>
      <c r="O196" s="51">
        <v>100</v>
      </c>
      <c r="P196" s="51">
        <v>0</v>
      </c>
      <c r="Q196" s="133">
        <v>0</v>
      </c>
      <c r="R196" s="51">
        <v>100</v>
      </c>
    </row>
    <row r="197" spans="1:18" x14ac:dyDescent="0.3">
      <c r="A197" s="31">
        <v>196</v>
      </c>
      <c r="B197" s="100" t="s">
        <v>605</v>
      </c>
      <c r="C197" s="51">
        <v>1</v>
      </c>
      <c r="D197" s="51" t="s">
        <v>79</v>
      </c>
      <c r="E197" s="43">
        <v>46113</v>
      </c>
      <c r="F197" s="43">
        <v>46477</v>
      </c>
      <c r="G197" s="51" t="s">
        <v>82</v>
      </c>
      <c r="H197" s="51" t="s">
        <v>823</v>
      </c>
      <c r="I197" s="103">
        <v>200000000</v>
      </c>
      <c r="J197" s="51" t="s">
        <v>127</v>
      </c>
      <c r="K197" s="51" t="s">
        <v>832</v>
      </c>
      <c r="L197" s="51" t="s">
        <v>848</v>
      </c>
      <c r="O197" s="51">
        <v>1</v>
      </c>
      <c r="P197" s="51">
        <v>0</v>
      </c>
      <c r="Q197" s="133">
        <v>0</v>
      </c>
      <c r="R197" s="51">
        <v>1</v>
      </c>
    </row>
    <row r="198" spans="1:18" ht="28.8" x14ac:dyDescent="0.3">
      <c r="A198" s="31">
        <v>197</v>
      </c>
      <c r="B198" s="100" t="s">
        <v>606</v>
      </c>
      <c r="C198" s="51">
        <v>100</v>
      </c>
      <c r="D198" s="51" t="s">
        <v>126</v>
      </c>
      <c r="E198" s="43">
        <v>46113</v>
      </c>
      <c r="F198" s="43">
        <v>46477</v>
      </c>
      <c r="G198" s="51" t="s">
        <v>82</v>
      </c>
      <c r="H198" s="51" t="s">
        <v>823</v>
      </c>
      <c r="I198" s="103">
        <v>10000000</v>
      </c>
      <c r="J198" s="51" t="s">
        <v>127</v>
      </c>
      <c r="K198" s="51" t="s">
        <v>832</v>
      </c>
      <c r="L198" s="51" t="s">
        <v>848</v>
      </c>
      <c r="O198" s="51">
        <v>100</v>
      </c>
      <c r="P198" s="51">
        <v>0</v>
      </c>
      <c r="Q198" s="133">
        <v>0</v>
      </c>
      <c r="R198" s="51">
        <v>100</v>
      </c>
    </row>
    <row r="199" spans="1:18" ht="28.8" x14ac:dyDescent="0.3">
      <c r="A199" s="31">
        <v>198</v>
      </c>
      <c r="B199" s="100" t="s">
        <v>607</v>
      </c>
      <c r="C199" s="51">
        <v>100</v>
      </c>
      <c r="D199" s="51" t="s">
        <v>126</v>
      </c>
      <c r="E199" s="43">
        <v>46113</v>
      </c>
      <c r="F199" s="43">
        <v>46477</v>
      </c>
      <c r="G199" s="51" t="s">
        <v>82</v>
      </c>
      <c r="H199" s="51" t="s">
        <v>823</v>
      </c>
      <c r="I199" s="103">
        <v>10000000</v>
      </c>
      <c r="J199" s="51" t="s">
        <v>127</v>
      </c>
      <c r="K199" s="51" t="s">
        <v>832</v>
      </c>
      <c r="L199" s="51" t="s">
        <v>848</v>
      </c>
      <c r="O199" s="51">
        <v>100</v>
      </c>
      <c r="P199" s="51">
        <v>0</v>
      </c>
      <c r="Q199" s="133">
        <v>0</v>
      </c>
      <c r="R199" s="51">
        <v>100</v>
      </c>
    </row>
    <row r="200" spans="1:18" ht="43.2" x14ac:dyDescent="0.3">
      <c r="A200" s="31">
        <v>199</v>
      </c>
      <c r="B200" s="100" t="s">
        <v>608</v>
      </c>
      <c r="C200" s="51">
        <v>100</v>
      </c>
      <c r="D200" s="51" t="s">
        <v>126</v>
      </c>
      <c r="E200" s="43">
        <v>46113</v>
      </c>
      <c r="F200" s="43">
        <v>46477</v>
      </c>
      <c r="G200" s="51" t="s">
        <v>82</v>
      </c>
      <c r="H200" s="51" t="s">
        <v>823</v>
      </c>
      <c r="I200" s="103">
        <v>15000000</v>
      </c>
      <c r="J200" s="51" t="s">
        <v>127</v>
      </c>
      <c r="K200" s="51" t="s">
        <v>832</v>
      </c>
      <c r="L200" s="51" t="s">
        <v>848</v>
      </c>
      <c r="O200" s="51">
        <v>100</v>
      </c>
      <c r="P200" s="51">
        <v>0</v>
      </c>
      <c r="Q200" s="133">
        <v>0</v>
      </c>
      <c r="R200" s="51">
        <v>100</v>
      </c>
    </row>
    <row r="201" spans="1:18" ht="28.8" x14ac:dyDescent="0.3">
      <c r="A201" s="31">
        <v>200</v>
      </c>
      <c r="B201" s="100" t="s">
        <v>609</v>
      </c>
      <c r="C201" s="51">
        <v>100</v>
      </c>
      <c r="D201" s="51" t="s">
        <v>126</v>
      </c>
      <c r="E201" s="43">
        <v>46113</v>
      </c>
      <c r="F201" s="43">
        <v>46477</v>
      </c>
      <c r="G201" s="51" t="s">
        <v>82</v>
      </c>
      <c r="H201" s="51" t="s">
        <v>823</v>
      </c>
      <c r="I201" s="103">
        <v>70000000</v>
      </c>
      <c r="J201" s="51" t="s">
        <v>127</v>
      </c>
      <c r="K201" s="51" t="s">
        <v>832</v>
      </c>
      <c r="L201" s="51" t="s">
        <v>848</v>
      </c>
      <c r="O201" s="51">
        <v>100</v>
      </c>
      <c r="P201" s="51">
        <v>0</v>
      </c>
      <c r="Q201" s="133">
        <v>0</v>
      </c>
      <c r="R201" s="51">
        <v>100</v>
      </c>
    </row>
    <row r="202" spans="1:18" ht="28.8" x14ac:dyDescent="0.3">
      <c r="A202" s="31">
        <v>201</v>
      </c>
      <c r="B202" s="100" t="s">
        <v>610</v>
      </c>
      <c r="C202" s="51">
        <v>1</v>
      </c>
      <c r="D202" s="51" t="s">
        <v>79</v>
      </c>
      <c r="E202" s="43">
        <v>46113</v>
      </c>
      <c r="F202" s="43">
        <v>46477</v>
      </c>
      <c r="G202" s="51" t="s">
        <v>82</v>
      </c>
      <c r="H202" s="51" t="s">
        <v>823</v>
      </c>
      <c r="I202" s="103">
        <v>50000000</v>
      </c>
      <c r="J202" s="51" t="s">
        <v>127</v>
      </c>
      <c r="K202" s="51" t="s">
        <v>832</v>
      </c>
      <c r="L202" s="51" t="s">
        <v>848</v>
      </c>
      <c r="O202" s="51">
        <v>1</v>
      </c>
      <c r="P202" s="51">
        <v>0</v>
      </c>
      <c r="Q202" s="133">
        <v>0</v>
      </c>
      <c r="R202" s="51">
        <v>1</v>
      </c>
    </row>
    <row r="203" spans="1:18" ht="28.8" x14ac:dyDescent="0.3">
      <c r="A203" s="31">
        <v>202</v>
      </c>
      <c r="B203" s="100" t="s">
        <v>612</v>
      </c>
      <c r="C203" s="51">
        <v>100</v>
      </c>
      <c r="D203" s="51" t="s">
        <v>126</v>
      </c>
      <c r="E203" s="43">
        <v>46113</v>
      </c>
      <c r="F203" s="43">
        <v>46477</v>
      </c>
      <c r="G203" s="51" t="s">
        <v>82</v>
      </c>
      <c r="H203" s="51" t="s">
        <v>823</v>
      </c>
      <c r="I203" s="103"/>
      <c r="J203" s="51" t="s">
        <v>127</v>
      </c>
      <c r="K203" s="51" t="s">
        <v>832</v>
      </c>
      <c r="L203" s="51" t="s">
        <v>848</v>
      </c>
      <c r="O203" s="51">
        <v>100</v>
      </c>
      <c r="P203" s="51">
        <v>0</v>
      </c>
      <c r="Q203" s="133">
        <v>0</v>
      </c>
      <c r="R203" s="51">
        <v>100</v>
      </c>
    </row>
    <row r="204" spans="1:18" ht="28.8" x14ac:dyDescent="0.3">
      <c r="A204" s="31">
        <v>203</v>
      </c>
      <c r="B204" s="100" t="s">
        <v>613</v>
      </c>
      <c r="C204" s="51">
        <v>120</v>
      </c>
      <c r="D204" s="51" t="s">
        <v>79</v>
      </c>
      <c r="E204" s="43">
        <v>46113</v>
      </c>
      <c r="F204" s="43">
        <v>46477</v>
      </c>
      <c r="G204" s="51" t="s">
        <v>82</v>
      </c>
      <c r="H204" s="51" t="s">
        <v>823</v>
      </c>
      <c r="I204" s="103"/>
      <c r="J204" s="51" t="s">
        <v>127</v>
      </c>
      <c r="K204" s="51" t="s">
        <v>832</v>
      </c>
      <c r="L204" s="51" t="s">
        <v>848</v>
      </c>
      <c r="O204" s="51">
        <v>120</v>
      </c>
      <c r="P204" s="51">
        <v>0</v>
      </c>
      <c r="Q204" s="133">
        <v>0</v>
      </c>
      <c r="R204" s="51">
        <v>120</v>
      </c>
    </row>
    <row r="205" spans="1:18" ht="28.8" x14ac:dyDescent="0.3">
      <c r="A205" s="31">
        <v>204</v>
      </c>
      <c r="B205" s="100" t="s">
        <v>614</v>
      </c>
      <c r="C205" s="51">
        <v>12</v>
      </c>
      <c r="D205" s="51" t="s">
        <v>79</v>
      </c>
      <c r="E205" s="43">
        <v>46113</v>
      </c>
      <c r="F205" s="43">
        <v>46477</v>
      </c>
      <c r="G205" s="51" t="s">
        <v>82</v>
      </c>
      <c r="H205" s="51" t="s">
        <v>823</v>
      </c>
      <c r="I205" s="103"/>
      <c r="J205" s="51" t="s">
        <v>127</v>
      </c>
      <c r="K205" s="51" t="s">
        <v>832</v>
      </c>
      <c r="L205" s="51" t="s">
        <v>848</v>
      </c>
      <c r="O205" s="51">
        <v>12</v>
      </c>
      <c r="P205" s="51">
        <v>0</v>
      </c>
      <c r="Q205" s="133">
        <v>0</v>
      </c>
      <c r="R205" s="51">
        <v>12</v>
      </c>
    </row>
    <row r="206" spans="1:18" ht="28.8" x14ac:dyDescent="0.3">
      <c r="A206" s="31">
        <v>205</v>
      </c>
      <c r="B206" s="100" t="s">
        <v>615</v>
      </c>
      <c r="C206" s="51">
        <v>4</v>
      </c>
      <c r="D206" s="51" t="s">
        <v>79</v>
      </c>
      <c r="E206" s="43">
        <v>46113</v>
      </c>
      <c r="F206" s="43">
        <v>46477</v>
      </c>
      <c r="G206" s="51" t="s">
        <v>82</v>
      </c>
      <c r="H206" s="51" t="s">
        <v>823</v>
      </c>
      <c r="I206" s="103"/>
      <c r="J206" s="51" t="s">
        <v>127</v>
      </c>
      <c r="K206" s="51" t="s">
        <v>832</v>
      </c>
      <c r="L206" s="51" t="s">
        <v>848</v>
      </c>
      <c r="O206" s="51">
        <v>4</v>
      </c>
      <c r="P206" s="51">
        <v>0</v>
      </c>
      <c r="Q206" s="133">
        <v>0</v>
      </c>
      <c r="R206" s="51">
        <v>4</v>
      </c>
    </row>
    <row r="207" spans="1:18" ht="28.8" x14ac:dyDescent="0.3">
      <c r="A207" s="31">
        <v>206</v>
      </c>
      <c r="B207" s="100" t="s">
        <v>616</v>
      </c>
      <c r="C207" s="51">
        <v>400</v>
      </c>
      <c r="D207" s="51" t="s">
        <v>126</v>
      </c>
      <c r="E207" s="43">
        <v>46054</v>
      </c>
      <c r="F207" s="43">
        <v>46477</v>
      </c>
      <c r="G207" s="51" t="s">
        <v>82</v>
      </c>
      <c r="H207" s="51" t="s">
        <v>823</v>
      </c>
      <c r="I207" s="103"/>
      <c r="J207" s="51" t="s">
        <v>127</v>
      </c>
      <c r="K207" s="51" t="s">
        <v>832</v>
      </c>
      <c r="L207" s="51" t="s">
        <v>848</v>
      </c>
      <c r="O207" s="51">
        <v>400</v>
      </c>
      <c r="P207" s="51">
        <v>0</v>
      </c>
      <c r="Q207" s="133">
        <v>0</v>
      </c>
      <c r="R207" s="51">
        <v>400</v>
      </c>
    </row>
    <row r="208" spans="1:18" x14ac:dyDescent="0.3">
      <c r="A208" s="31">
        <v>207</v>
      </c>
      <c r="B208" s="100" t="s">
        <v>618</v>
      </c>
      <c r="C208" s="51">
        <v>9</v>
      </c>
      <c r="D208" s="51" t="s">
        <v>79</v>
      </c>
      <c r="E208" s="43">
        <v>46054</v>
      </c>
      <c r="F208" s="43">
        <v>46477</v>
      </c>
      <c r="G208" s="51" t="s">
        <v>82</v>
      </c>
      <c r="H208" s="51" t="s">
        <v>823</v>
      </c>
      <c r="I208" s="103"/>
      <c r="J208" s="51" t="s">
        <v>127</v>
      </c>
      <c r="K208" s="51" t="s">
        <v>832</v>
      </c>
      <c r="L208" s="51" t="s">
        <v>848</v>
      </c>
      <c r="O208" s="51">
        <v>9</v>
      </c>
      <c r="P208" s="51">
        <v>0</v>
      </c>
      <c r="Q208" s="133">
        <v>0</v>
      </c>
      <c r="R208" s="51">
        <v>9</v>
      </c>
    </row>
    <row r="209" spans="1:18" ht="43.2" x14ac:dyDescent="0.3">
      <c r="A209" s="31">
        <v>208</v>
      </c>
      <c r="B209" s="100" t="s">
        <v>619</v>
      </c>
      <c r="C209" s="51">
        <v>100</v>
      </c>
      <c r="D209" s="51" t="s">
        <v>126</v>
      </c>
      <c r="E209" s="43">
        <v>46054</v>
      </c>
      <c r="F209" s="43">
        <v>46477</v>
      </c>
      <c r="G209" s="51" t="s">
        <v>82</v>
      </c>
      <c r="H209" s="51" t="s">
        <v>823</v>
      </c>
      <c r="I209" s="103">
        <v>6174978000</v>
      </c>
      <c r="J209" s="51" t="s">
        <v>127</v>
      </c>
      <c r="K209" s="51" t="s">
        <v>832</v>
      </c>
      <c r="L209" s="51" t="s">
        <v>848</v>
      </c>
      <c r="O209" s="51">
        <v>100</v>
      </c>
      <c r="P209" s="51">
        <v>0</v>
      </c>
      <c r="Q209" s="133">
        <v>0</v>
      </c>
      <c r="R209" s="51">
        <v>100</v>
      </c>
    </row>
    <row r="210" spans="1:18" ht="28.8" x14ac:dyDescent="0.3">
      <c r="A210" s="31">
        <v>209</v>
      </c>
      <c r="B210" s="100" t="s">
        <v>620</v>
      </c>
      <c r="C210" s="51">
        <v>2</v>
      </c>
      <c r="D210" s="51" t="s">
        <v>79</v>
      </c>
      <c r="E210" s="43">
        <v>46054</v>
      </c>
      <c r="F210" s="43">
        <v>46477</v>
      </c>
      <c r="G210" s="51" t="s">
        <v>82</v>
      </c>
      <c r="H210" s="51" t="s">
        <v>823</v>
      </c>
      <c r="I210" s="103">
        <v>100000000</v>
      </c>
      <c r="J210" s="51" t="s">
        <v>127</v>
      </c>
      <c r="K210" s="51" t="s">
        <v>832</v>
      </c>
      <c r="L210" s="51" t="s">
        <v>848</v>
      </c>
      <c r="O210" s="51">
        <v>2</v>
      </c>
      <c r="P210" s="51">
        <v>0</v>
      </c>
      <c r="Q210" s="133">
        <v>0</v>
      </c>
      <c r="R210" s="51">
        <v>2</v>
      </c>
    </row>
    <row r="211" spans="1:18" x14ac:dyDescent="0.3">
      <c r="A211" s="31">
        <v>210</v>
      </c>
      <c r="B211" s="100" t="s">
        <v>621</v>
      </c>
      <c r="C211" s="51">
        <v>2</v>
      </c>
      <c r="D211" s="51" t="s">
        <v>79</v>
      </c>
      <c r="E211" s="43">
        <v>46054</v>
      </c>
      <c r="F211" s="43">
        <v>46477</v>
      </c>
      <c r="G211" s="51" t="s">
        <v>82</v>
      </c>
      <c r="H211" s="51" t="s">
        <v>823</v>
      </c>
      <c r="I211" s="103">
        <v>100000000</v>
      </c>
      <c r="J211" s="51" t="s">
        <v>127</v>
      </c>
      <c r="K211" s="51" t="s">
        <v>832</v>
      </c>
      <c r="L211" s="51" t="s">
        <v>848</v>
      </c>
      <c r="O211" s="51">
        <v>2</v>
      </c>
      <c r="P211" s="51">
        <v>0</v>
      </c>
      <c r="Q211" s="133">
        <v>0</v>
      </c>
      <c r="R211" s="51">
        <v>2</v>
      </c>
    </row>
    <row r="212" spans="1:18" x14ac:dyDescent="0.3">
      <c r="A212" s="31">
        <v>211</v>
      </c>
      <c r="B212" s="100" t="s">
        <v>622</v>
      </c>
      <c r="C212" s="51">
        <v>4</v>
      </c>
      <c r="D212" s="51" t="s">
        <v>79</v>
      </c>
      <c r="E212" s="43">
        <v>46054</v>
      </c>
      <c r="F212" s="43">
        <v>46477</v>
      </c>
      <c r="G212" s="51" t="s">
        <v>82</v>
      </c>
      <c r="H212" s="51" t="s">
        <v>823</v>
      </c>
      <c r="I212" s="103">
        <v>80000000</v>
      </c>
      <c r="J212" s="51" t="s">
        <v>127</v>
      </c>
      <c r="K212" s="51" t="s">
        <v>832</v>
      </c>
      <c r="L212" s="51" t="s">
        <v>848</v>
      </c>
      <c r="O212" s="51">
        <v>4</v>
      </c>
      <c r="P212" s="51">
        <v>0</v>
      </c>
      <c r="Q212" s="133">
        <v>0</v>
      </c>
      <c r="R212" s="51">
        <v>4</v>
      </c>
    </row>
    <row r="213" spans="1:18" ht="28.8" x14ac:dyDescent="0.3">
      <c r="A213" s="31">
        <v>212</v>
      </c>
      <c r="B213" s="100" t="s">
        <v>623</v>
      </c>
      <c r="C213" s="51">
        <v>100</v>
      </c>
      <c r="D213" s="51" t="s">
        <v>79</v>
      </c>
      <c r="E213" s="43">
        <v>46054</v>
      </c>
      <c r="F213" s="43">
        <v>46477</v>
      </c>
      <c r="G213" s="51" t="s">
        <v>82</v>
      </c>
      <c r="H213" s="51" t="s">
        <v>823</v>
      </c>
      <c r="I213" s="103">
        <v>30000000</v>
      </c>
      <c r="J213" s="51" t="s">
        <v>127</v>
      </c>
      <c r="K213" s="51" t="s">
        <v>849</v>
      </c>
      <c r="O213" s="51">
        <v>100</v>
      </c>
      <c r="P213" s="51">
        <v>0</v>
      </c>
      <c r="Q213" s="133">
        <v>0</v>
      </c>
      <c r="R213" s="51">
        <v>100</v>
      </c>
    </row>
    <row r="214" spans="1:18" ht="43.2" x14ac:dyDescent="0.3">
      <c r="A214" s="31">
        <v>213</v>
      </c>
      <c r="B214" s="100" t="s">
        <v>632</v>
      </c>
      <c r="C214" s="51">
        <v>1</v>
      </c>
      <c r="D214" s="51" t="s">
        <v>579</v>
      </c>
      <c r="E214" s="43">
        <v>46113</v>
      </c>
      <c r="F214" s="43">
        <v>46477</v>
      </c>
      <c r="G214" s="51" t="s">
        <v>82</v>
      </c>
      <c r="H214" s="51" t="s">
        <v>823</v>
      </c>
      <c r="I214" s="103">
        <v>15000000</v>
      </c>
      <c r="J214" s="51" t="s">
        <v>127</v>
      </c>
      <c r="K214" s="51" t="s">
        <v>832</v>
      </c>
      <c r="L214" s="51" t="s">
        <v>837</v>
      </c>
      <c r="O214" s="51">
        <v>1</v>
      </c>
      <c r="P214" s="51">
        <v>0</v>
      </c>
      <c r="Q214" s="133">
        <v>0</v>
      </c>
      <c r="R214" s="51">
        <v>1</v>
      </c>
    </row>
    <row r="215" spans="1:18" ht="43.2" x14ac:dyDescent="0.3">
      <c r="A215" s="31">
        <v>214</v>
      </c>
      <c r="B215" s="100" t="s">
        <v>634</v>
      </c>
      <c r="C215" s="51">
        <v>100</v>
      </c>
      <c r="D215" s="51" t="s">
        <v>126</v>
      </c>
      <c r="E215" s="43">
        <v>46113</v>
      </c>
      <c r="F215" s="43">
        <v>46112</v>
      </c>
      <c r="G215" s="51" t="s">
        <v>82</v>
      </c>
      <c r="H215" s="51" t="s">
        <v>823</v>
      </c>
      <c r="I215" s="103">
        <v>58000000</v>
      </c>
      <c r="J215" s="51" t="s">
        <v>127</v>
      </c>
      <c r="K215" s="51" t="s">
        <v>832</v>
      </c>
      <c r="L215" s="51" t="s">
        <v>837</v>
      </c>
      <c r="O215" s="51">
        <v>100</v>
      </c>
      <c r="P215" s="51">
        <v>0</v>
      </c>
      <c r="Q215" s="133">
        <v>0</v>
      </c>
      <c r="R215" s="51">
        <v>100</v>
      </c>
    </row>
    <row r="216" spans="1:18" ht="43.2" x14ac:dyDescent="0.3">
      <c r="A216" s="31">
        <v>215</v>
      </c>
      <c r="B216" s="100" t="s">
        <v>637</v>
      </c>
      <c r="C216" s="51">
        <v>360</v>
      </c>
      <c r="D216" s="101" t="s">
        <v>824</v>
      </c>
      <c r="E216" s="43">
        <v>46113</v>
      </c>
      <c r="F216" s="43">
        <v>46477</v>
      </c>
      <c r="G216" s="51" t="s">
        <v>82</v>
      </c>
      <c r="H216" s="51" t="s">
        <v>823</v>
      </c>
      <c r="I216" s="103">
        <v>60000000</v>
      </c>
      <c r="J216" s="51" t="s">
        <v>127</v>
      </c>
      <c r="K216" s="51" t="s">
        <v>832</v>
      </c>
      <c r="L216" s="51" t="s">
        <v>837</v>
      </c>
      <c r="O216" s="51">
        <v>360</v>
      </c>
      <c r="P216" s="51">
        <v>0</v>
      </c>
      <c r="Q216" s="133">
        <v>0</v>
      </c>
      <c r="R216" s="51">
        <v>360</v>
      </c>
    </row>
    <row r="217" spans="1:18" ht="43.2" x14ac:dyDescent="0.3">
      <c r="A217" s="31">
        <v>216</v>
      </c>
      <c r="B217" s="100" t="s">
        <v>641</v>
      </c>
      <c r="C217" s="51">
        <v>1</v>
      </c>
      <c r="D217" s="101" t="s">
        <v>579</v>
      </c>
      <c r="E217" s="43">
        <v>46113</v>
      </c>
      <c r="F217" s="43">
        <v>46477</v>
      </c>
      <c r="G217" s="51" t="s">
        <v>82</v>
      </c>
      <c r="H217" s="51" t="s">
        <v>823</v>
      </c>
      <c r="I217" s="103"/>
      <c r="J217" s="51" t="s">
        <v>127</v>
      </c>
      <c r="K217" s="51" t="s">
        <v>832</v>
      </c>
      <c r="L217" s="51" t="s">
        <v>834</v>
      </c>
      <c r="O217" s="51">
        <v>1</v>
      </c>
      <c r="P217" s="51">
        <v>0</v>
      </c>
      <c r="Q217" s="133">
        <v>0</v>
      </c>
      <c r="R217" s="51">
        <v>1</v>
      </c>
    </row>
    <row r="218" spans="1:18" ht="43.2" x14ac:dyDescent="0.3">
      <c r="A218" s="31">
        <v>217</v>
      </c>
      <c r="B218" s="100" t="s">
        <v>643</v>
      </c>
      <c r="C218" s="51">
        <v>29</v>
      </c>
      <c r="D218" s="101" t="s">
        <v>79</v>
      </c>
      <c r="E218" s="43">
        <v>46113</v>
      </c>
      <c r="F218" s="43">
        <v>46477</v>
      </c>
      <c r="G218" s="51" t="s">
        <v>82</v>
      </c>
      <c r="H218" s="51" t="s">
        <v>823</v>
      </c>
      <c r="I218" s="103">
        <v>30000000</v>
      </c>
      <c r="J218" s="51" t="s">
        <v>83</v>
      </c>
      <c r="K218" s="51" t="s">
        <v>832</v>
      </c>
      <c r="L218" s="51" t="s">
        <v>840</v>
      </c>
      <c r="O218" s="51">
        <v>29</v>
      </c>
      <c r="P218" s="51">
        <v>0</v>
      </c>
      <c r="Q218" s="133">
        <v>0</v>
      </c>
      <c r="R218" s="51">
        <v>29</v>
      </c>
    </row>
    <row r="219" spans="1:18" ht="43.2" x14ac:dyDescent="0.3">
      <c r="A219" s="31">
        <v>218</v>
      </c>
      <c r="B219" s="100" t="s">
        <v>646</v>
      </c>
      <c r="C219" s="51">
        <v>29</v>
      </c>
      <c r="D219" s="101" t="s">
        <v>79</v>
      </c>
      <c r="E219" s="43">
        <v>46113</v>
      </c>
      <c r="F219" s="43">
        <v>46477</v>
      </c>
      <c r="G219" s="51" t="s">
        <v>82</v>
      </c>
      <c r="H219" s="51" t="s">
        <v>823</v>
      </c>
      <c r="I219" s="103">
        <v>30000000</v>
      </c>
      <c r="J219" s="51" t="s">
        <v>83</v>
      </c>
      <c r="K219" s="51" t="s">
        <v>832</v>
      </c>
      <c r="L219" s="51" t="s">
        <v>840</v>
      </c>
      <c r="O219" s="51">
        <v>29</v>
      </c>
      <c r="P219" s="51">
        <v>0</v>
      </c>
      <c r="Q219" s="133">
        <v>0</v>
      </c>
      <c r="R219" s="51">
        <v>29</v>
      </c>
    </row>
    <row r="220" spans="1:18" ht="43.2" x14ac:dyDescent="0.3">
      <c r="A220" s="31">
        <v>219</v>
      </c>
      <c r="B220" s="100" t="s">
        <v>650</v>
      </c>
      <c r="C220" s="51">
        <v>1</v>
      </c>
      <c r="D220" s="101" t="s">
        <v>579</v>
      </c>
      <c r="E220" s="43">
        <v>46113</v>
      </c>
      <c r="F220" s="43">
        <v>46477</v>
      </c>
      <c r="G220" s="51" t="s">
        <v>82</v>
      </c>
      <c r="H220" s="51" t="s">
        <v>823</v>
      </c>
      <c r="I220" s="103"/>
      <c r="J220" s="51" t="s">
        <v>83</v>
      </c>
      <c r="K220" s="51" t="s">
        <v>832</v>
      </c>
      <c r="L220" s="51" t="s">
        <v>837</v>
      </c>
      <c r="O220" s="51">
        <v>1</v>
      </c>
      <c r="P220" s="51">
        <v>0</v>
      </c>
      <c r="Q220" s="133">
        <v>0</v>
      </c>
      <c r="R220" s="51">
        <v>1</v>
      </c>
    </row>
    <row r="221" spans="1:18" ht="43.2" x14ac:dyDescent="0.3">
      <c r="A221" s="31">
        <v>220</v>
      </c>
      <c r="B221" s="100" t="s">
        <v>652</v>
      </c>
      <c r="C221" s="51">
        <v>100</v>
      </c>
      <c r="D221" s="51" t="s">
        <v>126</v>
      </c>
      <c r="E221" s="43">
        <v>46113</v>
      </c>
      <c r="F221" s="43">
        <v>46477</v>
      </c>
      <c r="G221" s="51"/>
      <c r="H221" s="51"/>
      <c r="I221" s="103"/>
      <c r="J221" s="51" t="s">
        <v>83</v>
      </c>
      <c r="K221" s="51" t="s">
        <v>832</v>
      </c>
      <c r="L221" s="51" t="s">
        <v>837</v>
      </c>
      <c r="O221" s="51">
        <v>100</v>
      </c>
      <c r="P221" s="51">
        <v>46</v>
      </c>
      <c r="Q221" s="133">
        <v>0.46</v>
      </c>
      <c r="R221" s="51">
        <v>54</v>
      </c>
    </row>
    <row r="222" spans="1:18" ht="43.2" x14ac:dyDescent="0.3">
      <c r="A222" s="31">
        <v>221</v>
      </c>
      <c r="B222" s="100" t="s">
        <v>653</v>
      </c>
      <c r="C222" s="51">
        <v>1</v>
      </c>
      <c r="D222" s="101" t="s">
        <v>579</v>
      </c>
      <c r="E222" s="43">
        <v>46113</v>
      </c>
      <c r="F222" s="43">
        <v>46477</v>
      </c>
      <c r="G222" s="51" t="s">
        <v>82</v>
      </c>
      <c r="H222" s="51" t="s">
        <v>823</v>
      </c>
      <c r="I222" s="103">
        <v>30000000</v>
      </c>
      <c r="J222" s="51" t="s">
        <v>654</v>
      </c>
      <c r="K222" s="51" t="s">
        <v>832</v>
      </c>
      <c r="L222" s="51" t="s">
        <v>837</v>
      </c>
      <c r="O222" s="51">
        <v>1</v>
      </c>
      <c r="P222" s="51">
        <v>0</v>
      </c>
      <c r="Q222" s="133">
        <v>0</v>
      </c>
      <c r="R222" s="51">
        <v>1</v>
      </c>
    </row>
    <row r="223" spans="1:18" ht="28.8" x14ac:dyDescent="0.3">
      <c r="A223" s="31">
        <v>222</v>
      </c>
      <c r="B223" s="100" t="s">
        <v>663</v>
      </c>
      <c r="C223" s="51">
        <v>29</v>
      </c>
      <c r="D223" s="101" t="s">
        <v>79</v>
      </c>
      <c r="E223" s="43">
        <v>46113</v>
      </c>
      <c r="F223" s="43">
        <v>46477</v>
      </c>
      <c r="G223" s="51" t="s">
        <v>82</v>
      </c>
      <c r="H223" s="51" t="s">
        <v>823</v>
      </c>
      <c r="I223" s="103"/>
      <c r="J223" s="51" t="s">
        <v>654</v>
      </c>
      <c r="K223" s="51" t="s">
        <v>832</v>
      </c>
      <c r="L223" s="51" t="s">
        <v>840</v>
      </c>
      <c r="O223" s="51">
        <v>29</v>
      </c>
      <c r="P223" s="51">
        <v>0</v>
      </c>
      <c r="Q223" s="133">
        <v>0</v>
      </c>
      <c r="R223" s="51">
        <v>29</v>
      </c>
    </row>
    <row r="224" spans="1:18" ht="43.2" x14ac:dyDescent="0.3">
      <c r="A224" s="31">
        <v>223</v>
      </c>
      <c r="B224" s="100" t="s">
        <v>669</v>
      </c>
      <c r="C224" s="51">
        <v>29</v>
      </c>
      <c r="D224" s="101" t="s">
        <v>79</v>
      </c>
      <c r="E224" s="43">
        <v>46113</v>
      </c>
      <c r="F224" s="43">
        <v>46477</v>
      </c>
      <c r="G224" s="51"/>
      <c r="H224" s="51"/>
      <c r="I224" s="103"/>
      <c r="J224" s="51" t="s">
        <v>670</v>
      </c>
      <c r="K224" s="51" t="s">
        <v>850</v>
      </c>
      <c r="O224" s="51">
        <v>29</v>
      </c>
      <c r="P224" s="51">
        <v>0</v>
      </c>
      <c r="Q224" s="133">
        <v>0</v>
      </c>
      <c r="R224" s="51">
        <v>29</v>
      </c>
    </row>
    <row r="225" spans="1:18" ht="43.2" x14ac:dyDescent="0.3">
      <c r="A225" s="31">
        <v>224</v>
      </c>
      <c r="B225" s="100" t="s">
        <v>674</v>
      </c>
      <c r="C225" s="51">
        <v>29</v>
      </c>
      <c r="D225" s="101" t="s">
        <v>79</v>
      </c>
      <c r="E225" s="43">
        <v>46113</v>
      </c>
      <c r="F225" s="43">
        <v>46477</v>
      </c>
      <c r="G225" s="51"/>
      <c r="H225" s="51"/>
      <c r="I225" s="103"/>
      <c r="J225" s="51" t="s">
        <v>83</v>
      </c>
      <c r="K225" s="51" t="s">
        <v>850</v>
      </c>
      <c r="O225" s="51">
        <v>29</v>
      </c>
      <c r="P225" s="51">
        <v>0</v>
      </c>
      <c r="Q225" s="133">
        <v>0</v>
      </c>
      <c r="R225" s="51">
        <v>29</v>
      </c>
    </row>
    <row r="226" spans="1:18" ht="43.2" x14ac:dyDescent="0.3">
      <c r="A226" s="31">
        <v>225</v>
      </c>
      <c r="B226" s="100" t="s">
        <v>678</v>
      </c>
      <c r="C226" s="51">
        <v>29</v>
      </c>
      <c r="D226" s="101" t="s">
        <v>79</v>
      </c>
      <c r="E226" s="43">
        <v>46113</v>
      </c>
      <c r="F226" s="43">
        <v>46477</v>
      </c>
      <c r="G226" s="51" t="s">
        <v>82</v>
      </c>
      <c r="H226" s="51" t="s">
        <v>823</v>
      </c>
      <c r="I226" s="103"/>
      <c r="J226" s="51" t="s">
        <v>670</v>
      </c>
      <c r="K226" s="51" t="s">
        <v>850</v>
      </c>
      <c r="O226" s="51">
        <v>29</v>
      </c>
      <c r="P226" s="51">
        <v>0</v>
      </c>
      <c r="Q226" s="133">
        <v>0</v>
      </c>
      <c r="R226" s="51">
        <v>29</v>
      </c>
    </row>
    <row r="227" spans="1:18" ht="28.8" x14ac:dyDescent="0.3">
      <c r="A227" s="31">
        <v>226</v>
      </c>
      <c r="B227" s="100" t="s">
        <v>688</v>
      </c>
      <c r="C227" s="51">
        <v>4</v>
      </c>
      <c r="D227" s="51" t="s">
        <v>79</v>
      </c>
      <c r="E227" s="43">
        <v>46113</v>
      </c>
      <c r="F227" s="43">
        <v>46477</v>
      </c>
      <c r="G227" s="51"/>
      <c r="H227" s="51"/>
      <c r="I227" s="103">
        <v>10826626481</v>
      </c>
      <c r="J227" s="51" t="s">
        <v>83</v>
      </c>
      <c r="K227" s="51" t="s">
        <v>851</v>
      </c>
      <c r="O227" s="51">
        <v>4</v>
      </c>
      <c r="P227" s="51">
        <v>0</v>
      </c>
      <c r="Q227" s="133">
        <v>0</v>
      </c>
      <c r="R227" s="51">
        <v>4</v>
      </c>
    </row>
    <row r="228" spans="1:18" ht="43.2" x14ac:dyDescent="0.3">
      <c r="A228" s="31">
        <v>227</v>
      </c>
      <c r="B228" s="100" t="s">
        <v>692</v>
      </c>
      <c r="C228" s="51">
        <v>60</v>
      </c>
      <c r="D228" s="51" t="s">
        <v>79</v>
      </c>
      <c r="E228" s="43">
        <v>46113</v>
      </c>
      <c r="F228" s="43">
        <v>46477</v>
      </c>
      <c r="G228" s="51"/>
      <c r="H228" s="51"/>
      <c r="I228" s="103">
        <v>300000000</v>
      </c>
      <c r="J228" s="51" t="s">
        <v>83</v>
      </c>
      <c r="K228" s="51" t="s">
        <v>851</v>
      </c>
      <c r="O228" s="51">
        <v>60</v>
      </c>
      <c r="P228" s="51">
        <v>0</v>
      </c>
      <c r="Q228" s="133">
        <v>0</v>
      </c>
      <c r="R228" s="51">
        <v>60</v>
      </c>
    </row>
    <row r="229" spans="1:18" ht="28.8" x14ac:dyDescent="0.3">
      <c r="A229" s="31">
        <v>228</v>
      </c>
      <c r="B229" s="100" t="s">
        <v>693</v>
      </c>
      <c r="C229" s="51">
        <v>60</v>
      </c>
      <c r="D229" s="51" t="s">
        <v>79</v>
      </c>
      <c r="E229" s="43">
        <v>46113</v>
      </c>
      <c r="F229" s="43">
        <v>46477</v>
      </c>
      <c r="G229" s="51"/>
      <c r="H229" s="51"/>
      <c r="I229" s="103">
        <v>4926057603</v>
      </c>
      <c r="J229" s="51" t="s">
        <v>83</v>
      </c>
      <c r="K229" s="51" t="s">
        <v>851</v>
      </c>
      <c r="O229" s="51">
        <v>60</v>
      </c>
      <c r="P229" s="51">
        <v>0</v>
      </c>
      <c r="Q229" s="133">
        <v>0</v>
      </c>
      <c r="R229" s="51">
        <v>60</v>
      </c>
    </row>
    <row r="230" spans="1:18" ht="28.8" x14ac:dyDescent="0.3">
      <c r="A230" s="31">
        <v>229</v>
      </c>
      <c r="B230" s="100" t="s">
        <v>694</v>
      </c>
      <c r="C230" s="51">
        <v>58</v>
      </c>
      <c r="D230" s="51" t="s">
        <v>79</v>
      </c>
      <c r="E230" s="43">
        <v>46113</v>
      </c>
      <c r="F230" s="43">
        <v>46477</v>
      </c>
      <c r="G230" s="51"/>
      <c r="H230" s="51"/>
      <c r="I230" s="103">
        <v>1782154298</v>
      </c>
      <c r="J230" s="51" t="s">
        <v>83</v>
      </c>
      <c r="K230" s="51" t="s">
        <v>851</v>
      </c>
      <c r="O230" s="51">
        <v>58</v>
      </c>
      <c r="P230" s="51">
        <v>0</v>
      </c>
      <c r="Q230" s="133">
        <v>0</v>
      </c>
      <c r="R230" s="51">
        <v>58</v>
      </c>
    </row>
    <row r="231" spans="1:18" x14ac:dyDescent="0.3">
      <c r="A231" s="31">
        <v>230</v>
      </c>
      <c r="B231" s="100" t="s">
        <v>695</v>
      </c>
      <c r="C231" s="51">
        <v>68986</v>
      </c>
      <c r="D231" s="51" t="s">
        <v>79</v>
      </c>
      <c r="E231" s="43">
        <v>46113</v>
      </c>
      <c r="F231" s="43">
        <v>46477</v>
      </c>
      <c r="G231" s="102" t="s">
        <v>697</v>
      </c>
      <c r="H231" s="102" t="s">
        <v>696</v>
      </c>
      <c r="I231" s="103">
        <v>9064996090</v>
      </c>
      <c r="J231" s="51" t="s">
        <v>83</v>
      </c>
      <c r="K231" s="51" t="s">
        <v>851</v>
      </c>
      <c r="O231" s="51">
        <v>68986</v>
      </c>
      <c r="P231" s="51">
        <v>0</v>
      </c>
      <c r="Q231" s="133">
        <v>0</v>
      </c>
      <c r="R231" s="51">
        <v>68986</v>
      </c>
    </row>
    <row r="232" spans="1:18" ht="28.8" x14ac:dyDescent="0.3">
      <c r="A232" s="31">
        <v>231</v>
      </c>
      <c r="B232" s="100" t="s">
        <v>707</v>
      </c>
      <c r="C232" s="51">
        <v>14</v>
      </c>
      <c r="D232" s="101" t="s">
        <v>79</v>
      </c>
      <c r="E232" s="43">
        <v>46113</v>
      </c>
      <c r="F232" s="43">
        <v>46477</v>
      </c>
      <c r="G232" s="102" t="s">
        <v>697</v>
      </c>
      <c r="H232" s="102" t="s">
        <v>696</v>
      </c>
      <c r="I232" s="103">
        <v>0</v>
      </c>
      <c r="J232" s="51" t="s">
        <v>83</v>
      </c>
      <c r="K232" s="51" t="s">
        <v>852</v>
      </c>
      <c r="L232" s="51" t="s">
        <v>853</v>
      </c>
      <c r="O232" s="51">
        <v>14</v>
      </c>
      <c r="P232" s="51">
        <v>0</v>
      </c>
      <c r="Q232" s="133">
        <v>0</v>
      </c>
      <c r="R232" s="51">
        <v>14</v>
      </c>
    </row>
    <row r="233" spans="1:18" ht="28.8" x14ac:dyDescent="0.3">
      <c r="A233" s="31">
        <v>232</v>
      </c>
      <c r="B233" s="100" t="s">
        <v>712</v>
      </c>
      <c r="C233" s="51">
        <v>62</v>
      </c>
      <c r="D233" s="101" t="s">
        <v>79</v>
      </c>
      <c r="E233" s="43">
        <v>46113</v>
      </c>
      <c r="F233" s="43">
        <v>46477</v>
      </c>
      <c r="G233" s="102" t="s">
        <v>697</v>
      </c>
      <c r="H233" s="102" t="s">
        <v>696</v>
      </c>
      <c r="I233" s="103">
        <v>0</v>
      </c>
      <c r="J233" s="51" t="s">
        <v>83</v>
      </c>
      <c r="K233" s="51" t="s">
        <v>852</v>
      </c>
      <c r="L233" s="51" t="s">
        <v>853</v>
      </c>
      <c r="O233" s="51">
        <v>62</v>
      </c>
      <c r="P233" s="51">
        <v>0</v>
      </c>
      <c r="Q233" s="133">
        <v>0</v>
      </c>
      <c r="R233" s="51">
        <v>62</v>
      </c>
    </row>
    <row r="234" spans="1:18" ht="28.8" x14ac:dyDescent="0.3">
      <c r="A234" s="31">
        <v>233</v>
      </c>
      <c r="B234" s="100" t="s">
        <v>715</v>
      </c>
      <c r="C234" s="51">
        <v>100</v>
      </c>
      <c r="D234" s="51" t="s">
        <v>126</v>
      </c>
      <c r="E234" s="43">
        <v>46113</v>
      </c>
      <c r="F234" s="43">
        <v>46477</v>
      </c>
      <c r="G234" s="102" t="s">
        <v>697</v>
      </c>
      <c r="H234" s="102" t="s">
        <v>696</v>
      </c>
      <c r="I234" s="103">
        <v>0</v>
      </c>
      <c r="J234" s="51" t="s">
        <v>83</v>
      </c>
      <c r="K234" s="51" t="s">
        <v>852</v>
      </c>
      <c r="L234" s="51" t="s">
        <v>853</v>
      </c>
      <c r="O234" s="51">
        <v>100</v>
      </c>
      <c r="P234" s="51">
        <v>0</v>
      </c>
      <c r="Q234" s="133">
        <v>0</v>
      </c>
      <c r="R234" s="51">
        <v>100</v>
      </c>
    </row>
    <row r="235" spans="1:18" ht="28.8" x14ac:dyDescent="0.3">
      <c r="A235" s="31">
        <v>234</v>
      </c>
      <c r="B235" s="100" t="s">
        <v>717</v>
      </c>
      <c r="C235" s="51">
        <v>100</v>
      </c>
      <c r="D235" s="51" t="s">
        <v>126</v>
      </c>
      <c r="E235" s="43">
        <v>46113</v>
      </c>
      <c r="F235" s="43">
        <v>46477</v>
      </c>
      <c r="G235" s="102"/>
      <c r="H235" s="102" t="s">
        <v>696</v>
      </c>
      <c r="I235" s="103">
        <v>0</v>
      </c>
      <c r="J235" s="51" t="s">
        <v>83</v>
      </c>
      <c r="K235" s="51" t="s">
        <v>852</v>
      </c>
      <c r="L235" s="51" t="s">
        <v>853</v>
      </c>
      <c r="O235" s="51">
        <v>100</v>
      </c>
      <c r="P235" s="51">
        <v>0</v>
      </c>
      <c r="Q235" s="133">
        <v>0</v>
      </c>
      <c r="R235" s="51">
        <v>100</v>
      </c>
    </row>
    <row r="236" spans="1:18" ht="43.2" x14ac:dyDescent="0.3">
      <c r="A236" s="31">
        <v>235</v>
      </c>
      <c r="B236" s="100" t="s">
        <v>720</v>
      </c>
      <c r="C236" s="51">
        <v>400</v>
      </c>
      <c r="D236" s="51" t="s">
        <v>79</v>
      </c>
      <c r="E236" s="67">
        <v>46113</v>
      </c>
      <c r="F236" s="67">
        <v>46477</v>
      </c>
      <c r="G236" s="51"/>
      <c r="H236" s="51"/>
      <c r="I236" s="103">
        <v>0</v>
      </c>
      <c r="J236" s="51" t="s">
        <v>83</v>
      </c>
      <c r="K236" s="51" t="s">
        <v>852</v>
      </c>
      <c r="L236" s="51" t="s">
        <v>853</v>
      </c>
      <c r="O236" s="51">
        <v>400</v>
      </c>
      <c r="P236" s="51">
        <v>0</v>
      </c>
      <c r="Q236" s="133">
        <v>0</v>
      </c>
      <c r="R236" s="51">
        <v>400</v>
      </c>
    </row>
    <row r="237" spans="1:18" ht="43.2" x14ac:dyDescent="0.3">
      <c r="A237" s="31">
        <v>236</v>
      </c>
      <c r="B237" s="100" t="s">
        <v>722</v>
      </c>
      <c r="C237" s="51">
        <v>100</v>
      </c>
      <c r="D237" s="51" t="s">
        <v>126</v>
      </c>
      <c r="E237" s="67">
        <v>46113</v>
      </c>
      <c r="F237" s="67">
        <v>46477</v>
      </c>
      <c r="G237" s="51"/>
      <c r="H237" s="51"/>
      <c r="I237" s="103">
        <v>0</v>
      </c>
      <c r="J237" s="51" t="s">
        <v>83</v>
      </c>
      <c r="K237" s="51" t="s">
        <v>852</v>
      </c>
      <c r="L237" s="51" t="s">
        <v>853</v>
      </c>
      <c r="O237" s="51">
        <v>100</v>
      </c>
      <c r="P237" s="51">
        <v>0</v>
      </c>
      <c r="Q237" s="133">
        <v>0</v>
      </c>
      <c r="R237" s="51">
        <v>100</v>
      </c>
    </row>
    <row r="238" spans="1:18" ht="28.8" x14ac:dyDescent="0.3">
      <c r="A238" s="31">
        <v>237</v>
      </c>
      <c r="B238" s="100" t="s">
        <v>728</v>
      </c>
      <c r="C238" s="51">
        <v>4</v>
      </c>
      <c r="D238" s="101" t="s">
        <v>79</v>
      </c>
      <c r="E238" s="67">
        <v>46113</v>
      </c>
      <c r="F238" s="67">
        <v>46477</v>
      </c>
      <c r="G238" s="51"/>
      <c r="H238" s="51"/>
      <c r="I238" s="103">
        <v>0</v>
      </c>
      <c r="J238" s="51" t="s">
        <v>83</v>
      </c>
      <c r="K238" s="51" t="s">
        <v>854</v>
      </c>
      <c r="O238" s="51">
        <v>4</v>
      </c>
      <c r="P238" s="51">
        <v>0</v>
      </c>
      <c r="Q238" s="133">
        <v>0</v>
      </c>
      <c r="R238" s="51">
        <v>4</v>
      </c>
    </row>
    <row r="239" spans="1:18" ht="28.8" x14ac:dyDescent="0.3">
      <c r="A239" s="31">
        <v>238</v>
      </c>
      <c r="B239" s="100" t="s">
        <v>730</v>
      </c>
      <c r="C239" s="51">
        <v>29</v>
      </c>
      <c r="D239" s="101" t="s">
        <v>79</v>
      </c>
      <c r="E239" s="67">
        <v>46113</v>
      </c>
      <c r="F239" s="67">
        <v>46477</v>
      </c>
      <c r="G239" s="51"/>
      <c r="H239" s="51"/>
      <c r="I239" s="103">
        <v>0</v>
      </c>
      <c r="J239" s="51" t="s">
        <v>83</v>
      </c>
      <c r="K239" s="51" t="s">
        <v>854</v>
      </c>
      <c r="O239" s="51">
        <v>29</v>
      </c>
      <c r="P239" s="51">
        <v>0</v>
      </c>
      <c r="Q239" s="133">
        <v>0</v>
      </c>
      <c r="R239" s="51">
        <v>29</v>
      </c>
    </row>
    <row r="240" spans="1:18" x14ac:dyDescent="0.3">
      <c r="A240" s="31">
        <v>239</v>
      </c>
      <c r="B240" s="100" t="s">
        <v>734</v>
      </c>
      <c r="C240" s="51">
        <v>80</v>
      </c>
      <c r="D240" s="51" t="s">
        <v>126</v>
      </c>
      <c r="E240" s="67">
        <v>46113</v>
      </c>
      <c r="F240" s="67">
        <v>46477</v>
      </c>
      <c r="G240" s="51"/>
      <c r="H240" s="51"/>
      <c r="I240" s="103">
        <v>0</v>
      </c>
      <c r="J240" s="51" t="s">
        <v>83</v>
      </c>
      <c r="K240" s="51" t="s">
        <v>854</v>
      </c>
      <c r="O240" s="51">
        <v>80</v>
      </c>
      <c r="P240" s="51">
        <v>0</v>
      </c>
      <c r="Q240" s="133">
        <v>0</v>
      </c>
      <c r="R240" s="51">
        <v>80</v>
      </c>
    </row>
    <row r="241" spans="1:18" ht="28.8" x14ac:dyDescent="0.3">
      <c r="A241" s="31">
        <v>240</v>
      </c>
      <c r="B241" s="100" t="s">
        <v>742</v>
      </c>
      <c r="C241" s="51">
        <v>4</v>
      </c>
      <c r="D241" s="101" t="s">
        <v>79</v>
      </c>
      <c r="E241" s="67">
        <v>46113</v>
      </c>
      <c r="F241" s="67">
        <v>46477</v>
      </c>
      <c r="G241" s="51"/>
      <c r="H241" s="51"/>
      <c r="I241" s="103">
        <v>0</v>
      </c>
      <c r="J241" s="51" t="s">
        <v>83</v>
      </c>
      <c r="K241" s="51" t="s">
        <v>854</v>
      </c>
      <c r="O241" s="51">
        <v>4</v>
      </c>
      <c r="P241" s="51">
        <v>0</v>
      </c>
      <c r="Q241" s="133">
        <v>0</v>
      </c>
      <c r="R241" s="51">
        <v>4</v>
      </c>
    </row>
    <row r="242" spans="1:18" ht="43.2" x14ac:dyDescent="0.3">
      <c r="A242" s="31">
        <v>241</v>
      </c>
      <c r="B242" s="100" t="s">
        <v>747</v>
      </c>
      <c r="C242" s="51">
        <v>29</v>
      </c>
      <c r="D242" s="101" t="s">
        <v>79</v>
      </c>
      <c r="E242" s="67">
        <v>46054</v>
      </c>
      <c r="F242" s="67">
        <v>46387</v>
      </c>
      <c r="G242" s="51"/>
      <c r="H242" s="51"/>
      <c r="I242" s="103">
        <v>0</v>
      </c>
      <c r="J242" s="51" t="s">
        <v>748</v>
      </c>
      <c r="K242" s="51" t="s">
        <v>854</v>
      </c>
      <c r="O242" s="51">
        <v>29</v>
      </c>
      <c r="P242" s="51">
        <v>0</v>
      </c>
      <c r="Q242" s="133">
        <v>0</v>
      </c>
      <c r="R242" s="51">
        <v>29</v>
      </c>
    </row>
    <row r="243" spans="1:18" ht="43.2" x14ac:dyDescent="0.3">
      <c r="A243" s="31">
        <v>242</v>
      </c>
      <c r="B243" s="100" t="s">
        <v>751</v>
      </c>
      <c r="C243" s="51">
        <v>29</v>
      </c>
      <c r="D243" s="101" t="s">
        <v>79</v>
      </c>
      <c r="E243" s="67">
        <v>46054</v>
      </c>
      <c r="F243" s="67">
        <v>46387</v>
      </c>
      <c r="G243" s="51"/>
      <c r="H243" s="51"/>
      <c r="I243" s="103">
        <v>0</v>
      </c>
      <c r="J243" s="51" t="s">
        <v>748</v>
      </c>
      <c r="K243" s="51" t="s">
        <v>854</v>
      </c>
      <c r="O243" s="51">
        <v>29</v>
      </c>
      <c r="P243" s="51">
        <v>0</v>
      </c>
      <c r="Q243" s="133">
        <v>0</v>
      </c>
      <c r="R243" s="51">
        <v>29</v>
      </c>
    </row>
    <row r="244" spans="1:18" ht="28.8" x14ac:dyDescent="0.3">
      <c r="A244" s="31">
        <v>243</v>
      </c>
      <c r="B244" s="100" t="s">
        <v>753</v>
      </c>
      <c r="C244" s="51">
        <v>70</v>
      </c>
      <c r="D244" s="51" t="s">
        <v>126</v>
      </c>
      <c r="E244" s="67">
        <v>46054</v>
      </c>
      <c r="F244" s="67">
        <v>46387</v>
      </c>
      <c r="G244" s="51"/>
      <c r="H244" s="51"/>
      <c r="I244" s="103">
        <v>0</v>
      </c>
      <c r="J244" s="51" t="s">
        <v>754</v>
      </c>
      <c r="K244" s="51" t="s">
        <v>854</v>
      </c>
      <c r="L244" s="51" t="s">
        <v>855</v>
      </c>
      <c r="O244" s="51">
        <v>70</v>
      </c>
      <c r="P244" s="51">
        <v>0</v>
      </c>
      <c r="Q244" s="133">
        <v>0</v>
      </c>
      <c r="R244" s="51">
        <v>70</v>
      </c>
    </row>
    <row r="245" spans="1:18" ht="28.8" x14ac:dyDescent="0.3">
      <c r="A245" s="31">
        <v>244</v>
      </c>
      <c r="B245" s="100" t="s">
        <v>757</v>
      </c>
      <c r="C245" s="51">
        <v>100</v>
      </c>
      <c r="D245" s="51" t="s">
        <v>126</v>
      </c>
      <c r="E245" s="67">
        <v>46054</v>
      </c>
      <c r="F245" s="67">
        <v>46387</v>
      </c>
      <c r="G245" s="51"/>
      <c r="H245" s="51"/>
      <c r="I245" s="103">
        <v>0</v>
      </c>
      <c r="J245" s="51" t="s">
        <v>83</v>
      </c>
      <c r="K245" s="51" t="s">
        <v>854</v>
      </c>
      <c r="L245" s="51" t="s">
        <v>855</v>
      </c>
      <c r="O245" s="51">
        <v>100</v>
      </c>
      <c r="P245" s="51">
        <v>0</v>
      </c>
      <c r="Q245" s="133">
        <v>0</v>
      </c>
      <c r="R245" s="51">
        <v>100</v>
      </c>
    </row>
    <row r="246" spans="1:18" ht="28.8" x14ac:dyDescent="0.3">
      <c r="A246" s="31">
        <v>245</v>
      </c>
      <c r="B246" s="100" t="s">
        <v>760</v>
      </c>
      <c r="C246" s="51">
        <v>4</v>
      </c>
      <c r="D246" s="51" t="s">
        <v>79</v>
      </c>
      <c r="E246" s="67">
        <v>46054</v>
      </c>
      <c r="F246" s="67">
        <v>46387</v>
      </c>
      <c r="G246" s="51"/>
      <c r="H246" s="51"/>
      <c r="I246" s="103">
        <v>0</v>
      </c>
      <c r="J246" s="51" t="s">
        <v>83</v>
      </c>
      <c r="K246" s="51" t="s">
        <v>854</v>
      </c>
      <c r="L246" s="51" t="s">
        <v>855</v>
      </c>
      <c r="O246" s="51">
        <v>4</v>
      </c>
      <c r="P246" s="51">
        <v>0</v>
      </c>
      <c r="Q246" s="133">
        <v>0</v>
      </c>
      <c r="R246" s="51">
        <v>4</v>
      </c>
    </row>
    <row r="247" spans="1:18" ht="28.8" x14ac:dyDescent="0.3">
      <c r="A247" s="31">
        <v>246</v>
      </c>
      <c r="B247" s="100" t="s">
        <v>762</v>
      </c>
      <c r="C247" s="51">
        <v>100</v>
      </c>
      <c r="D247" s="51" t="s">
        <v>126</v>
      </c>
      <c r="E247" s="67">
        <v>46054</v>
      </c>
      <c r="F247" s="67">
        <v>46387</v>
      </c>
      <c r="G247" s="51"/>
      <c r="H247" s="51"/>
      <c r="I247" s="103">
        <v>0</v>
      </c>
      <c r="J247" s="51" t="s">
        <v>83</v>
      </c>
      <c r="K247" s="51" t="s">
        <v>854</v>
      </c>
      <c r="L247" s="51" t="s">
        <v>855</v>
      </c>
      <c r="O247" s="51">
        <v>100</v>
      </c>
      <c r="P247" s="51">
        <v>0</v>
      </c>
      <c r="Q247" s="133">
        <v>0</v>
      </c>
      <c r="R247" s="51">
        <v>100</v>
      </c>
    </row>
    <row r="248" spans="1:18" ht="28.8" x14ac:dyDescent="0.3">
      <c r="A248" s="31">
        <v>247</v>
      </c>
      <c r="B248" s="100" t="s">
        <v>765</v>
      </c>
      <c r="C248" s="51">
        <v>100</v>
      </c>
      <c r="D248" s="51" t="s">
        <v>126</v>
      </c>
      <c r="E248" s="67">
        <v>46054</v>
      </c>
      <c r="F248" s="67">
        <v>46387</v>
      </c>
      <c r="G248" s="51"/>
      <c r="H248" s="51"/>
      <c r="I248" s="103">
        <v>0</v>
      </c>
      <c r="J248" s="51" t="s">
        <v>83</v>
      </c>
      <c r="K248" s="51" t="s">
        <v>854</v>
      </c>
      <c r="L248" s="51" t="s">
        <v>855</v>
      </c>
      <c r="O248" s="51">
        <v>100</v>
      </c>
      <c r="P248" s="51">
        <v>0</v>
      </c>
      <c r="Q248" s="133">
        <v>0</v>
      </c>
      <c r="R248" s="51">
        <v>100</v>
      </c>
    </row>
    <row r="249" spans="1:18" ht="28.8" x14ac:dyDescent="0.3">
      <c r="A249" s="31">
        <v>248</v>
      </c>
      <c r="B249" s="100" t="s">
        <v>767</v>
      </c>
      <c r="C249" s="51">
        <v>80</v>
      </c>
      <c r="D249" s="51" t="s">
        <v>126</v>
      </c>
      <c r="E249" s="67">
        <v>46054</v>
      </c>
      <c r="F249" s="67">
        <v>46387</v>
      </c>
      <c r="G249" s="51"/>
      <c r="H249" s="51"/>
      <c r="I249" s="103">
        <v>0</v>
      </c>
      <c r="J249" s="51" t="s">
        <v>83</v>
      </c>
      <c r="K249" s="51" t="s">
        <v>854</v>
      </c>
      <c r="L249" s="51" t="s">
        <v>855</v>
      </c>
      <c r="O249" s="51">
        <v>80</v>
      </c>
      <c r="P249" s="51">
        <v>0</v>
      </c>
      <c r="Q249" s="133">
        <v>0</v>
      </c>
      <c r="R249" s="51">
        <v>80</v>
      </c>
    </row>
    <row r="250" spans="1:18" ht="28.8" x14ac:dyDescent="0.3">
      <c r="A250" s="31">
        <v>249</v>
      </c>
      <c r="B250" s="100" t="s">
        <v>770</v>
      </c>
      <c r="C250" s="51">
        <v>100</v>
      </c>
      <c r="D250" s="51" t="s">
        <v>126</v>
      </c>
      <c r="E250" s="67">
        <v>46054</v>
      </c>
      <c r="F250" s="67">
        <v>46387</v>
      </c>
      <c r="G250" s="51"/>
      <c r="H250" s="51"/>
      <c r="I250" s="103">
        <v>0</v>
      </c>
      <c r="J250" s="51" t="s">
        <v>83</v>
      </c>
      <c r="K250" s="51" t="s">
        <v>854</v>
      </c>
      <c r="L250" s="51" t="s">
        <v>856</v>
      </c>
      <c r="O250" s="51">
        <v>100</v>
      </c>
      <c r="P250" s="51">
        <v>0</v>
      </c>
      <c r="Q250" s="133">
        <v>0</v>
      </c>
      <c r="R250" s="51">
        <v>100</v>
      </c>
    </row>
    <row r="251" spans="1:18" x14ac:dyDescent="0.3">
      <c r="A251" s="31">
        <v>250</v>
      </c>
      <c r="B251" s="100" t="s">
        <v>773</v>
      </c>
      <c r="C251" s="51">
        <v>100</v>
      </c>
      <c r="D251" s="51" t="s">
        <v>126</v>
      </c>
      <c r="E251" s="67">
        <v>46054</v>
      </c>
      <c r="F251" s="67">
        <v>46387</v>
      </c>
      <c r="G251" s="51"/>
      <c r="H251" s="51"/>
      <c r="I251" s="103">
        <v>0</v>
      </c>
      <c r="J251" s="51" t="s">
        <v>83</v>
      </c>
      <c r="K251" s="51" t="s">
        <v>850</v>
      </c>
      <c r="O251" s="51">
        <v>100</v>
      </c>
      <c r="P251" s="51">
        <v>50</v>
      </c>
      <c r="Q251" s="133">
        <v>0.5</v>
      </c>
      <c r="R251" s="51">
        <v>50</v>
      </c>
    </row>
    <row r="252" spans="1:18" x14ac:dyDescent="0.3">
      <c r="A252" s="31">
        <v>251</v>
      </c>
      <c r="B252" s="100" t="s">
        <v>776</v>
      </c>
      <c r="C252" s="51">
        <v>5</v>
      </c>
      <c r="D252" s="51" t="s">
        <v>79</v>
      </c>
      <c r="E252" s="67">
        <v>46054</v>
      </c>
      <c r="F252" s="67">
        <v>46387</v>
      </c>
      <c r="G252" s="51"/>
      <c r="H252" s="51"/>
      <c r="I252" s="103">
        <v>0</v>
      </c>
      <c r="J252" s="51" t="s">
        <v>83</v>
      </c>
      <c r="K252" s="51" t="s">
        <v>850</v>
      </c>
      <c r="O252" s="51">
        <v>5</v>
      </c>
      <c r="P252" s="51">
        <v>37</v>
      </c>
      <c r="Q252" s="133">
        <v>7.4</v>
      </c>
      <c r="R252" s="51">
        <v>-32</v>
      </c>
    </row>
    <row r="253" spans="1:18" x14ac:dyDescent="0.3">
      <c r="A253" s="31">
        <v>252</v>
      </c>
      <c r="B253" s="100" t="s">
        <v>777</v>
      </c>
      <c r="C253" s="51">
        <v>5</v>
      </c>
      <c r="D253" s="51" t="s">
        <v>79</v>
      </c>
      <c r="E253" s="67">
        <v>46054</v>
      </c>
      <c r="F253" s="67">
        <v>46387</v>
      </c>
      <c r="G253" s="51"/>
      <c r="H253" s="51"/>
      <c r="I253" s="103">
        <v>0</v>
      </c>
      <c r="J253" s="51" t="s">
        <v>83</v>
      </c>
      <c r="K253" s="51" t="s">
        <v>850</v>
      </c>
      <c r="O253" s="51">
        <v>5</v>
      </c>
      <c r="P253" s="51">
        <v>40</v>
      </c>
      <c r="Q253" s="133">
        <v>8</v>
      </c>
      <c r="R253" s="51">
        <v>-35</v>
      </c>
    </row>
    <row r="254" spans="1:18" ht="43.2" x14ac:dyDescent="0.3">
      <c r="A254" s="31">
        <v>253</v>
      </c>
      <c r="B254" s="100" t="s">
        <v>781</v>
      </c>
      <c r="C254" s="51">
        <v>17</v>
      </c>
      <c r="D254" s="51" t="s">
        <v>79</v>
      </c>
      <c r="E254" s="67">
        <v>46054</v>
      </c>
      <c r="F254" s="67">
        <v>46387</v>
      </c>
      <c r="G254" s="51"/>
      <c r="H254" s="51"/>
      <c r="I254" s="103"/>
      <c r="J254" s="51" t="s">
        <v>670</v>
      </c>
      <c r="K254" s="51" t="s">
        <v>849</v>
      </c>
      <c r="O254" s="51">
        <v>17</v>
      </c>
      <c r="P254" s="51">
        <v>0</v>
      </c>
      <c r="Q254" s="133">
        <v>0</v>
      </c>
      <c r="R254" s="51">
        <v>17</v>
      </c>
    </row>
    <row r="255" spans="1:18" ht="43.2" x14ac:dyDescent="0.3">
      <c r="A255" s="31">
        <v>254</v>
      </c>
      <c r="B255" s="100" t="s">
        <v>782</v>
      </c>
      <c r="C255" s="51">
        <v>5</v>
      </c>
      <c r="D255" s="51" t="s">
        <v>79</v>
      </c>
      <c r="E255" s="67">
        <v>46054</v>
      </c>
      <c r="F255" s="67">
        <v>46387</v>
      </c>
      <c r="G255" s="51"/>
      <c r="H255" s="51"/>
      <c r="I255" s="103"/>
      <c r="J255" s="51" t="s">
        <v>783</v>
      </c>
      <c r="K255" s="51" t="s">
        <v>849</v>
      </c>
      <c r="O255" s="51">
        <v>5</v>
      </c>
      <c r="P255" s="51">
        <v>0</v>
      </c>
      <c r="Q255" s="133">
        <v>0</v>
      </c>
      <c r="R255" s="51">
        <v>5</v>
      </c>
    </row>
    <row r="256" spans="1:18" ht="43.2" x14ac:dyDescent="0.3">
      <c r="A256" s="31">
        <v>255</v>
      </c>
      <c r="B256" s="100" t="s">
        <v>784</v>
      </c>
      <c r="C256" s="51">
        <v>35</v>
      </c>
      <c r="D256" s="51" t="s">
        <v>79</v>
      </c>
      <c r="E256" s="67">
        <v>46054</v>
      </c>
      <c r="F256" s="67">
        <v>46387</v>
      </c>
      <c r="G256" s="51"/>
      <c r="H256" s="51"/>
      <c r="I256" s="103"/>
      <c r="J256" s="51" t="s">
        <v>783</v>
      </c>
      <c r="K256" s="51" t="s">
        <v>849</v>
      </c>
      <c r="O256" s="51">
        <v>35</v>
      </c>
      <c r="P256" s="51">
        <v>0</v>
      </c>
      <c r="Q256" s="133">
        <v>0</v>
      </c>
      <c r="R256" s="51">
        <v>35</v>
      </c>
    </row>
    <row r="257" spans="1:18" ht="43.2" x14ac:dyDescent="0.3">
      <c r="A257" s="31">
        <v>256</v>
      </c>
      <c r="B257" s="100" t="s">
        <v>785</v>
      </c>
      <c r="C257" s="51">
        <v>1</v>
      </c>
      <c r="D257" s="51" t="s">
        <v>79</v>
      </c>
      <c r="E257" s="67">
        <v>46054</v>
      </c>
      <c r="F257" s="67">
        <v>46387</v>
      </c>
      <c r="G257" s="51"/>
      <c r="H257" s="51"/>
      <c r="I257" s="103"/>
      <c r="J257" s="51" t="s">
        <v>783</v>
      </c>
      <c r="K257" s="51" t="s">
        <v>852</v>
      </c>
      <c r="O257" s="51">
        <v>1</v>
      </c>
      <c r="P257" s="51">
        <v>0</v>
      </c>
      <c r="Q257" s="133">
        <v>0</v>
      </c>
      <c r="R257" s="51">
        <v>1</v>
      </c>
    </row>
    <row r="258" spans="1:18" ht="86.4" x14ac:dyDescent="0.3">
      <c r="A258" s="31">
        <v>258</v>
      </c>
      <c r="B258" s="100" t="s">
        <v>787</v>
      </c>
      <c r="C258" s="51">
        <v>1</v>
      </c>
      <c r="D258" s="101" t="s">
        <v>79</v>
      </c>
      <c r="E258" s="67">
        <v>46054</v>
      </c>
      <c r="F258" s="67">
        <v>46387</v>
      </c>
      <c r="G258" s="51"/>
      <c r="H258" s="51"/>
      <c r="I258" s="103"/>
      <c r="J258" s="51" t="s">
        <v>783</v>
      </c>
      <c r="K258" s="51" t="s">
        <v>849</v>
      </c>
      <c r="O258" s="51">
        <v>1</v>
      </c>
      <c r="P258" s="51">
        <v>0</v>
      </c>
      <c r="Q258" s="133">
        <v>0</v>
      </c>
      <c r="R258" s="51">
        <v>1</v>
      </c>
    </row>
    <row r="259" spans="1:18" ht="28.8" x14ac:dyDescent="0.3">
      <c r="A259" s="31">
        <v>259</v>
      </c>
      <c r="B259" s="100" t="s">
        <v>788</v>
      </c>
      <c r="C259" s="51">
        <v>100</v>
      </c>
      <c r="D259" s="51" t="s">
        <v>126</v>
      </c>
      <c r="E259" s="67">
        <v>46054</v>
      </c>
      <c r="F259" s="67">
        <v>46387</v>
      </c>
      <c r="G259" s="51"/>
      <c r="H259" s="51"/>
      <c r="I259" s="103"/>
      <c r="J259" s="51" t="s">
        <v>783</v>
      </c>
      <c r="K259" s="51" t="s">
        <v>852</v>
      </c>
      <c r="O259" s="51">
        <v>100</v>
      </c>
      <c r="P259" s="51">
        <v>0</v>
      </c>
      <c r="Q259" s="133">
        <v>0</v>
      </c>
      <c r="R259" s="51">
        <v>100</v>
      </c>
    </row>
    <row r="260" spans="1:18" ht="28.8" x14ac:dyDescent="0.3">
      <c r="A260" s="31">
        <v>260</v>
      </c>
      <c r="B260" s="100" t="s">
        <v>789</v>
      </c>
      <c r="C260" s="51">
        <v>1</v>
      </c>
      <c r="D260" s="51" t="s">
        <v>79</v>
      </c>
      <c r="E260" s="67">
        <v>46054</v>
      </c>
      <c r="F260" s="67">
        <v>46387</v>
      </c>
      <c r="G260" s="51"/>
      <c r="H260" s="51"/>
      <c r="I260" s="103"/>
      <c r="J260" s="51" t="s">
        <v>783</v>
      </c>
      <c r="K260" s="51" t="s">
        <v>852</v>
      </c>
      <c r="O260" s="51">
        <v>1</v>
      </c>
      <c r="P260" s="51">
        <v>0</v>
      </c>
      <c r="Q260" s="133">
        <v>0</v>
      </c>
      <c r="R260" s="51">
        <v>1</v>
      </c>
    </row>
    <row r="261" spans="1:18" ht="43.2" x14ac:dyDescent="0.3">
      <c r="A261" s="31">
        <v>261</v>
      </c>
      <c r="B261" s="100" t="s">
        <v>790</v>
      </c>
      <c r="C261" s="51">
        <v>100</v>
      </c>
      <c r="D261" s="51" t="s">
        <v>126</v>
      </c>
      <c r="E261" s="67">
        <v>46053</v>
      </c>
      <c r="F261" s="67">
        <v>46387</v>
      </c>
      <c r="G261" s="51"/>
      <c r="H261" s="51"/>
      <c r="I261" s="103"/>
      <c r="J261" s="51" t="s">
        <v>783</v>
      </c>
      <c r="K261" s="51" t="s">
        <v>852</v>
      </c>
      <c r="O261" s="51">
        <v>100</v>
      </c>
      <c r="P261" s="51">
        <v>0</v>
      </c>
      <c r="Q261" s="133">
        <v>0</v>
      </c>
      <c r="R261" s="51">
        <v>100</v>
      </c>
    </row>
    <row r="262" spans="1:18" ht="43.2" x14ac:dyDescent="0.3">
      <c r="A262" s="31">
        <v>262</v>
      </c>
      <c r="B262" s="100" t="s">
        <v>791</v>
      </c>
      <c r="C262" s="51">
        <v>4</v>
      </c>
      <c r="D262" s="51" t="s">
        <v>79</v>
      </c>
      <c r="E262" s="67">
        <v>46053</v>
      </c>
      <c r="F262" s="67">
        <v>46387</v>
      </c>
      <c r="G262" s="51"/>
      <c r="H262" s="51"/>
      <c r="I262" s="103"/>
      <c r="J262" s="51" t="s">
        <v>783</v>
      </c>
      <c r="K262" s="51" t="s">
        <v>852</v>
      </c>
      <c r="O262" s="51">
        <v>4</v>
      </c>
      <c r="P262" s="51">
        <v>0</v>
      </c>
      <c r="Q262" s="133">
        <v>0</v>
      </c>
      <c r="R262" s="51">
        <v>4</v>
      </c>
    </row>
    <row r="263" spans="1:18" ht="43.2" x14ac:dyDescent="0.3">
      <c r="A263" s="31">
        <v>263</v>
      </c>
      <c r="B263" s="100" t="s">
        <v>792</v>
      </c>
      <c r="C263" s="51">
        <v>5</v>
      </c>
      <c r="D263" s="51" t="s">
        <v>79</v>
      </c>
      <c r="E263" s="67">
        <v>46054</v>
      </c>
      <c r="F263" s="67">
        <v>46387</v>
      </c>
      <c r="G263" s="51"/>
      <c r="H263" s="51"/>
      <c r="I263" s="103"/>
      <c r="J263" s="51" t="s">
        <v>783</v>
      </c>
      <c r="K263" s="51" t="s">
        <v>852</v>
      </c>
      <c r="O263" s="51">
        <v>5</v>
      </c>
      <c r="P263" s="51">
        <v>0</v>
      </c>
      <c r="Q263" s="133">
        <v>0</v>
      </c>
      <c r="R263" s="51">
        <v>5</v>
      </c>
    </row>
    <row r="264" spans="1:18" ht="43.2" x14ac:dyDescent="0.3">
      <c r="A264" s="31">
        <v>264</v>
      </c>
      <c r="B264" s="100" t="s">
        <v>793</v>
      </c>
      <c r="C264" s="51">
        <v>100</v>
      </c>
      <c r="D264" s="51" t="s">
        <v>126</v>
      </c>
      <c r="E264" s="67">
        <v>46054</v>
      </c>
      <c r="F264" s="67">
        <v>46387</v>
      </c>
      <c r="G264" s="51"/>
      <c r="H264" s="51"/>
      <c r="I264" s="103"/>
      <c r="J264" s="51" t="s">
        <v>783</v>
      </c>
      <c r="K264" s="51" t="s">
        <v>849</v>
      </c>
      <c r="L264" s="51" t="s">
        <v>794</v>
      </c>
      <c r="O264" s="51">
        <v>100</v>
      </c>
      <c r="P264" s="51">
        <v>0</v>
      </c>
      <c r="Q264" s="133">
        <v>0</v>
      </c>
      <c r="R264" s="51">
        <v>100</v>
      </c>
    </row>
    <row r="265" spans="1:18" ht="43.2" x14ac:dyDescent="0.3">
      <c r="A265" s="31">
        <v>265</v>
      </c>
      <c r="B265" s="100" t="s">
        <v>795</v>
      </c>
      <c r="C265" s="51">
        <v>100</v>
      </c>
      <c r="D265" s="51" t="s">
        <v>126</v>
      </c>
      <c r="E265" s="67">
        <v>46054</v>
      </c>
      <c r="F265" s="67">
        <v>46387</v>
      </c>
      <c r="G265" s="51"/>
      <c r="H265" s="51"/>
      <c r="I265" s="103"/>
      <c r="J265" s="51" t="s">
        <v>783</v>
      </c>
      <c r="K265" s="51" t="s">
        <v>852</v>
      </c>
      <c r="O265" s="51">
        <v>100</v>
      </c>
      <c r="P265" s="51">
        <v>0</v>
      </c>
      <c r="Q265" s="133">
        <v>0</v>
      </c>
      <c r="R265" s="51">
        <v>100</v>
      </c>
    </row>
    <row r="266" spans="1:18" ht="43.2" x14ac:dyDescent="0.3">
      <c r="A266" s="31">
        <v>266</v>
      </c>
      <c r="B266" s="100" t="s">
        <v>797</v>
      </c>
      <c r="C266" s="51">
        <v>100</v>
      </c>
      <c r="D266" s="51" t="s">
        <v>126</v>
      </c>
      <c r="E266" s="67">
        <v>46054</v>
      </c>
      <c r="F266" s="67">
        <v>46387</v>
      </c>
      <c r="G266" s="51"/>
      <c r="H266" s="51"/>
      <c r="I266" s="103">
        <v>0</v>
      </c>
      <c r="J266" s="51" t="s">
        <v>783</v>
      </c>
      <c r="K266" s="51" t="s">
        <v>852</v>
      </c>
      <c r="O266" s="51">
        <v>100</v>
      </c>
      <c r="P266" s="51">
        <v>0</v>
      </c>
      <c r="Q266" s="133">
        <v>0</v>
      </c>
      <c r="R266" s="51">
        <v>100</v>
      </c>
    </row>
    <row r="267" spans="1:18" ht="57.6" x14ac:dyDescent="0.3">
      <c r="A267" s="31">
        <v>267</v>
      </c>
      <c r="B267" s="100" t="s">
        <v>798</v>
      </c>
      <c r="C267" s="51">
        <v>100</v>
      </c>
      <c r="D267" s="51" t="s">
        <v>126</v>
      </c>
      <c r="E267" s="67">
        <v>46054</v>
      </c>
      <c r="F267" s="67">
        <v>46387</v>
      </c>
      <c r="G267" s="51"/>
      <c r="H267" s="51"/>
      <c r="I267" s="103">
        <v>0</v>
      </c>
      <c r="J267" s="51" t="s">
        <v>783</v>
      </c>
      <c r="K267" s="51" t="s">
        <v>852</v>
      </c>
      <c r="O267" s="51">
        <v>100</v>
      </c>
      <c r="P267" s="51">
        <v>0</v>
      </c>
      <c r="Q267" s="133">
        <v>0</v>
      </c>
      <c r="R267" s="51">
        <v>100</v>
      </c>
    </row>
    <row r="268" spans="1:18" ht="28.8" x14ac:dyDescent="0.3">
      <c r="A268" s="31">
        <v>268</v>
      </c>
      <c r="B268" s="100" t="s">
        <v>799</v>
      </c>
      <c r="C268" s="51">
        <v>58</v>
      </c>
      <c r="D268" s="101" t="s">
        <v>79</v>
      </c>
      <c r="E268" s="67">
        <v>46054</v>
      </c>
      <c r="F268" s="67">
        <v>46387</v>
      </c>
      <c r="G268" s="51"/>
      <c r="H268" s="51"/>
      <c r="I268" s="103">
        <v>0</v>
      </c>
      <c r="J268" s="51" t="s">
        <v>783</v>
      </c>
      <c r="K268" s="51" t="s">
        <v>852</v>
      </c>
      <c r="O268" s="51">
        <v>58</v>
      </c>
      <c r="P268" s="51">
        <v>0</v>
      </c>
      <c r="Q268" s="133">
        <v>0</v>
      </c>
      <c r="R268" s="51">
        <v>58</v>
      </c>
    </row>
    <row r="269" spans="1:18" ht="28.8" x14ac:dyDescent="0.3">
      <c r="A269" s="31">
        <v>269</v>
      </c>
      <c r="B269" s="100" t="s">
        <v>801</v>
      </c>
      <c r="C269" s="51">
        <v>58</v>
      </c>
      <c r="D269" s="101" t="s">
        <v>79</v>
      </c>
      <c r="E269" s="67">
        <v>46054</v>
      </c>
      <c r="F269" s="67">
        <v>46387</v>
      </c>
      <c r="G269" s="51"/>
      <c r="H269" s="51"/>
      <c r="I269" s="103">
        <v>0</v>
      </c>
      <c r="J269" s="51" t="s">
        <v>783</v>
      </c>
      <c r="K269" s="51" t="s">
        <v>852</v>
      </c>
      <c r="O269" s="51">
        <v>58</v>
      </c>
      <c r="P269" s="51">
        <v>0</v>
      </c>
      <c r="Q269" s="133">
        <v>0</v>
      </c>
      <c r="R269" s="51">
        <v>58</v>
      </c>
    </row>
    <row r="270" spans="1:18" ht="28.8" x14ac:dyDescent="0.3">
      <c r="A270" s="31">
        <v>270</v>
      </c>
      <c r="B270" s="100" t="s">
        <v>804</v>
      </c>
      <c r="C270" s="51">
        <v>100</v>
      </c>
      <c r="D270" s="51" t="s">
        <v>126</v>
      </c>
      <c r="E270" s="67">
        <v>46054</v>
      </c>
      <c r="F270" s="67">
        <v>46387</v>
      </c>
      <c r="G270" s="51"/>
      <c r="H270" s="51"/>
      <c r="I270" s="103">
        <v>0</v>
      </c>
      <c r="J270" s="51" t="s">
        <v>783</v>
      </c>
      <c r="K270" s="51" t="s">
        <v>852</v>
      </c>
      <c r="O270" s="51">
        <v>100</v>
      </c>
      <c r="P270" s="51">
        <v>0</v>
      </c>
      <c r="Q270" s="133">
        <v>0</v>
      </c>
      <c r="R270" s="51">
        <v>100</v>
      </c>
    </row>
    <row r="271" spans="1:18" ht="28.8" x14ac:dyDescent="0.3">
      <c r="A271" s="31">
        <v>271</v>
      </c>
      <c r="B271" s="100" t="s">
        <v>805</v>
      </c>
      <c r="C271" s="51">
        <v>22</v>
      </c>
      <c r="D271" s="101" t="s">
        <v>79</v>
      </c>
      <c r="E271" s="67">
        <v>46054</v>
      </c>
      <c r="F271" s="67">
        <v>46387</v>
      </c>
      <c r="G271" s="51"/>
      <c r="H271" s="51"/>
      <c r="I271" s="103">
        <v>0</v>
      </c>
      <c r="J271" s="51" t="s">
        <v>783</v>
      </c>
      <c r="K271" s="51" t="s">
        <v>849</v>
      </c>
      <c r="O271" s="51">
        <v>22</v>
      </c>
      <c r="P271" s="51">
        <v>0</v>
      </c>
      <c r="Q271" s="133">
        <v>0</v>
      </c>
      <c r="R271" s="51">
        <v>22</v>
      </c>
    </row>
    <row r="272" spans="1:18" ht="19.95" customHeight="1" x14ac:dyDescent="0.3">
      <c r="A272" s="31">
        <v>272</v>
      </c>
      <c r="B272" s="100" t="s">
        <v>806</v>
      </c>
      <c r="C272" s="51">
        <v>100</v>
      </c>
      <c r="D272" s="51" t="s">
        <v>126</v>
      </c>
      <c r="E272" s="67">
        <v>46054</v>
      </c>
      <c r="F272" s="67">
        <v>46387</v>
      </c>
      <c r="G272" s="51"/>
      <c r="H272" s="51"/>
      <c r="I272" s="103">
        <v>162000364</v>
      </c>
      <c r="J272" s="51" t="s">
        <v>783</v>
      </c>
      <c r="K272" s="51" t="s">
        <v>832</v>
      </c>
      <c r="L272" s="51" t="s">
        <v>834</v>
      </c>
      <c r="O272" s="51">
        <v>100</v>
      </c>
      <c r="P272" s="51">
        <v>55</v>
      </c>
      <c r="Q272" s="133">
        <v>0.55000000000000004</v>
      </c>
      <c r="R272" s="51">
        <v>45</v>
      </c>
    </row>
    <row r="273" spans="1:18" ht="28.8" x14ac:dyDescent="0.3">
      <c r="A273" s="31">
        <v>273</v>
      </c>
      <c r="B273" s="100" t="s">
        <v>808</v>
      </c>
      <c r="C273" s="51">
        <v>1</v>
      </c>
      <c r="D273" s="51" t="s">
        <v>79</v>
      </c>
      <c r="E273" s="67">
        <v>46054</v>
      </c>
      <c r="F273" s="67">
        <v>46387</v>
      </c>
      <c r="G273" s="51"/>
      <c r="H273" s="51"/>
      <c r="I273" s="103">
        <v>25000000</v>
      </c>
      <c r="J273" s="51" t="s">
        <v>783</v>
      </c>
      <c r="K273" s="51" t="s">
        <v>832</v>
      </c>
      <c r="L273" s="51" t="s">
        <v>842</v>
      </c>
      <c r="O273" s="51">
        <v>1</v>
      </c>
      <c r="P273" s="51">
        <v>1</v>
      </c>
      <c r="Q273" s="133">
        <v>1</v>
      </c>
      <c r="R273" s="51">
        <v>0</v>
      </c>
    </row>
    <row r="274" spans="1:18" ht="28.8" x14ac:dyDescent="0.3">
      <c r="A274" s="31">
        <v>274</v>
      </c>
      <c r="B274" s="100" t="s">
        <v>810</v>
      </c>
      <c r="C274" s="51">
        <v>4</v>
      </c>
      <c r="D274" s="51" t="s">
        <v>79</v>
      </c>
      <c r="E274" s="67">
        <v>46054</v>
      </c>
      <c r="F274" s="67">
        <v>46387</v>
      </c>
      <c r="G274" s="51"/>
      <c r="H274" s="51"/>
      <c r="I274" s="103">
        <v>50000000</v>
      </c>
      <c r="J274" s="51" t="s">
        <v>783</v>
      </c>
      <c r="K274" s="51" t="s">
        <v>832</v>
      </c>
      <c r="L274" s="51" t="s">
        <v>842</v>
      </c>
      <c r="O274" s="51">
        <v>4</v>
      </c>
      <c r="P274" s="51">
        <v>1</v>
      </c>
      <c r="Q274" s="133">
        <v>0.25</v>
      </c>
      <c r="R274" s="51">
        <v>3</v>
      </c>
    </row>
    <row r="275" spans="1:18" ht="28.8" x14ac:dyDescent="0.3">
      <c r="A275" s="31">
        <v>275</v>
      </c>
      <c r="B275" s="100" t="s">
        <v>812</v>
      </c>
      <c r="C275" s="51">
        <v>1</v>
      </c>
      <c r="D275" s="101" t="s">
        <v>79</v>
      </c>
      <c r="E275" s="67">
        <v>46054</v>
      </c>
      <c r="F275" s="67">
        <v>46387</v>
      </c>
      <c r="G275" s="51"/>
      <c r="H275" s="51"/>
      <c r="I275" s="103">
        <v>40000000</v>
      </c>
      <c r="J275" s="51" t="s">
        <v>783</v>
      </c>
      <c r="K275" s="51" t="s">
        <v>832</v>
      </c>
      <c r="L275" s="51" t="s">
        <v>848</v>
      </c>
      <c r="O275" s="51">
        <v>1</v>
      </c>
      <c r="P275" s="51">
        <v>0</v>
      </c>
      <c r="Q275" s="133">
        <v>0</v>
      </c>
      <c r="R275" s="51">
        <v>1</v>
      </c>
    </row>
    <row r="276" spans="1:18" ht="72" x14ac:dyDescent="0.3">
      <c r="A276" s="31">
        <v>276</v>
      </c>
      <c r="B276" s="100" t="s">
        <v>814</v>
      </c>
      <c r="C276" s="51">
        <v>29</v>
      </c>
      <c r="D276" s="51" t="s">
        <v>79</v>
      </c>
      <c r="E276" s="67">
        <v>46054</v>
      </c>
      <c r="F276" s="67">
        <v>46387</v>
      </c>
      <c r="G276" s="51"/>
      <c r="H276" s="51"/>
      <c r="I276" s="103"/>
      <c r="J276" s="51" t="s">
        <v>815</v>
      </c>
      <c r="K276" s="51" t="s">
        <v>832</v>
      </c>
      <c r="O276" s="51">
        <v>29</v>
      </c>
      <c r="P276" s="51">
        <v>21</v>
      </c>
      <c r="Q276" s="133">
        <v>0.72413793103448276</v>
      </c>
      <c r="R276" s="51">
        <v>8</v>
      </c>
    </row>
    <row r="277" spans="1:18" ht="28.8" x14ac:dyDescent="0.3">
      <c r="A277" s="31">
        <v>277</v>
      </c>
      <c r="B277" s="100" t="s">
        <v>816</v>
      </c>
      <c r="C277" s="51">
        <v>29</v>
      </c>
      <c r="D277" s="51" t="s">
        <v>79</v>
      </c>
      <c r="E277" s="67">
        <v>46054</v>
      </c>
      <c r="F277" s="67">
        <v>46387</v>
      </c>
      <c r="G277" s="51"/>
      <c r="H277" s="51"/>
      <c r="I277" s="103"/>
      <c r="J277" s="51" t="s">
        <v>815</v>
      </c>
      <c r="K277" s="51" t="s">
        <v>832</v>
      </c>
      <c r="O277" s="51">
        <v>29</v>
      </c>
      <c r="P277" s="51">
        <v>21</v>
      </c>
      <c r="Q277" s="133">
        <v>0.72413793103448276</v>
      </c>
      <c r="R277" s="51">
        <v>8</v>
      </c>
    </row>
    <row r="278" spans="1:18" x14ac:dyDescent="0.3">
      <c r="G278" s="51"/>
      <c r="H278" s="51"/>
      <c r="I278" s="103"/>
    </row>
  </sheetData>
  <autoFilter ref="A1:N277" xr:uid="{209EF995-2081-47A2-BE90-2DA45DAF1BB1}"/>
  <dataValidations count="2">
    <dataValidation type="decimal" operator="greaterThan" allowBlank="1" showErrorMessage="1" sqref="A2:A277" xr:uid="{065CE828-BEC8-42B3-B7E0-B3F17143973F}">
      <formula1>0</formula1>
    </dataValidation>
    <dataValidation type="date" operator="greaterThan" allowBlank="1" showErrorMessage="1" sqref="E2:F277" xr:uid="{D5B998C1-D88A-4295-9D8D-B008AD4DB32B}">
      <formula1>46022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 DE ACCION EN SALUD</vt:lpstr>
      <vt:lpstr>TH</vt:lpstr>
      <vt:lpstr>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Nain Zuñiga Porto</dc:creator>
  <cp:lastModifiedBy>Nain Zuñiga Porto</cp:lastModifiedBy>
  <dcterms:created xsi:type="dcterms:W3CDTF">2026-09-09T03:23:54Z</dcterms:created>
  <dcterms:modified xsi:type="dcterms:W3CDTF">2026-09-10T16:51:09Z</dcterms:modified>
</cp:coreProperties>
</file>